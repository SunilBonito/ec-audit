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namedSheetViews/namedSheetView3.xml" ContentType="application/vnd.ms-excel.namedsheetviews+xml"/>
  <Override PartName="/xl/namedSheetViews/namedSheetView4.xml" ContentType="application/vnd.ms-excel.namedsheetviews+xml"/>
  <Override PartName="/xl/namedSheetViews/namedSheetView5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8_{3E299318-8677-4A4D-B6B4-6652AD7655EA}" xr6:coauthVersionLast="47" xr6:coauthVersionMax="47" xr10:uidLastSave="{00000000-0000-0000-0000-000000000000}"/>
  <bookViews>
    <workbookView xWindow="-108" yWindow="-108" windowWidth="23256" windowHeight="12456" tabRatio="829" firstSheet="3" activeTab="12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Wooden Flooring" sheetId="9" r:id="rId8"/>
    <sheet name="Granite" sheetId="8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Fabric!$A$4:$AW$298</definedName>
    <definedName name="_xlnm._FilterDatabase" localSheetId="8" hidden="1">Granite!$A$4:$AW$4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Wallpaper!$A$4:$AW$4</definedName>
    <definedName name="_xlnm._FilterDatabase" localSheetId="7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" i="4" l="1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490" i="12"/>
  <c r="M491" i="12"/>
  <c r="M492" i="12"/>
  <c r="M493" i="12"/>
  <c r="M494" i="12"/>
  <c r="M495" i="12"/>
  <c r="M496" i="12"/>
  <c r="M497" i="12"/>
  <c r="M498" i="12"/>
  <c r="M499" i="12"/>
  <c r="M500" i="12"/>
  <c r="M501" i="12"/>
  <c r="M502" i="12"/>
  <c r="M503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516" i="12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M234" i="13"/>
  <c r="M235" i="13"/>
  <c r="M236" i="13"/>
  <c r="M237" i="13"/>
  <c r="M238" i="13"/>
  <c r="M239" i="13"/>
  <c r="M240" i="13"/>
  <c r="M241" i="13"/>
  <c r="M242" i="13"/>
  <c r="M243" i="13"/>
  <c r="M244" i="13"/>
  <c r="M245" i="13"/>
  <c r="M246" i="13"/>
  <c r="M247" i="13"/>
  <c r="M248" i="13"/>
  <c r="M249" i="13"/>
  <c r="M250" i="13"/>
  <c r="M251" i="13"/>
  <c r="M252" i="13"/>
  <c r="M253" i="13"/>
  <c r="M254" i="13"/>
  <c r="M255" i="13"/>
  <c r="M256" i="13"/>
  <c r="M257" i="13"/>
  <c r="M258" i="13"/>
  <c r="M259" i="13"/>
  <c r="M260" i="13"/>
  <c r="M261" i="13"/>
  <c r="M262" i="13"/>
  <c r="M263" i="13"/>
  <c r="M264" i="13"/>
  <c r="M265" i="13"/>
  <c r="M266" i="13"/>
  <c r="M267" i="13"/>
  <c r="M268" i="13"/>
  <c r="M269" i="13"/>
  <c r="M270" i="13"/>
  <c r="M271" i="13"/>
  <c r="M272" i="13"/>
  <c r="M273" i="13"/>
  <c r="M274" i="13"/>
  <c r="M275" i="13"/>
  <c r="M276" i="13"/>
  <c r="M277" i="13"/>
  <c r="M278" i="13"/>
  <c r="M279" i="13"/>
  <c r="M280" i="13"/>
  <c r="M281" i="13"/>
  <c r="M282" i="13"/>
  <c r="M283" i="13"/>
  <c r="M284" i="13"/>
  <c r="M285" i="13"/>
  <c r="M286" i="13"/>
  <c r="M287" i="13"/>
  <c r="M288" i="13"/>
  <c r="M289" i="13"/>
  <c r="M290" i="13"/>
  <c r="M291" i="13"/>
  <c r="M292" i="13"/>
  <c r="M293" i="13"/>
  <c r="M294" i="13"/>
  <c r="M295" i="13"/>
  <c r="M296" i="13"/>
  <c r="M297" i="13"/>
  <c r="M298" i="13"/>
  <c r="M5" i="13"/>
  <c r="V5" i="13"/>
  <c r="AE5" i="13"/>
  <c r="AN5" i="13"/>
  <c r="AW5" i="13"/>
  <c r="V6" i="13"/>
  <c r="AE6" i="13"/>
  <c r="AN6" i="13"/>
  <c r="AW6" i="13"/>
  <c r="V7" i="13"/>
  <c r="AE7" i="13"/>
  <c r="AN7" i="13"/>
  <c r="AW7" i="13"/>
  <c r="V8" i="13"/>
  <c r="AE8" i="13"/>
  <c r="AN8" i="13"/>
  <c r="AW8" i="13"/>
  <c r="V9" i="13"/>
  <c r="AE9" i="13"/>
  <c r="AN9" i="13"/>
  <c r="AW9" i="13"/>
  <c r="V10" i="13"/>
  <c r="AE10" i="13"/>
  <c r="AN10" i="13"/>
  <c r="AW10" i="13"/>
  <c r="V11" i="13"/>
  <c r="AE11" i="13"/>
  <c r="AN11" i="13"/>
  <c r="AW11" i="13"/>
  <c r="V12" i="13"/>
  <c r="AE12" i="13"/>
  <c r="AN12" i="13"/>
  <c r="AW12" i="13"/>
  <c r="V13" i="13"/>
  <c r="AE13" i="13"/>
  <c r="AN13" i="13"/>
  <c r="AW13" i="13"/>
  <c r="V14" i="13"/>
  <c r="AE14" i="13"/>
  <c r="AN14" i="13"/>
  <c r="AW14" i="13"/>
  <c r="V15" i="13"/>
  <c r="AE15" i="13"/>
  <c r="AN15" i="13"/>
  <c r="AW15" i="13"/>
  <c r="V16" i="13"/>
  <c r="AE16" i="13"/>
  <c r="AN16" i="13"/>
  <c r="AW16" i="13"/>
  <c r="V17" i="13"/>
  <c r="AE17" i="13"/>
  <c r="AN17" i="13"/>
  <c r="AW17" i="13"/>
  <c r="V18" i="13"/>
  <c r="AE18" i="13"/>
  <c r="AN18" i="13"/>
  <c r="AW18" i="13"/>
  <c r="V19" i="13"/>
  <c r="AE19" i="13"/>
  <c r="AN19" i="13"/>
  <c r="AW19" i="13"/>
  <c r="V20" i="13"/>
  <c r="AE20" i="13"/>
  <c r="AN20" i="13"/>
  <c r="AW20" i="13"/>
  <c r="V21" i="13"/>
  <c r="AE21" i="13"/>
  <c r="AN21" i="13"/>
  <c r="AW21" i="13"/>
  <c r="V22" i="13"/>
  <c r="AE22" i="13"/>
  <c r="AN22" i="13"/>
  <c r="AW22" i="13"/>
  <c r="V23" i="13"/>
  <c r="AE23" i="13"/>
  <c r="AN23" i="13"/>
  <c r="AW23" i="13"/>
  <c r="V24" i="13"/>
  <c r="AE24" i="13"/>
  <c r="AN24" i="13"/>
  <c r="AW24" i="13"/>
  <c r="V25" i="13"/>
  <c r="AE25" i="13"/>
  <c r="AN25" i="13"/>
  <c r="AW25" i="13"/>
  <c r="V26" i="13"/>
  <c r="AE26" i="13"/>
  <c r="AN26" i="13"/>
  <c r="AW26" i="13"/>
  <c r="V27" i="13"/>
  <c r="AE27" i="13"/>
  <c r="AN27" i="13"/>
  <c r="AW27" i="13"/>
  <c r="V28" i="13"/>
  <c r="AE28" i="13"/>
  <c r="AN28" i="13"/>
  <c r="AW28" i="13"/>
  <c r="V29" i="13"/>
  <c r="AE29" i="13"/>
  <c r="AN29" i="13"/>
  <c r="AW29" i="13"/>
  <c r="V30" i="13"/>
  <c r="AE30" i="13"/>
  <c r="AN30" i="13"/>
  <c r="AW30" i="13"/>
  <c r="V31" i="13"/>
  <c r="AE31" i="13"/>
  <c r="AN31" i="13"/>
  <c r="AW31" i="13"/>
  <c r="V32" i="13"/>
  <c r="AE32" i="13"/>
  <c r="AN32" i="13"/>
  <c r="AW32" i="13"/>
  <c r="V33" i="13"/>
  <c r="AE33" i="13"/>
  <c r="AN33" i="13"/>
  <c r="AW33" i="13"/>
  <c r="V34" i="13"/>
  <c r="AE34" i="13"/>
  <c r="AN34" i="13"/>
  <c r="AW34" i="13"/>
  <c r="V35" i="13"/>
  <c r="AE35" i="13"/>
  <c r="AN35" i="13"/>
  <c r="AW35" i="13"/>
  <c r="V36" i="13"/>
  <c r="AE36" i="13"/>
  <c r="AN36" i="13"/>
  <c r="AW36" i="13"/>
  <c r="V37" i="13"/>
  <c r="AE37" i="13"/>
  <c r="AN37" i="13"/>
  <c r="AW37" i="13"/>
  <c r="V38" i="13"/>
  <c r="AE38" i="13"/>
  <c r="AN38" i="13"/>
  <c r="AW38" i="13"/>
  <c r="V39" i="13"/>
  <c r="AE39" i="13"/>
  <c r="AN39" i="13"/>
  <c r="AW39" i="13"/>
  <c r="V40" i="13"/>
  <c r="AE40" i="13"/>
  <c r="AN40" i="13"/>
  <c r="AW40" i="13"/>
  <c r="V41" i="13"/>
  <c r="AE41" i="13"/>
  <c r="AN41" i="13"/>
  <c r="AW41" i="13"/>
  <c r="V42" i="13"/>
  <c r="AE42" i="13"/>
  <c r="AN42" i="13"/>
  <c r="AW42" i="13"/>
  <c r="V43" i="13"/>
  <c r="AE43" i="13"/>
  <c r="AN43" i="13"/>
  <c r="AW43" i="13"/>
  <c r="V44" i="13"/>
  <c r="AE44" i="13"/>
  <c r="AN44" i="13"/>
  <c r="AW44" i="13"/>
  <c r="V45" i="13"/>
  <c r="AE45" i="13"/>
  <c r="AN45" i="13"/>
  <c r="AW45" i="13"/>
  <c r="V46" i="13"/>
  <c r="AE46" i="13"/>
  <c r="AN46" i="13"/>
  <c r="AW46" i="13"/>
  <c r="V47" i="13"/>
  <c r="AE47" i="13"/>
  <c r="AN47" i="13"/>
  <c r="AW47" i="13"/>
  <c r="V48" i="13"/>
  <c r="AE48" i="13"/>
  <c r="AN48" i="13"/>
  <c r="AW48" i="13"/>
  <c r="V49" i="13"/>
  <c r="AE49" i="13"/>
  <c r="AN49" i="13"/>
  <c r="AW49" i="13"/>
  <c r="V50" i="13"/>
  <c r="AE50" i="13"/>
  <c r="AN50" i="13"/>
  <c r="AW50" i="13"/>
  <c r="V51" i="13"/>
  <c r="AE51" i="13"/>
  <c r="AN51" i="13"/>
  <c r="AW51" i="13"/>
  <c r="V52" i="13"/>
  <c r="AE52" i="13"/>
  <c r="AN52" i="13"/>
  <c r="AW52" i="13"/>
  <c r="V53" i="13"/>
  <c r="AE53" i="13"/>
  <c r="AN53" i="13"/>
  <c r="AW53" i="13"/>
  <c r="V54" i="13"/>
  <c r="AE54" i="13"/>
  <c r="AN54" i="13"/>
  <c r="AW54" i="13"/>
  <c r="V55" i="13"/>
  <c r="AE55" i="13"/>
  <c r="AN55" i="13"/>
  <c r="AW55" i="13"/>
  <c r="V56" i="13"/>
  <c r="AE56" i="13"/>
  <c r="AN56" i="13"/>
  <c r="AW56" i="13"/>
  <c r="V57" i="13"/>
  <c r="AE57" i="13"/>
  <c r="AN57" i="13"/>
  <c r="AW57" i="13"/>
  <c r="V58" i="13"/>
  <c r="AE58" i="13"/>
  <c r="AN58" i="13"/>
  <c r="AW58" i="13"/>
  <c r="V59" i="13"/>
  <c r="AE59" i="13"/>
  <c r="AN59" i="13"/>
  <c r="AW59" i="13"/>
  <c r="V60" i="13"/>
  <c r="AE60" i="13"/>
  <c r="AN60" i="13"/>
  <c r="AW60" i="13"/>
  <c r="V61" i="13"/>
  <c r="AE61" i="13"/>
  <c r="AN61" i="13"/>
  <c r="AW61" i="13"/>
  <c r="V62" i="13"/>
  <c r="AE62" i="13"/>
  <c r="AN62" i="13"/>
  <c r="AW62" i="13"/>
  <c r="V63" i="13"/>
  <c r="AE63" i="13"/>
  <c r="AN63" i="13"/>
  <c r="AW63" i="13"/>
  <c r="V64" i="13"/>
  <c r="AE64" i="13"/>
  <c r="AN64" i="13"/>
  <c r="AW64" i="13"/>
  <c r="V65" i="13"/>
  <c r="AE65" i="13"/>
  <c r="AN65" i="13"/>
  <c r="AW65" i="13"/>
  <c r="V66" i="13"/>
  <c r="AE66" i="13"/>
  <c r="AN66" i="13"/>
  <c r="AW66" i="13"/>
  <c r="V67" i="13"/>
  <c r="AE67" i="13"/>
  <c r="AN67" i="13"/>
  <c r="AW67" i="13"/>
  <c r="V68" i="13"/>
  <c r="AE68" i="13"/>
  <c r="AN68" i="13"/>
  <c r="AW68" i="13"/>
  <c r="V69" i="13"/>
  <c r="AE69" i="13"/>
  <c r="AN69" i="13"/>
  <c r="AW69" i="13"/>
  <c r="V70" i="13"/>
  <c r="AE70" i="13"/>
  <c r="AN70" i="13"/>
  <c r="AW70" i="13"/>
  <c r="V71" i="13"/>
  <c r="AE71" i="13"/>
  <c r="AN71" i="13"/>
  <c r="AW71" i="13"/>
  <c r="V72" i="13"/>
  <c r="AE72" i="13"/>
  <c r="AN72" i="13"/>
  <c r="AW72" i="13"/>
  <c r="V73" i="13"/>
  <c r="AE73" i="13"/>
  <c r="AN73" i="13"/>
  <c r="AW73" i="13"/>
  <c r="V74" i="13"/>
  <c r="AE74" i="13"/>
  <c r="AN74" i="13"/>
  <c r="AW74" i="13"/>
  <c r="V75" i="13"/>
  <c r="AE75" i="13"/>
  <c r="AN75" i="13"/>
  <c r="AW75" i="13"/>
  <c r="V76" i="13"/>
  <c r="AE76" i="13"/>
  <c r="AN76" i="13"/>
  <c r="AW76" i="13"/>
  <c r="V77" i="13"/>
  <c r="AE77" i="13"/>
  <c r="AN77" i="13"/>
  <c r="AW77" i="13"/>
  <c r="V78" i="13"/>
  <c r="AE78" i="13"/>
  <c r="AN78" i="13"/>
  <c r="AW78" i="13"/>
  <c r="V79" i="13"/>
  <c r="AE79" i="13"/>
  <c r="AN79" i="13"/>
  <c r="AW79" i="13"/>
  <c r="V80" i="13"/>
  <c r="AE80" i="13"/>
  <c r="AN80" i="13"/>
  <c r="AW80" i="13"/>
  <c r="V81" i="13"/>
  <c r="AE81" i="13"/>
  <c r="AN81" i="13"/>
  <c r="AW81" i="13"/>
  <c r="V82" i="13"/>
  <c r="AE82" i="13"/>
  <c r="AN82" i="13"/>
  <c r="AW82" i="13"/>
  <c r="V83" i="13"/>
  <c r="AE83" i="13"/>
  <c r="AN83" i="13"/>
  <c r="AW83" i="13"/>
  <c r="V84" i="13"/>
  <c r="AE84" i="13"/>
  <c r="AN84" i="13"/>
  <c r="AW84" i="13"/>
  <c r="V85" i="13"/>
  <c r="AE85" i="13"/>
  <c r="AN85" i="13"/>
  <c r="AW85" i="13"/>
  <c r="V86" i="13"/>
  <c r="AE86" i="13"/>
  <c r="AN86" i="13"/>
  <c r="AW86" i="13"/>
  <c r="V87" i="13"/>
  <c r="AE87" i="13"/>
  <c r="AN87" i="13"/>
  <c r="AW87" i="13"/>
  <c r="V88" i="13"/>
  <c r="AE88" i="13"/>
  <c r="AN88" i="13"/>
  <c r="AW88" i="13"/>
  <c r="V89" i="13"/>
  <c r="AE89" i="13"/>
  <c r="AN89" i="13"/>
  <c r="AW89" i="13"/>
  <c r="V90" i="13"/>
  <c r="AE90" i="13"/>
  <c r="AN90" i="13"/>
  <c r="AW90" i="13"/>
  <c r="V91" i="13"/>
  <c r="AE91" i="13"/>
  <c r="AN91" i="13"/>
  <c r="AW91" i="13"/>
  <c r="V92" i="13"/>
  <c r="AE92" i="13"/>
  <c r="AN92" i="13"/>
  <c r="AW92" i="13"/>
  <c r="V93" i="13"/>
  <c r="AE93" i="13"/>
  <c r="AN93" i="13"/>
  <c r="AW93" i="13"/>
  <c r="V94" i="13"/>
  <c r="AE94" i="13"/>
  <c r="AN94" i="13"/>
  <c r="AW94" i="13"/>
  <c r="V95" i="13"/>
  <c r="AE95" i="13"/>
  <c r="AN95" i="13"/>
  <c r="AW95" i="13"/>
  <c r="V96" i="13"/>
  <c r="AE96" i="13"/>
  <c r="AN96" i="13"/>
  <c r="AW96" i="13"/>
  <c r="V97" i="13"/>
  <c r="AE97" i="13"/>
  <c r="AN97" i="13"/>
  <c r="AW97" i="13"/>
  <c r="V98" i="13"/>
  <c r="AE98" i="13"/>
  <c r="AN98" i="13"/>
  <c r="AW98" i="13"/>
  <c r="V99" i="13"/>
  <c r="AE99" i="13"/>
  <c r="AN99" i="13"/>
  <c r="AW99" i="13"/>
  <c r="V100" i="13"/>
  <c r="AE100" i="13"/>
  <c r="AN100" i="13"/>
  <c r="AW100" i="13"/>
  <c r="V101" i="13"/>
  <c r="AE101" i="13"/>
  <c r="AN101" i="13"/>
  <c r="AW101" i="13"/>
  <c r="V102" i="13"/>
  <c r="AE102" i="13"/>
  <c r="AN102" i="13"/>
  <c r="AW102" i="13"/>
  <c r="V103" i="13"/>
  <c r="AE103" i="13"/>
  <c r="AN103" i="13"/>
  <c r="AW103" i="13"/>
  <c r="V104" i="13"/>
  <c r="AE104" i="13"/>
  <c r="AN104" i="13"/>
  <c r="AW104" i="13"/>
  <c r="V105" i="13"/>
  <c r="AE105" i="13"/>
  <c r="AN105" i="13"/>
  <c r="AW105" i="13"/>
  <c r="V106" i="13"/>
  <c r="AE106" i="13"/>
  <c r="AN106" i="13"/>
  <c r="AW106" i="13"/>
  <c r="V107" i="13"/>
  <c r="AE107" i="13"/>
  <c r="AN107" i="13"/>
  <c r="AW107" i="13"/>
  <c r="V108" i="13"/>
  <c r="AE108" i="13"/>
  <c r="AN108" i="13"/>
  <c r="AW108" i="13"/>
  <c r="V109" i="13"/>
  <c r="AE109" i="13"/>
  <c r="AN109" i="13"/>
  <c r="AW109" i="13"/>
  <c r="V110" i="13"/>
  <c r="AE110" i="13"/>
  <c r="AN110" i="13"/>
  <c r="AW110" i="13"/>
  <c r="V111" i="13"/>
  <c r="AE111" i="13"/>
  <c r="AN111" i="13"/>
  <c r="AW111" i="13"/>
  <c r="V112" i="13"/>
  <c r="AE112" i="13"/>
  <c r="AN112" i="13"/>
  <c r="AW112" i="13"/>
  <c r="V113" i="13"/>
  <c r="AE113" i="13"/>
  <c r="AN113" i="13"/>
  <c r="AW113" i="13"/>
  <c r="V114" i="13"/>
  <c r="AE114" i="13"/>
  <c r="AN114" i="13"/>
  <c r="AW114" i="13"/>
  <c r="V115" i="13"/>
  <c r="AE115" i="13"/>
  <c r="AN115" i="13"/>
  <c r="AW115" i="13"/>
  <c r="V116" i="13"/>
  <c r="AE116" i="13"/>
  <c r="AN116" i="13"/>
  <c r="AW116" i="13"/>
  <c r="V117" i="13"/>
  <c r="AE117" i="13"/>
  <c r="AN117" i="13"/>
  <c r="AW117" i="13"/>
  <c r="V118" i="13"/>
  <c r="AE118" i="13"/>
  <c r="AN118" i="13"/>
  <c r="AW118" i="13"/>
  <c r="V119" i="13"/>
  <c r="AE119" i="13"/>
  <c r="AN119" i="13"/>
  <c r="AW119" i="13"/>
  <c r="V120" i="13"/>
  <c r="AE120" i="13"/>
  <c r="AN120" i="13"/>
  <c r="AW120" i="13"/>
  <c r="V121" i="13"/>
  <c r="AE121" i="13"/>
  <c r="AN121" i="13"/>
  <c r="AW121" i="13"/>
  <c r="V122" i="13"/>
  <c r="AE122" i="13"/>
  <c r="AN122" i="13"/>
  <c r="AW122" i="13"/>
  <c r="V123" i="13"/>
  <c r="AE123" i="13"/>
  <c r="AN123" i="13"/>
  <c r="AW123" i="13"/>
  <c r="V124" i="13"/>
  <c r="AE124" i="13"/>
  <c r="AN124" i="13"/>
  <c r="AW124" i="13"/>
  <c r="V125" i="13"/>
  <c r="AE125" i="13"/>
  <c r="AN125" i="13"/>
  <c r="AW125" i="13"/>
  <c r="V126" i="13"/>
  <c r="AE126" i="13"/>
  <c r="AN126" i="13"/>
  <c r="AW126" i="13"/>
  <c r="V127" i="13"/>
  <c r="AE127" i="13"/>
  <c r="AN127" i="13"/>
  <c r="AW127" i="13"/>
  <c r="V128" i="13"/>
  <c r="AE128" i="13"/>
  <c r="AN128" i="13"/>
  <c r="AW128" i="13"/>
  <c r="V129" i="13"/>
  <c r="AE129" i="13"/>
  <c r="AN129" i="13"/>
  <c r="AW129" i="13"/>
  <c r="V130" i="13"/>
  <c r="AE130" i="13"/>
  <c r="AN130" i="13"/>
  <c r="AW130" i="13"/>
  <c r="V131" i="13"/>
  <c r="AE131" i="13"/>
  <c r="AN131" i="13"/>
  <c r="AW131" i="13"/>
  <c r="V132" i="13"/>
  <c r="AE132" i="13"/>
  <c r="AN132" i="13"/>
  <c r="AW132" i="13"/>
  <c r="V133" i="13"/>
  <c r="AE133" i="13"/>
  <c r="AN133" i="13"/>
  <c r="AW133" i="13"/>
  <c r="V134" i="13"/>
  <c r="AE134" i="13"/>
  <c r="AN134" i="13"/>
  <c r="AW134" i="13"/>
  <c r="V135" i="13"/>
  <c r="AE135" i="13"/>
  <c r="AN135" i="13"/>
  <c r="AW135" i="13"/>
  <c r="V136" i="13"/>
  <c r="AE136" i="13"/>
  <c r="AN136" i="13"/>
  <c r="AW136" i="13"/>
  <c r="V137" i="13"/>
  <c r="AE137" i="13"/>
  <c r="AN137" i="13"/>
  <c r="AW137" i="13"/>
  <c r="V138" i="13"/>
  <c r="AE138" i="13"/>
  <c r="AN138" i="13"/>
  <c r="AW138" i="13"/>
  <c r="V139" i="13"/>
  <c r="AE139" i="13"/>
  <c r="AN139" i="13"/>
  <c r="AW139" i="13"/>
  <c r="V140" i="13"/>
  <c r="AE140" i="13"/>
  <c r="AN140" i="13"/>
  <c r="AW140" i="13"/>
  <c r="V141" i="13"/>
  <c r="AE141" i="13"/>
  <c r="AN141" i="13"/>
  <c r="AW141" i="13"/>
  <c r="V142" i="13"/>
  <c r="AE142" i="13"/>
  <c r="AN142" i="13"/>
  <c r="AW142" i="13"/>
  <c r="V143" i="13"/>
  <c r="AE143" i="13"/>
  <c r="AN143" i="13"/>
  <c r="AW143" i="13"/>
  <c r="V144" i="13"/>
  <c r="AE144" i="13"/>
  <c r="AN144" i="13"/>
  <c r="AW144" i="13"/>
  <c r="V145" i="13"/>
  <c r="AE145" i="13"/>
  <c r="AN145" i="13"/>
  <c r="AW145" i="13"/>
  <c r="V146" i="13"/>
  <c r="AE146" i="13"/>
  <c r="AN146" i="13"/>
  <c r="AW146" i="13"/>
  <c r="V147" i="13"/>
  <c r="AE147" i="13"/>
  <c r="AN147" i="13"/>
  <c r="AW147" i="13"/>
  <c r="V148" i="13"/>
  <c r="AE148" i="13"/>
  <c r="AN148" i="13"/>
  <c r="AW148" i="13"/>
  <c r="V149" i="13"/>
  <c r="AE149" i="13"/>
  <c r="AN149" i="13"/>
  <c r="AW149" i="13"/>
  <c r="V150" i="13"/>
  <c r="AE150" i="13"/>
  <c r="AN150" i="13"/>
  <c r="AW150" i="13"/>
  <c r="V151" i="13"/>
  <c r="AE151" i="13"/>
  <c r="AN151" i="13"/>
  <c r="AW151" i="13"/>
  <c r="V152" i="13"/>
  <c r="AE152" i="13"/>
  <c r="AN152" i="13"/>
  <c r="AW152" i="13"/>
  <c r="V153" i="13"/>
  <c r="AE153" i="13"/>
  <c r="AN153" i="13"/>
  <c r="AW153" i="13"/>
  <c r="V154" i="13"/>
  <c r="AE154" i="13"/>
  <c r="AN154" i="13"/>
  <c r="AW154" i="13"/>
  <c r="V155" i="13"/>
  <c r="AE155" i="13"/>
  <c r="AN155" i="13"/>
  <c r="AW155" i="13"/>
  <c r="V156" i="13"/>
  <c r="AE156" i="13"/>
  <c r="AN156" i="13"/>
  <c r="AW156" i="13"/>
  <c r="V157" i="13"/>
  <c r="AE157" i="13"/>
  <c r="AN157" i="13"/>
  <c r="AW157" i="13"/>
  <c r="V158" i="13"/>
  <c r="AE158" i="13"/>
  <c r="AN158" i="13"/>
  <c r="AW158" i="13"/>
  <c r="V159" i="13"/>
  <c r="AE159" i="13"/>
  <c r="AN159" i="13"/>
  <c r="AW159" i="13"/>
  <c r="V160" i="13"/>
  <c r="AE160" i="13"/>
  <c r="AN160" i="13"/>
  <c r="AW160" i="13"/>
  <c r="V161" i="13"/>
  <c r="AE161" i="13"/>
  <c r="AN161" i="13"/>
  <c r="AW161" i="13"/>
  <c r="V162" i="13"/>
  <c r="AE162" i="13"/>
  <c r="AN162" i="13"/>
  <c r="AW162" i="13"/>
  <c r="V163" i="13"/>
  <c r="AE163" i="13"/>
  <c r="AN163" i="13"/>
  <c r="AW163" i="13"/>
  <c r="V164" i="13"/>
  <c r="AE164" i="13"/>
  <c r="AN164" i="13"/>
  <c r="AW164" i="13"/>
  <c r="V165" i="13"/>
  <c r="AE165" i="13"/>
  <c r="AN165" i="13"/>
  <c r="AW165" i="13"/>
  <c r="V166" i="13"/>
  <c r="AE166" i="13"/>
  <c r="AN166" i="13"/>
  <c r="AW166" i="13"/>
  <c r="V167" i="13"/>
  <c r="AE167" i="13"/>
  <c r="AN167" i="13"/>
  <c r="AW167" i="13"/>
  <c r="V168" i="13"/>
  <c r="AE168" i="13"/>
  <c r="AN168" i="13"/>
  <c r="AW168" i="13"/>
  <c r="V169" i="13"/>
  <c r="AE169" i="13"/>
  <c r="AN169" i="13"/>
  <c r="AW169" i="13"/>
  <c r="V170" i="13"/>
  <c r="AE170" i="13"/>
  <c r="AN170" i="13"/>
  <c r="AW170" i="13"/>
  <c r="V171" i="13"/>
  <c r="AE171" i="13"/>
  <c r="AN171" i="13"/>
  <c r="AW171" i="13"/>
  <c r="V172" i="13"/>
  <c r="AE172" i="13"/>
  <c r="AN172" i="13"/>
  <c r="AW172" i="13"/>
  <c r="V173" i="13"/>
  <c r="AE173" i="13"/>
  <c r="AN173" i="13"/>
  <c r="AW173" i="13"/>
  <c r="V174" i="13"/>
  <c r="AE174" i="13"/>
  <c r="AN174" i="13"/>
  <c r="AW174" i="13"/>
  <c r="V175" i="13"/>
  <c r="AE175" i="13"/>
  <c r="AN175" i="13"/>
  <c r="AW175" i="13"/>
  <c r="V176" i="13"/>
  <c r="AE176" i="13"/>
  <c r="AN176" i="13"/>
  <c r="AW176" i="13"/>
  <c r="V177" i="13"/>
  <c r="AE177" i="13"/>
  <c r="AN177" i="13"/>
  <c r="AW177" i="13"/>
  <c r="V178" i="13"/>
  <c r="AE178" i="13"/>
  <c r="AN178" i="13"/>
  <c r="AW178" i="13"/>
  <c r="V179" i="13"/>
  <c r="AE179" i="13"/>
  <c r="AN179" i="13"/>
  <c r="AW179" i="13"/>
  <c r="V180" i="13"/>
  <c r="AE180" i="13"/>
  <c r="AN180" i="13"/>
  <c r="AW180" i="13"/>
  <c r="V181" i="13"/>
  <c r="AE181" i="13"/>
  <c r="AN181" i="13"/>
  <c r="AW181" i="13"/>
  <c r="V182" i="13"/>
  <c r="AE182" i="13"/>
  <c r="AN182" i="13"/>
  <c r="AW182" i="13"/>
  <c r="V183" i="13"/>
  <c r="AE183" i="13"/>
  <c r="AN183" i="13"/>
  <c r="AW183" i="13"/>
  <c r="V184" i="13"/>
  <c r="AE184" i="13"/>
  <c r="AN184" i="13"/>
  <c r="AW184" i="13"/>
  <c r="V185" i="13"/>
  <c r="AE185" i="13"/>
  <c r="AN185" i="13"/>
  <c r="AW185" i="13"/>
  <c r="V186" i="13"/>
  <c r="AE186" i="13"/>
  <c r="AN186" i="13"/>
  <c r="AW186" i="13"/>
  <c r="V187" i="13"/>
  <c r="AE187" i="13"/>
  <c r="AN187" i="13"/>
  <c r="AW187" i="13"/>
  <c r="V188" i="13"/>
  <c r="AE188" i="13"/>
  <c r="AN188" i="13"/>
  <c r="AW188" i="13"/>
  <c r="V189" i="13"/>
  <c r="AE189" i="13"/>
  <c r="AN189" i="13"/>
  <c r="AW189" i="13"/>
  <c r="V190" i="13"/>
  <c r="AE190" i="13"/>
  <c r="AN190" i="13"/>
  <c r="AW190" i="13"/>
  <c r="V191" i="13"/>
  <c r="AE191" i="13"/>
  <c r="AN191" i="13"/>
  <c r="AW191" i="13"/>
  <c r="V192" i="13"/>
  <c r="AE192" i="13"/>
  <c r="AN192" i="13"/>
  <c r="AW192" i="13"/>
  <c r="V193" i="13"/>
  <c r="AE193" i="13"/>
  <c r="AN193" i="13"/>
  <c r="AW193" i="13"/>
  <c r="V194" i="13"/>
  <c r="AE194" i="13"/>
  <c r="AN194" i="13"/>
  <c r="AW194" i="13"/>
  <c r="V195" i="13"/>
  <c r="AE195" i="13"/>
  <c r="AN195" i="13"/>
  <c r="AW195" i="13"/>
  <c r="V196" i="13"/>
  <c r="AE196" i="13"/>
  <c r="AN196" i="13"/>
  <c r="AW196" i="13"/>
  <c r="V197" i="13"/>
  <c r="AE197" i="13"/>
  <c r="AN197" i="13"/>
  <c r="AW197" i="13"/>
  <c r="V198" i="13"/>
  <c r="AE198" i="13"/>
  <c r="AN198" i="13"/>
  <c r="AW198" i="13"/>
  <c r="V199" i="13"/>
  <c r="AE199" i="13"/>
  <c r="AN199" i="13"/>
  <c r="AW199" i="13"/>
  <c r="V200" i="13"/>
  <c r="AE200" i="13"/>
  <c r="AN200" i="13"/>
  <c r="AW200" i="13"/>
  <c r="V201" i="13"/>
  <c r="AE201" i="13"/>
  <c r="AN201" i="13"/>
  <c r="AW201" i="13"/>
  <c r="V202" i="13"/>
  <c r="AE202" i="13"/>
  <c r="AN202" i="13"/>
  <c r="AW202" i="13"/>
  <c r="V203" i="13"/>
  <c r="AE203" i="13"/>
  <c r="AN203" i="13"/>
  <c r="AW203" i="13"/>
  <c r="V204" i="13"/>
  <c r="AE204" i="13"/>
  <c r="AN204" i="13"/>
  <c r="AW204" i="13"/>
  <c r="V205" i="13"/>
  <c r="AE205" i="13"/>
  <c r="AN205" i="13"/>
  <c r="AW205" i="13"/>
  <c r="V206" i="13"/>
  <c r="AE206" i="13"/>
  <c r="AN206" i="13"/>
  <c r="AW206" i="13"/>
  <c r="V207" i="13"/>
  <c r="AE207" i="13"/>
  <c r="AN207" i="13"/>
  <c r="AW207" i="13"/>
  <c r="V208" i="13"/>
  <c r="AE208" i="13"/>
  <c r="AN208" i="13"/>
  <c r="AW208" i="13"/>
  <c r="V209" i="13"/>
  <c r="AE209" i="13"/>
  <c r="AN209" i="13"/>
  <c r="AW209" i="13"/>
  <c r="V210" i="13"/>
  <c r="AE210" i="13"/>
  <c r="AN210" i="13"/>
  <c r="AW210" i="13"/>
  <c r="V211" i="13"/>
  <c r="AE211" i="13"/>
  <c r="AN211" i="13"/>
  <c r="AW211" i="13"/>
  <c r="V212" i="13"/>
  <c r="AE212" i="13"/>
  <c r="AN212" i="13"/>
  <c r="AW212" i="13"/>
  <c r="V213" i="13"/>
  <c r="AE213" i="13"/>
  <c r="AN213" i="13"/>
  <c r="AW213" i="13"/>
  <c r="V214" i="13"/>
  <c r="AE214" i="13"/>
  <c r="AN214" i="13"/>
  <c r="AW214" i="13"/>
  <c r="V215" i="13"/>
  <c r="AE215" i="13"/>
  <c r="AN215" i="13"/>
  <c r="AW215" i="13"/>
  <c r="V216" i="13"/>
  <c r="AE216" i="13"/>
  <c r="AN216" i="13"/>
  <c r="AW216" i="13"/>
  <c r="V217" i="13"/>
  <c r="AE217" i="13"/>
  <c r="AN217" i="13"/>
  <c r="AW217" i="13"/>
  <c r="V218" i="13"/>
  <c r="AE218" i="13"/>
  <c r="AN218" i="13"/>
  <c r="AW218" i="13"/>
  <c r="V219" i="13"/>
  <c r="AE219" i="13"/>
  <c r="AN219" i="13"/>
  <c r="AW219" i="13"/>
  <c r="V220" i="13"/>
  <c r="AE220" i="13"/>
  <c r="AN220" i="13"/>
  <c r="AW220" i="13"/>
  <c r="V221" i="13"/>
  <c r="AE221" i="13"/>
  <c r="AN221" i="13"/>
  <c r="AW221" i="13"/>
  <c r="V222" i="13"/>
  <c r="AE222" i="13"/>
  <c r="AN222" i="13"/>
  <c r="AW222" i="13"/>
  <c r="V223" i="13"/>
  <c r="AE223" i="13"/>
  <c r="AN223" i="13"/>
  <c r="AW223" i="13"/>
  <c r="V224" i="13"/>
  <c r="AE224" i="13"/>
  <c r="AN224" i="13"/>
  <c r="AW224" i="13"/>
  <c r="V225" i="13"/>
  <c r="AE225" i="13"/>
  <c r="AN225" i="13"/>
  <c r="AW225" i="13"/>
  <c r="V226" i="13"/>
  <c r="AE226" i="13"/>
  <c r="AN226" i="13"/>
  <c r="AW226" i="13"/>
  <c r="V227" i="13"/>
  <c r="AE227" i="13"/>
  <c r="AN227" i="13"/>
  <c r="AW227" i="13"/>
  <c r="V228" i="13"/>
  <c r="AE228" i="13"/>
  <c r="AN228" i="13"/>
  <c r="AW228" i="13"/>
  <c r="V229" i="13"/>
  <c r="AE229" i="13"/>
  <c r="AN229" i="13"/>
  <c r="AW229" i="13"/>
  <c r="V230" i="13"/>
  <c r="AE230" i="13"/>
  <c r="AN230" i="13"/>
  <c r="AW230" i="13"/>
  <c r="V231" i="13"/>
  <c r="AE231" i="13"/>
  <c r="AN231" i="13"/>
  <c r="AW231" i="13"/>
  <c r="V232" i="13"/>
  <c r="AE232" i="13"/>
  <c r="AN232" i="13"/>
  <c r="AW232" i="13"/>
  <c r="V233" i="13"/>
  <c r="AE233" i="13"/>
  <c r="AN233" i="13"/>
  <c r="AW233" i="13"/>
  <c r="V234" i="13"/>
  <c r="AE234" i="13"/>
  <c r="AN234" i="13"/>
  <c r="AW234" i="13"/>
  <c r="V235" i="13"/>
  <c r="AE235" i="13"/>
  <c r="AN235" i="13"/>
  <c r="AW235" i="13"/>
  <c r="V236" i="13"/>
  <c r="AE236" i="13"/>
  <c r="AN236" i="13"/>
  <c r="AW236" i="13"/>
  <c r="V237" i="13"/>
  <c r="AE237" i="13"/>
  <c r="AN237" i="13"/>
  <c r="AW237" i="13"/>
  <c r="V238" i="13"/>
  <c r="AE238" i="13"/>
  <c r="AN238" i="13"/>
  <c r="AW238" i="13"/>
  <c r="V239" i="13"/>
  <c r="AE239" i="13"/>
  <c r="AN239" i="13"/>
  <c r="AW239" i="13"/>
  <c r="V240" i="13"/>
  <c r="AE240" i="13"/>
  <c r="AN240" i="13"/>
  <c r="AW240" i="13"/>
  <c r="V241" i="13"/>
  <c r="AE241" i="13"/>
  <c r="AN241" i="13"/>
  <c r="AW241" i="13"/>
  <c r="V242" i="13"/>
  <c r="AE242" i="13"/>
  <c r="AN242" i="13"/>
  <c r="AW242" i="13"/>
  <c r="V243" i="13"/>
  <c r="AE243" i="13"/>
  <c r="AN243" i="13"/>
  <c r="AW243" i="13"/>
  <c r="V244" i="13"/>
  <c r="AE244" i="13"/>
  <c r="AN244" i="13"/>
  <c r="AW244" i="13"/>
  <c r="V245" i="13"/>
  <c r="AE245" i="13"/>
  <c r="AN245" i="13"/>
  <c r="AW245" i="13"/>
  <c r="V246" i="13"/>
  <c r="AE246" i="13"/>
  <c r="AN246" i="13"/>
  <c r="AW246" i="13"/>
  <c r="V247" i="13"/>
  <c r="AE247" i="13"/>
  <c r="AN247" i="13"/>
  <c r="AW247" i="13"/>
  <c r="V248" i="13"/>
  <c r="AE248" i="13"/>
  <c r="AN248" i="13"/>
  <c r="AW248" i="13"/>
  <c r="V249" i="13"/>
  <c r="AE249" i="13"/>
  <c r="AN249" i="13"/>
  <c r="AW249" i="13"/>
  <c r="V250" i="13"/>
  <c r="AE250" i="13"/>
  <c r="AN250" i="13"/>
  <c r="AW250" i="13"/>
  <c r="V251" i="13"/>
  <c r="AE251" i="13"/>
  <c r="AN251" i="13"/>
  <c r="AW251" i="13"/>
  <c r="V252" i="13"/>
  <c r="AE252" i="13"/>
  <c r="AN252" i="13"/>
  <c r="AW252" i="13"/>
  <c r="V253" i="13"/>
  <c r="AE253" i="13"/>
  <c r="AN253" i="13"/>
  <c r="AW253" i="13"/>
  <c r="V254" i="13"/>
  <c r="AE254" i="13"/>
  <c r="AN254" i="13"/>
  <c r="AW254" i="13"/>
  <c r="V255" i="13"/>
  <c r="AE255" i="13"/>
  <c r="AN255" i="13"/>
  <c r="AW255" i="13"/>
  <c r="V256" i="13"/>
  <c r="AE256" i="13"/>
  <c r="AN256" i="13"/>
  <c r="AW256" i="13"/>
  <c r="V257" i="13"/>
  <c r="AE257" i="13"/>
  <c r="AN257" i="13"/>
  <c r="AW257" i="13"/>
  <c r="V258" i="13"/>
  <c r="AE258" i="13"/>
  <c r="AN258" i="13"/>
  <c r="AW258" i="13"/>
  <c r="V259" i="13"/>
  <c r="AE259" i="13"/>
  <c r="AN259" i="13"/>
  <c r="AW259" i="13"/>
  <c r="V260" i="13"/>
  <c r="AE260" i="13"/>
  <c r="AN260" i="13"/>
  <c r="AW260" i="13"/>
  <c r="V261" i="13"/>
  <c r="AE261" i="13"/>
  <c r="AN261" i="13"/>
  <c r="AW261" i="13"/>
  <c r="V262" i="13"/>
  <c r="AE262" i="13"/>
  <c r="AN262" i="13"/>
  <c r="AW262" i="13"/>
  <c r="V263" i="13"/>
  <c r="AE263" i="13"/>
  <c r="AN263" i="13"/>
  <c r="AW263" i="13"/>
  <c r="V264" i="13"/>
  <c r="AE264" i="13"/>
  <c r="AN264" i="13"/>
  <c r="AW264" i="13"/>
  <c r="V265" i="13"/>
  <c r="AE265" i="13"/>
  <c r="AN265" i="13"/>
  <c r="AW265" i="13"/>
  <c r="V266" i="13"/>
  <c r="AE266" i="13"/>
  <c r="AN266" i="13"/>
  <c r="AW266" i="13"/>
  <c r="V267" i="13"/>
  <c r="AE267" i="13"/>
  <c r="AN267" i="13"/>
  <c r="AW267" i="13"/>
  <c r="V268" i="13"/>
  <c r="AE268" i="13"/>
  <c r="AN268" i="13"/>
  <c r="AW268" i="13"/>
  <c r="V269" i="13"/>
  <c r="AE269" i="13"/>
  <c r="AN269" i="13"/>
  <c r="AW269" i="13"/>
  <c r="V270" i="13"/>
  <c r="AE270" i="13"/>
  <c r="AN270" i="13"/>
  <c r="AW270" i="13"/>
  <c r="V271" i="13"/>
  <c r="AE271" i="13"/>
  <c r="AN271" i="13"/>
  <c r="AW271" i="13"/>
  <c r="V272" i="13"/>
  <c r="AE272" i="13"/>
  <c r="AN272" i="13"/>
  <c r="AW272" i="13"/>
  <c r="V273" i="13"/>
  <c r="AE273" i="13"/>
  <c r="AN273" i="13"/>
  <c r="AW273" i="13"/>
  <c r="V274" i="13"/>
  <c r="AE274" i="13"/>
  <c r="AN274" i="13"/>
  <c r="AW274" i="13"/>
  <c r="V275" i="13"/>
  <c r="AE275" i="13"/>
  <c r="AN275" i="13"/>
  <c r="AW275" i="13"/>
  <c r="V276" i="13"/>
  <c r="AE276" i="13"/>
  <c r="AN276" i="13"/>
  <c r="AW276" i="13"/>
  <c r="V277" i="13"/>
  <c r="AE277" i="13"/>
  <c r="AN277" i="13"/>
  <c r="AW277" i="13"/>
  <c r="V278" i="13"/>
  <c r="AE278" i="13"/>
  <c r="AN278" i="13"/>
  <c r="AW278" i="13"/>
  <c r="V279" i="13"/>
  <c r="AE279" i="13"/>
  <c r="AN279" i="13"/>
  <c r="AW279" i="13"/>
  <c r="V280" i="13"/>
  <c r="AE280" i="13"/>
  <c r="AN280" i="13"/>
  <c r="AW280" i="13"/>
  <c r="V281" i="13"/>
  <c r="AE281" i="13"/>
  <c r="AN281" i="13"/>
  <c r="AW281" i="13"/>
  <c r="V282" i="13"/>
  <c r="AE282" i="13"/>
  <c r="AN282" i="13"/>
  <c r="AW282" i="13"/>
  <c r="V283" i="13"/>
  <c r="AE283" i="13"/>
  <c r="AN283" i="13"/>
  <c r="AW283" i="13"/>
  <c r="V284" i="13"/>
  <c r="AE284" i="13"/>
  <c r="AN284" i="13"/>
  <c r="AW284" i="13"/>
  <c r="V285" i="13"/>
  <c r="AE285" i="13"/>
  <c r="AN285" i="13"/>
  <c r="AW285" i="13"/>
  <c r="V286" i="13"/>
  <c r="AE286" i="13"/>
  <c r="AN286" i="13"/>
  <c r="AW286" i="13"/>
  <c r="V287" i="13"/>
  <c r="AE287" i="13"/>
  <c r="AN287" i="13"/>
  <c r="AW287" i="13"/>
  <c r="V288" i="13"/>
  <c r="AE288" i="13"/>
  <c r="AN288" i="13"/>
  <c r="AW288" i="13"/>
  <c r="V289" i="13"/>
  <c r="AE289" i="13"/>
  <c r="AN289" i="13"/>
  <c r="AW289" i="13"/>
  <c r="V290" i="13"/>
  <c r="AE290" i="13"/>
  <c r="AN290" i="13"/>
  <c r="AW290" i="13"/>
  <c r="V291" i="13"/>
  <c r="AE291" i="13"/>
  <c r="AN291" i="13"/>
  <c r="AW291" i="13"/>
  <c r="V292" i="13"/>
  <c r="AE292" i="13"/>
  <c r="AN292" i="13"/>
  <c r="AW292" i="13"/>
  <c r="M39" i="11"/>
  <c r="M9" i="10"/>
  <c r="M11" i="10"/>
  <c r="M12" i="10"/>
  <c r="M17" i="10"/>
  <c r="M19" i="10"/>
  <c r="M20" i="10"/>
  <c r="M21" i="10"/>
  <c r="M24" i="10"/>
  <c r="M25" i="10"/>
  <c r="M27" i="10"/>
  <c r="M28" i="10"/>
  <c r="M29" i="10"/>
  <c r="M33" i="10"/>
  <c r="M35" i="10"/>
  <c r="M36" i="10"/>
  <c r="M38" i="10"/>
  <c r="M39" i="10"/>
  <c r="M8" i="9"/>
  <c r="M9" i="9"/>
  <c r="M17" i="9"/>
  <c r="M5" i="9"/>
  <c r="M7" i="7"/>
  <c r="M9" i="7"/>
  <c r="M15" i="7"/>
  <c r="M23" i="7"/>
  <c r="M31" i="7"/>
  <c r="M49" i="7"/>
  <c r="M114" i="6"/>
  <c r="M146" i="6"/>
  <c r="M170" i="6"/>
  <c r="M178" i="6"/>
  <c r="M186" i="6"/>
  <c r="M226" i="6"/>
  <c r="M234" i="6"/>
  <c r="M266" i="6"/>
  <c r="M282" i="6"/>
  <c r="M322" i="6"/>
  <c r="M330" i="6"/>
  <c r="M338" i="6"/>
  <c r="M354" i="6"/>
  <c r="M362" i="6"/>
  <c r="M370" i="6"/>
  <c r="M402" i="6"/>
  <c r="M410" i="6"/>
  <c r="M418" i="6"/>
  <c r="M426" i="6"/>
  <c r="M450" i="6"/>
  <c r="M458" i="6"/>
  <c r="M466" i="6"/>
  <c r="M474" i="6"/>
  <c r="M490" i="6"/>
  <c r="M498" i="6"/>
  <c r="M506" i="6"/>
  <c r="M514" i="6"/>
  <c r="M538" i="6"/>
  <c r="M546" i="6"/>
  <c r="M554" i="6"/>
  <c r="M562" i="6"/>
  <c r="M578" i="6"/>
  <c r="M586" i="6"/>
  <c r="M594" i="6"/>
  <c r="M602" i="6"/>
  <c r="M618" i="6"/>
  <c r="M626" i="6"/>
  <c r="M634" i="6"/>
  <c r="M650" i="6"/>
  <c r="M666" i="6"/>
  <c r="M674" i="6"/>
  <c r="M698" i="6"/>
  <c r="M706" i="6"/>
  <c r="M714" i="6"/>
  <c r="M722" i="6"/>
  <c r="M746" i="6"/>
  <c r="M754" i="6"/>
  <c r="M762" i="6"/>
  <c r="M770" i="6"/>
  <c r="M786" i="6"/>
  <c r="M794" i="6"/>
  <c r="M802" i="6"/>
  <c r="M810" i="6"/>
  <c r="M818" i="6"/>
  <c r="M834" i="6"/>
  <c r="M842" i="6"/>
  <c r="M850" i="6"/>
  <c r="M858" i="6"/>
  <c r="M882" i="6"/>
  <c r="M890" i="6"/>
  <c r="M898" i="6"/>
  <c r="M906" i="6"/>
  <c r="M922" i="6"/>
  <c r="M930" i="6"/>
  <c r="M938" i="6"/>
  <c r="M946" i="6"/>
  <c r="M970" i="6"/>
  <c r="M978" i="6"/>
  <c r="M986" i="6"/>
  <c r="M994" i="6"/>
  <c r="M1002" i="6"/>
  <c r="M1018" i="6"/>
  <c r="M1026" i="6"/>
  <c r="M1034" i="6"/>
  <c r="M1042" i="6"/>
  <c r="M1050" i="6"/>
  <c r="M1066" i="6"/>
  <c r="M1074" i="6"/>
  <c r="M1082" i="6"/>
  <c r="M1090" i="6"/>
  <c r="M1098" i="6"/>
  <c r="M1122" i="6"/>
  <c r="M1130" i="6"/>
  <c r="M1138" i="6"/>
  <c r="M1146" i="6"/>
  <c r="M1170" i="6"/>
  <c r="M1178" i="6"/>
  <c r="M1186" i="6"/>
  <c r="M1194" i="6"/>
  <c r="M1218" i="6"/>
  <c r="M1226" i="6"/>
  <c r="M1234" i="6"/>
  <c r="M1242" i="6"/>
  <c r="M1258" i="6"/>
  <c r="M1266" i="6"/>
  <c r="M1274" i="6"/>
  <c r="M1282" i="6"/>
  <c r="M1290" i="6"/>
  <c r="M1304" i="6"/>
  <c r="M1310" i="6"/>
  <c r="M1311" i="6"/>
  <c r="M1314" i="6"/>
  <c r="M1321" i="6"/>
  <c r="M1322" i="6"/>
  <c r="M1327" i="6"/>
  <c r="M1330" i="6"/>
  <c r="M1335" i="6"/>
  <c r="M1338" i="6"/>
  <c r="M1343" i="6"/>
  <c r="M1345" i="6"/>
  <c r="M1346" i="6"/>
  <c r="M1351" i="6"/>
  <c r="M1362" i="6"/>
  <c r="M1367" i="6"/>
  <c r="M1370" i="6"/>
  <c r="M1375" i="6"/>
  <c r="M1378" i="6"/>
  <c r="M1383" i="6"/>
  <c r="M1385" i="6"/>
  <c r="M1386" i="6"/>
  <c r="M1391" i="6"/>
  <c r="M1394" i="6"/>
  <c r="M1402" i="6"/>
  <c r="M1407" i="6"/>
  <c r="M1409" i="6"/>
  <c r="M27" i="5"/>
  <c r="M58" i="5"/>
  <c r="M59" i="5"/>
  <c r="M60" i="5"/>
  <c r="M61" i="5"/>
  <c r="M76" i="5"/>
  <c r="M85" i="5"/>
  <c r="M92" i="5"/>
  <c r="M94" i="5"/>
  <c r="M96" i="5"/>
  <c r="M100" i="5"/>
  <c r="M104" i="5"/>
  <c r="M107" i="5"/>
  <c r="M109" i="5"/>
  <c r="M111" i="5"/>
  <c r="M113" i="5"/>
  <c r="M120" i="5"/>
  <c r="M121" i="5"/>
  <c r="M125" i="5"/>
  <c r="M129" i="5"/>
  <c r="M130" i="5"/>
  <c r="M134" i="5"/>
  <c r="M152" i="5"/>
  <c r="M154" i="5"/>
  <c r="M158" i="5"/>
  <c r="M168" i="5"/>
  <c r="M30" i="3"/>
  <c r="M38" i="3"/>
  <c r="M46" i="3"/>
  <c r="M54" i="3"/>
  <c r="M62" i="3"/>
  <c r="M8" i="3"/>
  <c r="M12" i="3"/>
  <c r="M16" i="3"/>
  <c r="M24" i="3"/>
  <c r="M28" i="3"/>
  <c r="M5" i="3"/>
  <c r="M10" i="9"/>
  <c r="M7" i="9"/>
  <c r="M15" i="9"/>
  <c r="M10" i="8"/>
  <c r="M6" i="7"/>
  <c r="M8" i="7"/>
  <c r="M14" i="7"/>
  <c r="M21" i="7"/>
  <c r="M29" i="7"/>
  <c r="M33" i="6"/>
  <c r="M49" i="6"/>
  <c r="M97" i="6"/>
  <c r="M121" i="6"/>
  <c r="M129" i="6"/>
  <c r="M137" i="6"/>
  <c r="M145" i="6"/>
  <c r="M153" i="6"/>
  <c r="M169" i="6"/>
  <c r="M193" i="6"/>
  <c r="M201" i="6"/>
  <c r="M217" i="6"/>
  <c r="M273" i="6"/>
  <c r="M305" i="6"/>
  <c r="M321" i="6"/>
  <c r="M377" i="6"/>
  <c r="M385" i="6"/>
  <c r="M401" i="6"/>
  <c r="M457" i="6"/>
  <c r="M473" i="6"/>
  <c r="M489" i="6"/>
  <c r="M529" i="6"/>
  <c r="M545" i="6"/>
  <c r="M561" i="6"/>
  <c r="M585" i="6"/>
  <c r="M601" i="6"/>
  <c r="M673" i="6"/>
  <c r="M721" i="6"/>
  <c r="M737" i="6"/>
  <c r="M769" i="6"/>
  <c r="M833" i="6"/>
  <c r="M865" i="6"/>
  <c r="M881" i="6"/>
  <c r="M905" i="6"/>
  <c r="M945" i="6"/>
  <c r="M953" i="6"/>
  <c r="M977" i="6"/>
  <c r="M993" i="6"/>
  <c r="M1001" i="6"/>
  <c r="M1017" i="6"/>
  <c r="M1049" i="6"/>
  <c r="M1105" i="6"/>
  <c r="M1137" i="6"/>
  <c r="M1153" i="6"/>
  <c r="M1193" i="6"/>
  <c r="M1209" i="6"/>
  <c r="M1217" i="6"/>
  <c r="M1225" i="6"/>
  <c r="M1233" i="6"/>
  <c r="M1257" i="6"/>
  <c r="M7" i="6"/>
  <c r="M15" i="6"/>
  <c r="M23" i="6"/>
  <c r="M31" i="6"/>
  <c r="M39" i="6"/>
  <c r="M47" i="6"/>
  <c r="M55" i="6"/>
  <c r="M63" i="6"/>
  <c r="M71" i="6"/>
  <c r="M79" i="6"/>
  <c r="M87" i="6"/>
  <c r="M95" i="6"/>
  <c r="M103" i="6"/>
  <c r="M111" i="6"/>
  <c r="M119" i="6"/>
  <c r="M127" i="6"/>
  <c r="M135" i="6"/>
  <c r="M159" i="6"/>
  <c r="M167" i="6"/>
  <c r="M175" i="6"/>
  <c r="M183" i="6"/>
  <c r="M191" i="6"/>
  <c r="M199" i="6"/>
  <c r="M207" i="6"/>
  <c r="M215" i="6"/>
  <c r="M223" i="6"/>
  <c r="M231" i="6"/>
  <c r="M239" i="6"/>
  <c r="M247" i="6"/>
  <c r="M255" i="6"/>
  <c r="M263" i="6"/>
  <c r="M271" i="6"/>
  <c r="M279" i="6"/>
  <c r="M287" i="6"/>
  <c r="M295" i="6"/>
  <c r="M319" i="6"/>
  <c r="M327" i="6"/>
  <c r="M335" i="6"/>
  <c r="M351" i="6"/>
  <c r="M359" i="6"/>
  <c r="M375" i="6"/>
  <c r="M383" i="6"/>
  <c r="M391" i="6"/>
  <c r="M407" i="6"/>
  <c r="M415" i="6"/>
  <c r="M423" i="6"/>
  <c r="M439" i="6"/>
  <c r="M447" i="6"/>
  <c r="M463" i="6"/>
  <c r="M471" i="6"/>
  <c r="M472" i="6"/>
  <c r="M487" i="6"/>
  <c r="M488" i="6"/>
  <c r="M503" i="6"/>
  <c r="M511" i="6"/>
  <c r="M519" i="6"/>
  <c r="M535" i="6"/>
  <c r="M551" i="6"/>
  <c r="M575" i="6"/>
  <c r="M576" i="6"/>
  <c r="M591" i="6"/>
  <c r="M592" i="6"/>
  <c r="M599" i="6"/>
  <c r="M608" i="6"/>
  <c r="M615" i="6"/>
  <c r="M623" i="6"/>
  <c r="M624" i="6"/>
  <c r="M631" i="6"/>
  <c r="M639" i="6"/>
  <c r="M655" i="6"/>
  <c r="M663" i="6"/>
  <c r="M679" i="6"/>
  <c r="M680" i="6"/>
  <c r="M695" i="6"/>
  <c r="M696" i="6"/>
  <c r="M703" i="6"/>
  <c r="M711" i="6"/>
  <c r="M719" i="6"/>
  <c r="M720" i="6"/>
  <c r="M727" i="6"/>
  <c r="M735" i="6"/>
  <c r="M736" i="6"/>
  <c r="M751" i="6"/>
  <c r="M759" i="6"/>
  <c r="M767" i="6"/>
  <c r="M775" i="6"/>
  <c r="M776" i="6"/>
  <c r="M783" i="6"/>
  <c r="M791" i="6"/>
  <c r="M799" i="6"/>
  <c r="M808" i="6"/>
  <c r="M815" i="6"/>
  <c r="M816" i="6"/>
  <c r="M831" i="6"/>
  <c r="M839" i="6"/>
  <c r="M840" i="6"/>
  <c r="M847" i="6"/>
  <c r="M848" i="6"/>
  <c r="M855" i="6"/>
  <c r="M863" i="6"/>
  <c r="M864" i="6"/>
  <c r="M879" i="6"/>
  <c r="M887" i="6"/>
  <c r="M895" i="6"/>
  <c r="M904" i="6"/>
  <c r="M911" i="6"/>
  <c r="M919" i="6"/>
  <c r="M927" i="6"/>
  <c r="M928" i="6"/>
  <c r="M935" i="6"/>
  <c r="M943" i="6"/>
  <c r="M951" i="6"/>
  <c r="M959" i="6"/>
  <c r="M975" i="6"/>
  <c r="M976" i="6"/>
  <c r="M991" i="6"/>
  <c r="M999" i="6"/>
  <c r="M1007" i="6"/>
  <c r="M1015" i="6"/>
  <c r="M1024" i="6"/>
  <c r="M1031" i="6"/>
  <c r="M1047" i="6"/>
  <c r="M1048" i="6"/>
  <c r="M1055" i="6"/>
  <c r="M1063" i="6"/>
  <c r="M1071" i="6"/>
  <c r="M1087" i="6"/>
  <c r="M1095" i="6"/>
  <c r="M1104" i="6"/>
  <c r="M1111" i="6"/>
  <c r="M1119" i="6"/>
  <c r="M1120" i="6"/>
  <c r="M1127" i="6"/>
  <c r="M1135" i="6"/>
  <c r="M1143" i="6"/>
  <c r="M1147" i="6"/>
  <c r="M1151" i="6"/>
  <c r="M1159" i="6"/>
  <c r="M1175" i="6"/>
  <c r="M1183" i="6"/>
  <c r="M1184" i="6"/>
  <c r="M1191" i="6"/>
  <c r="M1200" i="6"/>
  <c r="M1207" i="6"/>
  <c r="M1215" i="6"/>
  <c r="M1216" i="6"/>
  <c r="M1232" i="6"/>
  <c r="M1239" i="6"/>
  <c r="M1255" i="6"/>
  <c r="M1263" i="6"/>
  <c r="M1279" i="6"/>
  <c r="M1287" i="6"/>
  <c r="M1288" i="6"/>
  <c r="M1303" i="6"/>
  <c r="M1319" i="6"/>
  <c r="M1399" i="6"/>
  <c r="M6" i="6"/>
  <c r="M10" i="6"/>
  <c r="M14" i="6"/>
  <c r="M18" i="6"/>
  <c r="M22" i="6"/>
  <c r="M30" i="6"/>
  <c r="M34" i="6"/>
  <c r="M38" i="6"/>
  <c r="M46" i="6"/>
  <c r="M54" i="6"/>
  <c r="M58" i="6"/>
  <c r="M62" i="6"/>
  <c r="M66" i="6"/>
  <c r="M70" i="6"/>
  <c r="M78" i="6"/>
  <c r="M82" i="6"/>
  <c r="M86" i="6"/>
  <c r="M90" i="6"/>
  <c r="M94" i="6"/>
  <c r="M98" i="6"/>
  <c r="M102" i="6"/>
  <c r="M106" i="6"/>
  <c r="M110" i="6"/>
  <c r="M118" i="6"/>
  <c r="M122" i="6"/>
  <c r="M142" i="6"/>
  <c r="M150" i="6"/>
  <c r="M158" i="6"/>
  <c r="M166" i="6"/>
  <c r="M174" i="6"/>
  <c r="M182" i="6"/>
  <c r="M190" i="6"/>
  <c r="M198" i="6"/>
  <c r="M202" i="6"/>
  <c r="M206" i="6"/>
  <c r="M214" i="6"/>
  <c r="M222" i="6"/>
  <c r="M230" i="6"/>
  <c r="M238" i="6"/>
  <c r="M242" i="6"/>
  <c r="M246" i="6"/>
  <c r="M254" i="6"/>
  <c r="M262" i="6"/>
  <c r="M286" i="6"/>
  <c r="M294" i="6"/>
  <c r="M302" i="6"/>
  <c r="M306" i="6"/>
  <c r="M310" i="6"/>
  <c r="M318" i="6"/>
  <c r="M326" i="6"/>
  <c r="M342" i="6"/>
  <c r="M346" i="6"/>
  <c r="M350" i="6"/>
  <c r="M358" i="6"/>
  <c r="M366" i="6"/>
  <c r="M386" i="6"/>
  <c r="M394" i="6"/>
  <c r="M398" i="6"/>
  <c r="M414" i="6"/>
  <c r="M430" i="6"/>
  <c r="M434" i="6"/>
  <c r="M438" i="6"/>
  <c r="M454" i="6"/>
  <c r="M478" i="6"/>
  <c r="M486" i="6"/>
  <c r="M494" i="6"/>
  <c r="M518" i="6"/>
  <c r="M522" i="6"/>
  <c r="M526" i="6"/>
  <c r="M534" i="6"/>
  <c r="M550" i="6"/>
  <c r="M566" i="6"/>
  <c r="M570" i="6"/>
  <c r="M574" i="6"/>
  <c r="M590" i="6"/>
  <c r="M606" i="6"/>
  <c r="M614" i="6"/>
  <c r="M622" i="6"/>
  <c r="M630" i="6"/>
  <c r="M638" i="6"/>
  <c r="M642" i="6"/>
  <c r="M646" i="6"/>
  <c r="M654" i="6"/>
  <c r="M670" i="6"/>
  <c r="M678" i="6"/>
  <c r="M682" i="6"/>
  <c r="M690" i="6"/>
  <c r="M694" i="6"/>
  <c r="M726" i="6"/>
  <c r="M734" i="6"/>
  <c r="M738" i="6"/>
  <c r="M766" i="6"/>
  <c r="M774" i="6"/>
  <c r="M778" i="6"/>
  <c r="M782" i="6"/>
  <c r="M814" i="6"/>
  <c r="M822" i="6"/>
  <c r="M826" i="6"/>
  <c r="M838" i="6"/>
  <c r="M862" i="6"/>
  <c r="M866" i="6"/>
  <c r="M874" i="6"/>
  <c r="M878" i="6"/>
  <c r="M894" i="6"/>
  <c r="M910" i="6"/>
  <c r="M914" i="6"/>
  <c r="M926" i="6"/>
  <c r="M942" i="6"/>
  <c r="M954" i="6"/>
  <c r="M962" i="6"/>
  <c r="M974" i="6"/>
  <c r="M1010" i="6"/>
  <c r="M1014" i="6"/>
  <c r="M1030" i="6"/>
  <c r="M1054" i="6"/>
  <c r="M1058" i="6"/>
  <c r="M1086" i="6"/>
  <c r="M1106" i="6"/>
  <c r="M1114" i="6"/>
  <c r="M1118" i="6"/>
  <c r="M1142" i="6"/>
  <c r="M1154" i="6"/>
  <c r="M1162" i="6"/>
  <c r="M1166" i="6"/>
  <c r="M1182" i="6"/>
  <c r="M1202" i="6"/>
  <c r="M1210" i="6"/>
  <c r="M1214" i="6"/>
  <c r="M1230" i="6"/>
  <c r="M1246" i="6"/>
  <c r="M1250" i="6"/>
  <c r="M1270" i="6"/>
  <c r="M1298" i="6"/>
  <c r="M1306" i="6"/>
  <c r="M1354" i="6"/>
  <c r="M1358" i="6"/>
  <c r="M1406" i="6"/>
  <c r="M1410" i="6"/>
  <c r="M5" i="6"/>
  <c r="M6" i="5"/>
  <c r="M56" i="5"/>
  <c r="M62" i="5"/>
  <c r="M88" i="5"/>
  <c r="M90" i="5"/>
  <c r="M108" i="5"/>
  <c r="M112" i="5"/>
  <c r="M114" i="5"/>
  <c r="M119" i="5"/>
  <c r="M124" i="5"/>
  <c r="M146" i="5"/>
  <c r="M151" i="5"/>
  <c r="M156" i="5"/>
  <c r="M159" i="5"/>
  <c r="M162" i="5"/>
  <c r="M20" i="3"/>
  <c r="M22" i="3"/>
  <c r="M19" i="3"/>
  <c r="M17" i="3"/>
  <c r="M15" i="3"/>
  <c r="M11" i="3"/>
  <c r="M9" i="3"/>
  <c r="M7" i="3"/>
  <c r="M6" i="3"/>
  <c r="M14" i="3"/>
  <c r="M25" i="3"/>
  <c r="AW516" i="12"/>
  <c r="AN516" i="12"/>
  <c r="AE516" i="12"/>
  <c r="V516" i="12"/>
  <c r="AW515" i="12"/>
  <c r="AN515" i="12"/>
  <c r="AE515" i="12"/>
  <c r="V515" i="12"/>
  <c r="AW514" i="12"/>
  <c r="AN514" i="12"/>
  <c r="AE514" i="12"/>
  <c r="V514" i="12"/>
  <c r="AW513" i="12"/>
  <c r="AN513" i="12"/>
  <c r="AE513" i="12"/>
  <c r="V513" i="12"/>
  <c r="AW512" i="12"/>
  <c r="AN512" i="12"/>
  <c r="AE512" i="12"/>
  <c r="V512" i="12"/>
  <c r="AW511" i="12"/>
  <c r="AN511" i="12"/>
  <c r="AE511" i="12"/>
  <c r="V511" i="12"/>
  <c r="AW510" i="12"/>
  <c r="AN510" i="12"/>
  <c r="AE510" i="12"/>
  <c r="V510" i="12"/>
  <c r="AW509" i="12"/>
  <c r="AN509" i="12"/>
  <c r="AE509" i="12"/>
  <c r="V509" i="12"/>
  <c r="AW508" i="12"/>
  <c r="AN508" i="12"/>
  <c r="AE508" i="12"/>
  <c r="V508" i="12"/>
  <c r="AW507" i="12"/>
  <c r="AN507" i="12"/>
  <c r="AE507" i="12"/>
  <c r="V507" i="12"/>
  <c r="AW506" i="12"/>
  <c r="AN506" i="12"/>
  <c r="AE506" i="12"/>
  <c r="V506" i="12"/>
  <c r="AW505" i="12"/>
  <c r="AN505" i="12"/>
  <c r="AE505" i="12"/>
  <c r="V505" i="12"/>
  <c r="AW504" i="12"/>
  <c r="AN504" i="12"/>
  <c r="AE504" i="12"/>
  <c r="V504" i="12"/>
  <c r="AW503" i="12"/>
  <c r="AN503" i="12"/>
  <c r="AE503" i="12"/>
  <c r="V503" i="12"/>
  <c r="AW502" i="12"/>
  <c r="AN502" i="12"/>
  <c r="AE502" i="12"/>
  <c r="V502" i="12"/>
  <c r="AW501" i="12"/>
  <c r="AN501" i="12"/>
  <c r="AE501" i="12"/>
  <c r="V501" i="12"/>
  <c r="AW500" i="12"/>
  <c r="AN500" i="12"/>
  <c r="AE500" i="12"/>
  <c r="V500" i="12"/>
  <c r="AW499" i="12"/>
  <c r="AN499" i="12"/>
  <c r="AE499" i="12"/>
  <c r="V499" i="12"/>
  <c r="AW498" i="12"/>
  <c r="AN498" i="12"/>
  <c r="AE498" i="12"/>
  <c r="V498" i="12"/>
  <c r="AW497" i="12"/>
  <c r="AN497" i="12"/>
  <c r="AE497" i="12"/>
  <c r="V497" i="12"/>
  <c r="AW496" i="12"/>
  <c r="AN496" i="12"/>
  <c r="AE496" i="12"/>
  <c r="V496" i="12"/>
  <c r="AW495" i="12"/>
  <c r="AN495" i="12"/>
  <c r="AE495" i="12"/>
  <c r="V495" i="12"/>
  <c r="AW494" i="12"/>
  <c r="AN494" i="12"/>
  <c r="AE494" i="12"/>
  <c r="V494" i="12"/>
  <c r="AW493" i="12"/>
  <c r="AN493" i="12"/>
  <c r="AE493" i="12"/>
  <c r="V493" i="12"/>
  <c r="AW492" i="12"/>
  <c r="AN492" i="12"/>
  <c r="AE492" i="12"/>
  <c r="V492" i="12"/>
  <c r="AW491" i="12"/>
  <c r="AN491" i="12"/>
  <c r="AE491" i="12"/>
  <c r="V491" i="12"/>
  <c r="AW490" i="12"/>
  <c r="AN490" i="12"/>
  <c r="AE490" i="12"/>
  <c r="V490" i="12"/>
  <c r="AW489" i="12"/>
  <c r="AN489" i="12"/>
  <c r="AE489" i="12"/>
  <c r="V489" i="12"/>
  <c r="AW488" i="12"/>
  <c r="AN488" i="12"/>
  <c r="AE488" i="12"/>
  <c r="V488" i="12"/>
  <c r="AW487" i="12"/>
  <c r="AN487" i="12"/>
  <c r="AE487" i="12"/>
  <c r="V487" i="12"/>
  <c r="AW486" i="12"/>
  <c r="AN486" i="12"/>
  <c r="AE486" i="12"/>
  <c r="V486" i="12"/>
  <c r="AW485" i="12"/>
  <c r="AN485" i="12"/>
  <c r="AE485" i="12"/>
  <c r="V485" i="12"/>
  <c r="AW484" i="12"/>
  <c r="AN484" i="12"/>
  <c r="AE484" i="12"/>
  <c r="V484" i="12"/>
  <c r="AW483" i="12"/>
  <c r="AN483" i="12"/>
  <c r="AE483" i="12"/>
  <c r="V483" i="12"/>
  <c r="AW482" i="12"/>
  <c r="AN482" i="12"/>
  <c r="AE482" i="12"/>
  <c r="V482" i="12"/>
  <c r="AW481" i="12"/>
  <c r="AN481" i="12"/>
  <c r="AE481" i="12"/>
  <c r="V481" i="12"/>
  <c r="AW480" i="12"/>
  <c r="AN480" i="12"/>
  <c r="AE480" i="12"/>
  <c r="V480" i="12"/>
  <c r="AW479" i="12"/>
  <c r="AN479" i="12"/>
  <c r="AE479" i="12"/>
  <c r="V479" i="12"/>
  <c r="AW478" i="12"/>
  <c r="AN478" i="12"/>
  <c r="AE478" i="12"/>
  <c r="V478" i="12"/>
  <c r="AW477" i="12"/>
  <c r="AN477" i="12"/>
  <c r="AE477" i="12"/>
  <c r="V477" i="12"/>
  <c r="AW476" i="12"/>
  <c r="AN476" i="12"/>
  <c r="AE476" i="12"/>
  <c r="V476" i="12"/>
  <c r="AW475" i="12"/>
  <c r="AN475" i="12"/>
  <c r="AE475" i="12"/>
  <c r="V475" i="12"/>
  <c r="AW474" i="12"/>
  <c r="AN474" i="12"/>
  <c r="AE474" i="12"/>
  <c r="V474" i="12"/>
  <c r="AW473" i="12"/>
  <c r="AN473" i="12"/>
  <c r="AE473" i="12"/>
  <c r="V473" i="12"/>
  <c r="AW472" i="12"/>
  <c r="AN472" i="12"/>
  <c r="AE472" i="12"/>
  <c r="V472" i="12"/>
  <c r="AW471" i="12"/>
  <c r="AN471" i="12"/>
  <c r="AE471" i="12"/>
  <c r="V471" i="12"/>
  <c r="AW470" i="12"/>
  <c r="AN470" i="12"/>
  <c r="AE470" i="12"/>
  <c r="V470" i="12"/>
  <c r="AW469" i="12"/>
  <c r="AN469" i="12"/>
  <c r="AE469" i="12"/>
  <c r="V469" i="12"/>
  <c r="AW468" i="12"/>
  <c r="AN468" i="12"/>
  <c r="AE468" i="12"/>
  <c r="V468" i="12"/>
  <c r="AW467" i="12"/>
  <c r="AN467" i="12"/>
  <c r="AE467" i="12"/>
  <c r="V467" i="12"/>
  <c r="AW466" i="12"/>
  <c r="AN466" i="12"/>
  <c r="AE466" i="12"/>
  <c r="V466" i="12"/>
  <c r="AW465" i="12"/>
  <c r="AN465" i="12"/>
  <c r="AE465" i="12"/>
  <c r="V465" i="12"/>
  <c r="AW464" i="12"/>
  <c r="AN464" i="12"/>
  <c r="AE464" i="12"/>
  <c r="V464" i="12"/>
  <c r="AW463" i="12"/>
  <c r="AN463" i="12"/>
  <c r="AE463" i="12"/>
  <c r="V463" i="12"/>
  <c r="AW462" i="12"/>
  <c r="AN462" i="12"/>
  <c r="AE462" i="12"/>
  <c r="V462" i="12"/>
  <c r="AW461" i="12"/>
  <c r="AN461" i="12"/>
  <c r="AE461" i="12"/>
  <c r="V461" i="12"/>
  <c r="AW460" i="12"/>
  <c r="AN460" i="12"/>
  <c r="AE460" i="12"/>
  <c r="V460" i="12"/>
  <c r="AW459" i="12"/>
  <c r="AN459" i="12"/>
  <c r="AE459" i="12"/>
  <c r="V459" i="12"/>
  <c r="AW458" i="12"/>
  <c r="AN458" i="12"/>
  <c r="AE458" i="12"/>
  <c r="V458" i="12"/>
  <c r="AW457" i="12"/>
  <c r="AN457" i="12"/>
  <c r="AE457" i="12"/>
  <c r="V457" i="12"/>
  <c r="AW456" i="12"/>
  <c r="AN456" i="12"/>
  <c r="AE456" i="12"/>
  <c r="V456" i="12"/>
  <c r="AW455" i="12"/>
  <c r="AN455" i="12"/>
  <c r="AE455" i="12"/>
  <c r="V455" i="12"/>
  <c r="AW454" i="12"/>
  <c r="AN454" i="12"/>
  <c r="AE454" i="12"/>
  <c r="V454" i="12"/>
  <c r="AW453" i="12"/>
  <c r="AN453" i="12"/>
  <c r="AE453" i="12"/>
  <c r="V453" i="12"/>
  <c r="AW452" i="12"/>
  <c r="AN452" i="12"/>
  <c r="AE452" i="12"/>
  <c r="V452" i="12"/>
  <c r="AW451" i="12"/>
  <c r="AN451" i="12"/>
  <c r="AE451" i="12"/>
  <c r="V451" i="12"/>
  <c r="AW450" i="12"/>
  <c r="AN450" i="12"/>
  <c r="AE450" i="12"/>
  <c r="V450" i="12"/>
  <c r="AW449" i="12"/>
  <c r="AN449" i="12"/>
  <c r="AE449" i="12"/>
  <c r="V449" i="12"/>
  <c r="AW448" i="12"/>
  <c r="AN448" i="12"/>
  <c r="AE448" i="12"/>
  <c r="V448" i="12"/>
  <c r="AW447" i="12"/>
  <c r="AN447" i="12"/>
  <c r="AE447" i="12"/>
  <c r="V447" i="12"/>
  <c r="AW446" i="12"/>
  <c r="AN446" i="12"/>
  <c r="AE446" i="12"/>
  <c r="V446" i="12"/>
  <c r="AW445" i="12"/>
  <c r="AN445" i="12"/>
  <c r="AE445" i="12"/>
  <c r="V445" i="12"/>
  <c r="AW444" i="12"/>
  <c r="AN444" i="12"/>
  <c r="AE444" i="12"/>
  <c r="V444" i="12"/>
  <c r="AW443" i="12"/>
  <c r="AN443" i="12"/>
  <c r="AE443" i="12"/>
  <c r="V443" i="12"/>
  <c r="AW442" i="12"/>
  <c r="AN442" i="12"/>
  <c r="AE442" i="12"/>
  <c r="V442" i="12"/>
  <c r="AW441" i="12"/>
  <c r="AN441" i="12"/>
  <c r="AE441" i="12"/>
  <c r="V441" i="12"/>
  <c r="AW440" i="12"/>
  <c r="AN440" i="12"/>
  <c r="AE440" i="12"/>
  <c r="V440" i="12"/>
  <c r="AW439" i="12"/>
  <c r="AN439" i="12"/>
  <c r="AE439" i="12"/>
  <c r="V439" i="12"/>
  <c r="AW438" i="12"/>
  <c r="AN438" i="12"/>
  <c r="AE438" i="12"/>
  <c r="V438" i="12"/>
  <c r="AW437" i="12"/>
  <c r="AN437" i="12"/>
  <c r="AE437" i="12"/>
  <c r="V437" i="12"/>
  <c r="AW436" i="12"/>
  <c r="AN436" i="12"/>
  <c r="AE436" i="12"/>
  <c r="V436" i="12"/>
  <c r="AW435" i="12"/>
  <c r="AN435" i="12"/>
  <c r="AE435" i="12"/>
  <c r="V435" i="12"/>
  <c r="AW434" i="12"/>
  <c r="AN434" i="12"/>
  <c r="AE434" i="12"/>
  <c r="V434" i="12"/>
  <c r="AW433" i="12"/>
  <c r="AN433" i="12"/>
  <c r="AE433" i="12"/>
  <c r="V433" i="12"/>
  <c r="AW432" i="12"/>
  <c r="AN432" i="12"/>
  <c r="AE432" i="12"/>
  <c r="V432" i="12"/>
  <c r="AW431" i="12"/>
  <c r="AN431" i="12"/>
  <c r="AE431" i="12"/>
  <c r="V431" i="12"/>
  <c r="AW430" i="12"/>
  <c r="AN430" i="12"/>
  <c r="AE430" i="12"/>
  <c r="V430" i="12"/>
  <c r="AW429" i="12"/>
  <c r="AN429" i="12"/>
  <c r="AE429" i="12"/>
  <c r="V429" i="12"/>
  <c r="AW428" i="12"/>
  <c r="AN428" i="12"/>
  <c r="AE428" i="12"/>
  <c r="V428" i="12"/>
  <c r="AW427" i="12"/>
  <c r="AN427" i="12"/>
  <c r="AE427" i="12"/>
  <c r="V427" i="12"/>
  <c r="AW426" i="12"/>
  <c r="AN426" i="12"/>
  <c r="AE426" i="12"/>
  <c r="V426" i="12"/>
  <c r="AW425" i="12"/>
  <c r="AN425" i="12"/>
  <c r="AE425" i="12"/>
  <c r="V425" i="12"/>
  <c r="AW424" i="12"/>
  <c r="AN424" i="12"/>
  <c r="AE424" i="12"/>
  <c r="V424" i="12"/>
  <c r="AW423" i="12"/>
  <c r="AN423" i="12"/>
  <c r="AE423" i="12"/>
  <c r="V423" i="12"/>
  <c r="AW422" i="12"/>
  <c r="AN422" i="12"/>
  <c r="AE422" i="12"/>
  <c r="V422" i="12"/>
  <c r="AW421" i="12"/>
  <c r="AN421" i="12"/>
  <c r="AE421" i="12"/>
  <c r="V421" i="12"/>
  <c r="AW420" i="12"/>
  <c r="AN420" i="12"/>
  <c r="AE420" i="12"/>
  <c r="V420" i="12"/>
  <c r="AW419" i="12"/>
  <c r="AN419" i="12"/>
  <c r="AE419" i="12"/>
  <c r="V419" i="12"/>
  <c r="AW418" i="12"/>
  <c r="AN418" i="12"/>
  <c r="AE418" i="12"/>
  <c r="V418" i="12"/>
  <c r="AW417" i="12"/>
  <c r="AN417" i="12"/>
  <c r="AE417" i="12"/>
  <c r="V417" i="12"/>
  <c r="AW416" i="12"/>
  <c r="AN416" i="12"/>
  <c r="AE416" i="12"/>
  <c r="V416" i="12"/>
  <c r="AW415" i="12"/>
  <c r="AN415" i="12"/>
  <c r="AE415" i="12"/>
  <c r="V415" i="12"/>
  <c r="AW414" i="12"/>
  <c r="AN414" i="12"/>
  <c r="AE414" i="12"/>
  <c r="V414" i="12"/>
  <c r="AW413" i="12"/>
  <c r="AN413" i="12"/>
  <c r="AE413" i="12"/>
  <c r="V413" i="12"/>
  <c r="AW412" i="12"/>
  <c r="AN412" i="12"/>
  <c r="AE412" i="12"/>
  <c r="V412" i="12"/>
  <c r="AW411" i="12"/>
  <c r="AN411" i="12"/>
  <c r="AE411" i="12"/>
  <c r="V411" i="12"/>
  <c r="AW410" i="12"/>
  <c r="AN410" i="12"/>
  <c r="AE410" i="12"/>
  <c r="V410" i="12"/>
  <c r="AW409" i="12"/>
  <c r="AN409" i="12"/>
  <c r="AE409" i="12"/>
  <c r="V409" i="12"/>
  <c r="AW408" i="12"/>
  <c r="AN408" i="12"/>
  <c r="AE408" i="12"/>
  <c r="V408" i="12"/>
  <c r="AW407" i="12"/>
  <c r="AN407" i="12"/>
  <c r="AE407" i="12"/>
  <c r="V407" i="12"/>
  <c r="AW406" i="12"/>
  <c r="AN406" i="12"/>
  <c r="AE406" i="12"/>
  <c r="V406" i="12"/>
  <c r="AW405" i="12"/>
  <c r="AN405" i="12"/>
  <c r="AE405" i="12"/>
  <c r="V405" i="12"/>
  <c r="AW404" i="12"/>
  <c r="AN404" i="12"/>
  <c r="AE404" i="12"/>
  <c r="V404" i="12"/>
  <c r="AW403" i="12"/>
  <c r="AN403" i="12"/>
  <c r="AE403" i="12"/>
  <c r="V403" i="12"/>
  <c r="AW402" i="12"/>
  <c r="AN402" i="12"/>
  <c r="AE402" i="12"/>
  <c r="V402" i="12"/>
  <c r="AW401" i="12"/>
  <c r="AN401" i="12"/>
  <c r="AE401" i="12"/>
  <c r="V401" i="12"/>
  <c r="AW400" i="12"/>
  <c r="AN400" i="12"/>
  <c r="AE400" i="12"/>
  <c r="V400" i="12"/>
  <c r="AW399" i="12"/>
  <c r="AN399" i="12"/>
  <c r="AE399" i="12"/>
  <c r="V399" i="12"/>
  <c r="AW398" i="12"/>
  <c r="AN398" i="12"/>
  <c r="AE398" i="12"/>
  <c r="V398" i="12"/>
  <c r="AW397" i="12"/>
  <c r="AN397" i="12"/>
  <c r="AE397" i="12"/>
  <c r="V397" i="12"/>
  <c r="AW396" i="12"/>
  <c r="AN396" i="12"/>
  <c r="AE396" i="12"/>
  <c r="V396" i="12"/>
  <c r="AW395" i="12"/>
  <c r="AN395" i="12"/>
  <c r="AE395" i="12"/>
  <c r="V395" i="12"/>
  <c r="AW394" i="12"/>
  <c r="AN394" i="12"/>
  <c r="AE394" i="12"/>
  <c r="V394" i="12"/>
  <c r="AW393" i="12"/>
  <c r="AN393" i="12"/>
  <c r="AE393" i="12"/>
  <c r="V393" i="12"/>
  <c r="AW392" i="12"/>
  <c r="AN392" i="12"/>
  <c r="AE392" i="12"/>
  <c r="V392" i="12"/>
  <c r="AW391" i="12"/>
  <c r="AN391" i="12"/>
  <c r="AE391" i="12"/>
  <c r="V391" i="12"/>
  <c r="AW390" i="12"/>
  <c r="AN390" i="12"/>
  <c r="AE390" i="12"/>
  <c r="V390" i="12"/>
  <c r="AW389" i="12"/>
  <c r="AN389" i="12"/>
  <c r="AE389" i="12"/>
  <c r="V389" i="12"/>
  <c r="AW388" i="12"/>
  <c r="AN388" i="12"/>
  <c r="AE388" i="12"/>
  <c r="V388" i="12"/>
  <c r="AW387" i="12"/>
  <c r="AN387" i="12"/>
  <c r="AE387" i="12"/>
  <c r="V387" i="12"/>
  <c r="AW386" i="12"/>
  <c r="AN386" i="12"/>
  <c r="AE386" i="12"/>
  <c r="V386" i="12"/>
  <c r="AW385" i="12"/>
  <c r="AN385" i="12"/>
  <c r="AE385" i="12"/>
  <c r="V385" i="12"/>
  <c r="AW384" i="12"/>
  <c r="AN384" i="12"/>
  <c r="AE384" i="12"/>
  <c r="V384" i="12"/>
  <c r="AW383" i="12"/>
  <c r="AN383" i="12"/>
  <c r="AE383" i="12"/>
  <c r="V383" i="12"/>
  <c r="AW382" i="12"/>
  <c r="AN382" i="12"/>
  <c r="AE382" i="12"/>
  <c r="V382" i="12"/>
  <c r="AW381" i="12"/>
  <c r="AN381" i="12"/>
  <c r="AE381" i="12"/>
  <c r="V381" i="12"/>
  <c r="AW380" i="12"/>
  <c r="AN380" i="12"/>
  <c r="AE380" i="12"/>
  <c r="V380" i="12"/>
  <c r="AW379" i="12"/>
  <c r="AN379" i="12"/>
  <c r="AE379" i="12"/>
  <c r="V379" i="12"/>
  <c r="AW378" i="12"/>
  <c r="AN378" i="12"/>
  <c r="AE378" i="12"/>
  <c r="V378" i="12"/>
  <c r="AW377" i="12"/>
  <c r="AN377" i="12"/>
  <c r="AE377" i="12"/>
  <c r="V377" i="12"/>
  <c r="AW376" i="12"/>
  <c r="AN376" i="12"/>
  <c r="AE376" i="12"/>
  <c r="V376" i="12"/>
  <c r="AW375" i="12"/>
  <c r="AN375" i="12"/>
  <c r="AE375" i="12"/>
  <c r="V375" i="12"/>
  <c r="AW374" i="12"/>
  <c r="AN374" i="12"/>
  <c r="AE374" i="12"/>
  <c r="V374" i="12"/>
  <c r="AW373" i="12"/>
  <c r="AN373" i="12"/>
  <c r="AE373" i="12"/>
  <c r="V373" i="12"/>
  <c r="AW372" i="12"/>
  <c r="AN372" i="12"/>
  <c r="AE372" i="12"/>
  <c r="V372" i="12"/>
  <c r="AW371" i="12"/>
  <c r="AN371" i="12"/>
  <c r="AE371" i="12"/>
  <c r="V371" i="12"/>
  <c r="AW370" i="12"/>
  <c r="AN370" i="12"/>
  <c r="AE370" i="12"/>
  <c r="V370" i="12"/>
  <c r="AW369" i="12"/>
  <c r="AN369" i="12"/>
  <c r="AE369" i="12"/>
  <c r="V369" i="12"/>
  <c r="AW368" i="12"/>
  <c r="AN368" i="12"/>
  <c r="AE368" i="12"/>
  <c r="V368" i="12"/>
  <c r="AW367" i="12"/>
  <c r="AN367" i="12"/>
  <c r="AE367" i="12"/>
  <c r="V367" i="12"/>
  <c r="AW366" i="12"/>
  <c r="AN366" i="12"/>
  <c r="AE366" i="12"/>
  <c r="V366" i="12"/>
  <c r="AW365" i="12"/>
  <c r="AN365" i="12"/>
  <c r="AE365" i="12"/>
  <c r="V365" i="12"/>
  <c r="AW364" i="12"/>
  <c r="AN364" i="12"/>
  <c r="AE364" i="12"/>
  <c r="V364" i="12"/>
  <c r="AW363" i="12"/>
  <c r="AN363" i="12"/>
  <c r="AE363" i="12"/>
  <c r="V363" i="12"/>
  <c r="AW362" i="12"/>
  <c r="AN362" i="12"/>
  <c r="AE362" i="12"/>
  <c r="V362" i="12"/>
  <c r="AW361" i="12"/>
  <c r="AN361" i="12"/>
  <c r="AE361" i="12"/>
  <c r="V361" i="12"/>
  <c r="AW360" i="12"/>
  <c r="AN360" i="12"/>
  <c r="AE360" i="12"/>
  <c r="V360" i="12"/>
  <c r="AW359" i="12"/>
  <c r="AN359" i="12"/>
  <c r="AE359" i="12"/>
  <c r="V359" i="12"/>
  <c r="AW358" i="12"/>
  <c r="AN358" i="12"/>
  <c r="AE358" i="12"/>
  <c r="V358" i="12"/>
  <c r="AW357" i="12"/>
  <c r="AN357" i="12"/>
  <c r="AE357" i="12"/>
  <c r="V357" i="12"/>
  <c r="AW356" i="12"/>
  <c r="AN356" i="12"/>
  <c r="AE356" i="12"/>
  <c r="V356" i="12"/>
  <c r="AW355" i="12"/>
  <c r="AN355" i="12"/>
  <c r="AE355" i="12"/>
  <c r="V355" i="12"/>
  <c r="AW354" i="12"/>
  <c r="AN354" i="12"/>
  <c r="AE354" i="12"/>
  <c r="V354" i="12"/>
  <c r="AW353" i="12"/>
  <c r="AN353" i="12"/>
  <c r="AE353" i="12"/>
  <c r="V353" i="12"/>
  <c r="AW352" i="12"/>
  <c r="AN352" i="12"/>
  <c r="AE352" i="12"/>
  <c r="V352" i="12"/>
  <c r="AW351" i="12"/>
  <c r="AN351" i="12"/>
  <c r="AE351" i="12"/>
  <c r="V351" i="12"/>
  <c r="AW350" i="12"/>
  <c r="AN350" i="12"/>
  <c r="AE350" i="12"/>
  <c r="V350" i="12"/>
  <c r="AW349" i="12"/>
  <c r="AN349" i="12"/>
  <c r="AE349" i="12"/>
  <c r="V349" i="12"/>
  <c r="AW348" i="12"/>
  <c r="AN348" i="12"/>
  <c r="AE348" i="12"/>
  <c r="V348" i="12"/>
  <c r="AW347" i="12"/>
  <c r="AN347" i="12"/>
  <c r="AE347" i="12"/>
  <c r="V347" i="12"/>
  <c r="AW346" i="12"/>
  <c r="AN346" i="12"/>
  <c r="AE346" i="12"/>
  <c r="V346" i="12"/>
  <c r="AW345" i="12"/>
  <c r="AN345" i="12"/>
  <c r="AE345" i="12"/>
  <c r="V345" i="12"/>
  <c r="AW344" i="12"/>
  <c r="AN344" i="12"/>
  <c r="AE344" i="12"/>
  <c r="V344" i="12"/>
  <c r="AW343" i="12"/>
  <c r="AN343" i="12"/>
  <c r="AE343" i="12"/>
  <c r="V343" i="12"/>
  <c r="AW342" i="12"/>
  <c r="AN342" i="12"/>
  <c r="AE342" i="12"/>
  <c r="V342" i="12"/>
  <c r="AW341" i="12"/>
  <c r="AN341" i="12"/>
  <c r="AE341" i="12"/>
  <c r="V341" i="12"/>
  <c r="AW340" i="12"/>
  <c r="AN340" i="12"/>
  <c r="AE340" i="12"/>
  <c r="V340" i="12"/>
  <c r="AW339" i="12"/>
  <c r="AN339" i="12"/>
  <c r="AE339" i="12"/>
  <c r="V339" i="12"/>
  <c r="AW338" i="12"/>
  <c r="AN338" i="12"/>
  <c r="AE338" i="12"/>
  <c r="V338" i="12"/>
  <c r="AW337" i="12"/>
  <c r="AN337" i="12"/>
  <c r="AE337" i="12"/>
  <c r="V337" i="12"/>
  <c r="AW336" i="12"/>
  <c r="AN336" i="12"/>
  <c r="AE336" i="12"/>
  <c r="V336" i="12"/>
  <c r="AW335" i="12"/>
  <c r="AN335" i="12"/>
  <c r="AE335" i="12"/>
  <c r="V335" i="12"/>
  <c r="AW334" i="12"/>
  <c r="AN334" i="12"/>
  <c r="AE334" i="12"/>
  <c r="V334" i="12"/>
  <c r="AW333" i="12"/>
  <c r="AN333" i="12"/>
  <c r="AE333" i="12"/>
  <c r="V333" i="12"/>
  <c r="AW332" i="12"/>
  <c r="AN332" i="12"/>
  <c r="AE332" i="12"/>
  <c r="V332" i="12"/>
  <c r="AW331" i="12"/>
  <c r="AN331" i="12"/>
  <c r="AE331" i="12"/>
  <c r="V331" i="12"/>
  <c r="AW330" i="12"/>
  <c r="AN330" i="12"/>
  <c r="AE330" i="12"/>
  <c r="V330" i="12"/>
  <c r="AW329" i="12"/>
  <c r="AN329" i="12"/>
  <c r="AE329" i="12"/>
  <c r="V329" i="12"/>
  <c r="AW328" i="12"/>
  <c r="AN328" i="12"/>
  <c r="AE328" i="12"/>
  <c r="V328" i="12"/>
  <c r="AW327" i="12"/>
  <c r="AN327" i="12"/>
  <c r="AE327" i="12"/>
  <c r="V327" i="12"/>
  <c r="AW326" i="12"/>
  <c r="AN326" i="12"/>
  <c r="AE326" i="12"/>
  <c r="V326" i="12"/>
  <c r="AW325" i="12"/>
  <c r="AN325" i="12"/>
  <c r="AE325" i="12"/>
  <c r="V325" i="12"/>
  <c r="AW324" i="12"/>
  <c r="AN324" i="12"/>
  <c r="AE324" i="12"/>
  <c r="V324" i="12"/>
  <c r="AW323" i="12"/>
  <c r="AN323" i="12"/>
  <c r="AE323" i="12"/>
  <c r="V323" i="12"/>
  <c r="AW322" i="12"/>
  <c r="AN322" i="12"/>
  <c r="AE322" i="12"/>
  <c r="V322" i="12"/>
  <c r="AW321" i="12"/>
  <c r="AN321" i="12"/>
  <c r="AE321" i="12"/>
  <c r="V321" i="12"/>
  <c r="AW320" i="12"/>
  <c r="AN320" i="12"/>
  <c r="AE320" i="12"/>
  <c r="V320" i="12"/>
  <c r="AW319" i="12"/>
  <c r="AN319" i="12"/>
  <c r="AE319" i="12"/>
  <c r="V319" i="12"/>
  <c r="AW318" i="12"/>
  <c r="AN318" i="12"/>
  <c r="AE318" i="12"/>
  <c r="V318" i="12"/>
  <c r="AW317" i="12"/>
  <c r="AN317" i="12"/>
  <c r="AE317" i="12"/>
  <c r="V317" i="12"/>
  <c r="AW316" i="12"/>
  <c r="AN316" i="12"/>
  <c r="AE316" i="12"/>
  <c r="V316" i="12"/>
  <c r="AW315" i="12"/>
  <c r="AN315" i="12"/>
  <c r="AE315" i="12"/>
  <c r="V315" i="12"/>
  <c r="AW314" i="12"/>
  <c r="AN314" i="12"/>
  <c r="AE314" i="12"/>
  <c r="V314" i="12"/>
  <c r="AW313" i="12"/>
  <c r="AN313" i="12"/>
  <c r="AE313" i="12"/>
  <c r="V313" i="12"/>
  <c r="AW312" i="12"/>
  <c r="AN312" i="12"/>
  <c r="AE312" i="12"/>
  <c r="V312" i="12"/>
  <c r="AW311" i="12"/>
  <c r="AN311" i="12"/>
  <c r="AE311" i="12"/>
  <c r="V311" i="12"/>
  <c r="AW310" i="12"/>
  <c r="AN310" i="12"/>
  <c r="AE310" i="12"/>
  <c r="V310" i="12"/>
  <c r="AW309" i="12"/>
  <c r="AN309" i="12"/>
  <c r="AE309" i="12"/>
  <c r="V309" i="12"/>
  <c r="AW308" i="12"/>
  <c r="AN308" i="12"/>
  <c r="AE308" i="12"/>
  <c r="V308" i="12"/>
  <c r="AW307" i="12"/>
  <c r="AN307" i="12"/>
  <c r="AE307" i="12"/>
  <c r="V307" i="12"/>
  <c r="AW306" i="12"/>
  <c r="AN306" i="12"/>
  <c r="AE306" i="12"/>
  <c r="V306" i="12"/>
  <c r="AW305" i="12"/>
  <c r="AN305" i="12"/>
  <c r="AE305" i="12"/>
  <c r="V305" i="12"/>
  <c r="AW304" i="12"/>
  <c r="AN304" i="12"/>
  <c r="AE304" i="12"/>
  <c r="V304" i="12"/>
  <c r="AW303" i="12"/>
  <c r="AN303" i="12"/>
  <c r="AE303" i="12"/>
  <c r="V303" i="12"/>
  <c r="AW302" i="12"/>
  <c r="AN302" i="12"/>
  <c r="AE302" i="12"/>
  <c r="V302" i="12"/>
  <c r="AW301" i="12"/>
  <c r="AN301" i="12"/>
  <c r="AE301" i="12"/>
  <c r="V301" i="12"/>
  <c r="AW300" i="12"/>
  <c r="AN300" i="12"/>
  <c r="AE300" i="12"/>
  <c r="V300" i="12"/>
  <c r="AW299" i="12"/>
  <c r="AN299" i="12"/>
  <c r="AE299" i="12"/>
  <c r="V299" i="12"/>
  <c r="AW298" i="12"/>
  <c r="AN298" i="12"/>
  <c r="AE298" i="12"/>
  <c r="V298" i="12"/>
  <c r="AW297" i="12"/>
  <c r="AN297" i="12"/>
  <c r="AE297" i="12"/>
  <c r="V297" i="12"/>
  <c r="AW296" i="12"/>
  <c r="AN296" i="12"/>
  <c r="AE296" i="12"/>
  <c r="V296" i="12"/>
  <c r="AW295" i="12"/>
  <c r="AN295" i="12"/>
  <c r="AE295" i="12"/>
  <c r="V295" i="12"/>
  <c r="AW294" i="12"/>
  <c r="AN294" i="12"/>
  <c r="AE294" i="12"/>
  <c r="V294" i="12"/>
  <c r="AW293" i="12"/>
  <c r="AN293" i="12"/>
  <c r="AE293" i="12"/>
  <c r="V293" i="12"/>
  <c r="AW292" i="12"/>
  <c r="AN292" i="12"/>
  <c r="AE292" i="12"/>
  <c r="V292" i="12"/>
  <c r="AW291" i="12"/>
  <c r="AN291" i="12"/>
  <c r="AE291" i="12"/>
  <c r="V291" i="12"/>
  <c r="AW290" i="12"/>
  <c r="AN290" i="12"/>
  <c r="AE290" i="12"/>
  <c r="V290" i="12"/>
  <c r="AW289" i="12"/>
  <c r="AN289" i="12"/>
  <c r="AE289" i="12"/>
  <c r="V289" i="12"/>
  <c r="AW288" i="12"/>
  <c r="AN288" i="12"/>
  <c r="AE288" i="12"/>
  <c r="V288" i="12"/>
  <c r="AW287" i="12"/>
  <c r="AN287" i="12"/>
  <c r="AE287" i="12"/>
  <c r="V287" i="12"/>
  <c r="AW286" i="12"/>
  <c r="AN286" i="12"/>
  <c r="AE286" i="12"/>
  <c r="V286" i="12"/>
  <c r="AW285" i="12"/>
  <c r="AN285" i="12"/>
  <c r="AE285" i="12"/>
  <c r="V285" i="12"/>
  <c r="AW284" i="12"/>
  <c r="AN284" i="12"/>
  <c r="AE284" i="12"/>
  <c r="V284" i="12"/>
  <c r="AW283" i="12"/>
  <c r="AN283" i="12"/>
  <c r="AE283" i="12"/>
  <c r="V283" i="12"/>
  <c r="AW282" i="12"/>
  <c r="AN282" i="12"/>
  <c r="AE282" i="12"/>
  <c r="V282" i="12"/>
  <c r="AW281" i="12"/>
  <c r="AN281" i="12"/>
  <c r="AE281" i="12"/>
  <c r="V281" i="12"/>
  <c r="AW280" i="12"/>
  <c r="AN280" i="12"/>
  <c r="AE280" i="12"/>
  <c r="V280" i="12"/>
  <c r="AW279" i="12"/>
  <c r="AN279" i="12"/>
  <c r="AE279" i="12"/>
  <c r="V279" i="12"/>
  <c r="AW278" i="12"/>
  <c r="AN278" i="12"/>
  <c r="AE278" i="12"/>
  <c r="V278" i="12"/>
  <c r="AW277" i="12"/>
  <c r="AN277" i="12"/>
  <c r="AE277" i="12"/>
  <c r="V277" i="12"/>
  <c r="AW276" i="12"/>
  <c r="AN276" i="12"/>
  <c r="AE276" i="12"/>
  <c r="V276" i="12"/>
  <c r="AW275" i="12"/>
  <c r="AN275" i="12"/>
  <c r="AE275" i="12"/>
  <c r="V275" i="12"/>
  <c r="AW274" i="12"/>
  <c r="AN274" i="12"/>
  <c r="AE274" i="12"/>
  <c r="V274" i="12"/>
  <c r="AW273" i="12"/>
  <c r="AN273" i="12"/>
  <c r="AE273" i="12"/>
  <c r="V273" i="12"/>
  <c r="AW272" i="12"/>
  <c r="AN272" i="12"/>
  <c r="AE272" i="12"/>
  <c r="V272" i="12"/>
  <c r="AW271" i="12"/>
  <c r="AN271" i="12"/>
  <c r="AE271" i="12"/>
  <c r="V271" i="12"/>
  <c r="AW270" i="12"/>
  <c r="AN270" i="12"/>
  <c r="AE270" i="12"/>
  <c r="V270" i="12"/>
  <c r="AW269" i="12"/>
  <c r="AN269" i="12"/>
  <c r="AE269" i="12"/>
  <c r="V269" i="12"/>
  <c r="AW268" i="12"/>
  <c r="AN268" i="12"/>
  <c r="AE268" i="12"/>
  <c r="V268" i="12"/>
  <c r="AW267" i="12"/>
  <c r="AN267" i="12"/>
  <c r="AE267" i="12"/>
  <c r="V267" i="12"/>
  <c r="AW266" i="12"/>
  <c r="AN266" i="12"/>
  <c r="AE266" i="12"/>
  <c r="V266" i="12"/>
  <c r="AW265" i="12"/>
  <c r="AN265" i="12"/>
  <c r="AE265" i="12"/>
  <c r="V265" i="12"/>
  <c r="AW264" i="12"/>
  <c r="AN264" i="12"/>
  <c r="AE264" i="12"/>
  <c r="V264" i="12"/>
  <c r="AW263" i="12"/>
  <c r="AN263" i="12"/>
  <c r="AE263" i="12"/>
  <c r="V263" i="12"/>
  <c r="AW262" i="12"/>
  <c r="AN262" i="12"/>
  <c r="AE262" i="12"/>
  <c r="V262" i="12"/>
  <c r="AW261" i="12"/>
  <c r="AN261" i="12"/>
  <c r="AE261" i="12"/>
  <c r="V261" i="12"/>
  <c r="AW260" i="12"/>
  <c r="AN260" i="12"/>
  <c r="AE260" i="12"/>
  <c r="V260" i="12"/>
  <c r="AW259" i="12"/>
  <c r="AN259" i="12"/>
  <c r="AE259" i="12"/>
  <c r="V259" i="12"/>
  <c r="AW258" i="12"/>
  <c r="AN258" i="12"/>
  <c r="AE258" i="12"/>
  <c r="V258" i="12"/>
  <c r="AW257" i="12"/>
  <c r="AN257" i="12"/>
  <c r="AE257" i="12"/>
  <c r="V257" i="12"/>
  <c r="AW256" i="12"/>
  <c r="AN256" i="12"/>
  <c r="AE256" i="12"/>
  <c r="V256" i="12"/>
  <c r="AW255" i="12"/>
  <c r="AN255" i="12"/>
  <c r="AE255" i="12"/>
  <c r="V255" i="12"/>
  <c r="AW254" i="12"/>
  <c r="AN254" i="12"/>
  <c r="AE254" i="12"/>
  <c r="V254" i="12"/>
  <c r="AW253" i="12"/>
  <c r="AN253" i="12"/>
  <c r="AE253" i="12"/>
  <c r="V253" i="12"/>
  <c r="AW252" i="12"/>
  <c r="AN252" i="12"/>
  <c r="AE252" i="12"/>
  <c r="V252" i="12"/>
  <c r="AW251" i="12"/>
  <c r="AN251" i="12"/>
  <c r="AE251" i="12"/>
  <c r="V251" i="12"/>
  <c r="AW250" i="12"/>
  <c r="AN250" i="12"/>
  <c r="AE250" i="12"/>
  <c r="V250" i="12"/>
  <c r="AW249" i="12"/>
  <c r="AN249" i="12"/>
  <c r="AE249" i="12"/>
  <c r="V249" i="12"/>
  <c r="AW248" i="12"/>
  <c r="AN248" i="12"/>
  <c r="AE248" i="12"/>
  <c r="V248" i="12"/>
  <c r="AW247" i="12"/>
  <c r="AN247" i="12"/>
  <c r="AE247" i="12"/>
  <c r="V247" i="12"/>
  <c r="AW246" i="12"/>
  <c r="AN246" i="12"/>
  <c r="AE246" i="12"/>
  <c r="V246" i="12"/>
  <c r="AW245" i="12"/>
  <c r="AN245" i="12"/>
  <c r="AE245" i="12"/>
  <c r="V245" i="12"/>
  <c r="AW244" i="12"/>
  <c r="AN244" i="12"/>
  <c r="AE244" i="12"/>
  <c r="V244" i="12"/>
  <c r="AW243" i="12"/>
  <c r="AN243" i="12"/>
  <c r="AE243" i="12"/>
  <c r="V243" i="12"/>
  <c r="AW242" i="12"/>
  <c r="AN242" i="12"/>
  <c r="AE242" i="12"/>
  <c r="V242" i="12"/>
  <c r="AW241" i="12"/>
  <c r="AN241" i="12"/>
  <c r="AE241" i="12"/>
  <c r="V241" i="12"/>
  <c r="AW240" i="12"/>
  <c r="AN240" i="12"/>
  <c r="AE240" i="12"/>
  <c r="V240" i="12"/>
  <c r="AW239" i="12"/>
  <c r="AN239" i="12"/>
  <c r="AE239" i="12"/>
  <c r="V239" i="12"/>
  <c r="AW238" i="12"/>
  <c r="AN238" i="12"/>
  <c r="AE238" i="12"/>
  <c r="V238" i="12"/>
  <c r="AW237" i="12"/>
  <c r="AN237" i="12"/>
  <c r="AE237" i="12"/>
  <c r="V237" i="12"/>
  <c r="AW236" i="12"/>
  <c r="AN236" i="12"/>
  <c r="AE236" i="12"/>
  <c r="V236" i="12"/>
  <c r="AW235" i="12"/>
  <c r="AN235" i="12"/>
  <c r="AE235" i="12"/>
  <c r="V235" i="12"/>
  <c r="AW234" i="12"/>
  <c r="AN234" i="12"/>
  <c r="AE234" i="12"/>
  <c r="V234" i="12"/>
  <c r="AW233" i="12"/>
  <c r="AN233" i="12"/>
  <c r="AE233" i="12"/>
  <c r="V233" i="12"/>
  <c r="AW232" i="12"/>
  <c r="AN232" i="12"/>
  <c r="AE232" i="12"/>
  <c r="V232" i="12"/>
  <c r="AW231" i="12"/>
  <c r="AN231" i="12"/>
  <c r="AE231" i="12"/>
  <c r="V231" i="12"/>
  <c r="AW230" i="12"/>
  <c r="AN230" i="12"/>
  <c r="AE230" i="12"/>
  <c r="V230" i="12"/>
  <c r="AW229" i="12"/>
  <c r="AN229" i="12"/>
  <c r="AE229" i="12"/>
  <c r="V229" i="12"/>
  <c r="AW228" i="12"/>
  <c r="AN228" i="12"/>
  <c r="AE228" i="12"/>
  <c r="V228" i="12"/>
  <c r="AW227" i="12"/>
  <c r="AN227" i="12"/>
  <c r="AE227" i="12"/>
  <c r="V227" i="12"/>
  <c r="AW226" i="12"/>
  <c r="AN226" i="12"/>
  <c r="AE226" i="12"/>
  <c r="V226" i="12"/>
  <c r="AW225" i="12"/>
  <c r="AN225" i="12"/>
  <c r="AE225" i="12"/>
  <c r="V225" i="12"/>
  <c r="AW224" i="12"/>
  <c r="AN224" i="12"/>
  <c r="AE224" i="12"/>
  <c r="V224" i="12"/>
  <c r="AW223" i="12"/>
  <c r="AN223" i="12"/>
  <c r="AE223" i="12"/>
  <c r="V223" i="12"/>
  <c r="AW222" i="12"/>
  <c r="AN222" i="12"/>
  <c r="AE222" i="12"/>
  <c r="V222" i="12"/>
  <c r="AW221" i="12"/>
  <c r="AN221" i="12"/>
  <c r="AE221" i="12"/>
  <c r="V221" i="12"/>
  <c r="AW220" i="12"/>
  <c r="AN220" i="12"/>
  <c r="AE220" i="12"/>
  <c r="V220" i="12"/>
  <c r="AW219" i="12"/>
  <c r="AN219" i="12"/>
  <c r="AE219" i="12"/>
  <c r="V219" i="12"/>
  <c r="AW218" i="12"/>
  <c r="AN218" i="12"/>
  <c r="AE218" i="12"/>
  <c r="V218" i="12"/>
  <c r="AW217" i="12"/>
  <c r="AN217" i="12"/>
  <c r="AE217" i="12"/>
  <c r="V217" i="12"/>
  <c r="AW216" i="12"/>
  <c r="AN216" i="12"/>
  <c r="AE216" i="12"/>
  <c r="V216" i="12"/>
  <c r="AW215" i="12"/>
  <c r="AN215" i="12"/>
  <c r="AE215" i="12"/>
  <c r="V215" i="12"/>
  <c r="AW214" i="12"/>
  <c r="AN214" i="12"/>
  <c r="AE214" i="12"/>
  <c r="V214" i="12"/>
  <c r="AW213" i="12"/>
  <c r="AN213" i="12"/>
  <c r="AE213" i="12"/>
  <c r="V213" i="12"/>
  <c r="AW212" i="12"/>
  <c r="AN212" i="12"/>
  <c r="AE212" i="12"/>
  <c r="V212" i="12"/>
  <c r="AW211" i="12"/>
  <c r="AN211" i="12"/>
  <c r="AE211" i="12"/>
  <c r="V211" i="12"/>
  <c r="AW210" i="12"/>
  <c r="AN210" i="12"/>
  <c r="AE210" i="12"/>
  <c r="V210" i="12"/>
  <c r="AW209" i="12"/>
  <c r="AN209" i="12"/>
  <c r="AE209" i="12"/>
  <c r="V209" i="12"/>
  <c r="AW208" i="12"/>
  <c r="AN208" i="12"/>
  <c r="AE208" i="12"/>
  <c r="V208" i="12"/>
  <c r="AW207" i="12"/>
  <c r="AN207" i="12"/>
  <c r="AE207" i="12"/>
  <c r="V207" i="12"/>
  <c r="AW206" i="12"/>
  <c r="AN206" i="12"/>
  <c r="AE206" i="12"/>
  <c r="V206" i="12"/>
  <c r="AW205" i="12"/>
  <c r="AN205" i="12"/>
  <c r="AE205" i="12"/>
  <c r="V205" i="12"/>
  <c r="AW204" i="12"/>
  <c r="AN204" i="12"/>
  <c r="AE204" i="12"/>
  <c r="V204" i="12"/>
  <c r="AW203" i="12"/>
  <c r="AN203" i="12"/>
  <c r="AE203" i="12"/>
  <c r="V203" i="12"/>
  <c r="AW202" i="12"/>
  <c r="AN202" i="12"/>
  <c r="AE202" i="12"/>
  <c r="V202" i="12"/>
  <c r="AW201" i="12"/>
  <c r="AN201" i="12"/>
  <c r="AE201" i="12"/>
  <c r="V201" i="12"/>
  <c r="AW200" i="12"/>
  <c r="AN200" i="12"/>
  <c r="AE200" i="12"/>
  <c r="V200" i="12"/>
  <c r="AW199" i="12"/>
  <c r="AN199" i="12"/>
  <c r="AE199" i="12"/>
  <c r="V199" i="12"/>
  <c r="AW198" i="12"/>
  <c r="AN198" i="12"/>
  <c r="AE198" i="12"/>
  <c r="V198" i="12"/>
  <c r="AW197" i="12"/>
  <c r="AN197" i="12"/>
  <c r="AE197" i="12"/>
  <c r="V197" i="12"/>
  <c r="AW196" i="12"/>
  <c r="AN196" i="12"/>
  <c r="AE196" i="12"/>
  <c r="V196" i="12"/>
  <c r="AW195" i="12"/>
  <c r="AN195" i="12"/>
  <c r="AE195" i="12"/>
  <c r="V195" i="12"/>
  <c r="AW194" i="12"/>
  <c r="AN194" i="12"/>
  <c r="AE194" i="12"/>
  <c r="V194" i="12"/>
  <c r="AW193" i="12"/>
  <c r="AN193" i="12"/>
  <c r="AE193" i="12"/>
  <c r="V193" i="12"/>
  <c r="AW192" i="12"/>
  <c r="AN192" i="12"/>
  <c r="AE192" i="12"/>
  <c r="V192" i="12"/>
  <c r="AW191" i="12"/>
  <c r="AN191" i="12"/>
  <c r="AE191" i="12"/>
  <c r="V191" i="12"/>
  <c r="AW190" i="12"/>
  <c r="AN190" i="12"/>
  <c r="AE190" i="12"/>
  <c r="V190" i="12"/>
  <c r="AW189" i="12"/>
  <c r="AN189" i="12"/>
  <c r="AE189" i="12"/>
  <c r="V189" i="12"/>
  <c r="AW188" i="12"/>
  <c r="AN188" i="12"/>
  <c r="AE188" i="12"/>
  <c r="V188" i="12"/>
  <c r="AW187" i="12"/>
  <c r="AN187" i="12"/>
  <c r="AE187" i="12"/>
  <c r="V187" i="12"/>
  <c r="AW186" i="12"/>
  <c r="AN186" i="12"/>
  <c r="AE186" i="12"/>
  <c r="V186" i="12"/>
  <c r="AW185" i="12"/>
  <c r="AN185" i="12"/>
  <c r="AE185" i="12"/>
  <c r="V185" i="12"/>
  <c r="AW184" i="12"/>
  <c r="AN184" i="12"/>
  <c r="AE184" i="12"/>
  <c r="V184" i="12"/>
  <c r="AW183" i="12"/>
  <c r="AN183" i="12"/>
  <c r="AE183" i="12"/>
  <c r="V183" i="12"/>
  <c r="AW182" i="12"/>
  <c r="AN182" i="12"/>
  <c r="AE182" i="12"/>
  <c r="V182" i="12"/>
  <c r="AW181" i="12"/>
  <c r="AN181" i="12"/>
  <c r="AE181" i="12"/>
  <c r="V181" i="12"/>
  <c r="AW180" i="12"/>
  <c r="AN180" i="12"/>
  <c r="AE180" i="12"/>
  <c r="V180" i="12"/>
  <c r="AW179" i="12"/>
  <c r="AN179" i="12"/>
  <c r="AE179" i="12"/>
  <c r="V179" i="12"/>
  <c r="AW178" i="12"/>
  <c r="AN178" i="12"/>
  <c r="AE178" i="12"/>
  <c r="V178" i="12"/>
  <c r="AW177" i="12"/>
  <c r="AN177" i="12"/>
  <c r="AE177" i="12"/>
  <c r="V177" i="12"/>
  <c r="AW176" i="12"/>
  <c r="AN176" i="12"/>
  <c r="AE176" i="12"/>
  <c r="V176" i="12"/>
  <c r="AW175" i="12"/>
  <c r="AN175" i="12"/>
  <c r="AE175" i="12"/>
  <c r="V175" i="12"/>
  <c r="AW174" i="12"/>
  <c r="AN174" i="12"/>
  <c r="AE174" i="12"/>
  <c r="V174" i="12"/>
  <c r="AW173" i="12"/>
  <c r="AN173" i="12"/>
  <c r="AE173" i="12"/>
  <c r="V173" i="12"/>
  <c r="AW172" i="12"/>
  <c r="AN172" i="12"/>
  <c r="AE172" i="12"/>
  <c r="V172" i="12"/>
  <c r="AW171" i="12"/>
  <c r="AN171" i="12"/>
  <c r="AE171" i="12"/>
  <c r="V171" i="12"/>
  <c r="AW170" i="12"/>
  <c r="AN170" i="12"/>
  <c r="AE170" i="12"/>
  <c r="V170" i="12"/>
  <c r="AW169" i="12"/>
  <c r="AN169" i="12"/>
  <c r="AE169" i="12"/>
  <c r="V169" i="12"/>
  <c r="AW168" i="12"/>
  <c r="AN168" i="12"/>
  <c r="AE168" i="12"/>
  <c r="V168" i="12"/>
  <c r="AW167" i="12"/>
  <c r="AN167" i="12"/>
  <c r="AE167" i="12"/>
  <c r="V167" i="12"/>
  <c r="AW166" i="12"/>
  <c r="AN166" i="12"/>
  <c r="AE166" i="12"/>
  <c r="V166" i="12"/>
  <c r="AW165" i="12"/>
  <c r="AN165" i="12"/>
  <c r="AE165" i="12"/>
  <c r="V165" i="12"/>
  <c r="AW164" i="12"/>
  <c r="AN164" i="12"/>
  <c r="AE164" i="12"/>
  <c r="V164" i="12"/>
  <c r="AW163" i="12"/>
  <c r="AN163" i="12"/>
  <c r="AE163" i="12"/>
  <c r="V163" i="12"/>
  <c r="AW162" i="12"/>
  <c r="AN162" i="12"/>
  <c r="AE162" i="12"/>
  <c r="V162" i="12"/>
  <c r="AW161" i="12"/>
  <c r="AN161" i="12"/>
  <c r="AE161" i="12"/>
  <c r="V161" i="12"/>
  <c r="AW160" i="12"/>
  <c r="AN160" i="12"/>
  <c r="AE160" i="12"/>
  <c r="V160" i="12"/>
  <c r="AW159" i="12"/>
  <c r="AN159" i="12"/>
  <c r="AE159" i="12"/>
  <c r="V159" i="12"/>
  <c r="AW158" i="12"/>
  <c r="AN158" i="12"/>
  <c r="AE158" i="12"/>
  <c r="V158" i="12"/>
  <c r="AW157" i="12"/>
  <c r="AN157" i="12"/>
  <c r="AE157" i="12"/>
  <c r="V157" i="12"/>
  <c r="AW156" i="12"/>
  <c r="AN156" i="12"/>
  <c r="AE156" i="12"/>
  <c r="V156" i="12"/>
  <c r="AW155" i="12"/>
  <c r="AN155" i="12"/>
  <c r="AE155" i="12"/>
  <c r="V155" i="12"/>
  <c r="AW154" i="12"/>
  <c r="AN154" i="12"/>
  <c r="AE154" i="12"/>
  <c r="V154" i="12"/>
  <c r="AW153" i="12"/>
  <c r="AN153" i="12"/>
  <c r="AE153" i="12"/>
  <c r="V153" i="12"/>
  <c r="AW152" i="12"/>
  <c r="AN152" i="12"/>
  <c r="AE152" i="12"/>
  <c r="V152" i="12"/>
  <c r="AW151" i="12"/>
  <c r="AN151" i="12"/>
  <c r="AE151" i="12"/>
  <c r="V151" i="12"/>
  <c r="AW150" i="12"/>
  <c r="AN150" i="12"/>
  <c r="AE150" i="12"/>
  <c r="V150" i="12"/>
  <c r="AW149" i="12"/>
  <c r="AN149" i="12"/>
  <c r="AE149" i="12"/>
  <c r="V149" i="12"/>
  <c r="AW148" i="12"/>
  <c r="AN148" i="12"/>
  <c r="AE148" i="12"/>
  <c r="V148" i="12"/>
  <c r="AW147" i="12"/>
  <c r="AN147" i="12"/>
  <c r="AE147" i="12"/>
  <c r="V147" i="12"/>
  <c r="AW146" i="12"/>
  <c r="AN146" i="12"/>
  <c r="AE146" i="12"/>
  <c r="V146" i="12"/>
  <c r="AW145" i="12"/>
  <c r="AN145" i="12"/>
  <c r="AE145" i="12"/>
  <c r="V145" i="12"/>
  <c r="AW144" i="12"/>
  <c r="AN144" i="12"/>
  <c r="AE144" i="12"/>
  <c r="V144" i="12"/>
  <c r="AW143" i="12"/>
  <c r="AN143" i="12"/>
  <c r="AE143" i="12"/>
  <c r="V143" i="12"/>
  <c r="AW142" i="12"/>
  <c r="AN142" i="12"/>
  <c r="AE142" i="12"/>
  <c r="V142" i="12"/>
  <c r="AW141" i="12"/>
  <c r="AN141" i="12"/>
  <c r="AE141" i="12"/>
  <c r="V141" i="12"/>
  <c r="AW140" i="12"/>
  <c r="AN140" i="12"/>
  <c r="AE140" i="12"/>
  <c r="V140" i="12"/>
  <c r="AW139" i="12"/>
  <c r="AN139" i="12"/>
  <c r="AE139" i="12"/>
  <c r="V139" i="12"/>
  <c r="AW138" i="12"/>
  <c r="AN138" i="12"/>
  <c r="AE138" i="12"/>
  <c r="V138" i="12"/>
  <c r="AW137" i="12"/>
  <c r="AN137" i="12"/>
  <c r="AE137" i="12"/>
  <c r="V137" i="12"/>
  <c r="AW136" i="12"/>
  <c r="AN136" i="12"/>
  <c r="AE136" i="12"/>
  <c r="V136" i="12"/>
  <c r="AW135" i="12"/>
  <c r="AN135" i="12"/>
  <c r="AE135" i="12"/>
  <c r="V135" i="12"/>
  <c r="AW134" i="12"/>
  <c r="AN134" i="12"/>
  <c r="AE134" i="12"/>
  <c r="V134" i="12"/>
  <c r="AW133" i="12"/>
  <c r="AN133" i="12"/>
  <c r="AE133" i="12"/>
  <c r="V133" i="12"/>
  <c r="AW132" i="12"/>
  <c r="AN132" i="12"/>
  <c r="AE132" i="12"/>
  <c r="V132" i="12"/>
  <c r="AW131" i="12"/>
  <c r="AN131" i="12"/>
  <c r="AE131" i="12"/>
  <c r="V131" i="12"/>
  <c r="AW130" i="12"/>
  <c r="AN130" i="12"/>
  <c r="AE130" i="12"/>
  <c r="V130" i="12"/>
  <c r="AW129" i="12"/>
  <c r="AN129" i="12"/>
  <c r="AE129" i="12"/>
  <c r="V129" i="12"/>
  <c r="AW128" i="12"/>
  <c r="AN128" i="12"/>
  <c r="AE128" i="12"/>
  <c r="V128" i="12"/>
  <c r="AW127" i="12"/>
  <c r="AN127" i="12"/>
  <c r="AE127" i="12"/>
  <c r="V127" i="12"/>
  <c r="AW126" i="12"/>
  <c r="AN126" i="12"/>
  <c r="AE126" i="12"/>
  <c r="V126" i="12"/>
  <c r="AW125" i="12"/>
  <c r="AN125" i="12"/>
  <c r="AE125" i="12"/>
  <c r="V125" i="12"/>
  <c r="AW124" i="12"/>
  <c r="AN124" i="12"/>
  <c r="AE124" i="12"/>
  <c r="V124" i="12"/>
  <c r="AW123" i="12"/>
  <c r="AN123" i="12"/>
  <c r="AE123" i="12"/>
  <c r="V123" i="12"/>
  <c r="AW122" i="12"/>
  <c r="AN122" i="12"/>
  <c r="AE122" i="12"/>
  <c r="V122" i="12"/>
  <c r="AW121" i="12"/>
  <c r="AN121" i="12"/>
  <c r="AE121" i="12"/>
  <c r="V121" i="12"/>
  <c r="AW120" i="12"/>
  <c r="AN120" i="12"/>
  <c r="AE120" i="12"/>
  <c r="V120" i="12"/>
  <c r="AW119" i="12"/>
  <c r="AN119" i="12"/>
  <c r="AE119" i="12"/>
  <c r="V119" i="12"/>
  <c r="AW118" i="12"/>
  <c r="AN118" i="12"/>
  <c r="AE118" i="12"/>
  <c r="V118" i="12"/>
  <c r="AW117" i="12"/>
  <c r="AN117" i="12"/>
  <c r="AE117" i="12"/>
  <c r="V117" i="12"/>
  <c r="AW116" i="12"/>
  <c r="AN116" i="12"/>
  <c r="AE116" i="12"/>
  <c r="V116" i="12"/>
  <c r="AW115" i="12"/>
  <c r="AN115" i="12"/>
  <c r="AE115" i="12"/>
  <c r="V115" i="12"/>
  <c r="AW114" i="12"/>
  <c r="AN114" i="12"/>
  <c r="AE114" i="12"/>
  <c r="V114" i="12"/>
  <c r="AW113" i="12"/>
  <c r="AN113" i="12"/>
  <c r="AE113" i="12"/>
  <c r="V113" i="12"/>
  <c r="AW112" i="12"/>
  <c r="AN112" i="12"/>
  <c r="AE112" i="12"/>
  <c r="V112" i="12"/>
  <c r="AW111" i="12"/>
  <c r="AN111" i="12"/>
  <c r="AE111" i="12"/>
  <c r="V111" i="12"/>
  <c r="AW110" i="12"/>
  <c r="AN110" i="12"/>
  <c r="AE110" i="12"/>
  <c r="V110" i="12"/>
  <c r="AW109" i="12"/>
  <c r="AN109" i="12"/>
  <c r="AE109" i="12"/>
  <c r="V109" i="12"/>
  <c r="AW108" i="12"/>
  <c r="AN108" i="12"/>
  <c r="AE108" i="12"/>
  <c r="V108" i="12"/>
  <c r="AW107" i="12"/>
  <c r="AN107" i="12"/>
  <c r="AE107" i="12"/>
  <c r="V107" i="12"/>
  <c r="AW106" i="12"/>
  <c r="AN106" i="12"/>
  <c r="AE106" i="12"/>
  <c r="V106" i="12"/>
  <c r="AW105" i="12"/>
  <c r="AN105" i="12"/>
  <c r="AE105" i="12"/>
  <c r="V105" i="12"/>
  <c r="AW104" i="12"/>
  <c r="AN104" i="12"/>
  <c r="AE104" i="12"/>
  <c r="V104" i="12"/>
  <c r="AW103" i="12"/>
  <c r="AN103" i="12"/>
  <c r="AE103" i="12"/>
  <c r="V103" i="12"/>
  <c r="AW102" i="12"/>
  <c r="AN102" i="12"/>
  <c r="AE102" i="12"/>
  <c r="V102" i="12"/>
  <c r="AW101" i="12"/>
  <c r="AN101" i="12"/>
  <c r="AE101" i="12"/>
  <c r="V101" i="12"/>
  <c r="AW100" i="12"/>
  <c r="AN100" i="12"/>
  <c r="AE100" i="12"/>
  <c r="V100" i="12"/>
  <c r="AW99" i="12"/>
  <c r="AN99" i="12"/>
  <c r="AE99" i="12"/>
  <c r="V99" i="12"/>
  <c r="AW98" i="12"/>
  <c r="AN98" i="12"/>
  <c r="AE98" i="12"/>
  <c r="V98" i="12"/>
  <c r="AW97" i="12"/>
  <c r="AN97" i="12"/>
  <c r="AE97" i="12"/>
  <c r="V97" i="12"/>
  <c r="AW96" i="12"/>
  <c r="AN96" i="12"/>
  <c r="AE96" i="12"/>
  <c r="V96" i="12"/>
  <c r="AW95" i="12"/>
  <c r="AN95" i="12"/>
  <c r="AE95" i="12"/>
  <c r="V95" i="12"/>
  <c r="AW94" i="12"/>
  <c r="AN94" i="12"/>
  <c r="AE94" i="12"/>
  <c r="V94" i="12"/>
  <c r="AW93" i="12"/>
  <c r="AN93" i="12"/>
  <c r="AE93" i="12"/>
  <c r="V93" i="12"/>
  <c r="AW92" i="12"/>
  <c r="AN92" i="12"/>
  <c r="AE92" i="12"/>
  <c r="V92" i="12"/>
  <c r="AW91" i="12"/>
  <c r="AN91" i="12"/>
  <c r="AE91" i="12"/>
  <c r="V91" i="12"/>
  <c r="AW90" i="12"/>
  <c r="AN90" i="12"/>
  <c r="AE90" i="12"/>
  <c r="V90" i="12"/>
  <c r="AW89" i="12"/>
  <c r="AN89" i="12"/>
  <c r="AE89" i="12"/>
  <c r="V89" i="12"/>
  <c r="AW88" i="12"/>
  <c r="AN88" i="12"/>
  <c r="AE88" i="12"/>
  <c r="V88" i="12"/>
  <c r="AW87" i="12"/>
  <c r="AN87" i="12"/>
  <c r="AE87" i="12"/>
  <c r="V87" i="12"/>
  <c r="AW86" i="12"/>
  <c r="AN86" i="12"/>
  <c r="AE86" i="12"/>
  <c r="V86" i="12"/>
  <c r="AW85" i="12"/>
  <c r="AN85" i="12"/>
  <c r="AE85" i="12"/>
  <c r="V85" i="12"/>
  <c r="AW84" i="12"/>
  <c r="AN84" i="12"/>
  <c r="AE84" i="12"/>
  <c r="V84" i="12"/>
  <c r="AW83" i="12"/>
  <c r="AN83" i="12"/>
  <c r="AE83" i="12"/>
  <c r="V83" i="12"/>
  <c r="AW82" i="12"/>
  <c r="AN82" i="12"/>
  <c r="AE82" i="12"/>
  <c r="V82" i="12"/>
  <c r="AW81" i="12"/>
  <c r="AN81" i="12"/>
  <c r="AE81" i="12"/>
  <c r="V81" i="12"/>
  <c r="AW80" i="12"/>
  <c r="AN80" i="12"/>
  <c r="AE80" i="12"/>
  <c r="V80" i="12"/>
  <c r="AW79" i="12"/>
  <c r="AN79" i="12"/>
  <c r="AE79" i="12"/>
  <c r="V79" i="12"/>
  <c r="AW78" i="12"/>
  <c r="AN78" i="12"/>
  <c r="AE78" i="12"/>
  <c r="V78" i="12"/>
  <c r="AW77" i="12"/>
  <c r="AN77" i="12"/>
  <c r="AE77" i="12"/>
  <c r="V77" i="12"/>
  <c r="AW76" i="12"/>
  <c r="AN76" i="12"/>
  <c r="AE76" i="12"/>
  <c r="V76" i="12"/>
  <c r="AW75" i="12"/>
  <c r="AN75" i="12"/>
  <c r="AE75" i="12"/>
  <c r="V75" i="12"/>
  <c r="AW74" i="12"/>
  <c r="AN74" i="12"/>
  <c r="AE74" i="12"/>
  <c r="V74" i="12"/>
  <c r="AW73" i="12"/>
  <c r="AN73" i="12"/>
  <c r="AE73" i="12"/>
  <c r="V73" i="12"/>
  <c r="AW72" i="12"/>
  <c r="AN72" i="12"/>
  <c r="AE72" i="12"/>
  <c r="V72" i="12"/>
  <c r="AW71" i="12"/>
  <c r="AN71" i="12"/>
  <c r="AE71" i="12"/>
  <c r="V71" i="12"/>
  <c r="AW70" i="12"/>
  <c r="AN70" i="12"/>
  <c r="AE70" i="12"/>
  <c r="V70" i="12"/>
  <c r="AW69" i="12"/>
  <c r="AN69" i="12"/>
  <c r="AE69" i="12"/>
  <c r="V69" i="12"/>
  <c r="AW68" i="12"/>
  <c r="AN68" i="12"/>
  <c r="AE68" i="12"/>
  <c r="V68" i="12"/>
  <c r="AW67" i="12"/>
  <c r="AN67" i="12"/>
  <c r="AE67" i="12"/>
  <c r="V67" i="12"/>
  <c r="AW66" i="12"/>
  <c r="AN66" i="12"/>
  <c r="AE66" i="12"/>
  <c r="V66" i="12"/>
  <c r="AW65" i="12"/>
  <c r="AN65" i="12"/>
  <c r="AE65" i="12"/>
  <c r="V65" i="12"/>
  <c r="AW64" i="12"/>
  <c r="AN64" i="12"/>
  <c r="AE64" i="12"/>
  <c r="V64" i="12"/>
  <c r="AW63" i="12"/>
  <c r="AN63" i="12"/>
  <c r="AE63" i="12"/>
  <c r="V63" i="12"/>
  <c r="AW62" i="12"/>
  <c r="AN62" i="12"/>
  <c r="AE62" i="12"/>
  <c r="V62" i="12"/>
  <c r="AW61" i="12"/>
  <c r="AN61" i="12"/>
  <c r="AE61" i="12"/>
  <c r="V61" i="12"/>
  <c r="AW60" i="12"/>
  <c r="AN60" i="12"/>
  <c r="AE60" i="12"/>
  <c r="V60" i="12"/>
  <c r="AW59" i="12"/>
  <c r="AN59" i="12"/>
  <c r="AE59" i="12"/>
  <c r="V59" i="12"/>
  <c r="AW58" i="12"/>
  <c r="AN58" i="12"/>
  <c r="AE58" i="12"/>
  <c r="V58" i="12"/>
  <c r="AW57" i="12"/>
  <c r="AN57" i="12"/>
  <c r="AE57" i="12"/>
  <c r="V57" i="12"/>
  <c r="AW56" i="12"/>
  <c r="AN56" i="12"/>
  <c r="AE56" i="12"/>
  <c r="V56" i="12"/>
  <c r="AW55" i="12"/>
  <c r="AN55" i="12"/>
  <c r="AE55" i="12"/>
  <c r="V55" i="12"/>
  <c r="AW54" i="12"/>
  <c r="AN54" i="12"/>
  <c r="AE54" i="12"/>
  <c r="V54" i="12"/>
  <c r="AW53" i="12"/>
  <c r="AN53" i="12"/>
  <c r="AE53" i="12"/>
  <c r="V53" i="12"/>
  <c r="AW52" i="12"/>
  <c r="AN52" i="12"/>
  <c r="AE52" i="12"/>
  <c r="V52" i="12"/>
  <c r="AW51" i="12"/>
  <c r="AN51" i="12"/>
  <c r="AE51" i="12"/>
  <c r="V51" i="12"/>
  <c r="AW50" i="12"/>
  <c r="AN50" i="12"/>
  <c r="AE50" i="12"/>
  <c r="V50" i="12"/>
  <c r="AW49" i="12"/>
  <c r="AN49" i="12"/>
  <c r="AE49" i="12"/>
  <c r="V49" i="12"/>
  <c r="AW48" i="12"/>
  <c r="AN48" i="12"/>
  <c r="AE48" i="12"/>
  <c r="V48" i="12"/>
  <c r="AW47" i="12"/>
  <c r="AN47" i="12"/>
  <c r="AE47" i="12"/>
  <c r="V47" i="12"/>
  <c r="AW46" i="12"/>
  <c r="AN46" i="12"/>
  <c r="AE46" i="12"/>
  <c r="V46" i="12"/>
  <c r="AW45" i="12"/>
  <c r="AN45" i="12"/>
  <c r="AE45" i="12"/>
  <c r="V45" i="12"/>
  <c r="AW44" i="12"/>
  <c r="AN44" i="12"/>
  <c r="AE44" i="12"/>
  <c r="V44" i="12"/>
  <c r="AW43" i="12"/>
  <c r="AN43" i="12"/>
  <c r="AE43" i="12"/>
  <c r="V43" i="12"/>
  <c r="AW42" i="12"/>
  <c r="AN42" i="12"/>
  <c r="AE42" i="12"/>
  <c r="V42" i="12"/>
  <c r="AW41" i="12"/>
  <c r="AN41" i="12"/>
  <c r="AE41" i="12"/>
  <c r="V41" i="12"/>
  <c r="AW40" i="12"/>
  <c r="AN40" i="12"/>
  <c r="AE40" i="12"/>
  <c r="V40" i="12"/>
  <c r="AW39" i="12"/>
  <c r="AN39" i="12"/>
  <c r="AE39" i="12"/>
  <c r="V39" i="12"/>
  <c r="AW38" i="12"/>
  <c r="AN38" i="12"/>
  <c r="AE38" i="12"/>
  <c r="V38" i="12"/>
  <c r="AW37" i="12"/>
  <c r="AN37" i="12"/>
  <c r="AE37" i="12"/>
  <c r="V37" i="12"/>
  <c r="AW36" i="12"/>
  <c r="AN36" i="12"/>
  <c r="AE36" i="12"/>
  <c r="V36" i="12"/>
  <c r="AW35" i="12"/>
  <c r="AN35" i="12"/>
  <c r="AE35" i="12"/>
  <c r="V35" i="12"/>
  <c r="AW34" i="12"/>
  <c r="AN34" i="12"/>
  <c r="AE34" i="12"/>
  <c r="V34" i="12"/>
  <c r="AW33" i="12"/>
  <c r="AN33" i="12"/>
  <c r="AE33" i="12"/>
  <c r="V33" i="12"/>
  <c r="AW32" i="12"/>
  <c r="AN32" i="12"/>
  <c r="AE32" i="12"/>
  <c r="V32" i="12"/>
  <c r="AW31" i="12"/>
  <c r="AN31" i="12"/>
  <c r="AE31" i="12"/>
  <c r="V31" i="12"/>
  <c r="AW30" i="12"/>
  <c r="AN30" i="12"/>
  <c r="AE30" i="12"/>
  <c r="V30" i="12"/>
  <c r="AW29" i="12"/>
  <c r="AN29" i="12"/>
  <c r="AE29" i="12"/>
  <c r="V29" i="12"/>
  <c r="AW28" i="12"/>
  <c r="AN28" i="12"/>
  <c r="AE28" i="12"/>
  <c r="V28" i="12"/>
  <c r="AW27" i="12"/>
  <c r="AN27" i="12"/>
  <c r="AE27" i="12"/>
  <c r="V27" i="12"/>
  <c r="AW26" i="12"/>
  <c r="AN26" i="12"/>
  <c r="AE26" i="12"/>
  <c r="V26" i="12"/>
  <c r="AW25" i="12"/>
  <c r="AN25" i="12"/>
  <c r="AE25" i="12"/>
  <c r="V25" i="12"/>
  <c r="AW24" i="12"/>
  <c r="AN24" i="12"/>
  <c r="AE24" i="12"/>
  <c r="V24" i="12"/>
  <c r="AW23" i="12"/>
  <c r="AN23" i="12"/>
  <c r="AE23" i="12"/>
  <c r="V23" i="12"/>
  <c r="AW22" i="12"/>
  <c r="AN22" i="12"/>
  <c r="AE22" i="12"/>
  <c r="V22" i="12"/>
  <c r="AW21" i="12"/>
  <c r="AN21" i="12"/>
  <c r="AE21" i="12"/>
  <c r="V21" i="12"/>
  <c r="AW20" i="12"/>
  <c r="AN20" i="12"/>
  <c r="AE20" i="12"/>
  <c r="V20" i="12"/>
  <c r="AW19" i="12"/>
  <c r="AN19" i="12"/>
  <c r="AE19" i="12"/>
  <c r="V19" i="12"/>
  <c r="AW18" i="12"/>
  <c r="AN18" i="12"/>
  <c r="AE18" i="12"/>
  <c r="V18" i="12"/>
  <c r="AW17" i="12"/>
  <c r="AN17" i="12"/>
  <c r="AE17" i="12"/>
  <c r="V17" i="12"/>
  <c r="AW16" i="12"/>
  <c r="AN16" i="12"/>
  <c r="AE16" i="12"/>
  <c r="V16" i="12"/>
  <c r="AW15" i="12"/>
  <c r="AN15" i="12"/>
  <c r="AE15" i="12"/>
  <c r="V15" i="12"/>
  <c r="AW14" i="12"/>
  <c r="AN14" i="12"/>
  <c r="AE14" i="12"/>
  <c r="V14" i="12"/>
  <c r="AW13" i="12"/>
  <c r="AN13" i="12"/>
  <c r="AE13" i="12"/>
  <c r="V13" i="12"/>
  <c r="AW12" i="12"/>
  <c r="AN12" i="12"/>
  <c r="AE12" i="12"/>
  <c r="V12" i="12"/>
  <c r="AW11" i="12"/>
  <c r="AN11" i="12"/>
  <c r="AE11" i="12"/>
  <c r="V11" i="12"/>
  <c r="AW10" i="12"/>
  <c r="AN10" i="12"/>
  <c r="AE10" i="12"/>
  <c r="V10" i="12"/>
  <c r="AW9" i="12"/>
  <c r="AN9" i="12"/>
  <c r="AE9" i="12"/>
  <c r="V9" i="12"/>
  <c r="AW8" i="12"/>
  <c r="AN8" i="12"/>
  <c r="AE8" i="12"/>
  <c r="V8" i="12"/>
  <c r="AW7" i="12"/>
  <c r="AN7" i="12"/>
  <c r="AE7" i="12"/>
  <c r="V7" i="12"/>
  <c r="AW6" i="12"/>
  <c r="AN6" i="12"/>
  <c r="AE6" i="12"/>
  <c r="V6" i="12"/>
  <c r="AW5" i="12"/>
  <c r="AN5" i="12"/>
  <c r="AE5" i="12"/>
  <c r="V5" i="12"/>
  <c r="AW80" i="11"/>
  <c r="AN80" i="11"/>
  <c r="AE80" i="11"/>
  <c r="V80" i="11"/>
  <c r="AW79" i="11"/>
  <c r="AN79" i="11"/>
  <c r="AE79" i="11"/>
  <c r="V79" i="11"/>
  <c r="AW78" i="11"/>
  <c r="AN78" i="11"/>
  <c r="AE78" i="11"/>
  <c r="V78" i="11"/>
  <c r="AW77" i="11"/>
  <c r="AN77" i="11"/>
  <c r="AE77" i="11"/>
  <c r="V77" i="11"/>
  <c r="AW76" i="11"/>
  <c r="AN76" i="11"/>
  <c r="AE76" i="11"/>
  <c r="V76" i="11"/>
  <c r="AW75" i="11"/>
  <c r="AN75" i="11"/>
  <c r="AE75" i="11"/>
  <c r="V75" i="11"/>
  <c r="AW74" i="11"/>
  <c r="AN74" i="11"/>
  <c r="AE74" i="11"/>
  <c r="V74" i="11"/>
  <c r="AW73" i="11"/>
  <c r="AN73" i="11"/>
  <c r="AE73" i="11"/>
  <c r="V73" i="11"/>
  <c r="AW72" i="11"/>
  <c r="AN72" i="11"/>
  <c r="AE72" i="11"/>
  <c r="V72" i="11"/>
  <c r="AW71" i="11"/>
  <c r="AN71" i="11"/>
  <c r="AE71" i="11"/>
  <c r="V71" i="11"/>
  <c r="AW70" i="11"/>
  <c r="AN70" i="11"/>
  <c r="AE70" i="11"/>
  <c r="V70" i="11"/>
  <c r="AW69" i="11"/>
  <c r="AN69" i="11"/>
  <c r="AE69" i="11"/>
  <c r="V69" i="11"/>
  <c r="AW68" i="11"/>
  <c r="AN68" i="11"/>
  <c r="AE68" i="11"/>
  <c r="V68" i="11"/>
  <c r="AW67" i="11"/>
  <c r="AN67" i="11"/>
  <c r="AE67" i="11"/>
  <c r="V67" i="11"/>
  <c r="AW66" i="11"/>
  <c r="AN66" i="11"/>
  <c r="AE66" i="11"/>
  <c r="V66" i="11"/>
  <c r="AW65" i="11"/>
  <c r="AN65" i="11"/>
  <c r="AE65" i="11"/>
  <c r="V65" i="11"/>
  <c r="AW64" i="11"/>
  <c r="AN64" i="11"/>
  <c r="AE64" i="11"/>
  <c r="V64" i="11"/>
  <c r="AW63" i="11"/>
  <c r="AN63" i="11"/>
  <c r="AE63" i="11"/>
  <c r="V63" i="11"/>
  <c r="AW62" i="11"/>
  <c r="AN62" i="11"/>
  <c r="AE62" i="11"/>
  <c r="V62" i="11"/>
  <c r="AW61" i="11"/>
  <c r="AN61" i="11"/>
  <c r="AE61" i="11"/>
  <c r="V61" i="11"/>
  <c r="AW60" i="11"/>
  <c r="AN60" i="11"/>
  <c r="AE60" i="11"/>
  <c r="V60" i="11"/>
  <c r="AW59" i="11"/>
  <c r="AN59" i="11"/>
  <c r="AE59" i="11"/>
  <c r="V59" i="11"/>
  <c r="AW58" i="11"/>
  <c r="AN58" i="11"/>
  <c r="AE58" i="11"/>
  <c r="V58" i="11"/>
  <c r="AW57" i="11"/>
  <c r="AN57" i="11"/>
  <c r="AE57" i="11"/>
  <c r="V57" i="11"/>
  <c r="AW56" i="11"/>
  <c r="AN56" i="11"/>
  <c r="AE56" i="11"/>
  <c r="V56" i="11"/>
  <c r="AW55" i="11"/>
  <c r="AN55" i="11"/>
  <c r="AE55" i="11"/>
  <c r="V55" i="11"/>
  <c r="AW54" i="11"/>
  <c r="AN54" i="11"/>
  <c r="AE54" i="11"/>
  <c r="V54" i="11"/>
  <c r="AW53" i="11"/>
  <c r="AN53" i="11"/>
  <c r="AE53" i="11"/>
  <c r="V53" i="11"/>
  <c r="AW52" i="11"/>
  <c r="AN52" i="11"/>
  <c r="AE52" i="11"/>
  <c r="V52" i="11"/>
  <c r="AW51" i="11"/>
  <c r="AN51" i="11"/>
  <c r="AE51" i="11"/>
  <c r="V51" i="11"/>
  <c r="AW50" i="11"/>
  <c r="AN50" i="11"/>
  <c r="AE50" i="11"/>
  <c r="V50" i="11"/>
  <c r="AW49" i="11"/>
  <c r="AN49" i="11"/>
  <c r="AE49" i="11"/>
  <c r="V49" i="11"/>
  <c r="AW48" i="11"/>
  <c r="AN48" i="11"/>
  <c r="AE48" i="11"/>
  <c r="V48" i="11"/>
  <c r="AW47" i="11"/>
  <c r="AN47" i="11"/>
  <c r="AE47" i="11"/>
  <c r="V47" i="11"/>
  <c r="AW46" i="11"/>
  <c r="AN46" i="11"/>
  <c r="AE46" i="11"/>
  <c r="V46" i="11"/>
  <c r="AW45" i="11"/>
  <c r="AN45" i="11"/>
  <c r="AE45" i="11"/>
  <c r="V45" i="11"/>
  <c r="AW44" i="11"/>
  <c r="AN44" i="11"/>
  <c r="AE44" i="11"/>
  <c r="V44" i="11"/>
  <c r="AW43" i="11"/>
  <c r="AN43" i="11"/>
  <c r="AE43" i="11"/>
  <c r="V43" i="11"/>
  <c r="AW42" i="11"/>
  <c r="AN42" i="11"/>
  <c r="AE42" i="11"/>
  <c r="V42" i="11"/>
  <c r="AW41" i="11"/>
  <c r="AN41" i="11"/>
  <c r="AE41" i="11"/>
  <c r="V41" i="11"/>
  <c r="AW40" i="11"/>
  <c r="AN40" i="11"/>
  <c r="AE40" i="11"/>
  <c r="V40" i="11"/>
  <c r="AW39" i="11"/>
  <c r="AN39" i="11"/>
  <c r="AE39" i="11"/>
  <c r="V39" i="11"/>
  <c r="AW38" i="11"/>
  <c r="AN38" i="11"/>
  <c r="AE38" i="11"/>
  <c r="V38" i="11"/>
  <c r="AW37" i="11"/>
  <c r="AN37" i="11"/>
  <c r="AE37" i="11"/>
  <c r="V37" i="11"/>
  <c r="AW36" i="11"/>
  <c r="AN36" i="11"/>
  <c r="AE36" i="11"/>
  <c r="V36" i="11"/>
  <c r="AW35" i="11"/>
  <c r="AN35" i="11"/>
  <c r="AE35" i="11"/>
  <c r="V35" i="11"/>
  <c r="AW34" i="11"/>
  <c r="AN34" i="11"/>
  <c r="AE34" i="11"/>
  <c r="V34" i="11"/>
  <c r="AW33" i="11"/>
  <c r="AN33" i="11"/>
  <c r="AE33" i="11"/>
  <c r="V33" i="11"/>
  <c r="AW32" i="11"/>
  <c r="AN32" i="11"/>
  <c r="AE32" i="11"/>
  <c r="V32" i="11"/>
  <c r="AW31" i="11"/>
  <c r="AN31" i="11"/>
  <c r="AE31" i="11"/>
  <c r="V31" i="11"/>
  <c r="AW30" i="11"/>
  <c r="AN30" i="11"/>
  <c r="AE30" i="11"/>
  <c r="V30" i="11"/>
  <c r="AW29" i="11"/>
  <c r="AN29" i="11"/>
  <c r="AE29" i="11"/>
  <c r="V29" i="11"/>
  <c r="AW28" i="11"/>
  <c r="AN28" i="11"/>
  <c r="AE28" i="11"/>
  <c r="V28" i="11"/>
  <c r="AW27" i="11"/>
  <c r="AN27" i="11"/>
  <c r="AE27" i="11"/>
  <c r="V27" i="11"/>
  <c r="AW26" i="11"/>
  <c r="AN26" i="11"/>
  <c r="AE26" i="11"/>
  <c r="V26" i="11"/>
  <c r="AW25" i="11"/>
  <c r="AN25" i="11"/>
  <c r="AE25" i="11"/>
  <c r="V25" i="11"/>
  <c r="AW24" i="11"/>
  <c r="AN24" i="11"/>
  <c r="AE24" i="11"/>
  <c r="V24" i="11"/>
  <c r="AW23" i="11"/>
  <c r="AN23" i="11"/>
  <c r="AE23" i="11"/>
  <c r="V23" i="11"/>
  <c r="AW22" i="11"/>
  <c r="AN22" i="11"/>
  <c r="AE22" i="11"/>
  <c r="V22" i="11"/>
  <c r="AW21" i="11"/>
  <c r="AN21" i="11"/>
  <c r="AE21" i="11"/>
  <c r="V21" i="11"/>
  <c r="AW20" i="11"/>
  <c r="AN20" i="11"/>
  <c r="AE20" i="11"/>
  <c r="V20" i="11"/>
  <c r="AW19" i="11"/>
  <c r="AN19" i="11"/>
  <c r="AE19" i="11"/>
  <c r="V19" i="11"/>
  <c r="AW18" i="11"/>
  <c r="AN18" i="11"/>
  <c r="AE18" i="11"/>
  <c r="V18" i="11"/>
  <c r="AW17" i="11"/>
  <c r="AN17" i="11"/>
  <c r="AE17" i="11"/>
  <c r="V17" i="11"/>
  <c r="AW16" i="11"/>
  <c r="AN16" i="11"/>
  <c r="AE16" i="11"/>
  <c r="V16" i="11"/>
  <c r="AW15" i="11"/>
  <c r="AN15" i="11"/>
  <c r="AE15" i="11"/>
  <c r="V15" i="11"/>
  <c r="AW14" i="11"/>
  <c r="AN14" i="11"/>
  <c r="AE14" i="11"/>
  <c r="V14" i="11"/>
  <c r="AW13" i="11"/>
  <c r="AN13" i="11"/>
  <c r="AE13" i="11"/>
  <c r="V13" i="11"/>
  <c r="AW12" i="11"/>
  <c r="AN12" i="11"/>
  <c r="AE12" i="11"/>
  <c r="V12" i="11"/>
  <c r="AW11" i="11"/>
  <c r="AN11" i="11"/>
  <c r="AE11" i="11"/>
  <c r="V11" i="11"/>
  <c r="AW10" i="11"/>
  <c r="AN10" i="11"/>
  <c r="AE10" i="11"/>
  <c r="V10" i="11"/>
  <c r="M10" i="11"/>
  <c r="AW9" i="11"/>
  <c r="AN9" i="11"/>
  <c r="AE9" i="11"/>
  <c r="V9" i="11"/>
  <c r="AW8" i="11"/>
  <c r="AN8" i="11"/>
  <c r="AE8" i="11"/>
  <c r="V8" i="11"/>
  <c r="AW7" i="11"/>
  <c r="AN7" i="11"/>
  <c r="AE7" i="11"/>
  <c r="V7" i="11"/>
  <c r="AW6" i="11"/>
  <c r="AN6" i="11"/>
  <c r="AE6" i="11"/>
  <c r="V6" i="11"/>
  <c r="AW5" i="11"/>
  <c r="AN5" i="11"/>
  <c r="AE5" i="11"/>
  <c r="V5" i="11"/>
  <c r="AW39" i="10"/>
  <c r="AN39" i="10"/>
  <c r="AE39" i="10"/>
  <c r="V39" i="10"/>
  <c r="AW38" i="10"/>
  <c r="AN38" i="10"/>
  <c r="AE38" i="10"/>
  <c r="V38" i="10"/>
  <c r="AW37" i="10"/>
  <c r="AN37" i="10"/>
  <c r="AE37" i="10"/>
  <c r="V37" i="10"/>
  <c r="AW36" i="10"/>
  <c r="AN36" i="10"/>
  <c r="AE36" i="10"/>
  <c r="V36" i="10"/>
  <c r="AW35" i="10"/>
  <c r="AN35" i="10"/>
  <c r="AE35" i="10"/>
  <c r="V35" i="10"/>
  <c r="AW34" i="10"/>
  <c r="AN34" i="10"/>
  <c r="AE34" i="10"/>
  <c r="V34" i="10"/>
  <c r="M34" i="10"/>
  <c r="AW33" i="10"/>
  <c r="AN33" i="10"/>
  <c r="AE33" i="10"/>
  <c r="V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AW29" i="10"/>
  <c r="AN29" i="10"/>
  <c r="AE29" i="10"/>
  <c r="V29" i="10"/>
  <c r="AW28" i="10"/>
  <c r="AN28" i="10"/>
  <c r="AE28" i="10"/>
  <c r="V28" i="10"/>
  <c r="AW27" i="10"/>
  <c r="AN27" i="10"/>
  <c r="AE27" i="10"/>
  <c r="V27" i="10"/>
  <c r="AW26" i="10"/>
  <c r="AN26" i="10"/>
  <c r="AE26" i="10"/>
  <c r="V26" i="10"/>
  <c r="AW25" i="10"/>
  <c r="AN25" i="10"/>
  <c r="AE25" i="10"/>
  <c r="V25" i="10"/>
  <c r="AW24" i="10"/>
  <c r="AN24" i="10"/>
  <c r="AE24" i="10"/>
  <c r="V24" i="10"/>
  <c r="AW23" i="10"/>
  <c r="AN23" i="10"/>
  <c r="AE23" i="10"/>
  <c r="V23" i="10"/>
  <c r="AW22" i="10"/>
  <c r="AN22" i="10"/>
  <c r="AE22" i="10"/>
  <c r="V22" i="10"/>
  <c r="M22" i="10"/>
  <c r="AW21" i="10"/>
  <c r="AN21" i="10"/>
  <c r="AE21" i="10"/>
  <c r="V21" i="10"/>
  <c r="AW20" i="10"/>
  <c r="AN20" i="10"/>
  <c r="AE20" i="10"/>
  <c r="V20" i="10"/>
  <c r="AW19" i="10"/>
  <c r="AN19" i="10"/>
  <c r="AE19" i="10"/>
  <c r="V19" i="10"/>
  <c r="AW18" i="10"/>
  <c r="AN18" i="10"/>
  <c r="AE18" i="10"/>
  <c r="V18" i="10"/>
  <c r="AW17" i="10"/>
  <c r="AN17" i="10"/>
  <c r="AE17" i="10"/>
  <c r="V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AW11" i="10"/>
  <c r="AN11" i="10"/>
  <c r="AE11" i="10"/>
  <c r="V11" i="10"/>
  <c r="AW10" i="10"/>
  <c r="AN10" i="10"/>
  <c r="AE10" i="10"/>
  <c r="V10" i="10"/>
  <c r="M10" i="10"/>
  <c r="AW9" i="10"/>
  <c r="AN9" i="10"/>
  <c r="AE9" i="10"/>
  <c r="V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AW26" i="9"/>
  <c r="AN26" i="9"/>
  <c r="AE26" i="9"/>
  <c r="V26" i="9"/>
  <c r="AW25" i="9"/>
  <c r="AN25" i="9"/>
  <c r="AE25" i="9"/>
  <c r="V25" i="9"/>
  <c r="AW24" i="9"/>
  <c r="AN24" i="9"/>
  <c r="AE24" i="9"/>
  <c r="V24" i="9"/>
  <c r="AW23" i="9"/>
  <c r="AN23" i="9"/>
  <c r="AE23" i="9"/>
  <c r="V23" i="9"/>
  <c r="AW22" i="9"/>
  <c r="AN22" i="9"/>
  <c r="AE22" i="9"/>
  <c r="V22" i="9"/>
  <c r="M22" i="9"/>
  <c r="AW21" i="9"/>
  <c r="AN21" i="9"/>
  <c r="AE21" i="9"/>
  <c r="V21" i="9"/>
  <c r="AW20" i="9"/>
  <c r="AN20" i="9"/>
  <c r="AE20" i="9"/>
  <c r="V20" i="9"/>
  <c r="AW19" i="9"/>
  <c r="AN19" i="9"/>
  <c r="AE19" i="9"/>
  <c r="V19" i="9"/>
  <c r="AW18" i="9"/>
  <c r="AN18" i="9"/>
  <c r="AE18" i="9"/>
  <c r="V18" i="9"/>
  <c r="AW17" i="9"/>
  <c r="AN17" i="9"/>
  <c r="AE17" i="9"/>
  <c r="V17" i="9"/>
  <c r="AW16" i="9"/>
  <c r="AN16" i="9"/>
  <c r="AE16" i="9"/>
  <c r="V16" i="9"/>
  <c r="AW15" i="9"/>
  <c r="AN15" i="9"/>
  <c r="AE15" i="9"/>
  <c r="V15" i="9"/>
  <c r="AW14" i="9"/>
  <c r="AN14" i="9"/>
  <c r="AE14" i="9"/>
  <c r="V14" i="9"/>
  <c r="M14" i="9"/>
  <c r="AW13" i="9"/>
  <c r="AN13" i="9"/>
  <c r="AE13" i="9"/>
  <c r="V13" i="9"/>
  <c r="AW12" i="9"/>
  <c r="AN12" i="9"/>
  <c r="AE12" i="9"/>
  <c r="V12" i="9"/>
  <c r="AW11" i="9"/>
  <c r="AN11" i="9"/>
  <c r="AE11" i="9"/>
  <c r="V11" i="9"/>
  <c r="AW10" i="9"/>
  <c r="AN10" i="9"/>
  <c r="AE10" i="9"/>
  <c r="V10" i="9"/>
  <c r="AW9" i="9"/>
  <c r="AN9" i="9"/>
  <c r="AE9" i="9"/>
  <c r="V9" i="9"/>
  <c r="AW8" i="9"/>
  <c r="AN8" i="9"/>
  <c r="AE8" i="9"/>
  <c r="V8" i="9"/>
  <c r="AW7" i="9"/>
  <c r="AN7" i="9"/>
  <c r="AE7" i="9"/>
  <c r="V7" i="9"/>
  <c r="AW6" i="9"/>
  <c r="AN6" i="9"/>
  <c r="AE6" i="9"/>
  <c r="V6" i="9"/>
  <c r="M6" i="9"/>
  <c r="AW5" i="9"/>
  <c r="AN5" i="9"/>
  <c r="AE5" i="9"/>
  <c r="V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AW12" i="8"/>
  <c r="AN12" i="8"/>
  <c r="AE12" i="8"/>
  <c r="V12" i="8"/>
  <c r="AW11" i="8"/>
  <c r="AN11" i="8"/>
  <c r="AE11" i="8"/>
  <c r="V11" i="8"/>
  <c r="AW10" i="8"/>
  <c r="AN10" i="8"/>
  <c r="AE10" i="8"/>
  <c r="V10" i="8"/>
  <c r="AW9" i="8"/>
  <c r="AN9" i="8"/>
  <c r="AE9" i="8"/>
  <c r="V9" i="8"/>
  <c r="M9" i="8"/>
  <c r="AW8" i="8"/>
  <c r="AN8" i="8"/>
  <c r="AE8" i="8"/>
  <c r="V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77" i="7"/>
  <c r="AN77" i="7"/>
  <c r="AE77" i="7"/>
  <c r="V77" i="7"/>
  <c r="AW76" i="7"/>
  <c r="AN76" i="7"/>
  <c r="AE76" i="7"/>
  <c r="V76" i="7"/>
  <c r="AW75" i="7"/>
  <c r="AN75" i="7"/>
  <c r="AE75" i="7"/>
  <c r="V75" i="7"/>
  <c r="AW74" i="7"/>
  <c r="AN74" i="7"/>
  <c r="AE74" i="7"/>
  <c r="V74" i="7"/>
  <c r="AW73" i="7"/>
  <c r="AN73" i="7"/>
  <c r="AE73" i="7"/>
  <c r="V73" i="7"/>
  <c r="AW72" i="7"/>
  <c r="AN72" i="7"/>
  <c r="AE72" i="7"/>
  <c r="V72" i="7"/>
  <c r="AW71" i="7"/>
  <c r="AN71" i="7"/>
  <c r="AE71" i="7"/>
  <c r="V71" i="7"/>
  <c r="AW70" i="7"/>
  <c r="AN70" i="7"/>
  <c r="AE70" i="7"/>
  <c r="V70" i="7"/>
  <c r="M70" i="7"/>
  <c r="AW69" i="7"/>
  <c r="AN69" i="7"/>
  <c r="AE69" i="7"/>
  <c r="V69" i="7"/>
  <c r="AW68" i="7"/>
  <c r="AN68" i="7"/>
  <c r="AE68" i="7"/>
  <c r="V68" i="7"/>
  <c r="AW67" i="7"/>
  <c r="AN67" i="7"/>
  <c r="AE67" i="7"/>
  <c r="V67" i="7"/>
  <c r="AW66" i="7"/>
  <c r="AN66" i="7"/>
  <c r="AE66" i="7"/>
  <c r="V66" i="7"/>
  <c r="AW65" i="7"/>
  <c r="AN65" i="7"/>
  <c r="AE65" i="7"/>
  <c r="V65" i="7"/>
  <c r="AW64" i="7"/>
  <c r="AN64" i="7"/>
  <c r="AE64" i="7"/>
  <c r="V64" i="7"/>
  <c r="AW63" i="7"/>
  <c r="AN63" i="7"/>
  <c r="AE63" i="7"/>
  <c r="V63" i="7"/>
  <c r="AW62" i="7"/>
  <c r="AN62" i="7"/>
  <c r="AE62" i="7"/>
  <c r="V62" i="7"/>
  <c r="AW61" i="7"/>
  <c r="AN61" i="7"/>
  <c r="AE61" i="7"/>
  <c r="V61" i="7"/>
  <c r="AW60" i="7"/>
  <c r="AN60" i="7"/>
  <c r="AE60" i="7"/>
  <c r="V60" i="7"/>
  <c r="AW59" i="7"/>
  <c r="AN59" i="7"/>
  <c r="AE59" i="7"/>
  <c r="V59" i="7"/>
  <c r="AW58" i="7"/>
  <c r="AN58" i="7"/>
  <c r="AE58" i="7"/>
  <c r="V58" i="7"/>
  <c r="AW57" i="7"/>
  <c r="AN57" i="7"/>
  <c r="AE57" i="7"/>
  <c r="V57" i="7"/>
  <c r="AW56" i="7"/>
  <c r="AN56" i="7"/>
  <c r="AE56" i="7"/>
  <c r="V56" i="7"/>
  <c r="AW55" i="7"/>
  <c r="AN55" i="7"/>
  <c r="AE55" i="7"/>
  <c r="V55" i="7"/>
  <c r="AW54" i="7"/>
  <c r="AN54" i="7"/>
  <c r="AE54" i="7"/>
  <c r="V54" i="7"/>
  <c r="AW53" i="7"/>
  <c r="AN53" i="7"/>
  <c r="AE53" i="7"/>
  <c r="V53" i="7"/>
  <c r="AW52" i="7"/>
  <c r="AN52" i="7"/>
  <c r="AE52" i="7"/>
  <c r="V52" i="7"/>
  <c r="AW51" i="7"/>
  <c r="AN51" i="7"/>
  <c r="AE51" i="7"/>
  <c r="V51" i="7"/>
  <c r="AW50" i="7"/>
  <c r="AN50" i="7"/>
  <c r="AE50" i="7"/>
  <c r="V50" i="7"/>
  <c r="AW49" i="7"/>
  <c r="AN49" i="7"/>
  <c r="AE49" i="7"/>
  <c r="V49" i="7"/>
  <c r="AW48" i="7"/>
  <c r="AN48" i="7"/>
  <c r="AE48" i="7"/>
  <c r="V48" i="7"/>
  <c r="AW47" i="7"/>
  <c r="AN47" i="7"/>
  <c r="AE47" i="7"/>
  <c r="V47" i="7"/>
  <c r="AW46" i="7"/>
  <c r="AN46" i="7"/>
  <c r="AE46" i="7"/>
  <c r="V46" i="7"/>
  <c r="AW45" i="7"/>
  <c r="AN45" i="7"/>
  <c r="AE45" i="7"/>
  <c r="V45" i="7"/>
  <c r="AW44" i="7"/>
  <c r="AN44" i="7"/>
  <c r="AE44" i="7"/>
  <c r="V44" i="7"/>
  <c r="AW43" i="7"/>
  <c r="AN43" i="7"/>
  <c r="AE43" i="7"/>
  <c r="V43" i="7"/>
  <c r="AW42" i="7"/>
  <c r="AN42" i="7"/>
  <c r="AE42" i="7"/>
  <c r="V42" i="7"/>
  <c r="AW41" i="7"/>
  <c r="AN41" i="7"/>
  <c r="AE41" i="7"/>
  <c r="V41" i="7"/>
  <c r="AW40" i="7"/>
  <c r="AN40" i="7"/>
  <c r="AE40" i="7"/>
  <c r="V40" i="7"/>
  <c r="AW39" i="7"/>
  <c r="AN39" i="7"/>
  <c r="AE39" i="7"/>
  <c r="V39" i="7"/>
  <c r="AW38" i="7"/>
  <c r="AN38" i="7"/>
  <c r="AE38" i="7"/>
  <c r="V38" i="7"/>
  <c r="AW37" i="7"/>
  <c r="AN37" i="7"/>
  <c r="AE37" i="7"/>
  <c r="V37" i="7"/>
  <c r="AW36" i="7"/>
  <c r="AN36" i="7"/>
  <c r="AE36" i="7"/>
  <c r="V36" i="7"/>
  <c r="AW35" i="7"/>
  <c r="AN35" i="7"/>
  <c r="AE35" i="7"/>
  <c r="V35" i="7"/>
  <c r="AW34" i="7"/>
  <c r="AN34" i="7"/>
  <c r="AE34" i="7"/>
  <c r="V34" i="7"/>
  <c r="AW33" i="7"/>
  <c r="AN33" i="7"/>
  <c r="AE33" i="7"/>
  <c r="V33" i="7"/>
  <c r="AW32" i="7"/>
  <c r="AN32" i="7"/>
  <c r="AE32" i="7"/>
  <c r="V32" i="7"/>
  <c r="AW31" i="7"/>
  <c r="AN31" i="7"/>
  <c r="AE31" i="7"/>
  <c r="V31" i="7"/>
  <c r="AW30" i="7"/>
  <c r="AN30" i="7"/>
  <c r="AE30" i="7"/>
  <c r="V30" i="7"/>
  <c r="AW29" i="7"/>
  <c r="AN29" i="7"/>
  <c r="AE29" i="7"/>
  <c r="V29" i="7"/>
  <c r="AW28" i="7"/>
  <c r="AN28" i="7"/>
  <c r="AE28" i="7"/>
  <c r="V28" i="7"/>
  <c r="AW27" i="7"/>
  <c r="AN27" i="7"/>
  <c r="AE27" i="7"/>
  <c r="V27" i="7"/>
  <c r="AW26" i="7"/>
  <c r="AN26" i="7"/>
  <c r="AE26" i="7"/>
  <c r="V26" i="7"/>
  <c r="AW25" i="7"/>
  <c r="AN25" i="7"/>
  <c r="AE25" i="7"/>
  <c r="V25" i="7"/>
  <c r="AW24" i="7"/>
  <c r="AN24" i="7"/>
  <c r="AE24" i="7"/>
  <c r="V24" i="7"/>
  <c r="AW23" i="7"/>
  <c r="AN23" i="7"/>
  <c r="AE23" i="7"/>
  <c r="V23" i="7"/>
  <c r="AW22" i="7"/>
  <c r="AN22" i="7"/>
  <c r="AE22" i="7"/>
  <c r="V22" i="7"/>
  <c r="AW21" i="7"/>
  <c r="AN21" i="7"/>
  <c r="AE21" i="7"/>
  <c r="V21" i="7"/>
  <c r="AW20" i="7"/>
  <c r="AN20" i="7"/>
  <c r="AE20" i="7"/>
  <c r="V20" i="7"/>
  <c r="AW19" i="7"/>
  <c r="AN19" i="7"/>
  <c r="AE19" i="7"/>
  <c r="V19" i="7"/>
  <c r="AW18" i="7"/>
  <c r="AN18" i="7"/>
  <c r="AE18" i="7"/>
  <c r="V18" i="7"/>
  <c r="AW17" i="7"/>
  <c r="AN17" i="7"/>
  <c r="AE17" i="7"/>
  <c r="V17" i="7"/>
  <c r="AW16" i="7"/>
  <c r="AN16" i="7"/>
  <c r="AE16" i="7"/>
  <c r="V16" i="7"/>
  <c r="M16" i="7"/>
  <c r="AW15" i="7"/>
  <c r="AN15" i="7"/>
  <c r="AE15" i="7"/>
  <c r="V15" i="7"/>
  <c r="AW14" i="7"/>
  <c r="AN14" i="7"/>
  <c r="AE14" i="7"/>
  <c r="V14" i="7"/>
  <c r="AW13" i="7"/>
  <c r="AN13" i="7"/>
  <c r="AE13" i="7"/>
  <c r="V13" i="7"/>
  <c r="AW12" i="7"/>
  <c r="AN12" i="7"/>
  <c r="AE12" i="7"/>
  <c r="V12" i="7"/>
  <c r="AW11" i="7"/>
  <c r="AN11" i="7"/>
  <c r="AE11" i="7"/>
  <c r="V11" i="7"/>
  <c r="AW10" i="7"/>
  <c r="AN10" i="7"/>
  <c r="AE10" i="7"/>
  <c r="V10" i="7"/>
  <c r="AW9" i="7"/>
  <c r="AN9" i="7"/>
  <c r="AE9" i="7"/>
  <c r="V9" i="7"/>
  <c r="AW8" i="7"/>
  <c r="AN8" i="7"/>
  <c r="AE8" i="7"/>
  <c r="V8" i="7"/>
  <c r="AW7" i="7"/>
  <c r="AN7" i="7"/>
  <c r="AE7" i="7"/>
  <c r="V7" i="7"/>
  <c r="AW6" i="7"/>
  <c r="AN6" i="7"/>
  <c r="AE6" i="7"/>
  <c r="V6" i="7"/>
  <c r="AW5" i="7"/>
  <c r="AN5" i="7"/>
  <c r="AE5" i="7"/>
  <c r="V5" i="7"/>
  <c r="AW1413" i="6"/>
  <c r="AN1413" i="6"/>
  <c r="AE1413" i="6"/>
  <c r="V1413" i="6"/>
  <c r="AW1412" i="6"/>
  <c r="AN1412" i="6"/>
  <c r="AE1412" i="6"/>
  <c r="V1412" i="6"/>
  <c r="AW1411" i="6"/>
  <c r="AN1411" i="6"/>
  <c r="AE1411" i="6"/>
  <c r="V1411" i="6"/>
  <c r="AW1410" i="6"/>
  <c r="AN1410" i="6"/>
  <c r="AE1410" i="6"/>
  <c r="V1410" i="6"/>
  <c r="AW1409" i="6"/>
  <c r="AN1409" i="6"/>
  <c r="AE1409" i="6"/>
  <c r="V1409" i="6"/>
  <c r="AW1408" i="6"/>
  <c r="AN1408" i="6"/>
  <c r="AE1408" i="6"/>
  <c r="V1408" i="6"/>
  <c r="AW1407" i="6"/>
  <c r="AN1407" i="6"/>
  <c r="AE1407" i="6"/>
  <c r="V1407" i="6"/>
  <c r="AW1406" i="6"/>
  <c r="AN1406" i="6"/>
  <c r="AE1406" i="6"/>
  <c r="V1406" i="6"/>
  <c r="AW1405" i="6"/>
  <c r="AN1405" i="6"/>
  <c r="AE1405" i="6"/>
  <c r="V1405" i="6"/>
  <c r="AW1404" i="6"/>
  <c r="AN1404" i="6"/>
  <c r="AE1404" i="6"/>
  <c r="V1404" i="6"/>
  <c r="AW1403" i="6"/>
  <c r="AN1403" i="6"/>
  <c r="AE1403" i="6"/>
  <c r="V1403" i="6"/>
  <c r="AW1402" i="6"/>
  <c r="AN1402" i="6"/>
  <c r="AE1402" i="6"/>
  <c r="V1402" i="6"/>
  <c r="AW1401" i="6"/>
  <c r="AN1401" i="6"/>
  <c r="AE1401" i="6"/>
  <c r="V1401" i="6"/>
  <c r="AW1400" i="6"/>
  <c r="AN1400" i="6"/>
  <c r="AE1400" i="6"/>
  <c r="V1400" i="6"/>
  <c r="AW1399" i="6"/>
  <c r="AN1399" i="6"/>
  <c r="AE1399" i="6"/>
  <c r="V1399" i="6"/>
  <c r="AW1398" i="6"/>
  <c r="AN1398" i="6"/>
  <c r="AE1398" i="6"/>
  <c r="V1398" i="6"/>
  <c r="AW1397" i="6"/>
  <c r="AN1397" i="6"/>
  <c r="AE1397" i="6"/>
  <c r="V1397" i="6"/>
  <c r="AW1396" i="6"/>
  <c r="AN1396" i="6"/>
  <c r="AE1396" i="6"/>
  <c r="V1396" i="6"/>
  <c r="AW1395" i="6"/>
  <c r="AN1395" i="6"/>
  <c r="AE1395" i="6"/>
  <c r="V1395" i="6"/>
  <c r="AW1394" i="6"/>
  <c r="AN1394" i="6"/>
  <c r="AE1394" i="6"/>
  <c r="V1394" i="6"/>
  <c r="AW1393" i="6"/>
  <c r="AN1393" i="6"/>
  <c r="AE1393" i="6"/>
  <c r="V1393" i="6"/>
  <c r="AW1392" i="6"/>
  <c r="AN1392" i="6"/>
  <c r="AE1392" i="6"/>
  <c r="V1392" i="6"/>
  <c r="M1392" i="6"/>
  <c r="AW1391" i="6"/>
  <c r="AN1391" i="6"/>
  <c r="AE1391" i="6"/>
  <c r="V1391" i="6"/>
  <c r="AW1390" i="6"/>
  <c r="AN1390" i="6"/>
  <c r="AE1390" i="6"/>
  <c r="V1390" i="6"/>
  <c r="AW1389" i="6"/>
  <c r="AN1389" i="6"/>
  <c r="AE1389" i="6"/>
  <c r="V1389" i="6"/>
  <c r="AW1388" i="6"/>
  <c r="AN1388" i="6"/>
  <c r="AE1388" i="6"/>
  <c r="V1388" i="6"/>
  <c r="AW1387" i="6"/>
  <c r="AN1387" i="6"/>
  <c r="AE1387" i="6"/>
  <c r="V1387" i="6"/>
  <c r="AW1386" i="6"/>
  <c r="AN1386" i="6"/>
  <c r="AE1386" i="6"/>
  <c r="V1386" i="6"/>
  <c r="AW1385" i="6"/>
  <c r="AN1385" i="6"/>
  <c r="AE1385" i="6"/>
  <c r="V1385" i="6"/>
  <c r="AW1384" i="6"/>
  <c r="AN1384" i="6"/>
  <c r="AE1384" i="6"/>
  <c r="V1384" i="6"/>
  <c r="AW1383" i="6"/>
  <c r="AN1383" i="6"/>
  <c r="AE1383" i="6"/>
  <c r="V1383" i="6"/>
  <c r="AW1382" i="6"/>
  <c r="AN1382" i="6"/>
  <c r="AE1382" i="6"/>
  <c r="V1382" i="6"/>
  <c r="AW1381" i="6"/>
  <c r="AN1381" i="6"/>
  <c r="AE1381" i="6"/>
  <c r="V1381" i="6"/>
  <c r="AW1380" i="6"/>
  <c r="AN1380" i="6"/>
  <c r="AE1380" i="6"/>
  <c r="V1380" i="6"/>
  <c r="AW1379" i="6"/>
  <c r="AN1379" i="6"/>
  <c r="AE1379" i="6"/>
  <c r="V1379" i="6"/>
  <c r="AW1378" i="6"/>
  <c r="AN1378" i="6"/>
  <c r="AE1378" i="6"/>
  <c r="V1378" i="6"/>
  <c r="AW1377" i="6"/>
  <c r="AN1377" i="6"/>
  <c r="AE1377" i="6"/>
  <c r="V1377" i="6"/>
  <c r="AW1376" i="6"/>
  <c r="AN1376" i="6"/>
  <c r="AE1376" i="6"/>
  <c r="V1376" i="6"/>
  <c r="AW1375" i="6"/>
  <c r="AN1375" i="6"/>
  <c r="AE1375" i="6"/>
  <c r="V1375" i="6"/>
  <c r="AW1374" i="6"/>
  <c r="AN1374" i="6"/>
  <c r="AE1374" i="6"/>
  <c r="V1374" i="6"/>
  <c r="AW1373" i="6"/>
  <c r="AN1373" i="6"/>
  <c r="AE1373" i="6"/>
  <c r="V1373" i="6"/>
  <c r="AW1372" i="6"/>
  <c r="AN1372" i="6"/>
  <c r="AE1372" i="6"/>
  <c r="V1372" i="6"/>
  <c r="AW1371" i="6"/>
  <c r="AN1371" i="6"/>
  <c r="AE1371" i="6"/>
  <c r="V1371" i="6"/>
  <c r="AW1370" i="6"/>
  <c r="AN1370" i="6"/>
  <c r="AE1370" i="6"/>
  <c r="V1370" i="6"/>
  <c r="AW1369" i="6"/>
  <c r="AN1369" i="6"/>
  <c r="AE1369" i="6"/>
  <c r="V1369" i="6"/>
  <c r="AW1368" i="6"/>
  <c r="AN1368" i="6"/>
  <c r="AE1368" i="6"/>
  <c r="V1368" i="6"/>
  <c r="M1368" i="6"/>
  <c r="AW1367" i="6"/>
  <c r="AN1367" i="6"/>
  <c r="AE1367" i="6"/>
  <c r="V1367" i="6"/>
  <c r="AW1366" i="6"/>
  <c r="AN1366" i="6"/>
  <c r="AE1366" i="6"/>
  <c r="V1366" i="6"/>
  <c r="AW1365" i="6"/>
  <c r="AN1365" i="6"/>
  <c r="AE1365" i="6"/>
  <c r="V1365" i="6"/>
  <c r="AW1364" i="6"/>
  <c r="AN1364" i="6"/>
  <c r="AE1364" i="6"/>
  <c r="V1364" i="6"/>
  <c r="AW1363" i="6"/>
  <c r="AN1363" i="6"/>
  <c r="AE1363" i="6"/>
  <c r="V1363" i="6"/>
  <c r="AW1362" i="6"/>
  <c r="AN1362" i="6"/>
  <c r="AE1362" i="6"/>
  <c r="V1362" i="6"/>
  <c r="AW1361" i="6"/>
  <c r="AN1361" i="6"/>
  <c r="AE1361" i="6"/>
  <c r="V1361" i="6"/>
  <c r="AW1360" i="6"/>
  <c r="AN1360" i="6"/>
  <c r="AE1360" i="6"/>
  <c r="V1360" i="6"/>
  <c r="M1360" i="6"/>
  <c r="AW1359" i="6"/>
  <c r="AN1359" i="6"/>
  <c r="AE1359" i="6"/>
  <c r="V1359" i="6"/>
  <c r="AW1358" i="6"/>
  <c r="AN1358" i="6"/>
  <c r="AE1358" i="6"/>
  <c r="V1358" i="6"/>
  <c r="AW1357" i="6"/>
  <c r="AN1357" i="6"/>
  <c r="AE1357" i="6"/>
  <c r="V1357" i="6"/>
  <c r="AW1356" i="6"/>
  <c r="AN1356" i="6"/>
  <c r="AE1356" i="6"/>
  <c r="V1356" i="6"/>
  <c r="AW1355" i="6"/>
  <c r="AN1355" i="6"/>
  <c r="AE1355" i="6"/>
  <c r="V1355" i="6"/>
  <c r="AW1354" i="6"/>
  <c r="AN1354" i="6"/>
  <c r="AE1354" i="6"/>
  <c r="V1354" i="6"/>
  <c r="AW1353" i="6"/>
  <c r="AN1353" i="6"/>
  <c r="AE1353" i="6"/>
  <c r="V1353" i="6"/>
  <c r="AW1352" i="6"/>
  <c r="AN1352" i="6"/>
  <c r="AE1352" i="6"/>
  <c r="V1352" i="6"/>
  <c r="M1352" i="6"/>
  <c r="AW1351" i="6"/>
  <c r="AN1351" i="6"/>
  <c r="AE1351" i="6"/>
  <c r="V1351" i="6"/>
  <c r="AW1350" i="6"/>
  <c r="AN1350" i="6"/>
  <c r="AE1350" i="6"/>
  <c r="V1350" i="6"/>
  <c r="AW1349" i="6"/>
  <c r="AN1349" i="6"/>
  <c r="AE1349" i="6"/>
  <c r="V1349" i="6"/>
  <c r="AW1348" i="6"/>
  <c r="AN1348" i="6"/>
  <c r="AE1348" i="6"/>
  <c r="V1348" i="6"/>
  <c r="AW1347" i="6"/>
  <c r="AN1347" i="6"/>
  <c r="AE1347" i="6"/>
  <c r="V1347" i="6"/>
  <c r="AW1346" i="6"/>
  <c r="AN1346" i="6"/>
  <c r="AE1346" i="6"/>
  <c r="V1346" i="6"/>
  <c r="AW1345" i="6"/>
  <c r="AN1345" i="6"/>
  <c r="AE1345" i="6"/>
  <c r="V1345" i="6"/>
  <c r="AW1344" i="6"/>
  <c r="AN1344" i="6"/>
  <c r="AE1344" i="6"/>
  <c r="V1344" i="6"/>
  <c r="M1344" i="6"/>
  <c r="AW1343" i="6"/>
  <c r="AN1343" i="6"/>
  <c r="AE1343" i="6"/>
  <c r="V1343" i="6"/>
  <c r="AW1342" i="6"/>
  <c r="AN1342" i="6"/>
  <c r="AE1342" i="6"/>
  <c r="V1342" i="6"/>
  <c r="AW1341" i="6"/>
  <c r="AN1341" i="6"/>
  <c r="AE1341" i="6"/>
  <c r="V1341" i="6"/>
  <c r="AW1340" i="6"/>
  <c r="AN1340" i="6"/>
  <c r="AE1340" i="6"/>
  <c r="V1340" i="6"/>
  <c r="AW1339" i="6"/>
  <c r="AN1339" i="6"/>
  <c r="AE1339" i="6"/>
  <c r="V1339" i="6"/>
  <c r="AW1338" i="6"/>
  <c r="AN1338" i="6"/>
  <c r="AE1338" i="6"/>
  <c r="V1338" i="6"/>
  <c r="AW1337" i="6"/>
  <c r="AN1337" i="6"/>
  <c r="AE1337" i="6"/>
  <c r="V1337" i="6"/>
  <c r="AW1336" i="6"/>
  <c r="AN1336" i="6"/>
  <c r="AE1336" i="6"/>
  <c r="V1336" i="6"/>
  <c r="AW1335" i="6"/>
  <c r="AN1335" i="6"/>
  <c r="AE1335" i="6"/>
  <c r="V1335" i="6"/>
  <c r="AW1334" i="6"/>
  <c r="AN1334" i="6"/>
  <c r="AE1334" i="6"/>
  <c r="V1334" i="6"/>
  <c r="M1334" i="6"/>
  <c r="AW1333" i="6"/>
  <c r="AN1333" i="6"/>
  <c r="AE1333" i="6"/>
  <c r="V1333" i="6"/>
  <c r="AW1332" i="6"/>
  <c r="AN1332" i="6"/>
  <c r="AE1332" i="6"/>
  <c r="V1332" i="6"/>
  <c r="AW1331" i="6"/>
  <c r="AN1331" i="6"/>
  <c r="AE1331" i="6"/>
  <c r="V1331" i="6"/>
  <c r="AW1330" i="6"/>
  <c r="AN1330" i="6"/>
  <c r="AE1330" i="6"/>
  <c r="V1330" i="6"/>
  <c r="AW1329" i="6"/>
  <c r="AN1329" i="6"/>
  <c r="AE1329" i="6"/>
  <c r="V1329" i="6"/>
  <c r="AW1328" i="6"/>
  <c r="AN1328" i="6"/>
  <c r="AE1328" i="6"/>
  <c r="V1328" i="6"/>
  <c r="M1328" i="6"/>
  <c r="AW1327" i="6"/>
  <c r="AN1327" i="6"/>
  <c r="AE1327" i="6"/>
  <c r="V1327" i="6"/>
  <c r="AW1326" i="6"/>
  <c r="AN1326" i="6"/>
  <c r="AE1326" i="6"/>
  <c r="V1326" i="6"/>
  <c r="AW1325" i="6"/>
  <c r="AN1325" i="6"/>
  <c r="AE1325" i="6"/>
  <c r="V1325" i="6"/>
  <c r="AW1324" i="6"/>
  <c r="AN1324" i="6"/>
  <c r="AE1324" i="6"/>
  <c r="V1324" i="6"/>
  <c r="AW1323" i="6"/>
  <c r="AN1323" i="6"/>
  <c r="AE1323" i="6"/>
  <c r="V1323" i="6"/>
  <c r="AW1322" i="6"/>
  <c r="AN1322" i="6"/>
  <c r="AE1322" i="6"/>
  <c r="V1322" i="6"/>
  <c r="AW1321" i="6"/>
  <c r="AN1321" i="6"/>
  <c r="AE1321" i="6"/>
  <c r="V1321" i="6"/>
  <c r="AW1320" i="6"/>
  <c r="AN1320" i="6"/>
  <c r="AE1320" i="6"/>
  <c r="V1320" i="6"/>
  <c r="AW1319" i="6"/>
  <c r="AN1319" i="6"/>
  <c r="AE1319" i="6"/>
  <c r="V1319" i="6"/>
  <c r="AW1318" i="6"/>
  <c r="AN1318" i="6"/>
  <c r="AE1318" i="6"/>
  <c r="V1318" i="6"/>
  <c r="AW1317" i="6"/>
  <c r="AN1317" i="6"/>
  <c r="AE1317" i="6"/>
  <c r="V1317" i="6"/>
  <c r="AW1316" i="6"/>
  <c r="AN1316" i="6"/>
  <c r="AE1316" i="6"/>
  <c r="V1316" i="6"/>
  <c r="AW1315" i="6"/>
  <c r="AN1315" i="6"/>
  <c r="AE1315" i="6"/>
  <c r="V1315" i="6"/>
  <c r="AW1314" i="6"/>
  <c r="AN1314" i="6"/>
  <c r="AE1314" i="6"/>
  <c r="V1314" i="6"/>
  <c r="AW1313" i="6"/>
  <c r="AN1313" i="6"/>
  <c r="AE1313" i="6"/>
  <c r="V1313" i="6"/>
  <c r="AW1312" i="6"/>
  <c r="AN1312" i="6"/>
  <c r="AE1312" i="6"/>
  <c r="V1312" i="6"/>
  <c r="M1312" i="6"/>
  <c r="AW1311" i="6"/>
  <c r="AN1311" i="6"/>
  <c r="AE1311" i="6"/>
  <c r="V1311" i="6"/>
  <c r="AW1310" i="6"/>
  <c r="AN1310" i="6"/>
  <c r="AE1310" i="6"/>
  <c r="V1310" i="6"/>
  <c r="AW1309" i="6"/>
  <c r="AN1309" i="6"/>
  <c r="AE1309" i="6"/>
  <c r="V1309" i="6"/>
  <c r="AW1308" i="6"/>
  <c r="AN1308" i="6"/>
  <c r="AE1308" i="6"/>
  <c r="V1308" i="6"/>
  <c r="AW1307" i="6"/>
  <c r="AN1307" i="6"/>
  <c r="AE1307" i="6"/>
  <c r="V1307" i="6"/>
  <c r="AW1306" i="6"/>
  <c r="AN1306" i="6"/>
  <c r="AE1306" i="6"/>
  <c r="V1306" i="6"/>
  <c r="AW1305" i="6"/>
  <c r="AN1305" i="6"/>
  <c r="AE1305" i="6"/>
  <c r="V1305" i="6"/>
  <c r="AW1304" i="6"/>
  <c r="AN1304" i="6"/>
  <c r="AE1304" i="6"/>
  <c r="V1304" i="6"/>
  <c r="AW1303" i="6"/>
  <c r="AN1303" i="6"/>
  <c r="AE1303" i="6"/>
  <c r="V1303" i="6"/>
  <c r="AW1302" i="6"/>
  <c r="AN1302" i="6"/>
  <c r="AE1302" i="6"/>
  <c r="V1302" i="6"/>
  <c r="AW1301" i="6"/>
  <c r="AN1301" i="6"/>
  <c r="AE1301" i="6"/>
  <c r="V1301" i="6"/>
  <c r="AW1300" i="6"/>
  <c r="AN1300" i="6"/>
  <c r="AE1300" i="6"/>
  <c r="V1300" i="6"/>
  <c r="AW1299" i="6"/>
  <c r="AN1299" i="6"/>
  <c r="AE1299" i="6"/>
  <c r="V1299" i="6"/>
  <c r="AW1298" i="6"/>
  <c r="AN1298" i="6"/>
  <c r="AE1298" i="6"/>
  <c r="V1298" i="6"/>
  <c r="AW1297" i="6"/>
  <c r="AN1297" i="6"/>
  <c r="AE1297" i="6"/>
  <c r="V1297" i="6"/>
  <c r="M1297" i="6"/>
  <c r="AW1296" i="6"/>
  <c r="AN1296" i="6"/>
  <c r="AE1296" i="6"/>
  <c r="V1296" i="6"/>
  <c r="AW1295" i="6"/>
  <c r="AN1295" i="6"/>
  <c r="AE1295" i="6"/>
  <c r="V1295" i="6"/>
  <c r="AW1294" i="6"/>
  <c r="AN1294" i="6"/>
  <c r="AE1294" i="6"/>
  <c r="V1294" i="6"/>
  <c r="AW1293" i="6"/>
  <c r="AN1293" i="6"/>
  <c r="AE1293" i="6"/>
  <c r="V1293" i="6"/>
  <c r="AW1292" i="6"/>
  <c r="AN1292" i="6"/>
  <c r="AE1292" i="6"/>
  <c r="V1292" i="6"/>
  <c r="AW1291" i="6"/>
  <c r="AN1291" i="6"/>
  <c r="AE1291" i="6"/>
  <c r="V1291" i="6"/>
  <c r="AW1290" i="6"/>
  <c r="AN1290" i="6"/>
  <c r="AE1290" i="6"/>
  <c r="V1290" i="6"/>
  <c r="AW1289" i="6"/>
  <c r="AN1289" i="6"/>
  <c r="AE1289" i="6"/>
  <c r="V1289" i="6"/>
  <c r="AW1288" i="6"/>
  <c r="AN1288" i="6"/>
  <c r="AE1288" i="6"/>
  <c r="V1288" i="6"/>
  <c r="AW1287" i="6"/>
  <c r="AN1287" i="6"/>
  <c r="AE1287" i="6"/>
  <c r="V1287" i="6"/>
  <c r="AW1286" i="6"/>
  <c r="AN1286" i="6"/>
  <c r="AE1286" i="6"/>
  <c r="V1286" i="6"/>
  <c r="AW1285" i="6"/>
  <c r="AN1285" i="6"/>
  <c r="AE1285" i="6"/>
  <c r="V1285" i="6"/>
  <c r="AW1284" i="6"/>
  <c r="AN1284" i="6"/>
  <c r="AE1284" i="6"/>
  <c r="V1284" i="6"/>
  <c r="AW1283" i="6"/>
  <c r="AN1283" i="6"/>
  <c r="AE1283" i="6"/>
  <c r="V1283" i="6"/>
  <c r="AW1282" i="6"/>
  <c r="AN1282" i="6"/>
  <c r="AE1282" i="6"/>
  <c r="V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AW1278" i="6"/>
  <c r="AN1278" i="6"/>
  <c r="AE1278" i="6"/>
  <c r="V1278" i="6"/>
  <c r="AW1277" i="6"/>
  <c r="AN1277" i="6"/>
  <c r="AE1277" i="6"/>
  <c r="V1277" i="6"/>
  <c r="AW1276" i="6"/>
  <c r="AN1276" i="6"/>
  <c r="AE1276" i="6"/>
  <c r="V1276" i="6"/>
  <c r="AW1275" i="6"/>
  <c r="AN1275" i="6"/>
  <c r="AE1275" i="6"/>
  <c r="V1275" i="6"/>
  <c r="AW1274" i="6"/>
  <c r="AN1274" i="6"/>
  <c r="AE1274" i="6"/>
  <c r="V1274" i="6"/>
  <c r="AW1273" i="6"/>
  <c r="AN1273" i="6"/>
  <c r="AE1273" i="6"/>
  <c r="V1273" i="6"/>
  <c r="AW1272" i="6"/>
  <c r="AN1272" i="6"/>
  <c r="AE1272" i="6"/>
  <c r="V1272" i="6"/>
  <c r="AW1271" i="6"/>
  <c r="AN1271" i="6"/>
  <c r="AE1271" i="6"/>
  <c r="V1271" i="6"/>
  <c r="M1271" i="6"/>
  <c r="AW1270" i="6"/>
  <c r="AN1270" i="6"/>
  <c r="AE1270" i="6"/>
  <c r="V1270" i="6"/>
  <c r="AW1269" i="6"/>
  <c r="AN1269" i="6"/>
  <c r="AE1269" i="6"/>
  <c r="V1269" i="6"/>
  <c r="AW1268" i="6"/>
  <c r="AN1268" i="6"/>
  <c r="AE1268" i="6"/>
  <c r="V1268" i="6"/>
  <c r="AW1267" i="6"/>
  <c r="AN1267" i="6"/>
  <c r="AE1267" i="6"/>
  <c r="V1267" i="6"/>
  <c r="AW1266" i="6"/>
  <c r="AN1266" i="6"/>
  <c r="AE1266" i="6"/>
  <c r="V1266" i="6"/>
  <c r="AW1265" i="6"/>
  <c r="AN1265" i="6"/>
  <c r="AE1265" i="6"/>
  <c r="V1265" i="6"/>
  <c r="AW1264" i="6"/>
  <c r="AN1264" i="6"/>
  <c r="AE1264" i="6"/>
  <c r="V1264" i="6"/>
  <c r="AW1263" i="6"/>
  <c r="AN1263" i="6"/>
  <c r="AE1263" i="6"/>
  <c r="V1263" i="6"/>
  <c r="AW1262" i="6"/>
  <c r="AN1262" i="6"/>
  <c r="AE1262" i="6"/>
  <c r="V1262" i="6"/>
  <c r="AW1261" i="6"/>
  <c r="AN1261" i="6"/>
  <c r="AE1261" i="6"/>
  <c r="V1261" i="6"/>
  <c r="AW1260" i="6"/>
  <c r="AN1260" i="6"/>
  <c r="AE1260" i="6"/>
  <c r="V1260" i="6"/>
  <c r="AW1259" i="6"/>
  <c r="AN1259" i="6"/>
  <c r="AE1259" i="6"/>
  <c r="V1259" i="6"/>
  <c r="AW1258" i="6"/>
  <c r="AN1258" i="6"/>
  <c r="AE1258" i="6"/>
  <c r="V1258" i="6"/>
  <c r="AW1257" i="6"/>
  <c r="AN1257" i="6"/>
  <c r="AE1257" i="6"/>
  <c r="V1257" i="6"/>
  <c r="AW1256" i="6"/>
  <c r="AN1256" i="6"/>
  <c r="AE1256" i="6"/>
  <c r="V1256" i="6"/>
  <c r="AW1255" i="6"/>
  <c r="AN1255" i="6"/>
  <c r="AE1255" i="6"/>
  <c r="V1255" i="6"/>
  <c r="AW1254" i="6"/>
  <c r="AN1254" i="6"/>
  <c r="AE1254" i="6"/>
  <c r="V1254" i="6"/>
  <c r="AW1253" i="6"/>
  <c r="AN1253" i="6"/>
  <c r="AE1253" i="6"/>
  <c r="V1253" i="6"/>
  <c r="AW1252" i="6"/>
  <c r="AN1252" i="6"/>
  <c r="AE1252" i="6"/>
  <c r="V1252" i="6"/>
  <c r="AW1251" i="6"/>
  <c r="AN1251" i="6"/>
  <c r="AE1251" i="6"/>
  <c r="V1251" i="6"/>
  <c r="AW1250" i="6"/>
  <c r="AN1250" i="6"/>
  <c r="AE1250" i="6"/>
  <c r="V1250" i="6"/>
  <c r="AW1249" i="6"/>
  <c r="AN1249" i="6"/>
  <c r="AE1249" i="6"/>
  <c r="V1249" i="6"/>
  <c r="AW1248" i="6"/>
  <c r="AN1248" i="6"/>
  <c r="AE1248" i="6"/>
  <c r="V1248" i="6"/>
  <c r="AW1247" i="6"/>
  <c r="AN1247" i="6"/>
  <c r="AE1247" i="6"/>
  <c r="V1247" i="6"/>
  <c r="M1247" i="6"/>
  <c r="AW1246" i="6"/>
  <c r="AN1246" i="6"/>
  <c r="AE1246" i="6"/>
  <c r="V1246" i="6"/>
  <c r="AW1245" i="6"/>
  <c r="AN1245" i="6"/>
  <c r="AE1245" i="6"/>
  <c r="V1245" i="6"/>
  <c r="AW1244" i="6"/>
  <c r="AN1244" i="6"/>
  <c r="AE1244" i="6"/>
  <c r="V1244" i="6"/>
  <c r="AW1243" i="6"/>
  <c r="AN1243" i="6"/>
  <c r="AE1243" i="6"/>
  <c r="V1243" i="6"/>
  <c r="AW1242" i="6"/>
  <c r="AN1242" i="6"/>
  <c r="AE1242" i="6"/>
  <c r="V1242" i="6"/>
  <c r="AW1241" i="6"/>
  <c r="AN1241" i="6"/>
  <c r="AE1241" i="6"/>
  <c r="V1241" i="6"/>
  <c r="AW1240" i="6"/>
  <c r="AN1240" i="6"/>
  <c r="AE1240" i="6"/>
  <c r="V1240" i="6"/>
  <c r="AW1239" i="6"/>
  <c r="AN1239" i="6"/>
  <c r="AE1239" i="6"/>
  <c r="V1239" i="6"/>
  <c r="AW1238" i="6"/>
  <c r="AN1238" i="6"/>
  <c r="AE1238" i="6"/>
  <c r="V1238" i="6"/>
  <c r="AW1237" i="6"/>
  <c r="AN1237" i="6"/>
  <c r="AE1237" i="6"/>
  <c r="V1237" i="6"/>
  <c r="AW1236" i="6"/>
  <c r="AN1236" i="6"/>
  <c r="AE1236" i="6"/>
  <c r="V1236" i="6"/>
  <c r="AW1235" i="6"/>
  <c r="AN1235" i="6"/>
  <c r="AE1235" i="6"/>
  <c r="V1235" i="6"/>
  <c r="AW1234" i="6"/>
  <c r="AN1234" i="6"/>
  <c r="AE1234" i="6"/>
  <c r="V1234" i="6"/>
  <c r="AW1233" i="6"/>
  <c r="AN1233" i="6"/>
  <c r="AE1233" i="6"/>
  <c r="V1233" i="6"/>
  <c r="AW1232" i="6"/>
  <c r="AN1232" i="6"/>
  <c r="AE1232" i="6"/>
  <c r="V1232" i="6"/>
  <c r="AW1231" i="6"/>
  <c r="AN1231" i="6"/>
  <c r="AE1231" i="6"/>
  <c r="V1231" i="6"/>
  <c r="AW1230" i="6"/>
  <c r="AN1230" i="6"/>
  <c r="AE1230" i="6"/>
  <c r="V1230" i="6"/>
  <c r="AW1229" i="6"/>
  <c r="AN1229" i="6"/>
  <c r="AE1229" i="6"/>
  <c r="V1229" i="6"/>
  <c r="AW1228" i="6"/>
  <c r="AN1228" i="6"/>
  <c r="AE1228" i="6"/>
  <c r="V1228" i="6"/>
  <c r="AW1227" i="6"/>
  <c r="AN1227" i="6"/>
  <c r="AE1227" i="6"/>
  <c r="V1227" i="6"/>
  <c r="AW1226" i="6"/>
  <c r="AN1226" i="6"/>
  <c r="AE1226" i="6"/>
  <c r="V1226" i="6"/>
  <c r="AW1225" i="6"/>
  <c r="AN1225" i="6"/>
  <c r="AE1225" i="6"/>
  <c r="V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AW1221" i="6"/>
  <c r="AN1221" i="6"/>
  <c r="AE1221" i="6"/>
  <c r="V1221" i="6"/>
  <c r="AW1220" i="6"/>
  <c r="AN1220" i="6"/>
  <c r="AE1220" i="6"/>
  <c r="V1220" i="6"/>
  <c r="AW1219" i="6"/>
  <c r="AN1219" i="6"/>
  <c r="AE1219" i="6"/>
  <c r="V1219" i="6"/>
  <c r="AW1218" i="6"/>
  <c r="AN1218" i="6"/>
  <c r="AE1218" i="6"/>
  <c r="V1218" i="6"/>
  <c r="AW1217" i="6"/>
  <c r="AN1217" i="6"/>
  <c r="AE1217" i="6"/>
  <c r="V1217" i="6"/>
  <c r="AW1216" i="6"/>
  <c r="AN1216" i="6"/>
  <c r="AE1216" i="6"/>
  <c r="V1216" i="6"/>
  <c r="AW1215" i="6"/>
  <c r="AN1215" i="6"/>
  <c r="AE1215" i="6"/>
  <c r="V1215" i="6"/>
  <c r="AW1214" i="6"/>
  <c r="AN1214" i="6"/>
  <c r="AE1214" i="6"/>
  <c r="V1214" i="6"/>
  <c r="AW1213" i="6"/>
  <c r="AN1213" i="6"/>
  <c r="AE1213" i="6"/>
  <c r="V1213" i="6"/>
  <c r="AW1212" i="6"/>
  <c r="AN1212" i="6"/>
  <c r="AE1212" i="6"/>
  <c r="V1212" i="6"/>
  <c r="AW1211" i="6"/>
  <c r="AN1211" i="6"/>
  <c r="AE1211" i="6"/>
  <c r="V1211" i="6"/>
  <c r="AW1210" i="6"/>
  <c r="AN1210" i="6"/>
  <c r="AE1210" i="6"/>
  <c r="V1210" i="6"/>
  <c r="AW1209" i="6"/>
  <c r="AN1209" i="6"/>
  <c r="AE1209" i="6"/>
  <c r="V1209" i="6"/>
  <c r="AW1208" i="6"/>
  <c r="AN1208" i="6"/>
  <c r="AE1208" i="6"/>
  <c r="V1208" i="6"/>
  <c r="AW1207" i="6"/>
  <c r="AN1207" i="6"/>
  <c r="AE1207" i="6"/>
  <c r="V1207" i="6"/>
  <c r="AW1206" i="6"/>
  <c r="AN1206" i="6"/>
  <c r="AE1206" i="6"/>
  <c r="V1206" i="6"/>
  <c r="AW1205" i="6"/>
  <c r="AN1205" i="6"/>
  <c r="AE1205" i="6"/>
  <c r="V1205" i="6"/>
  <c r="AW1204" i="6"/>
  <c r="AN1204" i="6"/>
  <c r="AE1204" i="6"/>
  <c r="V1204" i="6"/>
  <c r="AW1203" i="6"/>
  <c r="AN1203" i="6"/>
  <c r="AE1203" i="6"/>
  <c r="V1203" i="6"/>
  <c r="AW1202" i="6"/>
  <c r="AN1202" i="6"/>
  <c r="AE1202" i="6"/>
  <c r="V1202" i="6"/>
  <c r="AW1201" i="6"/>
  <c r="AN1201" i="6"/>
  <c r="AE1201" i="6"/>
  <c r="V1201" i="6"/>
  <c r="AW1200" i="6"/>
  <c r="AN1200" i="6"/>
  <c r="AE1200" i="6"/>
  <c r="V1200" i="6"/>
  <c r="AW1199" i="6"/>
  <c r="AN1199" i="6"/>
  <c r="AE1199" i="6"/>
  <c r="V1199" i="6"/>
  <c r="M1199" i="6"/>
  <c r="AW1198" i="6"/>
  <c r="AN1198" i="6"/>
  <c r="AE1198" i="6"/>
  <c r="V1198" i="6"/>
  <c r="AW1197" i="6"/>
  <c r="AN1197" i="6"/>
  <c r="AE1197" i="6"/>
  <c r="V1197" i="6"/>
  <c r="AW1196" i="6"/>
  <c r="AN1196" i="6"/>
  <c r="AE1196" i="6"/>
  <c r="V1196" i="6"/>
  <c r="AW1195" i="6"/>
  <c r="AN1195" i="6"/>
  <c r="AE1195" i="6"/>
  <c r="V1195" i="6"/>
  <c r="AW1194" i="6"/>
  <c r="AN1194" i="6"/>
  <c r="AE1194" i="6"/>
  <c r="V1194" i="6"/>
  <c r="AW1193" i="6"/>
  <c r="AN1193" i="6"/>
  <c r="AE1193" i="6"/>
  <c r="V1193" i="6"/>
  <c r="AW1192" i="6"/>
  <c r="AN1192" i="6"/>
  <c r="AE1192" i="6"/>
  <c r="V1192" i="6"/>
  <c r="AW1191" i="6"/>
  <c r="AN1191" i="6"/>
  <c r="AE1191" i="6"/>
  <c r="V1191" i="6"/>
  <c r="AW1190" i="6"/>
  <c r="AN1190" i="6"/>
  <c r="AE1190" i="6"/>
  <c r="V1190" i="6"/>
  <c r="AW1189" i="6"/>
  <c r="AN1189" i="6"/>
  <c r="AE1189" i="6"/>
  <c r="V1189" i="6"/>
  <c r="AW1188" i="6"/>
  <c r="AN1188" i="6"/>
  <c r="AE1188" i="6"/>
  <c r="V1188" i="6"/>
  <c r="AW1187" i="6"/>
  <c r="AN1187" i="6"/>
  <c r="AE1187" i="6"/>
  <c r="V1187" i="6"/>
  <c r="AW1186" i="6"/>
  <c r="AN1186" i="6"/>
  <c r="AE1186" i="6"/>
  <c r="V1186" i="6"/>
  <c r="AW1185" i="6"/>
  <c r="AN1185" i="6"/>
  <c r="AE1185" i="6"/>
  <c r="V1185" i="6"/>
  <c r="AW1184" i="6"/>
  <c r="AN1184" i="6"/>
  <c r="AE1184" i="6"/>
  <c r="V1184" i="6"/>
  <c r="AW1183" i="6"/>
  <c r="AN1183" i="6"/>
  <c r="AE1183" i="6"/>
  <c r="V1183" i="6"/>
  <c r="AW1182" i="6"/>
  <c r="AN1182" i="6"/>
  <c r="AE1182" i="6"/>
  <c r="V1182" i="6"/>
  <c r="AW1181" i="6"/>
  <c r="AN1181" i="6"/>
  <c r="AE1181" i="6"/>
  <c r="V1181" i="6"/>
  <c r="AW1180" i="6"/>
  <c r="AN1180" i="6"/>
  <c r="AE1180" i="6"/>
  <c r="V1180" i="6"/>
  <c r="AW1179" i="6"/>
  <c r="AN1179" i="6"/>
  <c r="AE1179" i="6"/>
  <c r="V1179" i="6"/>
  <c r="AW1178" i="6"/>
  <c r="AN1178" i="6"/>
  <c r="AE1178" i="6"/>
  <c r="V1178" i="6"/>
  <c r="AW1177" i="6"/>
  <c r="AN1177" i="6"/>
  <c r="AE1177" i="6"/>
  <c r="V1177" i="6"/>
  <c r="AW1176" i="6"/>
  <c r="AN1176" i="6"/>
  <c r="AE1176" i="6"/>
  <c r="V1176" i="6"/>
  <c r="M1176" i="6"/>
  <c r="AW1175" i="6"/>
  <c r="AN1175" i="6"/>
  <c r="AE1175" i="6"/>
  <c r="V1175" i="6"/>
  <c r="AW1174" i="6"/>
  <c r="AN1174" i="6"/>
  <c r="AE1174" i="6"/>
  <c r="V1174" i="6"/>
  <c r="AW1173" i="6"/>
  <c r="AN1173" i="6"/>
  <c r="AE1173" i="6"/>
  <c r="V1173" i="6"/>
  <c r="AW1172" i="6"/>
  <c r="AN1172" i="6"/>
  <c r="AE1172" i="6"/>
  <c r="V1172" i="6"/>
  <c r="AW1171" i="6"/>
  <c r="AN1171" i="6"/>
  <c r="AE1171" i="6"/>
  <c r="V1171" i="6"/>
  <c r="AW1170" i="6"/>
  <c r="AN1170" i="6"/>
  <c r="AE1170" i="6"/>
  <c r="V1170" i="6"/>
  <c r="AW1169" i="6"/>
  <c r="AN1169" i="6"/>
  <c r="AE1169" i="6"/>
  <c r="V1169" i="6"/>
  <c r="AW1168" i="6"/>
  <c r="AN1168" i="6"/>
  <c r="AE1168" i="6"/>
  <c r="V1168" i="6"/>
  <c r="AW1167" i="6"/>
  <c r="AN1167" i="6"/>
  <c r="AE1167" i="6"/>
  <c r="V1167" i="6"/>
  <c r="AW1166" i="6"/>
  <c r="AN1166" i="6"/>
  <c r="AE1166" i="6"/>
  <c r="V1166" i="6"/>
  <c r="AW1165" i="6"/>
  <c r="AN1165" i="6"/>
  <c r="AE1165" i="6"/>
  <c r="V1165" i="6"/>
  <c r="AW1164" i="6"/>
  <c r="AN1164" i="6"/>
  <c r="AE1164" i="6"/>
  <c r="V1164" i="6"/>
  <c r="AW1163" i="6"/>
  <c r="AN1163" i="6"/>
  <c r="AE1163" i="6"/>
  <c r="V1163" i="6"/>
  <c r="AW1162" i="6"/>
  <c r="AN1162" i="6"/>
  <c r="AE1162" i="6"/>
  <c r="V1162" i="6"/>
  <c r="AW1161" i="6"/>
  <c r="AN1161" i="6"/>
  <c r="AE1161" i="6"/>
  <c r="V1161" i="6"/>
  <c r="AW1160" i="6"/>
  <c r="AN1160" i="6"/>
  <c r="AE1160" i="6"/>
  <c r="V1160" i="6"/>
  <c r="AW1159" i="6"/>
  <c r="AN1159" i="6"/>
  <c r="AE1159" i="6"/>
  <c r="V1159" i="6"/>
  <c r="AW1158" i="6"/>
  <c r="AN1158" i="6"/>
  <c r="AE1158" i="6"/>
  <c r="V1158" i="6"/>
  <c r="AW1157" i="6"/>
  <c r="AN1157" i="6"/>
  <c r="AE1157" i="6"/>
  <c r="V1157" i="6"/>
  <c r="AW1156" i="6"/>
  <c r="AN1156" i="6"/>
  <c r="AE1156" i="6"/>
  <c r="V1156" i="6"/>
  <c r="AW1155" i="6"/>
  <c r="AN1155" i="6"/>
  <c r="AE1155" i="6"/>
  <c r="V1155" i="6"/>
  <c r="AW1154" i="6"/>
  <c r="AN1154" i="6"/>
  <c r="AE1154" i="6"/>
  <c r="V1154" i="6"/>
  <c r="AW1153" i="6"/>
  <c r="AN1153" i="6"/>
  <c r="AE1153" i="6"/>
  <c r="V1153" i="6"/>
  <c r="AW1152" i="6"/>
  <c r="AN1152" i="6"/>
  <c r="AE1152" i="6"/>
  <c r="V1152" i="6"/>
  <c r="M1152" i="6"/>
  <c r="AW1151" i="6"/>
  <c r="AN1151" i="6"/>
  <c r="AE1151" i="6"/>
  <c r="V1151" i="6"/>
  <c r="AW1150" i="6"/>
  <c r="AN1150" i="6"/>
  <c r="AE1150" i="6"/>
  <c r="V1150" i="6"/>
  <c r="AW1149" i="6"/>
  <c r="AN1149" i="6"/>
  <c r="AE1149" i="6"/>
  <c r="V1149" i="6"/>
  <c r="AW1148" i="6"/>
  <c r="AN1148" i="6"/>
  <c r="AE1148" i="6"/>
  <c r="V1148" i="6"/>
  <c r="AW1147" i="6"/>
  <c r="AN1147" i="6"/>
  <c r="AE1147" i="6"/>
  <c r="V1147" i="6"/>
  <c r="AW1146" i="6"/>
  <c r="AN1146" i="6"/>
  <c r="AE1146" i="6"/>
  <c r="V1146" i="6"/>
  <c r="AW1145" i="6"/>
  <c r="AN1145" i="6"/>
  <c r="AE1145" i="6"/>
  <c r="V1145" i="6"/>
  <c r="AW1144" i="6"/>
  <c r="AN1144" i="6"/>
  <c r="AE1144" i="6"/>
  <c r="V1144" i="6"/>
  <c r="AW1143" i="6"/>
  <c r="AN1143" i="6"/>
  <c r="AE1143" i="6"/>
  <c r="V1143" i="6"/>
  <c r="AW1142" i="6"/>
  <c r="AN1142" i="6"/>
  <c r="AE1142" i="6"/>
  <c r="V1142" i="6"/>
  <c r="AW1141" i="6"/>
  <c r="AN1141" i="6"/>
  <c r="AE1141" i="6"/>
  <c r="V1141" i="6"/>
  <c r="AW1140" i="6"/>
  <c r="AN1140" i="6"/>
  <c r="AE1140" i="6"/>
  <c r="V1140" i="6"/>
  <c r="AW1139" i="6"/>
  <c r="AN1139" i="6"/>
  <c r="AE1139" i="6"/>
  <c r="V1139" i="6"/>
  <c r="AW1138" i="6"/>
  <c r="AN1138" i="6"/>
  <c r="AE1138" i="6"/>
  <c r="V1138" i="6"/>
  <c r="AW1137" i="6"/>
  <c r="AN1137" i="6"/>
  <c r="AE1137" i="6"/>
  <c r="V1137" i="6"/>
  <c r="AW1136" i="6"/>
  <c r="AN1136" i="6"/>
  <c r="AE1136" i="6"/>
  <c r="V1136" i="6"/>
  <c r="AW1135" i="6"/>
  <c r="AN1135" i="6"/>
  <c r="AE1135" i="6"/>
  <c r="V1135" i="6"/>
  <c r="AW1134" i="6"/>
  <c r="AN1134" i="6"/>
  <c r="AE1134" i="6"/>
  <c r="V1134" i="6"/>
  <c r="AW1133" i="6"/>
  <c r="AN1133" i="6"/>
  <c r="AE1133" i="6"/>
  <c r="V1133" i="6"/>
  <c r="AW1132" i="6"/>
  <c r="AN1132" i="6"/>
  <c r="AE1132" i="6"/>
  <c r="V1132" i="6"/>
  <c r="AW1131" i="6"/>
  <c r="AN1131" i="6"/>
  <c r="AE1131" i="6"/>
  <c r="V1131" i="6"/>
  <c r="AW1130" i="6"/>
  <c r="AN1130" i="6"/>
  <c r="AE1130" i="6"/>
  <c r="V1130" i="6"/>
  <c r="AW1129" i="6"/>
  <c r="AN1129" i="6"/>
  <c r="AE1129" i="6"/>
  <c r="V1129" i="6"/>
  <c r="M1129" i="6"/>
  <c r="AW1128" i="6"/>
  <c r="AN1128" i="6"/>
  <c r="AE1128" i="6"/>
  <c r="V1128" i="6"/>
  <c r="AW1127" i="6"/>
  <c r="AN1127" i="6"/>
  <c r="AE1127" i="6"/>
  <c r="V1127" i="6"/>
  <c r="AW1126" i="6"/>
  <c r="AN1126" i="6"/>
  <c r="AE1126" i="6"/>
  <c r="V1126" i="6"/>
  <c r="AW1125" i="6"/>
  <c r="AN1125" i="6"/>
  <c r="AE1125" i="6"/>
  <c r="V1125" i="6"/>
  <c r="AW1124" i="6"/>
  <c r="AN1124" i="6"/>
  <c r="AE1124" i="6"/>
  <c r="V1124" i="6"/>
  <c r="AW1123" i="6"/>
  <c r="AN1123" i="6"/>
  <c r="AE1123" i="6"/>
  <c r="V1123" i="6"/>
  <c r="AW1122" i="6"/>
  <c r="AN1122" i="6"/>
  <c r="AE1122" i="6"/>
  <c r="V1122" i="6"/>
  <c r="AW1121" i="6"/>
  <c r="AN1121" i="6"/>
  <c r="AE1121" i="6"/>
  <c r="V1121" i="6"/>
  <c r="AW1120" i="6"/>
  <c r="AN1120" i="6"/>
  <c r="AE1120" i="6"/>
  <c r="V1120" i="6"/>
  <c r="AW1119" i="6"/>
  <c r="AN1119" i="6"/>
  <c r="AE1119" i="6"/>
  <c r="V1119" i="6"/>
  <c r="AW1118" i="6"/>
  <c r="AN1118" i="6"/>
  <c r="AE1118" i="6"/>
  <c r="V1118" i="6"/>
  <c r="AW1117" i="6"/>
  <c r="AN1117" i="6"/>
  <c r="AE1117" i="6"/>
  <c r="V1117" i="6"/>
  <c r="AW1116" i="6"/>
  <c r="AN1116" i="6"/>
  <c r="AE1116" i="6"/>
  <c r="V1116" i="6"/>
  <c r="AW1115" i="6"/>
  <c r="AN1115" i="6"/>
  <c r="AE1115" i="6"/>
  <c r="V1115" i="6"/>
  <c r="AW1114" i="6"/>
  <c r="AN1114" i="6"/>
  <c r="AE1114" i="6"/>
  <c r="V1114" i="6"/>
  <c r="AW1113" i="6"/>
  <c r="AN1113" i="6"/>
  <c r="AE1113" i="6"/>
  <c r="V1113" i="6"/>
  <c r="AW1112" i="6"/>
  <c r="AN1112" i="6"/>
  <c r="AE1112" i="6"/>
  <c r="V1112" i="6"/>
  <c r="AW1111" i="6"/>
  <c r="AN1111" i="6"/>
  <c r="AE1111" i="6"/>
  <c r="V1111" i="6"/>
  <c r="AW1110" i="6"/>
  <c r="AN1110" i="6"/>
  <c r="AE1110" i="6"/>
  <c r="V1110" i="6"/>
  <c r="AW1109" i="6"/>
  <c r="AN1109" i="6"/>
  <c r="AE1109" i="6"/>
  <c r="V1109" i="6"/>
  <c r="AW1108" i="6"/>
  <c r="AN1108" i="6"/>
  <c r="AE1108" i="6"/>
  <c r="V1108" i="6"/>
  <c r="AW1107" i="6"/>
  <c r="AN1107" i="6"/>
  <c r="AE1107" i="6"/>
  <c r="V1107" i="6"/>
  <c r="AW1106" i="6"/>
  <c r="AN1106" i="6"/>
  <c r="AE1106" i="6"/>
  <c r="V1106" i="6"/>
  <c r="AW1105" i="6"/>
  <c r="AN1105" i="6"/>
  <c r="AE1105" i="6"/>
  <c r="V1105" i="6"/>
  <c r="AW1104" i="6"/>
  <c r="AN1104" i="6"/>
  <c r="AE1104" i="6"/>
  <c r="V1104" i="6"/>
  <c r="AW1103" i="6"/>
  <c r="AN1103" i="6"/>
  <c r="AE1103" i="6"/>
  <c r="V1103" i="6"/>
  <c r="AW1102" i="6"/>
  <c r="AN1102" i="6"/>
  <c r="AE1102" i="6"/>
  <c r="V1102" i="6"/>
  <c r="AW1101" i="6"/>
  <c r="AN1101" i="6"/>
  <c r="AE1101" i="6"/>
  <c r="V1101" i="6"/>
  <c r="AW1100" i="6"/>
  <c r="AN1100" i="6"/>
  <c r="AE1100" i="6"/>
  <c r="V1100" i="6"/>
  <c r="AW1099" i="6"/>
  <c r="AN1099" i="6"/>
  <c r="AE1099" i="6"/>
  <c r="V1099" i="6"/>
  <c r="AW1098" i="6"/>
  <c r="AN1098" i="6"/>
  <c r="AE1098" i="6"/>
  <c r="V1098" i="6"/>
  <c r="AW1097" i="6"/>
  <c r="AN1097" i="6"/>
  <c r="AE1097" i="6"/>
  <c r="V1097" i="6"/>
  <c r="AW1096" i="6"/>
  <c r="AN1096" i="6"/>
  <c r="AE1096" i="6"/>
  <c r="V1096" i="6"/>
  <c r="M1096" i="6"/>
  <c r="AW1095" i="6"/>
  <c r="AN1095" i="6"/>
  <c r="AE1095" i="6"/>
  <c r="V1095" i="6"/>
  <c r="AW1094" i="6"/>
  <c r="AN1094" i="6"/>
  <c r="AE1094" i="6"/>
  <c r="V1094" i="6"/>
  <c r="AW1093" i="6"/>
  <c r="AN1093" i="6"/>
  <c r="AE1093" i="6"/>
  <c r="V1093" i="6"/>
  <c r="AW1092" i="6"/>
  <c r="AN1092" i="6"/>
  <c r="AE1092" i="6"/>
  <c r="V1092" i="6"/>
  <c r="AW1091" i="6"/>
  <c r="AN1091" i="6"/>
  <c r="AE1091" i="6"/>
  <c r="V1091" i="6"/>
  <c r="AW1090" i="6"/>
  <c r="AN1090" i="6"/>
  <c r="AE1090" i="6"/>
  <c r="V1090" i="6"/>
  <c r="AW1089" i="6"/>
  <c r="AN1089" i="6"/>
  <c r="AE1089" i="6"/>
  <c r="V1089" i="6"/>
  <c r="AW1088" i="6"/>
  <c r="AN1088" i="6"/>
  <c r="AE1088" i="6"/>
  <c r="V1088" i="6"/>
  <c r="M1088" i="6"/>
  <c r="AW1087" i="6"/>
  <c r="AN1087" i="6"/>
  <c r="AE1087" i="6"/>
  <c r="V1087" i="6"/>
  <c r="AW1086" i="6"/>
  <c r="AN1086" i="6"/>
  <c r="AE1086" i="6"/>
  <c r="V1086" i="6"/>
  <c r="AW1085" i="6"/>
  <c r="AN1085" i="6"/>
  <c r="AE1085" i="6"/>
  <c r="V1085" i="6"/>
  <c r="AW1084" i="6"/>
  <c r="AN1084" i="6"/>
  <c r="AE1084" i="6"/>
  <c r="V1084" i="6"/>
  <c r="AW1083" i="6"/>
  <c r="AN1083" i="6"/>
  <c r="AE1083" i="6"/>
  <c r="V1083" i="6"/>
  <c r="AW1082" i="6"/>
  <c r="AN1082" i="6"/>
  <c r="AE1082" i="6"/>
  <c r="V1082" i="6"/>
  <c r="AW1081" i="6"/>
  <c r="AN1081" i="6"/>
  <c r="AE1081" i="6"/>
  <c r="V1081" i="6"/>
  <c r="AW1080" i="6"/>
  <c r="AN1080" i="6"/>
  <c r="AE1080" i="6"/>
  <c r="V1080" i="6"/>
  <c r="AW1079" i="6"/>
  <c r="AN1079" i="6"/>
  <c r="AE1079" i="6"/>
  <c r="V1079" i="6"/>
  <c r="M1079" i="6"/>
  <c r="AW1078" i="6"/>
  <c r="AN1078" i="6"/>
  <c r="AE1078" i="6"/>
  <c r="V1078" i="6"/>
  <c r="AW1077" i="6"/>
  <c r="AN1077" i="6"/>
  <c r="AE1077" i="6"/>
  <c r="V1077" i="6"/>
  <c r="AW1076" i="6"/>
  <c r="AN1076" i="6"/>
  <c r="AE1076" i="6"/>
  <c r="V1076" i="6"/>
  <c r="AW1075" i="6"/>
  <c r="AN1075" i="6"/>
  <c r="AE1075" i="6"/>
  <c r="V1075" i="6"/>
  <c r="AW1074" i="6"/>
  <c r="AN1074" i="6"/>
  <c r="AE1074" i="6"/>
  <c r="V1074" i="6"/>
  <c r="AW1073" i="6"/>
  <c r="AN1073" i="6"/>
  <c r="AE1073" i="6"/>
  <c r="V1073" i="6"/>
  <c r="AW1072" i="6"/>
  <c r="AN1072" i="6"/>
  <c r="AE1072" i="6"/>
  <c r="V1072" i="6"/>
  <c r="M1072" i="6"/>
  <c r="AW1071" i="6"/>
  <c r="AN1071" i="6"/>
  <c r="AE1071" i="6"/>
  <c r="V1071" i="6"/>
  <c r="AW1070" i="6"/>
  <c r="AN1070" i="6"/>
  <c r="AE1070" i="6"/>
  <c r="V1070" i="6"/>
  <c r="AW1069" i="6"/>
  <c r="AN1069" i="6"/>
  <c r="AE1069" i="6"/>
  <c r="V1069" i="6"/>
  <c r="AW1068" i="6"/>
  <c r="AN1068" i="6"/>
  <c r="AE1068" i="6"/>
  <c r="V1068" i="6"/>
  <c r="AW1067" i="6"/>
  <c r="AN1067" i="6"/>
  <c r="AE1067" i="6"/>
  <c r="V1067" i="6"/>
  <c r="AW1066" i="6"/>
  <c r="AN1066" i="6"/>
  <c r="AE1066" i="6"/>
  <c r="V1066" i="6"/>
  <c r="AW1065" i="6"/>
  <c r="AN1065" i="6"/>
  <c r="AE1065" i="6"/>
  <c r="V1065" i="6"/>
  <c r="AW1064" i="6"/>
  <c r="AN1064" i="6"/>
  <c r="AE1064" i="6"/>
  <c r="V1064" i="6"/>
  <c r="AW1063" i="6"/>
  <c r="AN1063" i="6"/>
  <c r="AE1063" i="6"/>
  <c r="V1063" i="6"/>
  <c r="AW1062" i="6"/>
  <c r="AN1062" i="6"/>
  <c r="AE1062" i="6"/>
  <c r="V1062" i="6"/>
  <c r="AW1061" i="6"/>
  <c r="AN1061" i="6"/>
  <c r="AE1061" i="6"/>
  <c r="V1061" i="6"/>
  <c r="AW1060" i="6"/>
  <c r="AN1060" i="6"/>
  <c r="AE1060" i="6"/>
  <c r="V1060" i="6"/>
  <c r="AW1059" i="6"/>
  <c r="AN1059" i="6"/>
  <c r="AE1059" i="6"/>
  <c r="V1059" i="6"/>
  <c r="AW1058" i="6"/>
  <c r="AN1058" i="6"/>
  <c r="AE1058" i="6"/>
  <c r="V1058" i="6"/>
  <c r="AW1057" i="6"/>
  <c r="AN1057" i="6"/>
  <c r="AE1057" i="6"/>
  <c r="V1057" i="6"/>
  <c r="AW1056" i="6"/>
  <c r="AN1056" i="6"/>
  <c r="AE1056" i="6"/>
  <c r="V1056" i="6"/>
  <c r="M1056" i="6"/>
  <c r="AW1055" i="6"/>
  <c r="AN1055" i="6"/>
  <c r="AE1055" i="6"/>
  <c r="V1055" i="6"/>
  <c r="AW1054" i="6"/>
  <c r="AN1054" i="6"/>
  <c r="AE1054" i="6"/>
  <c r="V1054" i="6"/>
  <c r="AW1053" i="6"/>
  <c r="AN1053" i="6"/>
  <c r="AE1053" i="6"/>
  <c r="V1053" i="6"/>
  <c r="AW1052" i="6"/>
  <c r="AN1052" i="6"/>
  <c r="AE1052" i="6"/>
  <c r="V1052" i="6"/>
  <c r="AW1051" i="6"/>
  <c r="AN1051" i="6"/>
  <c r="AE1051" i="6"/>
  <c r="V1051" i="6"/>
  <c r="AW1050" i="6"/>
  <c r="AN1050" i="6"/>
  <c r="AE1050" i="6"/>
  <c r="V1050" i="6"/>
  <c r="AW1049" i="6"/>
  <c r="AN1049" i="6"/>
  <c r="AE1049" i="6"/>
  <c r="V1049" i="6"/>
  <c r="AW1048" i="6"/>
  <c r="AN1048" i="6"/>
  <c r="AE1048" i="6"/>
  <c r="V1048" i="6"/>
  <c r="AW1047" i="6"/>
  <c r="AN1047" i="6"/>
  <c r="AE1047" i="6"/>
  <c r="V1047" i="6"/>
  <c r="AW1046" i="6"/>
  <c r="AN1046" i="6"/>
  <c r="AE1046" i="6"/>
  <c r="V1046" i="6"/>
  <c r="AW1045" i="6"/>
  <c r="AN1045" i="6"/>
  <c r="AE1045" i="6"/>
  <c r="V1045" i="6"/>
  <c r="AW1044" i="6"/>
  <c r="AN1044" i="6"/>
  <c r="AE1044" i="6"/>
  <c r="V1044" i="6"/>
  <c r="AW1043" i="6"/>
  <c r="AN1043" i="6"/>
  <c r="AE1043" i="6"/>
  <c r="V1043" i="6"/>
  <c r="AW1042" i="6"/>
  <c r="AN1042" i="6"/>
  <c r="AE1042" i="6"/>
  <c r="V1042" i="6"/>
  <c r="AW1041" i="6"/>
  <c r="AN1041" i="6"/>
  <c r="AE1041" i="6"/>
  <c r="V1041" i="6"/>
  <c r="AW1040" i="6"/>
  <c r="AN1040" i="6"/>
  <c r="AE1040" i="6"/>
  <c r="V1040" i="6"/>
  <c r="M1040" i="6"/>
  <c r="AW1039" i="6"/>
  <c r="AN1039" i="6"/>
  <c r="AE1039" i="6"/>
  <c r="V1039" i="6"/>
  <c r="AW1038" i="6"/>
  <c r="AN1038" i="6"/>
  <c r="AE1038" i="6"/>
  <c r="V1038" i="6"/>
  <c r="AW1037" i="6"/>
  <c r="AN1037" i="6"/>
  <c r="AE1037" i="6"/>
  <c r="V1037" i="6"/>
  <c r="AW1036" i="6"/>
  <c r="AN1036" i="6"/>
  <c r="AE1036" i="6"/>
  <c r="V1036" i="6"/>
  <c r="AW1035" i="6"/>
  <c r="AN1035" i="6"/>
  <c r="AE1035" i="6"/>
  <c r="V1035" i="6"/>
  <c r="AW1034" i="6"/>
  <c r="AN1034" i="6"/>
  <c r="AE1034" i="6"/>
  <c r="V1034" i="6"/>
  <c r="AW1033" i="6"/>
  <c r="AN1033" i="6"/>
  <c r="AE1033" i="6"/>
  <c r="V1033" i="6"/>
  <c r="AW1032" i="6"/>
  <c r="AN1032" i="6"/>
  <c r="AE1032" i="6"/>
  <c r="V1032" i="6"/>
  <c r="M1032" i="6"/>
  <c r="AW1031" i="6"/>
  <c r="AN1031" i="6"/>
  <c r="AE1031" i="6"/>
  <c r="V1031" i="6"/>
  <c r="AW1030" i="6"/>
  <c r="AN1030" i="6"/>
  <c r="AE1030" i="6"/>
  <c r="V1030" i="6"/>
  <c r="AW1029" i="6"/>
  <c r="AN1029" i="6"/>
  <c r="AE1029" i="6"/>
  <c r="V1029" i="6"/>
  <c r="AW1028" i="6"/>
  <c r="AN1028" i="6"/>
  <c r="AE1028" i="6"/>
  <c r="V1028" i="6"/>
  <c r="AW1027" i="6"/>
  <c r="AN1027" i="6"/>
  <c r="AE1027" i="6"/>
  <c r="V1027" i="6"/>
  <c r="AW1026" i="6"/>
  <c r="AN1026" i="6"/>
  <c r="AE1026" i="6"/>
  <c r="V1026" i="6"/>
  <c r="AW1025" i="6"/>
  <c r="AN1025" i="6"/>
  <c r="AE1025" i="6"/>
  <c r="V1025" i="6"/>
  <c r="AW1024" i="6"/>
  <c r="AN1024" i="6"/>
  <c r="AE1024" i="6"/>
  <c r="V1024" i="6"/>
  <c r="AW1023" i="6"/>
  <c r="AN1023" i="6"/>
  <c r="AE1023" i="6"/>
  <c r="V1023" i="6"/>
  <c r="M1023" i="6"/>
  <c r="AW1022" i="6"/>
  <c r="AN1022" i="6"/>
  <c r="AE1022" i="6"/>
  <c r="V1022" i="6"/>
  <c r="AW1021" i="6"/>
  <c r="AN1021" i="6"/>
  <c r="AE1021" i="6"/>
  <c r="V1021" i="6"/>
  <c r="AW1020" i="6"/>
  <c r="AN1020" i="6"/>
  <c r="AE1020" i="6"/>
  <c r="V1020" i="6"/>
  <c r="AW1019" i="6"/>
  <c r="AN1019" i="6"/>
  <c r="AE1019" i="6"/>
  <c r="V1019" i="6"/>
  <c r="AW1018" i="6"/>
  <c r="AN1018" i="6"/>
  <c r="AE1018" i="6"/>
  <c r="V1018" i="6"/>
  <c r="AW1017" i="6"/>
  <c r="AN1017" i="6"/>
  <c r="AE1017" i="6"/>
  <c r="V1017" i="6"/>
  <c r="AW1016" i="6"/>
  <c r="AN1016" i="6"/>
  <c r="AE1016" i="6"/>
  <c r="V1016" i="6"/>
  <c r="AW1015" i="6"/>
  <c r="AN1015" i="6"/>
  <c r="AE1015" i="6"/>
  <c r="V1015" i="6"/>
  <c r="AW1014" i="6"/>
  <c r="AN1014" i="6"/>
  <c r="AE1014" i="6"/>
  <c r="V1014" i="6"/>
  <c r="AW1013" i="6"/>
  <c r="AN1013" i="6"/>
  <c r="AE1013" i="6"/>
  <c r="V1013" i="6"/>
  <c r="AW1012" i="6"/>
  <c r="AN1012" i="6"/>
  <c r="AE1012" i="6"/>
  <c r="V1012" i="6"/>
  <c r="AW1011" i="6"/>
  <c r="AN1011" i="6"/>
  <c r="AE1011" i="6"/>
  <c r="V1011" i="6"/>
  <c r="AW1010" i="6"/>
  <c r="AN1010" i="6"/>
  <c r="AE1010" i="6"/>
  <c r="V1010" i="6"/>
  <c r="AW1009" i="6"/>
  <c r="AN1009" i="6"/>
  <c r="AE1009" i="6"/>
  <c r="V1009" i="6"/>
  <c r="AW1008" i="6"/>
  <c r="AN1008" i="6"/>
  <c r="AE1008" i="6"/>
  <c r="V1008" i="6"/>
  <c r="AW1007" i="6"/>
  <c r="AN1007" i="6"/>
  <c r="AE1007" i="6"/>
  <c r="V1007" i="6"/>
  <c r="AW1006" i="6"/>
  <c r="AN1006" i="6"/>
  <c r="AE1006" i="6"/>
  <c r="V1006" i="6"/>
  <c r="M1006" i="6"/>
  <c r="AW1005" i="6"/>
  <c r="AN1005" i="6"/>
  <c r="AE1005" i="6"/>
  <c r="V1005" i="6"/>
  <c r="AW1004" i="6"/>
  <c r="AN1004" i="6"/>
  <c r="AE1004" i="6"/>
  <c r="V1004" i="6"/>
  <c r="AW1003" i="6"/>
  <c r="AN1003" i="6"/>
  <c r="AE1003" i="6"/>
  <c r="V1003" i="6"/>
  <c r="AW1002" i="6"/>
  <c r="AN1002" i="6"/>
  <c r="AE1002" i="6"/>
  <c r="V1002" i="6"/>
  <c r="AW1001" i="6"/>
  <c r="AN1001" i="6"/>
  <c r="AE1001" i="6"/>
  <c r="V1001" i="6"/>
  <c r="AW1000" i="6"/>
  <c r="AN1000" i="6"/>
  <c r="AE1000" i="6"/>
  <c r="V1000" i="6"/>
  <c r="AW999" i="6"/>
  <c r="AN999" i="6"/>
  <c r="AE999" i="6"/>
  <c r="V999" i="6"/>
  <c r="AW998" i="6"/>
  <c r="AN998" i="6"/>
  <c r="AE998" i="6"/>
  <c r="V998" i="6"/>
  <c r="AW997" i="6"/>
  <c r="AN997" i="6"/>
  <c r="AE997" i="6"/>
  <c r="V997" i="6"/>
  <c r="AW996" i="6"/>
  <c r="AN996" i="6"/>
  <c r="AE996" i="6"/>
  <c r="V996" i="6"/>
  <c r="AW995" i="6"/>
  <c r="AN995" i="6"/>
  <c r="AE995" i="6"/>
  <c r="V995" i="6"/>
  <c r="AW994" i="6"/>
  <c r="AN994" i="6"/>
  <c r="AE994" i="6"/>
  <c r="V994" i="6"/>
  <c r="AW993" i="6"/>
  <c r="AN993" i="6"/>
  <c r="AE993" i="6"/>
  <c r="V993" i="6"/>
  <c r="AW992" i="6"/>
  <c r="AN992" i="6"/>
  <c r="AE992" i="6"/>
  <c r="V992" i="6"/>
  <c r="M992" i="6"/>
  <c r="AW991" i="6"/>
  <c r="AN991" i="6"/>
  <c r="AE991" i="6"/>
  <c r="V991" i="6"/>
  <c r="AW990" i="6"/>
  <c r="AN990" i="6"/>
  <c r="AE990" i="6"/>
  <c r="V990" i="6"/>
  <c r="AW989" i="6"/>
  <c r="AN989" i="6"/>
  <c r="AE989" i="6"/>
  <c r="V989" i="6"/>
  <c r="AW988" i="6"/>
  <c r="AN988" i="6"/>
  <c r="AE988" i="6"/>
  <c r="V988" i="6"/>
  <c r="AW987" i="6"/>
  <c r="AN987" i="6"/>
  <c r="AE987" i="6"/>
  <c r="V987" i="6"/>
  <c r="AW986" i="6"/>
  <c r="AN986" i="6"/>
  <c r="AE986" i="6"/>
  <c r="V986" i="6"/>
  <c r="AW985" i="6"/>
  <c r="AN985" i="6"/>
  <c r="AE985" i="6"/>
  <c r="V985" i="6"/>
  <c r="AW984" i="6"/>
  <c r="AN984" i="6"/>
  <c r="AE984" i="6"/>
  <c r="V984" i="6"/>
  <c r="AW983" i="6"/>
  <c r="AN983" i="6"/>
  <c r="AE983" i="6"/>
  <c r="V983" i="6"/>
  <c r="M983" i="6"/>
  <c r="AW982" i="6"/>
  <c r="AN982" i="6"/>
  <c r="AE982" i="6"/>
  <c r="V982" i="6"/>
  <c r="AW981" i="6"/>
  <c r="AN981" i="6"/>
  <c r="AE981" i="6"/>
  <c r="V981" i="6"/>
  <c r="AW980" i="6"/>
  <c r="AN980" i="6"/>
  <c r="AE980" i="6"/>
  <c r="V980" i="6"/>
  <c r="AW979" i="6"/>
  <c r="AN979" i="6"/>
  <c r="AE979" i="6"/>
  <c r="V979" i="6"/>
  <c r="AW978" i="6"/>
  <c r="AN978" i="6"/>
  <c r="AE978" i="6"/>
  <c r="V978" i="6"/>
  <c r="AW977" i="6"/>
  <c r="AN977" i="6"/>
  <c r="AE977" i="6"/>
  <c r="V977" i="6"/>
  <c r="AW976" i="6"/>
  <c r="AN976" i="6"/>
  <c r="AE976" i="6"/>
  <c r="V976" i="6"/>
  <c r="AW975" i="6"/>
  <c r="AN975" i="6"/>
  <c r="AE975" i="6"/>
  <c r="V975" i="6"/>
  <c r="AW974" i="6"/>
  <c r="AN974" i="6"/>
  <c r="AE974" i="6"/>
  <c r="V974" i="6"/>
  <c r="AW973" i="6"/>
  <c r="AN973" i="6"/>
  <c r="AE973" i="6"/>
  <c r="V973" i="6"/>
  <c r="AW972" i="6"/>
  <c r="AN972" i="6"/>
  <c r="AE972" i="6"/>
  <c r="V972" i="6"/>
  <c r="AW971" i="6"/>
  <c r="AN971" i="6"/>
  <c r="AE971" i="6"/>
  <c r="V971" i="6"/>
  <c r="AW970" i="6"/>
  <c r="AN970" i="6"/>
  <c r="AE970" i="6"/>
  <c r="V970" i="6"/>
  <c r="AW969" i="6"/>
  <c r="AN969" i="6"/>
  <c r="AE969" i="6"/>
  <c r="V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AW965" i="6"/>
  <c r="AN965" i="6"/>
  <c r="AE965" i="6"/>
  <c r="V965" i="6"/>
  <c r="AW964" i="6"/>
  <c r="AN964" i="6"/>
  <c r="AE964" i="6"/>
  <c r="V964" i="6"/>
  <c r="AW963" i="6"/>
  <c r="AN963" i="6"/>
  <c r="AE963" i="6"/>
  <c r="V963" i="6"/>
  <c r="AW962" i="6"/>
  <c r="AN962" i="6"/>
  <c r="AE962" i="6"/>
  <c r="V962" i="6"/>
  <c r="AW961" i="6"/>
  <c r="AN961" i="6"/>
  <c r="AE961" i="6"/>
  <c r="V961" i="6"/>
  <c r="AW960" i="6"/>
  <c r="AN960" i="6"/>
  <c r="AE960" i="6"/>
  <c r="V960" i="6"/>
  <c r="M960" i="6"/>
  <c r="AW959" i="6"/>
  <c r="AN959" i="6"/>
  <c r="AE959" i="6"/>
  <c r="V959" i="6"/>
  <c r="AW958" i="6"/>
  <c r="AN958" i="6"/>
  <c r="AE958" i="6"/>
  <c r="V958" i="6"/>
  <c r="AW957" i="6"/>
  <c r="AN957" i="6"/>
  <c r="AE957" i="6"/>
  <c r="V957" i="6"/>
  <c r="AW956" i="6"/>
  <c r="AN956" i="6"/>
  <c r="AE956" i="6"/>
  <c r="V956" i="6"/>
  <c r="AW955" i="6"/>
  <c r="AN955" i="6"/>
  <c r="AE955" i="6"/>
  <c r="V955" i="6"/>
  <c r="AW954" i="6"/>
  <c r="AN954" i="6"/>
  <c r="AE954" i="6"/>
  <c r="V954" i="6"/>
  <c r="AW953" i="6"/>
  <c r="AN953" i="6"/>
  <c r="AE953" i="6"/>
  <c r="V953" i="6"/>
  <c r="AW952" i="6"/>
  <c r="AN952" i="6"/>
  <c r="AE952" i="6"/>
  <c r="V952" i="6"/>
  <c r="AW951" i="6"/>
  <c r="AN951" i="6"/>
  <c r="AE951" i="6"/>
  <c r="V951" i="6"/>
  <c r="AW950" i="6"/>
  <c r="AN950" i="6"/>
  <c r="AE950" i="6"/>
  <c r="V950" i="6"/>
  <c r="M950" i="6"/>
  <c r="AW949" i="6"/>
  <c r="AN949" i="6"/>
  <c r="AE949" i="6"/>
  <c r="V949" i="6"/>
  <c r="AW948" i="6"/>
  <c r="AN948" i="6"/>
  <c r="AE948" i="6"/>
  <c r="V948" i="6"/>
  <c r="AW947" i="6"/>
  <c r="AN947" i="6"/>
  <c r="AE947" i="6"/>
  <c r="V947" i="6"/>
  <c r="AW946" i="6"/>
  <c r="AN946" i="6"/>
  <c r="AE946" i="6"/>
  <c r="V946" i="6"/>
  <c r="AW945" i="6"/>
  <c r="AN945" i="6"/>
  <c r="AE945" i="6"/>
  <c r="V945" i="6"/>
  <c r="AW944" i="6"/>
  <c r="AN944" i="6"/>
  <c r="AE944" i="6"/>
  <c r="V944" i="6"/>
  <c r="M944" i="6"/>
  <c r="AW943" i="6"/>
  <c r="AN943" i="6"/>
  <c r="AE943" i="6"/>
  <c r="V943" i="6"/>
  <c r="AW942" i="6"/>
  <c r="AN942" i="6"/>
  <c r="AE942" i="6"/>
  <c r="V942" i="6"/>
  <c r="AW941" i="6"/>
  <c r="AN941" i="6"/>
  <c r="AE941" i="6"/>
  <c r="V941" i="6"/>
  <c r="AW940" i="6"/>
  <c r="AN940" i="6"/>
  <c r="AE940" i="6"/>
  <c r="V940" i="6"/>
  <c r="AW939" i="6"/>
  <c r="AN939" i="6"/>
  <c r="AE939" i="6"/>
  <c r="V939" i="6"/>
  <c r="AW938" i="6"/>
  <c r="AN938" i="6"/>
  <c r="AE938" i="6"/>
  <c r="V938" i="6"/>
  <c r="AW937" i="6"/>
  <c r="AN937" i="6"/>
  <c r="AE937" i="6"/>
  <c r="V937" i="6"/>
  <c r="AW936" i="6"/>
  <c r="AN936" i="6"/>
  <c r="AE936" i="6"/>
  <c r="V936" i="6"/>
  <c r="AW935" i="6"/>
  <c r="AN935" i="6"/>
  <c r="AE935" i="6"/>
  <c r="V935" i="6"/>
  <c r="AW934" i="6"/>
  <c r="AN934" i="6"/>
  <c r="AE934" i="6"/>
  <c r="V934" i="6"/>
  <c r="AW933" i="6"/>
  <c r="AN933" i="6"/>
  <c r="AE933" i="6"/>
  <c r="V933" i="6"/>
  <c r="AW932" i="6"/>
  <c r="AN932" i="6"/>
  <c r="AE932" i="6"/>
  <c r="V932" i="6"/>
  <c r="AW931" i="6"/>
  <c r="AN931" i="6"/>
  <c r="AE931" i="6"/>
  <c r="V931" i="6"/>
  <c r="AW930" i="6"/>
  <c r="AN930" i="6"/>
  <c r="AE930" i="6"/>
  <c r="V930" i="6"/>
  <c r="AW929" i="6"/>
  <c r="AN929" i="6"/>
  <c r="AE929" i="6"/>
  <c r="V929" i="6"/>
  <c r="AW928" i="6"/>
  <c r="AN928" i="6"/>
  <c r="AE928" i="6"/>
  <c r="V928" i="6"/>
  <c r="AW927" i="6"/>
  <c r="AN927" i="6"/>
  <c r="AE927" i="6"/>
  <c r="V927" i="6"/>
  <c r="AW926" i="6"/>
  <c r="AN926" i="6"/>
  <c r="AE926" i="6"/>
  <c r="V926" i="6"/>
  <c r="AW925" i="6"/>
  <c r="AN925" i="6"/>
  <c r="AE925" i="6"/>
  <c r="V925" i="6"/>
  <c r="AW924" i="6"/>
  <c r="AN924" i="6"/>
  <c r="AE924" i="6"/>
  <c r="V924" i="6"/>
  <c r="AW923" i="6"/>
  <c r="AN923" i="6"/>
  <c r="AE923" i="6"/>
  <c r="V923" i="6"/>
  <c r="AW922" i="6"/>
  <c r="AN922" i="6"/>
  <c r="AE922" i="6"/>
  <c r="V922" i="6"/>
  <c r="AW921" i="6"/>
  <c r="AN921" i="6"/>
  <c r="AE921" i="6"/>
  <c r="V921" i="6"/>
  <c r="AW920" i="6"/>
  <c r="AN920" i="6"/>
  <c r="AE920" i="6"/>
  <c r="V920" i="6"/>
  <c r="M920" i="6"/>
  <c r="AW919" i="6"/>
  <c r="AN919" i="6"/>
  <c r="AE919" i="6"/>
  <c r="V919" i="6"/>
  <c r="AW918" i="6"/>
  <c r="AN918" i="6"/>
  <c r="AE918" i="6"/>
  <c r="V918" i="6"/>
  <c r="AW917" i="6"/>
  <c r="AN917" i="6"/>
  <c r="AE917" i="6"/>
  <c r="V917" i="6"/>
  <c r="AW916" i="6"/>
  <c r="AN916" i="6"/>
  <c r="AE916" i="6"/>
  <c r="V916" i="6"/>
  <c r="AW915" i="6"/>
  <c r="AN915" i="6"/>
  <c r="AE915" i="6"/>
  <c r="V915" i="6"/>
  <c r="AW914" i="6"/>
  <c r="AN914" i="6"/>
  <c r="AE914" i="6"/>
  <c r="V914" i="6"/>
  <c r="AW913" i="6"/>
  <c r="AN913" i="6"/>
  <c r="AE913" i="6"/>
  <c r="V913" i="6"/>
  <c r="AW912" i="6"/>
  <c r="AN912" i="6"/>
  <c r="AE912" i="6"/>
  <c r="V912" i="6"/>
  <c r="M912" i="6"/>
  <c r="AW911" i="6"/>
  <c r="AN911" i="6"/>
  <c r="AE911" i="6"/>
  <c r="V911" i="6"/>
  <c r="AW910" i="6"/>
  <c r="AN910" i="6"/>
  <c r="AE910" i="6"/>
  <c r="V910" i="6"/>
  <c r="AW909" i="6"/>
  <c r="AN909" i="6"/>
  <c r="AE909" i="6"/>
  <c r="V909" i="6"/>
  <c r="AW908" i="6"/>
  <c r="AN908" i="6"/>
  <c r="AE908" i="6"/>
  <c r="V908" i="6"/>
  <c r="AW907" i="6"/>
  <c r="AN907" i="6"/>
  <c r="AE907" i="6"/>
  <c r="V907" i="6"/>
  <c r="AW906" i="6"/>
  <c r="AN906" i="6"/>
  <c r="AE906" i="6"/>
  <c r="V906" i="6"/>
  <c r="AW905" i="6"/>
  <c r="AN905" i="6"/>
  <c r="AE905" i="6"/>
  <c r="V905" i="6"/>
  <c r="AW904" i="6"/>
  <c r="AN904" i="6"/>
  <c r="AE904" i="6"/>
  <c r="V904" i="6"/>
  <c r="AW903" i="6"/>
  <c r="AN903" i="6"/>
  <c r="AE903" i="6"/>
  <c r="V903" i="6"/>
  <c r="M903" i="6"/>
  <c r="AW902" i="6"/>
  <c r="AN902" i="6"/>
  <c r="AE902" i="6"/>
  <c r="V902" i="6"/>
  <c r="AW901" i="6"/>
  <c r="AN901" i="6"/>
  <c r="AE901" i="6"/>
  <c r="V901" i="6"/>
  <c r="AW900" i="6"/>
  <c r="AN900" i="6"/>
  <c r="AE900" i="6"/>
  <c r="V900" i="6"/>
  <c r="AW899" i="6"/>
  <c r="AN899" i="6"/>
  <c r="AE899" i="6"/>
  <c r="V899" i="6"/>
  <c r="AW898" i="6"/>
  <c r="AN898" i="6"/>
  <c r="AE898" i="6"/>
  <c r="V898" i="6"/>
  <c r="AW897" i="6"/>
  <c r="AN897" i="6"/>
  <c r="AE897" i="6"/>
  <c r="V897" i="6"/>
  <c r="AW896" i="6"/>
  <c r="AN896" i="6"/>
  <c r="AE896" i="6"/>
  <c r="V896" i="6"/>
  <c r="M896" i="6"/>
  <c r="AW895" i="6"/>
  <c r="AN895" i="6"/>
  <c r="AE895" i="6"/>
  <c r="V895" i="6"/>
  <c r="AW894" i="6"/>
  <c r="AN894" i="6"/>
  <c r="AE894" i="6"/>
  <c r="V894" i="6"/>
  <c r="AW893" i="6"/>
  <c r="AN893" i="6"/>
  <c r="AE893" i="6"/>
  <c r="V893" i="6"/>
  <c r="AW892" i="6"/>
  <c r="AN892" i="6"/>
  <c r="AE892" i="6"/>
  <c r="V892" i="6"/>
  <c r="AW891" i="6"/>
  <c r="AN891" i="6"/>
  <c r="AE891" i="6"/>
  <c r="V891" i="6"/>
  <c r="AW890" i="6"/>
  <c r="AN890" i="6"/>
  <c r="AE890" i="6"/>
  <c r="V890" i="6"/>
  <c r="AW889" i="6"/>
  <c r="AN889" i="6"/>
  <c r="AE889" i="6"/>
  <c r="V889" i="6"/>
  <c r="AW888" i="6"/>
  <c r="AN888" i="6"/>
  <c r="AE888" i="6"/>
  <c r="V888" i="6"/>
  <c r="AW887" i="6"/>
  <c r="AN887" i="6"/>
  <c r="AE887" i="6"/>
  <c r="V887" i="6"/>
  <c r="AW886" i="6"/>
  <c r="AN886" i="6"/>
  <c r="AE886" i="6"/>
  <c r="V886" i="6"/>
  <c r="M886" i="6"/>
  <c r="AW885" i="6"/>
  <c r="AN885" i="6"/>
  <c r="AE885" i="6"/>
  <c r="V885" i="6"/>
  <c r="AW884" i="6"/>
  <c r="AN884" i="6"/>
  <c r="AE884" i="6"/>
  <c r="V884" i="6"/>
  <c r="AW883" i="6"/>
  <c r="AN883" i="6"/>
  <c r="AE883" i="6"/>
  <c r="V883" i="6"/>
  <c r="AW882" i="6"/>
  <c r="AN882" i="6"/>
  <c r="AE882" i="6"/>
  <c r="V882" i="6"/>
  <c r="AW881" i="6"/>
  <c r="AN881" i="6"/>
  <c r="AE881" i="6"/>
  <c r="V881" i="6"/>
  <c r="AW880" i="6"/>
  <c r="AN880" i="6"/>
  <c r="AE880" i="6"/>
  <c r="V880" i="6"/>
  <c r="AW879" i="6"/>
  <c r="AN879" i="6"/>
  <c r="AE879" i="6"/>
  <c r="V879" i="6"/>
  <c r="AW878" i="6"/>
  <c r="AN878" i="6"/>
  <c r="AE878" i="6"/>
  <c r="V878" i="6"/>
  <c r="AW877" i="6"/>
  <c r="AN877" i="6"/>
  <c r="AE877" i="6"/>
  <c r="V877" i="6"/>
  <c r="AW876" i="6"/>
  <c r="AN876" i="6"/>
  <c r="AE876" i="6"/>
  <c r="V876" i="6"/>
  <c r="AW875" i="6"/>
  <c r="AN875" i="6"/>
  <c r="AE875" i="6"/>
  <c r="V875" i="6"/>
  <c r="AW874" i="6"/>
  <c r="AN874" i="6"/>
  <c r="AE874" i="6"/>
  <c r="V874" i="6"/>
  <c r="AW873" i="6"/>
  <c r="AN873" i="6"/>
  <c r="AE873" i="6"/>
  <c r="V873" i="6"/>
  <c r="AW872" i="6"/>
  <c r="AN872" i="6"/>
  <c r="AE872" i="6"/>
  <c r="V872" i="6"/>
  <c r="AW871" i="6"/>
  <c r="AN871" i="6"/>
  <c r="AE871" i="6"/>
  <c r="V871" i="6"/>
  <c r="M871" i="6"/>
  <c r="AW870" i="6"/>
  <c r="AN870" i="6"/>
  <c r="AE870" i="6"/>
  <c r="V870" i="6"/>
  <c r="AW869" i="6"/>
  <c r="AN869" i="6"/>
  <c r="AE869" i="6"/>
  <c r="V869" i="6"/>
  <c r="AW868" i="6"/>
  <c r="AN868" i="6"/>
  <c r="AE868" i="6"/>
  <c r="V868" i="6"/>
  <c r="AW867" i="6"/>
  <c r="AN867" i="6"/>
  <c r="AE867" i="6"/>
  <c r="V867" i="6"/>
  <c r="AW866" i="6"/>
  <c r="AN866" i="6"/>
  <c r="AE866" i="6"/>
  <c r="V866" i="6"/>
  <c r="AW865" i="6"/>
  <c r="AN865" i="6"/>
  <c r="AE865" i="6"/>
  <c r="V865" i="6"/>
  <c r="AW864" i="6"/>
  <c r="AN864" i="6"/>
  <c r="AE864" i="6"/>
  <c r="V864" i="6"/>
  <c r="AW863" i="6"/>
  <c r="AN863" i="6"/>
  <c r="AE863" i="6"/>
  <c r="V863" i="6"/>
  <c r="AW862" i="6"/>
  <c r="AN862" i="6"/>
  <c r="AE862" i="6"/>
  <c r="V862" i="6"/>
  <c r="AW861" i="6"/>
  <c r="AN861" i="6"/>
  <c r="AE861" i="6"/>
  <c r="V861" i="6"/>
  <c r="AW860" i="6"/>
  <c r="AN860" i="6"/>
  <c r="AE860" i="6"/>
  <c r="V860" i="6"/>
  <c r="AW859" i="6"/>
  <c r="AN859" i="6"/>
  <c r="AE859" i="6"/>
  <c r="V859" i="6"/>
  <c r="AW858" i="6"/>
  <c r="AN858" i="6"/>
  <c r="AE858" i="6"/>
  <c r="V858" i="6"/>
  <c r="AW857" i="6"/>
  <c r="AN857" i="6"/>
  <c r="AE857" i="6"/>
  <c r="V857" i="6"/>
  <c r="AW856" i="6"/>
  <c r="AN856" i="6"/>
  <c r="AE856" i="6"/>
  <c r="V856" i="6"/>
  <c r="M856" i="6"/>
  <c r="AW855" i="6"/>
  <c r="AN855" i="6"/>
  <c r="AE855" i="6"/>
  <c r="V855" i="6"/>
  <c r="AW854" i="6"/>
  <c r="AN854" i="6"/>
  <c r="AE854" i="6"/>
  <c r="V854" i="6"/>
  <c r="AW853" i="6"/>
  <c r="AN853" i="6"/>
  <c r="AE853" i="6"/>
  <c r="V853" i="6"/>
  <c r="AW852" i="6"/>
  <c r="AN852" i="6"/>
  <c r="AE852" i="6"/>
  <c r="V852" i="6"/>
  <c r="AW851" i="6"/>
  <c r="AN851" i="6"/>
  <c r="AE851" i="6"/>
  <c r="V851" i="6"/>
  <c r="AW850" i="6"/>
  <c r="AN850" i="6"/>
  <c r="AE850" i="6"/>
  <c r="V850" i="6"/>
  <c r="AW849" i="6"/>
  <c r="AN849" i="6"/>
  <c r="AE849" i="6"/>
  <c r="V849" i="6"/>
  <c r="AW848" i="6"/>
  <c r="AN848" i="6"/>
  <c r="AE848" i="6"/>
  <c r="V848" i="6"/>
  <c r="AW847" i="6"/>
  <c r="AN847" i="6"/>
  <c r="AE847" i="6"/>
  <c r="V847" i="6"/>
  <c r="AW846" i="6"/>
  <c r="AN846" i="6"/>
  <c r="AE846" i="6"/>
  <c r="V846" i="6"/>
  <c r="M846" i="6"/>
  <c r="AW845" i="6"/>
  <c r="AN845" i="6"/>
  <c r="AE845" i="6"/>
  <c r="V845" i="6"/>
  <c r="AW844" i="6"/>
  <c r="AN844" i="6"/>
  <c r="AE844" i="6"/>
  <c r="V844" i="6"/>
  <c r="AW843" i="6"/>
  <c r="AN843" i="6"/>
  <c r="AE843" i="6"/>
  <c r="V843" i="6"/>
  <c r="AW842" i="6"/>
  <c r="AN842" i="6"/>
  <c r="AE842" i="6"/>
  <c r="V842" i="6"/>
  <c r="AW841" i="6"/>
  <c r="AN841" i="6"/>
  <c r="AE841" i="6"/>
  <c r="V841" i="6"/>
  <c r="AW840" i="6"/>
  <c r="AN840" i="6"/>
  <c r="AE840" i="6"/>
  <c r="V840" i="6"/>
  <c r="AW839" i="6"/>
  <c r="AN839" i="6"/>
  <c r="AE839" i="6"/>
  <c r="V839" i="6"/>
  <c r="AW838" i="6"/>
  <c r="AN838" i="6"/>
  <c r="AE838" i="6"/>
  <c r="V838" i="6"/>
  <c r="AW837" i="6"/>
  <c r="AN837" i="6"/>
  <c r="AE837" i="6"/>
  <c r="V837" i="6"/>
  <c r="AW836" i="6"/>
  <c r="AN836" i="6"/>
  <c r="AE836" i="6"/>
  <c r="V836" i="6"/>
  <c r="AW835" i="6"/>
  <c r="AN835" i="6"/>
  <c r="AE835" i="6"/>
  <c r="V835" i="6"/>
  <c r="AW834" i="6"/>
  <c r="AN834" i="6"/>
  <c r="AE834" i="6"/>
  <c r="V834" i="6"/>
  <c r="AW833" i="6"/>
  <c r="AN833" i="6"/>
  <c r="AE833" i="6"/>
  <c r="V833" i="6"/>
  <c r="AW832" i="6"/>
  <c r="AN832" i="6"/>
  <c r="AE832" i="6"/>
  <c r="V832" i="6"/>
  <c r="M832" i="6"/>
  <c r="AW831" i="6"/>
  <c r="AN831" i="6"/>
  <c r="AE831" i="6"/>
  <c r="V831" i="6"/>
  <c r="AW830" i="6"/>
  <c r="AN830" i="6"/>
  <c r="AE830" i="6"/>
  <c r="V830" i="6"/>
  <c r="AW829" i="6"/>
  <c r="AN829" i="6"/>
  <c r="AE829" i="6"/>
  <c r="V829" i="6"/>
  <c r="AW828" i="6"/>
  <c r="AN828" i="6"/>
  <c r="AE828" i="6"/>
  <c r="V828" i="6"/>
  <c r="AW827" i="6"/>
  <c r="AN827" i="6"/>
  <c r="AE827" i="6"/>
  <c r="V827" i="6"/>
  <c r="AW826" i="6"/>
  <c r="AN826" i="6"/>
  <c r="AE826" i="6"/>
  <c r="V826" i="6"/>
  <c r="AW825" i="6"/>
  <c r="AN825" i="6"/>
  <c r="AE825" i="6"/>
  <c r="V825" i="6"/>
  <c r="AW824" i="6"/>
  <c r="AN824" i="6"/>
  <c r="AE824" i="6"/>
  <c r="V824" i="6"/>
  <c r="AW823" i="6"/>
  <c r="AN823" i="6"/>
  <c r="AE823" i="6"/>
  <c r="V823" i="6"/>
  <c r="M823" i="6"/>
  <c r="AW822" i="6"/>
  <c r="AN822" i="6"/>
  <c r="AE822" i="6"/>
  <c r="V822" i="6"/>
  <c r="AW821" i="6"/>
  <c r="AN821" i="6"/>
  <c r="AE821" i="6"/>
  <c r="V821" i="6"/>
  <c r="AW820" i="6"/>
  <c r="AN820" i="6"/>
  <c r="AE820" i="6"/>
  <c r="V820" i="6"/>
  <c r="AW819" i="6"/>
  <c r="AN819" i="6"/>
  <c r="AE819" i="6"/>
  <c r="V819" i="6"/>
  <c r="AW818" i="6"/>
  <c r="AN818" i="6"/>
  <c r="AE818" i="6"/>
  <c r="V818" i="6"/>
  <c r="AW817" i="6"/>
  <c r="AN817" i="6"/>
  <c r="AE817" i="6"/>
  <c r="V817" i="6"/>
  <c r="AW816" i="6"/>
  <c r="AN816" i="6"/>
  <c r="AE816" i="6"/>
  <c r="V816" i="6"/>
  <c r="AW815" i="6"/>
  <c r="AN815" i="6"/>
  <c r="AE815" i="6"/>
  <c r="V815" i="6"/>
  <c r="AW814" i="6"/>
  <c r="AN814" i="6"/>
  <c r="AE814" i="6"/>
  <c r="V814" i="6"/>
  <c r="AW813" i="6"/>
  <c r="AN813" i="6"/>
  <c r="AE813" i="6"/>
  <c r="V813" i="6"/>
  <c r="AW812" i="6"/>
  <c r="AN812" i="6"/>
  <c r="AE812" i="6"/>
  <c r="V812" i="6"/>
  <c r="AW811" i="6"/>
  <c r="AN811" i="6"/>
  <c r="AE811" i="6"/>
  <c r="V811" i="6"/>
  <c r="AW810" i="6"/>
  <c r="AN810" i="6"/>
  <c r="AE810" i="6"/>
  <c r="V810" i="6"/>
  <c r="AW809" i="6"/>
  <c r="AN809" i="6"/>
  <c r="AE809" i="6"/>
  <c r="V809" i="6"/>
  <c r="AW808" i="6"/>
  <c r="AN808" i="6"/>
  <c r="AE808" i="6"/>
  <c r="V808" i="6"/>
  <c r="AW807" i="6"/>
  <c r="AN807" i="6"/>
  <c r="AE807" i="6"/>
  <c r="V807" i="6"/>
  <c r="M807" i="6"/>
  <c r="AW806" i="6"/>
  <c r="AN806" i="6"/>
  <c r="AE806" i="6"/>
  <c r="V806" i="6"/>
  <c r="AW805" i="6"/>
  <c r="AN805" i="6"/>
  <c r="AE805" i="6"/>
  <c r="V805" i="6"/>
  <c r="AW804" i="6"/>
  <c r="AN804" i="6"/>
  <c r="AE804" i="6"/>
  <c r="V804" i="6"/>
  <c r="AW803" i="6"/>
  <c r="AN803" i="6"/>
  <c r="AE803" i="6"/>
  <c r="V803" i="6"/>
  <c r="AW802" i="6"/>
  <c r="AN802" i="6"/>
  <c r="AE802" i="6"/>
  <c r="V802" i="6"/>
  <c r="AW801" i="6"/>
  <c r="AN801" i="6"/>
  <c r="AE801" i="6"/>
  <c r="V801" i="6"/>
  <c r="AW800" i="6"/>
  <c r="AN800" i="6"/>
  <c r="AE800" i="6"/>
  <c r="V800" i="6"/>
  <c r="M800" i="6"/>
  <c r="AW799" i="6"/>
  <c r="AN799" i="6"/>
  <c r="AE799" i="6"/>
  <c r="V799" i="6"/>
  <c r="AW798" i="6"/>
  <c r="AN798" i="6"/>
  <c r="AE798" i="6"/>
  <c r="V798" i="6"/>
  <c r="AW797" i="6"/>
  <c r="AN797" i="6"/>
  <c r="AE797" i="6"/>
  <c r="V797" i="6"/>
  <c r="AW796" i="6"/>
  <c r="AN796" i="6"/>
  <c r="AE796" i="6"/>
  <c r="V796" i="6"/>
  <c r="AW795" i="6"/>
  <c r="AN795" i="6"/>
  <c r="AE795" i="6"/>
  <c r="V795" i="6"/>
  <c r="AW794" i="6"/>
  <c r="AN794" i="6"/>
  <c r="AE794" i="6"/>
  <c r="V794" i="6"/>
  <c r="AW793" i="6"/>
  <c r="AN793" i="6"/>
  <c r="AE793" i="6"/>
  <c r="V793" i="6"/>
  <c r="AW792" i="6"/>
  <c r="AN792" i="6"/>
  <c r="AE792" i="6"/>
  <c r="V792" i="6"/>
  <c r="M792" i="6"/>
  <c r="AW791" i="6"/>
  <c r="AN791" i="6"/>
  <c r="AE791" i="6"/>
  <c r="V791" i="6"/>
  <c r="AW790" i="6"/>
  <c r="AN790" i="6"/>
  <c r="AE790" i="6"/>
  <c r="V790" i="6"/>
  <c r="AW789" i="6"/>
  <c r="AN789" i="6"/>
  <c r="AE789" i="6"/>
  <c r="V789" i="6"/>
  <c r="AW788" i="6"/>
  <c r="AN788" i="6"/>
  <c r="AE788" i="6"/>
  <c r="V788" i="6"/>
  <c r="AW787" i="6"/>
  <c r="AN787" i="6"/>
  <c r="AE787" i="6"/>
  <c r="V787" i="6"/>
  <c r="AW786" i="6"/>
  <c r="AN786" i="6"/>
  <c r="AE786" i="6"/>
  <c r="V786" i="6"/>
  <c r="AW785" i="6"/>
  <c r="AN785" i="6"/>
  <c r="AE785" i="6"/>
  <c r="V785" i="6"/>
  <c r="AW784" i="6"/>
  <c r="AN784" i="6"/>
  <c r="AE784" i="6"/>
  <c r="V784" i="6"/>
  <c r="M784" i="6"/>
  <c r="AW783" i="6"/>
  <c r="AN783" i="6"/>
  <c r="AE783" i="6"/>
  <c r="V783" i="6"/>
  <c r="AW782" i="6"/>
  <c r="AN782" i="6"/>
  <c r="AE782" i="6"/>
  <c r="V782" i="6"/>
  <c r="AW781" i="6"/>
  <c r="AN781" i="6"/>
  <c r="AE781" i="6"/>
  <c r="V781" i="6"/>
  <c r="AW780" i="6"/>
  <c r="AN780" i="6"/>
  <c r="AE780" i="6"/>
  <c r="V780" i="6"/>
  <c r="AW779" i="6"/>
  <c r="AN779" i="6"/>
  <c r="AE779" i="6"/>
  <c r="V779" i="6"/>
  <c r="AW778" i="6"/>
  <c r="AN778" i="6"/>
  <c r="AE778" i="6"/>
  <c r="V778" i="6"/>
  <c r="AW777" i="6"/>
  <c r="AN777" i="6"/>
  <c r="AE777" i="6"/>
  <c r="V777" i="6"/>
  <c r="AW776" i="6"/>
  <c r="AN776" i="6"/>
  <c r="AE776" i="6"/>
  <c r="V776" i="6"/>
  <c r="AW775" i="6"/>
  <c r="AN775" i="6"/>
  <c r="AE775" i="6"/>
  <c r="V775" i="6"/>
  <c r="AW774" i="6"/>
  <c r="AN774" i="6"/>
  <c r="AE774" i="6"/>
  <c r="V774" i="6"/>
  <c r="AW773" i="6"/>
  <c r="AN773" i="6"/>
  <c r="AE773" i="6"/>
  <c r="V773" i="6"/>
  <c r="AW772" i="6"/>
  <c r="AN772" i="6"/>
  <c r="AE772" i="6"/>
  <c r="V772" i="6"/>
  <c r="AW771" i="6"/>
  <c r="AN771" i="6"/>
  <c r="AE771" i="6"/>
  <c r="V771" i="6"/>
  <c r="AW770" i="6"/>
  <c r="AN770" i="6"/>
  <c r="AE770" i="6"/>
  <c r="V770" i="6"/>
  <c r="AW769" i="6"/>
  <c r="AN769" i="6"/>
  <c r="AE769" i="6"/>
  <c r="V769" i="6"/>
  <c r="AW768" i="6"/>
  <c r="AN768" i="6"/>
  <c r="AE768" i="6"/>
  <c r="V768" i="6"/>
  <c r="M768" i="6"/>
  <c r="AW767" i="6"/>
  <c r="AN767" i="6"/>
  <c r="AE767" i="6"/>
  <c r="V767" i="6"/>
  <c r="AW766" i="6"/>
  <c r="AN766" i="6"/>
  <c r="AE766" i="6"/>
  <c r="V766" i="6"/>
  <c r="AW765" i="6"/>
  <c r="AN765" i="6"/>
  <c r="AE765" i="6"/>
  <c r="V765" i="6"/>
  <c r="AW764" i="6"/>
  <c r="AN764" i="6"/>
  <c r="AE764" i="6"/>
  <c r="V764" i="6"/>
  <c r="AW763" i="6"/>
  <c r="AN763" i="6"/>
  <c r="AE763" i="6"/>
  <c r="V763" i="6"/>
  <c r="AW762" i="6"/>
  <c r="AN762" i="6"/>
  <c r="AE762" i="6"/>
  <c r="V762" i="6"/>
  <c r="AW761" i="6"/>
  <c r="AN761" i="6"/>
  <c r="AE761" i="6"/>
  <c r="V761" i="6"/>
  <c r="AW760" i="6"/>
  <c r="AN760" i="6"/>
  <c r="AE760" i="6"/>
  <c r="V760" i="6"/>
  <c r="AW759" i="6"/>
  <c r="AN759" i="6"/>
  <c r="AE759" i="6"/>
  <c r="V759" i="6"/>
  <c r="AW758" i="6"/>
  <c r="AN758" i="6"/>
  <c r="AE758" i="6"/>
  <c r="V758" i="6"/>
  <c r="M758" i="6"/>
  <c r="AW757" i="6"/>
  <c r="AN757" i="6"/>
  <c r="AE757" i="6"/>
  <c r="V757" i="6"/>
  <c r="AW756" i="6"/>
  <c r="AN756" i="6"/>
  <c r="AE756" i="6"/>
  <c r="V756" i="6"/>
  <c r="AW755" i="6"/>
  <c r="AN755" i="6"/>
  <c r="AE755" i="6"/>
  <c r="V755" i="6"/>
  <c r="AW754" i="6"/>
  <c r="AN754" i="6"/>
  <c r="AE754" i="6"/>
  <c r="V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AW750" i="6"/>
  <c r="AN750" i="6"/>
  <c r="AE750" i="6"/>
  <c r="V750" i="6"/>
  <c r="AW749" i="6"/>
  <c r="AN749" i="6"/>
  <c r="AE749" i="6"/>
  <c r="V749" i="6"/>
  <c r="AW748" i="6"/>
  <c r="AN748" i="6"/>
  <c r="AE748" i="6"/>
  <c r="V748" i="6"/>
  <c r="AW747" i="6"/>
  <c r="AN747" i="6"/>
  <c r="AE747" i="6"/>
  <c r="V747" i="6"/>
  <c r="AW746" i="6"/>
  <c r="AN746" i="6"/>
  <c r="AE746" i="6"/>
  <c r="V746" i="6"/>
  <c r="AW745" i="6"/>
  <c r="AN745" i="6"/>
  <c r="AE745" i="6"/>
  <c r="V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AW741" i="6"/>
  <c r="AN741" i="6"/>
  <c r="AE741" i="6"/>
  <c r="V741" i="6"/>
  <c r="AW740" i="6"/>
  <c r="AN740" i="6"/>
  <c r="AE740" i="6"/>
  <c r="V740" i="6"/>
  <c r="AW739" i="6"/>
  <c r="AN739" i="6"/>
  <c r="AE739" i="6"/>
  <c r="V739" i="6"/>
  <c r="AW738" i="6"/>
  <c r="AN738" i="6"/>
  <c r="AE738" i="6"/>
  <c r="V738" i="6"/>
  <c r="AW737" i="6"/>
  <c r="AN737" i="6"/>
  <c r="AE737" i="6"/>
  <c r="V737" i="6"/>
  <c r="AW736" i="6"/>
  <c r="AN736" i="6"/>
  <c r="AE736" i="6"/>
  <c r="V736" i="6"/>
  <c r="AW735" i="6"/>
  <c r="AN735" i="6"/>
  <c r="AE735" i="6"/>
  <c r="V735" i="6"/>
  <c r="AW734" i="6"/>
  <c r="AN734" i="6"/>
  <c r="AE734" i="6"/>
  <c r="V734" i="6"/>
  <c r="AW733" i="6"/>
  <c r="AN733" i="6"/>
  <c r="AE733" i="6"/>
  <c r="V733" i="6"/>
  <c r="AW732" i="6"/>
  <c r="AN732" i="6"/>
  <c r="AE732" i="6"/>
  <c r="V732" i="6"/>
  <c r="AW731" i="6"/>
  <c r="AN731" i="6"/>
  <c r="AE731" i="6"/>
  <c r="V731" i="6"/>
  <c r="AW730" i="6"/>
  <c r="AN730" i="6"/>
  <c r="AE730" i="6"/>
  <c r="V730" i="6"/>
  <c r="AW729" i="6"/>
  <c r="AN729" i="6"/>
  <c r="AE729" i="6"/>
  <c r="V729" i="6"/>
  <c r="AW728" i="6"/>
  <c r="AN728" i="6"/>
  <c r="AE728" i="6"/>
  <c r="V728" i="6"/>
  <c r="AW727" i="6"/>
  <c r="AN727" i="6"/>
  <c r="AE727" i="6"/>
  <c r="V727" i="6"/>
  <c r="AW726" i="6"/>
  <c r="AN726" i="6"/>
  <c r="AE726" i="6"/>
  <c r="V726" i="6"/>
  <c r="AW725" i="6"/>
  <c r="AN725" i="6"/>
  <c r="AE725" i="6"/>
  <c r="V725" i="6"/>
  <c r="AW724" i="6"/>
  <c r="AN724" i="6"/>
  <c r="AE724" i="6"/>
  <c r="V724" i="6"/>
  <c r="AW723" i="6"/>
  <c r="AN723" i="6"/>
  <c r="AE723" i="6"/>
  <c r="V723" i="6"/>
  <c r="AW722" i="6"/>
  <c r="AN722" i="6"/>
  <c r="AE722" i="6"/>
  <c r="V722" i="6"/>
  <c r="AW721" i="6"/>
  <c r="AN721" i="6"/>
  <c r="AE721" i="6"/>
  <c r="V721" i="6"/>
  <c r="AW720" i="6"/>
  <c r="AN720" i="6"/>
  <c r="AE720" i="6"/>
  <c r="V720" i="6"/>
  <c r="AW719" i="6"/>
  <c r="AN719" i="6"/>
  <c r="AE719" i="6"/>
  <c r="V719" i="6"/>
  <c r="AW718" i="6"/>
  <c r="AN718" i="6"/>
  <c r="AE718" i="6"/>
  <c r="V718" i="6"/>
  <c r="M718" i="6"/>
  <c r="AW717" i="6"/>
  <c r="AN717" i="6"/>
  <c r="AE717" i="6"/>
  <c r="V717" i="6"/>
  <c r="AW716" i="6"/>
  <c r="AN716" i="6"/>
  <c r="AE716" i="6"/>
  <c r="V716" i="6"/>
  <c r="AW715" i="6"/>
  <c r="AN715" i="6"/>
  <c r="AE715" i="6"/>
  <c r="V715" i="6"/>
  <c r="AW714" i="6"/>
  <c r="AN714" i="6"/>
  <c r="AE714" i="6"/>
  <c r="V714" i="6"/>
  <c r="AW713" i="6"/>
  <c r="AN713" i="6"/>
  <c r="AE713" i="6"/>
  <c r="V713" i="6"/>
  <c r="AW712" i="6"/>
  <c r="AN712" i="6"/>
  <c r="AE712" i="6"/>
  <c r="V712" i="6"/>
  <c r="M712" i="6"/>
  <c r="AW711" i="6"/>
  <c r="AN711" i="6"/>
  <c r="AE711" i="6"/>
  <c r="V711" i="6"/>
  <c r="AW710" i="6"/>
  <c r="AN710" i="6"/>
  <c r="AE710" i="6"/>
  <c r="V710" i="6"/>
  <c r="AW709" i="6"/>
  <c r="AN709" i="6"/>
  <c r="AE709" i="6"/>
  <c r="V709" i="6"/>
  <c r="AW708" i="6"/>
  <c r="AN708" i="6"/>
  <c r="AE708" i="6"/>
  <c r="V708" i="6"/>
  <c r="AW707" i="6"/>
  <c r="AN707" i="6"/>
  <c r="AE707" i="6"/>
  <c r="V707" i="6"/>
  <c r="AW706" i="6"/>
  <c r="AN706" i="6"/>
  <c r="AE706" i="6"/>
  <c r="V706" i="6"/>
  <c r="AW705" i="6"/>
  <c r="AN705" i="6"/>
  <c r="AE705" i="6"/>
  <c r="V705" i="6"/>
  <c r="AW704" i="6"/>
  <c r="AN704" i="6"/>
  <c r="AE704" i="6"/>
  <c r="V704" i="6"/>
  <c r="M704" i="6"/>
  <c r="AW703" i="6"/>
  <c r="AN703" i="6"/>
  <c r="AE703" i="6"/>
  <c r="V703" i="6"/>
  <c r="AW702" i="6"/>
  <c r="AN702" i="6"/>
  <c r="AE702" i="6"/>
  <c r="V702" i="6"/>
  <c r="M702" i="6"/>
  <c r="AW701" i="6"/>
  <c r="AN701" i="6"/>
  <c r="AE701" i="6"/>
  <c r="V701" i="6"/>
  <c r="AW700" i="6"/>
  <c r="AN700" i="6"/>
  <c r="AE700" i="6"/>
  <c r="V700" i="6"/>
  <c r="AW699" i="6"/>
  <c r="AN699" i="6"/>
  <c r="AE699" i="6"/>
  <c r="V699" i="6"/>
  <c r="AW698" i="6"/>
  <c r="AN698" i="6"/>
  <c r="AE698" i="6"/>
  <c r="V698" i="6"/>
  <c r="AW697" i="6"/>
  <c r="AN697" i="6"/>
  <c r="AE697" i="6"/>
  <c r="V697" i="6"/>
  <c r="AW696" i="6"/>
  <c r="AN696" i="6"/>
  <c r="AE696" i="6"/>
  <c r="V696" i="6"/>
  <c r="AW695" i="6"/>
  <c r="AN695" i="6"/>
  <c r="AE695" i="6"/>
  <c r="V695" i="6"/>
  <c r="AW694" i="6"/>
  <c r="AN694" i="6"/>
  <c r="AE694" i="6"/>
  <c r="V694" i="6"/>
  <c r="AW693" i="6"/>
  <c r="AN693" i="6"/>
  <c r="AE693" i="6"/>
  <c r="V693" i="6"/>
  <c r="AW692" i="6"/>
  <c r="AN692" i="6"/>
  <c r="AE692" i="6"/>
  <c r="V692" i="6"/>
  <c r="AW691" i="6"/>
  <c r="AN691" i="6"/>
  <c r="AE691" i="6"/>
  <c r="V691" i="6"/>
  <c r="AW690" i="6"/>
  <c r="AN690" i="6"/>
  <c r="AE690" i="6"/>
  <c r="V690" i="6"/>
  <c r="AW689" i="6"/>
  <c r="AN689" i="6"/>
  <c r="AE689" i="6"/>
  <c r="V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AW685" i="6"/>
  <c r="AN685" i="6"/>
  <c r="AE685" i="6"/>
  <c r="V685" i="6"/>
  <c r="AW684" i="6"/>
  <c r="AN684" i="6"/>
  <c r="AE684" i="6"/>
  <c r="V684" i="6"/>
  <c r="AW683" i="6"/>
  <c r="AN683" i="6"/>
  <c r="AE683" i="6"/>
  <c r="V683" i="6"/>
  <c r="AW682" i="6"/>
  <c r="AN682" i="6"/>
  <c r="AE682" i="6"/>
  <c r="V682" i="6"/>
  <c r="AW681" i="6"/>
  <c r="AN681" i="6"/>
  <c r="AE681" i="6"/>
  <c r="V681" i="6"/>
  <c r="AW680" i="6"/>
  <c r="AN680" i="6"/>
  <c r="AE680" i="6"/>
  <c r="V680" i="6"/>
  <c r="AW679" i="6"/>
  <c r="AN679" i="6"/>
  <c r="AE679" i="6"/>
  <c r="V679" i="6"/>
  <c r="AW678" i="6"/>
  <c r="AN678" i="6"/>
  <c r="AE678" i="6"/>
  <c r="V678" i="6"/>
  <c r="AW677" i="6"/>
  <c r="AN677" i="6"/>
  <c r="AE677" i="6"/>
  <c r="V677" i="6"/>
  <c r="AW676" i="6"/>
  <c r="AN676" i="6"/>
  <c r="AE676" i="6"/>
  <c r="V676" i="6"/>
  <c r="AW675" i="6"/>
  <c r="AN675" i="6"/>
  <c r="AE675" i="6"/>
  <c r="V675" i="6"/>
  <c r="AW674" i="6"/>
  <c r="AN674" i="6"/>
  <c r="AE674" i="6"/>
  <c r="V674" i="6"/>
  <c r="AW673" i="6"/>
  <c r="AN673" i="6"/>
  <c r="AE673" i="6"/>
  <c r="V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AW669" i="6"/>
  <c r="AN669" i="6"/>
  <c r="AE669" i="6"/>
  <c r="V669" i="6"/>
  <c r="AW668" i="6"/>
  <c r="AN668" i="6"/>
  <c r="AE668" i="6"/>
  <c r="V668" i="6"/>
  <c r="AW667" i="6"/>
  <c r="AN667" i="6"/>
  <c r="AE667" i="6"/>
  <c r="V667" i="6"/>
  <c r="AW666" i="6"/>
  <c r="AN666" i="6"/>
  <c r="AE666" i="6"/>
  <c r="V666" i="6"/>
  <c r="AW665" i="6"/>
  <c r="AN665" i="6"/>
  <c r="AE665" i="6"/>
  <c r="V665" i="6"/>
  <c r="AW664" i="6"/>
  <c r="AN664" i="6"/>
  <c r="AE664" i="6"/>
  <c r="V664" i="6"/>
  <c r="M664" i="6"/>
  <c r="AW663" i="6"/>
  <c r="AN663" i="6"/>
  <c r="AE663" i="6"/>
  <c r="V663" i="6"/>
  <c r="AW662" i="6"/>
  <c r="AN662" i="6"/>
  <c r="AE662" i="6"/>
  <c r="V662" i="6"/>
  <c r="AW661" i="6"/>
  <c r="AN661" i="6"/>
  <c r="AE661" i="6"/>
  <c r="V661" i="6"/>
  <c r="AW660" i="6"/>
  <c r="AN660" i="6"/>
  <c r="AE660" i="6"/>
  <c r="V660" i="6"/>
  <c r="AW659" i="6"/>
  <c r="AN659" i="6"/>
  <c r="AE659" i="6"/>
  <c r="V659" i="6"/>
  <c r="AW658" i="6"/>
  <c r="AN658" i="6"/>
  <c r="AE658" i="6"/>
  <c r="V658" i="6"/>
  <c r="AW657" i="6"/>
  <c r="AN657" i="6"/>
  <c r="AE657" i="6"/>
  <c r="V657" i="6"/>
  <c r="AW656" i="6"/>
  <c r="AN656" i="6"/>
  <c r="AE656" i="6"/>
  <c r="V656" i="6"/>
  <c r="M656" i="6"/>
  <c r="AW655" i="6"/>
  <c r="AN655" i="6"/>
  <c r="AE655" i="6"/>
  <c r="V655" i="6"/>
  <c r="AW654" i="6"/>
  <c r="AN654" i="6"/>
  <c r="AE654" i="6"/>
  <c r="V654" i="6"/>
  <c r="AW653" i="6"/>
  <c r="AN653" i="6"/>
  <c r="AE653" i="6"/>
  <c r="V653" i="6"/>
  <c r="AW652" i="6"/>
  <c r="AN652" i="6"/>
  <c r="AE652" i="6"/>
  <c r="V652" i="6"/>
  <c r="AW651" i="6"/>
  <c r="AN651" i="6"/>
  <c r="AE651" i="6"/>
  <c r="V651" i="6"/>
  <c r="AW650" i="6"/>
  <c r="AN650" i="6"/>
  <c r="AE650" i="6"/>
  <c r="V650" i="6"/>
  <c r="AW649" i="6"/>
  <c r="AN649" i="6"/>
  <c r="AE649" i="6"/>
  <c r="V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AW645" i="6"/>
  <c r="AN645" i="6"/>
  <c r="AE645" i="6"/>
  <c r="V645" i="6"/>
  <c r="AW644" i="6"/>
  <c r="AN644" i="6"/>
  <c r="AE644" i="6"/>
  <c r="V644" i="6"/>
  <c r="AW643" i="6"/>
  <c r="AN643" i="6"/>
  <c r="AE643" i="6"/>
  <c r="V643" i="6"/>
  <c r="AW642" i="6"/>
  <c r="AN642" i="6"/>
  <c r="AE642" i="6"/>
  <c r="V642" i="6"/>
  <c r="AW641" i="6"/>
  <c r="AN641" i="6"/>
  <c r="AE641" i="6"/>
  <c r="V641" i="6"/>
  <c r="AW640" i="6"/>
  <c r="AN640" i="6"/>
  <c r="AE640" i="6"/>
  <c r="V640" i="6"/>
  <c r="AW639" i="6"/>
  <c r="AN639" i="6"/>
  <c r="AE639" i="6"/>
  <c r="V639" i="6"/>
  <c r="AW638" i="6"/>
  <c r="AN638" i="6"/>
  <c r="AE638" i="6"/>
  <c r="V638" i="6"/>
  <c r="AW637" i="6"/>
  <c r="AN637" i="6"/>
  <c r="AE637" i="6"/>
  <c r="V637" i="6"/>
  <c r="AW636" i="6"/>
  <c r="AN636" i="6"/>
  <c r="AE636" i="6"/>
  <c r="V636" i="6"/>
  <c r="AW635" i="6"/>
  <c r="AN635" i="6"/>
  <c r="AE635" i="6"/>
  <c r="V635" i="6"/>
  <c r="AW634" i="6"/>
  <c r="AN634" i="6"/>
  <c r="AE634" i="6"/>
  <c r="V634" i="6"/>
  <c r="AW633" i="6"/>
  <c r="AN633" i="6"/>
  <c r="AE633" i="6"/>
  <c r="V633" i="6"/>
  <c r="AW632" i="6"/>
  <c r="AN632" i="6"/>
  <c r="AE632" i="6"/>
  <c r="V632" i="6"/>
  <c r="M632" i="6"/>
  <c r="AW631" i="6"/>
  <c r="AN631" i="6"/>
  <c r="AE631" i="6"/>
  <c r="V631" i="6"/>
  <c r="AW630" i="6"/>
  <c r="AN630" i="6"/>
  <c r="AE630" i="6"/>
  <c r="V630" i="6"/>
  <c r="AW629" i="6"/>
  <c r="AN629" i="6"/>
  <c r="AE629" i="6"/>
  <c r="V629" i="6"/>
  <c r="AW628" i="6"/>
  <c r="AN628" i="6"/>
  <c r="AE628" i="6"/>
  <c r="V628" i="6"/>
  <c r="AW627" i="6"/>
  <c r="AN627" i="6"/>
  <c r="AE627" i="6"/>
  <c r="V627" i="6"/>
  <c r="AW626" i="6"/>
  <c r="AN626" i="6"/>
  <c r="AE626" i="6"/>
  <c r="V626" i="6"/>
  <c r="AW625" i="6"/>
  <c r="AN625" i="6"/>
  <c r="AE625" i="6"/>
  <c r="V625" i="6"/>
  <c r="AW624" i="6"/>
  <c r="AN624" i="6"/>
  <c r="AE624" i="6"/>
  <c r="V624" i="6"/>
  <c r="AW623" i="6"/>
  <c r="AN623" i="6"/>
  <c r="AE623" i="6"/>
  <c r="V623" i="6"/>
  <c r="AW622" i="6"/>
  <c r="AN622" i="6"/>
  <c r="AE622" i="6"/>
  <c r="V622" i="6"/>
  <c r="AW621" i="6"/>
  <c r="AN621" i="6"/>
  <c r="AE621" i="6"/>
  <c r="V621" i="6"/>
  <c r="AW620" i="6"/>
  <c r="AN620" i="6"/>
  <c r="AE620" i="6"/>
  <c r="V620" i="6"/>
  <c r="AW619" i="6"/>
  <c r="AN619" i="6"/>
  <c r="AE619" i="6"/>
  <c r="V619" i="6"/>
  <c r="AW618" i="6"/>
  <c r="AN618" i="6"/>
  <c r="AE618" i="6"/>
  <c r="V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AW614" i="6"/>
  <c r="AN614" i="6"/>
  <c r="AE614" i="6"/>
  <c r="V614" i="6"/>
  <c r="AW613" i="6"/>
  <c r="AN613" i="6"/>
  <c r="AE613" i="6"/>
  <c r="V613" i="6"/>
  <c r="AW612" i="6"/>
  <c r="AN612" i="6"/>
  <c r="AE612" i="6"/>
  <c r="V612" i="6"/>
  <c r="AW611" i="6"/>
  <c r="AN611" i="6"/>
  <c r="AE611" i="6"/>
  <c r="V611" i="6"/>
  <c r="AW610" i="6"/>
  <c r="AN610" i="6"/>
  <c r="AE610" i="6"/>
  <c r="V610" i="6"/>
  <c r="AW609" i="6"/>
  <c r="AN609" i="6"/>
  <c r="AE609" i="6"/>
  <c r="V609" i="6"/>
  <c r="AW608" i="6"/>
  <c r="AN608" i="6"/>
  <c r="AE608" i="6"/>
  <c r="V608" i="6"/>
  <c r="AW607" i="6"/>
  <c r="AN607" i="6"/>
  <c r="AE607" i="6"/>
  <c r="V607" i="6"/>
  <c r="M607" i="6"/>
  <c r="AW606" i="6"/>
  <c r="AN606" i="6"/>
  <c r="AE606" i="6"/>
  <c r="V606" i="6"/>
  <c r="AW605" i="6"/>
  <c r="AN605" i="6"/>
  <c r="AE605" i="6"/>
  <c r="V605" i="6"/>
  <c r="AW604" i="6"/>
  <c r="AN604" i="6"/>
  <c r="AE604" i="6"/>
  <c r="V604" i="6"/>
  <c r="AW603" i="6"/>
  <c r="AN603" i="6"/>
  <c r="AE603" i="6"/>
  <c r="V603" i="6"/>
  <c r="AW602" i="6"/>
  <c r="AN602" i="6"/>
  <c r="AE602" i="6"/>
  <c r="V602" i="6"/>
  <c r="AW601" i="6"/>
  <c r="AN601" i="6"/>
  <c r="AE601" i="6"/>
  <c r="V601" i="6"/>
  <c r="AW600" i="6"/>
  <c r="AN600" i="6"/>
  <c r="AE600" i="6"/>
  <c r="V600" i="6"/>
  <c r="AW599" i="6"/>
  <c r="AN599" i="6"/>
  <c r="AE599" i="6"/>
  <c r="V599" i="6"/>
  <c r="AW598" i="6"/>
  <c r="AN598" i="6"/>
  <c r="AE598" i="6"/>
  <c r="V598" i="6"/>
  <c r="M598" i="6"/>
  <c r="AW597" i="6"/>
  <c r="AN597" i="6"/>
  <c r="AE597" i="6"/>
  <c r="V597" i="6"/>
  <c r="AW596" i="6"/>
  <c r="AN596" i="6"/>
  <c r="AE596" i="6"/>
  <c r="V596" i="6"/>
  <c r="AW595" i="6"/>
  <c r="AN595" i="6"/>
  <c r="AE595" i="6"/>
  <c r="V595" i="6"/>
  <c r="AW594" i="6"/>
  <c r="AN594" i="6"/>
  <c r="AE594" i="6"/>
  <c r="V594" i="6"/>
  <c r="AW593" i="6"/>
  <c r="AN593" i="6"/>
  <c r="AE593" i="6"/>
  <c r="V593" i="6"/>
  <c r="AW592" i="6"/>
  <c r="AN592" i="6"/>
  <c r="AE592" i="6"/>
  <c r="V592" i="6"/>
  <c r="AW591" i="6"/>
  <c r="AN591" i="6"/>
  <c r="AE591" i="6"/>
  <c r="V591" i="6"/>
  <c r="AW590" i="6"/>
  <c r="AN590" i="6"/>
  <c r="AE590" i="6"/>
  <c r="V590" i="6"/>
  <c r="AW589" i="6"/>
  <c r="AN589" i="6"/>
  <c r="AE589" i="6"/>
  <c r="V589" i="6"/>
  <c r="AW588" i="6"/>
  <c r="AN588" i="6"/>
  <c r="AE588" i="6"/>
  <c r="V588" i="6"/>
  <c r="AW587" i="6"/>
  <c r="AN587" i="6"/>
  <c r="AE587" i="6"/>
  <c r="V587" i="6"/>
  <c r="AW586" i="6"/>
  <c r="AN586" i="6"/>
  <c r="AE586" i="6"/>
  <c r="V586" i="6"/>
  <c r="AW585" i="6"/>
  <c r="AN585" i="6"/>
  <c r="AE585" i="6"/>
  <c r="V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AW581" i="6"/>
  <c r="AN581" i="6"/>
  <c r="AE581" i="6"/>
  <c r="V581" i="6"/>
  <c r="AW580" i="6"/>
  <c r="AN580" i="6"/>
  <c r="AE580" i="6"/>
  <c r="V580" i="6"/>
  <c r="AW579" i="6"/>
  <c r="AN579" i="6"/>
  <c r="AE579" i="6"/>
  <c r="V579" i="6"/>
  <c r="AW578" i="6"/>
  <c r="AN578" i="6"/>
  <c r="AE578" i="6"/>
  <c r="V578" i="6"/>
  <c r="AW577" i="6"/>
  <c r="AN577" i="6"/>
  <c r="AE577" i="6"/>
  <c r="V577" i="6"/>
  <c r="AW576" i="6"/>
  <c r="AN576" i="6"/>
  <c r="AE576" i="6"/>
  <c r="V576" i="6"/>
  <c r="AW575" i="6"/>
  <c r="AN575" i="6"/>
  <c r="AE575" i="6"/>
  <c r="V575" i="6"/>
  <c r="AW574" i="6"/>
  <c r="AN574" i="6"/>
  <c r="AE574" i="6"/>
  <c r="V574" i="6"/>
  <c r="AW573" i="6"/>
  <c r="AN573" i="6"/>
  <c r="AE573" i="6"/>
  <c r="V573" i="6"/>
  <c r="AW572" i="6"/>
  <c r="AN572" i="6"/>
  <c r="AE572" i="6"/>
  <c r="V572" i="6"/>
  <c r="AW571" i="6"/>
  <c r="AN571" i="6"/>
  <c r="AE571" i="6"/>
  <c r="V571" i="6"/>
  <c r="AW570" i="6"/>
  <c r="AN570" i="6"/>
  <c r="AE570" i="6"/>
  <c r="V570" i="6"/>
  <c r="AW569" i="6"/>
  <c r="AN569" i="6"/>
  <c r="AE569" i="6"/>
  <c r="V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AW565" i="6"/>
  <c r="AN565" i="6"/>
  <c r="AE565" i="6"/>
  <c r="V565" i="6"/>
  <c r="AW564" i="6"/>
  <c r="AN564" i="6"/>
  <c r="AE564" i="6"/>
  <c r="V564" i="6"/>
  <c r="AW563" i="6"/>
  <c r="AN563" i="6"/>
  <c r="AE563" i="6"/>
  <c r="V563" i="6"/>
  <c r="AW562" i="6"/>
  <c r="AN562" i="6"/>
  <c r="AE562" i="6"/>
  <c r="V562" i="6"/>
  <c r="AW561" i="6"/>
  <c r="AN561" i="6"/>
  <c r="AE561" i="6"/>
  <c r="V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AW557" i="6"/>
  <c r="AN557" i="6"/>
  <c r="AE557" i="6"/>
  <c r="V557" i="6"/>
  <c r="AW556" i="6"/>
  <c r="AN556" i="6"/>
  <c r="AE556" i="6"/>
  <c r="V556" i="6"/>
  <c r="AW555" i="6"/>
  <c r="AN555" i="6"/>
  <c r="AE555" i="6"/>
  <c r="V555" i="6"/>
  <c r="AW554" i="6"/>
  <c r="AN554" i="6"/>
  <c r="AE554" i="6"/>
  <c r="V554" i="6"/>
  <c r="AW553" i="6"/>
  <c r="AN553" i="6"/>
  <c r="AE553" i="6"/>
  <c r="V553" i="6"/>
  <c r="AW552" i="6"/>
  <c r="AN552" i="6"/>
  <c r="AE552" i="6"/>
  <c r="V552" i="6"/>
  <c r="M552" i="6"/>
  <c r="AW551" i="6"/>
  <c r="AN551" i="6"/>
  <c r="AE551" i="6"/>
  <c r="V551" i="6"/>
  <c r="AW550" i="6"/>
  <c r="AN550" i="6"/>
  <c r="AE550" i="6"/>
  <c r="V550" i="6"/>
  <c r="AW549" i="6"/>
  <c r="AN549" i="6"/>
  <c r="AE549" i="6"/>
  <c r="V549" i="6"/>
  <c r="AW548" i="6"/>
  <c r="AN548" i="6"/>
  <c r="AE548" i="6"/>
  <c r="V548" i="6"/>
  <c r="AW547" i="6"/>
  <c r="AN547" i="6"/>
  <c r="AE547" i="6"/>
  <c r="V547" i="6"/>
  <c r="AW546" i="6"/>
  <c r="AN546" i="6"/>
  <c r="AE546" i="6"/>
  <c r="V546" i="6"/>
  <c r="AW545" i="6"/>
  <c r="AN545" i="6"/>
  <c r="AE545" i="6"/>
  <c r="V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AW541" i="6"/>
  <c r="AN541" i="6"/>
  <c r="AE541" i="6"/>
  <c r="V541" i="6"/>
  <c r="AW540" i="6"/>
  <c r="AN540" i="6"/>
  <c r="AE540" i="6"/>
  <c r="V540" i="6"/>
  <c r="AW539" i="6"/>
  <c r="AN539" i="6"/>
  <c r="AE539" i="6"/>
  <c r="V539" i="6"/>
  <c r="AW538" i="6"/>
  <c r="AN538" i="6"/>
  <c r="AE538" i="6"/>
  <c r="V538" i="6"/>
  <c r="AW537" i="6"/>
  <c r="AN537" i="6"/>
  <c r="AE537" i="6"/>
  <c r="V537" i="6"/>
  <c r="AW536" i="6"/>
  <c r="AN536" i="6"/>
  <c r="AE536" i="6"/>
  <c r="V536" i="6"/>
  <c r="M536" i="6"/>
  <c r="AW535" i="6"/>
  <c r="AN535" i="6"/>
  <c r="AE535" i="6"/>
  <c r="V535" i="6"/>
  <c r="AW534" i="6"/>
  <c r="AN534" i="6"/>
  <c r="AE534" i="6"/>
  <c r="V534" i="6"/>
  <c r="AW533" i="6"/>
  <c r="AN533" i="6"/>
  <c r="AE533" i="6"/>
  <c r="V533" i="6"/>
  <c r="AW532" i="6"/>
  <c r="AN532" i="6"/>
  <c r="AE532" i="6"/>
  <c r="V532" i="6"/>
  <c r="AW531" i="6"/>
  <c r="AN531" i="6"/>
  <c r="AE531" i="6"/>
  <c r="V531" i="6"/>
  <c r="AW530" i="6"/>
  <c r="AN530" i="6"/>
  <c r="AE530" i="6"/>
  <c r="V530" i="6"/>
  <c r="AW529" i="6"/>
  <c r="AN529" i="6"/>
  <c r="AE529" i="6"/>
  <c r="V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AW525" i="6"/>
  <c r="AN525" i="6"/>
  <c r="AE525" i="6"/>
  <c r="V525" i="6"/>
  <c r="AW524" i="6"/>
  <c r="AN524" i="6"/>
  <c r="AE524" i="6"/>
  <c r="V524" i="6"/>
  <c r="AW523" i="6"/>
  <c r="AN523" i="6"/>
  <c r="AE523" i="6"/>
  <c r="V523" i="6"/>
  <c r="AW522" i="6"/>
  <c r="AN522" i="6"/>
  <c r="AE522" i="6"/>
  <c r="V522" i="6"/>
  <c r="AW521" i="6"/>
  <c r="AN521" i="6"/>
  <c r="AE521" i="6"/>
  <c r="V521" i="6"/>
  <c r="AW520" i="6"/>
  <c r="AN520" i="6"/>
  <c r="AE520" i="6"/>
  <c r="V520" i="6"/>
  <c r="AW519" i="6"/>
  <c r="AN519" i="6"/>
  <c r="AE519" i="6"/>
  <c r="V519" i="6"/>
  <c r="AW518" i="6"/>
  <c r="AN518" i="6"/>
  <c r="AE518" i="6"/>
  <c r="V518" i="6"/>
  <c r="AW517" i="6"/>
  <c r="AN517" i="6"/>
  <c r="AE517" i="6"/>
  <c r="V517" i="6"/>
  <c r="AW516" i="6"/>
  <c r="AN516" i="6"/>
  <c r="AE516" i="6"/>
  <c r="V516" i="6"/>
  <c r="AW515" i="6"/>
  <c r="AN515" i="6"/>
  <c r="AE515" i="6"/>
  <c r="V515" i="6"/>
  <c r="AW514" i="6"/>
  <c r="AN514" i="6"/>
  <c r="AE514" i="6"/>
  <c r="V514" i="6"/>
  <c r="AW513" i="6"/>
  <c r="AN513" i="6"/>
  <c r="AE513" i="6"/>
  <c r="V513" i="6"/>
  <c r="AW512" i="6"/>
  <c r="AN512" i="6"/>
  <c r="AE512" i="6"/>
  <c r="V512" i="6"/>
  <c r="M512" i="6"/>
  <c r="AW511" i="6"/>
  <c r="AN511" i="6"/>
  <c r="AE511" i="6"/>
  <c r="V511" i="6"/>
  <c r="AW510" i="6"/>
  <c r="AN510" i="6"/>
  <c r="AE510" i="6"/>
  <c r="V510" i="6"/>
  <c r="M510" i="6"/>
  <c r="AW509" i="6"/>
  <c r="AN509" i="6"/>
  <c r="AE509" i="6"/>
  <c r="V509" i="6"/>
  <c r="AW508" i="6"/>
  <c r="AN508" i="6"/>
  <c r="AE508" i="6"/>
  <c r="V508" i="6"/>
  <c r="AW507" i="6"/>
  <c r="AN507" i="6"/>
  <c r="AE507" i="6"/>
  <c r="V507" i="6"/>
  <c r="AW506" i="6"/>
  <c r="AN506" i="6"/>
  <c r="AE506" i="6"/>
  <c r="V506" i="6"/>
  <c r="AW505" i="6"/>
  <c r="AN505" i="6"/>
  <c r="AE505" i="6"/>
  <c r="V505" i="6"/>
  <c r="AW504" i="6"/>
  <c r="AN504" i="6"/>
  <c r="AE504" i="6"/>
  <c r="V504" i="6"/>
  <c r="M504" i="6"/>
  <c r="AW503" i="6"/>
  <c r="AN503" i="6"/>
  <c r="AE503" i="6"/>
  <c r="V503" i="6"/>
  <c r="AW502" i="6"/>
  <c r="AN502" i="6"/>
  <c r="AE502" i="6"/>
  <c r="V502" i="6"/>
  <c r="AW501" i="6"/>
  <c r="AN501" i="6"/>
  <c r="AE501" i="6"/>
  <c r="V501" i="6"/>
  <c r="AW500" i="6"/>
  <c r="AN500" i="6"/>
  <c r="AE500" i="6"/>
  <c r="V500" i="6"/>
  <c r="AW499" i="6"/>
  <c r="AN499" i="6"/>
  <c r="AE499" i="6"/>
  <c r="V499" i="6"/>
  <c r="AW498" i="6"/>
  <c r="AN498" i="6"/>
  <c r="AE498" i="6"/>
  <c r="V498" i="6"/>
  <c r="AW497" i="6"/>
  <c r="AN497" i="6"/>
  <c r="AE497" i="6"/>
  <c r="V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AW493" i="6"/>
  <c r="AN493" i="6"/>
  <c r="AE493" i="6"/>
  <c r="V493" i="6"/>
  <c r="AW492" i="6"/>
  <c r="AN492" i="6"/>
  <c r="AE492" i="6"/>
  <c r="V492" i="6"/>
  <c r="AW491" i="6"/>
  <c r="AN491" i="6"/>
  <c r="AE491" i="6"/>
  <c r="V491" i="6"/>
  <c r="AW490" i="6"/>
  <c r="AN490" i="6"/>
  <c r="AE490" i="6"/>
  <c r="V490" i="6"/>
  <c r="AW489" i="6"/>
  <c r="AN489" i="6"/>
  <c r="AE489" i="6"/>
  <c r="V489" i="6"/>
  <c r="AW488" i="6"/>
  <c r="AN488" i="6"/>
  <c r="AE488" i="6"/>
  <c r="V488" i="6"/>
  <c r="AW487" i="6"/>
  <c r="AN487" i="6"/>
  <c r="AE487" i="6"/>
  <c r="V487" i="6"/>
  <c r="AW486" i="6"/>
  <c r="AN486" i="6"/>
  <c r="AE486" i="6"/>
  <c r="V486" i="6"/>
  <c r="AW485" i="6"/>
  <c r="AN485" i="6"/>
  <c r="AE485" i="6"/>
  <c r="V485" i="6"/>
  <c r="AW484" i="6"/>
  <c r="AN484" i="6"/>
  <c r="AE484" i="6"/>
  <c r="V484" i="6"/>
  <c r="AW483" i="6"/>
  <c r="AN483" i="6"/>
  <c r="AE483" i="6"/>
  <c r="V483" i="6"/>
  <c r="AW482" i="6"/>
  <c r="AN482" i="6"/>
  <c r="AE482" i="6"/>
  <c r="V482" i="6"/>
  <c r="AW481" i="6"/>
  <c r="AN481" i="6"/>
  <c r="AE481" i="6"/>
  <c r="V481" i="6"/>
  <c r="AW480" i="6"/>
  <c r="AN480" i="6"/>
  <c r="AE480" i="6"/>
  <c r="V480" i="6"/>
  <c r="AW479" i="6"/>
  <c r="AN479" i="6"/>
  <c r="AE479" i="6"/>
  <c r="V479" i="6"/>
  <c r="M479" i="6"/>
  <c r="AW478" i="6"/>
  <c r="AN478" i="6"/>
  <c r="AE478" i="6"/>
  <c r="V478" i="6"/>
  <c r="AW477" i="6"/>
  <c r="AN477" i="6"/>
  <c r="AE477" i="6"/>
  <c r="V477" i="6"/>
  <c r="AW476" i="6"/>
  <c r="AN476" i="6"/>
  <c r="AE476" i="6"/>
  <c r="V476" i="6"/>
  <c r="AW475" i="6"/>
  <c r="AN475" i="6"/>
  <c r="AE475" i="6"/>
  <c r="V475" i="6"/>
  <c r="AW474" i="6"/>
  <c r="AN474" i="6"/>
  <c r="AE474" i="6"/>
  <c r="V474" i="6"/>
  <c r="AW473" i="6"/>
  <c r="AN473" i="6"/>
  <c r="AE473" i="6"/>
  <c r="V473" i="6"/>
  <c r="AW472" i="6"/>
  <c r="AN472" i="6"/>
  <c r="AE472" i="6"/>
  <c r="V472" i="6"/>
  <c r="AW471" i="6"/>
  <c r="AN471" i="6"/>
  <c r="AE471" i="6"/>
  <c r="V471" i="6"/>
  <c r="AW470" i="6"/>
  <c r="AN470" i="6"/>
  <c r="AE470" i="6"/>
  <c r="V470" i="6"/>
  <c r="M470" i="6"/>
  <c r="AW469" i="6"/>
  <c r="AN469" i="6"/>
  <c r="AE469" i="6"/>
  <c r="V469" i="6"/>
  <c r="AW468" i="6"/>
  <c r="AN468" i="6"/>
  <c r="AE468" i="6"/>
  <c r="V468" i="6"/>
  <c r="AW467" i="6"/>
  <c r="AN467" i="6"/>
  <c r="AE467" i="6"/>
  <c r="V467" i="6"/>
  <c r="AW466" i="6"/>
  <c r="AN466" i="6"/>
  <c r="AE466" i="6"/>
  <c r="V466" i="6"/>
  <c r="AW465" i="6"/>
  <c r="AN465" i="6"/>
  <c r="AE465" i="6"/>
  <c r="V465" i="6"/>
  <c r="AW464" i="6"/>
  <c r="AN464" i="6"/>
  <c r="AE464" i="6"/>
  <c r="V464" i="6"/>
  <c r="M464" i="6"/>
  <c r="AW463" i="6"/>
  <c r="AN463" i="6"/>
  <c r="AE463" i="6"/>
  <c r="V463" i="6"/>
  <c r="AW462" i="6"/>
  <c r="AN462" i="6"/>
  <c r="AE462" i="6"/>
  <c r="V462" i="6"/>
  <c r="AW461" i="6"/>
  <c r="AN461" i="6"/>
  <c r="AE461" i="6"/>
  <c r="V461" i="6"/>
  <c r="AW460" i="6"/>
  <c r="AN460" i="6"/>
  <c r="AE460" i="6"/>
  <c r="V460" i="6"/>
  <c r="AW459" i="6"/>
  <c r="AN459" i="6"/>
  <c r="AE459" i="6"/>
  <c r="V459" i="6"/>
  <c r="AW458" i="6"/>
  <c r="AN458" i="6"/>
  <c r="AE458" i="6"/>
  <c r="V458" i="6"/>
  <c r="AW457" i="6"/>
  <c r="AN457" i="6"/>
  <c r="AE457" i="6"/>
  <c r="V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AW453" i="6"/>
  <c r="AN453" i="6"/>
  <c r="AE453" i="6"/>
  <c r="V453" i="6"/>
  <c r="AW452" i="6"/>
  <c r="AN452" i="6"/>
  <c r="AE452" i="6"/>
  <c r="V452" i="6"/>
  <c r="AW451" i="6"/>
  <c r="AN451" i="6"/>
  <c r="AE451" i="6"/>
  <c r="V451" i="6"/>
  <c r="AW450" i="6"/>
  <c r="AN450" i="6"/>
  <c r="AE450" i="6"/>
  <c r="V450" i="6"/>
  <c r="AW449" i="6"/>
  <c r="AN449" i="6"/>
  <c r="AE449" i="6"/>
  <c r="V449" i="6"/>
  <c r="AW448" i="6"/>
  <c r="AN448" i="6"/>
  <c r="AE448" i="6"/>
  <c r="V448" i="6"/>
  <c r="M448" i="6"/>
  <c r="AW447" i="6"/>
  <c r="AN447" i="6"/>
  <c r="AE447" i="6"/>
  <c r="V447" i="6"/>
  <c r="AW446" i="6"/>
  <c r="AN446" i="6"/>
  <c r="AE446" i="6"/>
  <c r="V446" i="6"/>
  <c r="M446" i="6"/>
  <c r="AW445" i="6"/>
  <c r="AN445" i="6"/>
  <c r="AE445" i="6"/>
  <c r="V445" i="6"/>
  <c r="AW444" i="6"/>
  <c r="AN444" i="6"/>
  <c r="AE444" i="6"/>
  <c r="V444" i="6"/>
  <c r="AW443" i="6"/>
  <c r="AN443" i="6"/>
  <c r="AE443" i="6"/>
  <c r="V443" i="6"/>
  <c r="AW442" i="6"/>
  <c r="AN442" i="6"/>
  <c r="AE442" i="6"/>
  <c r="V442" i="6"/>
  <c r="AW441" i="6"/>
  <c r="AN441" i="6"/>
  <c r="AE441" i="6"/>
  <c r="V441" i="6"/>
  <c r="AW440" i="6"/>
  <c r="AN440" i="6"/>
  <c r="AE440" i="6"/>
  <c r="V440" i="6"/>
  <c r="AW439" i="6"/>
  <c r="AN439" i="6"/>
  <c r="AE439" i="6"/>
  <c r="V439" i="6"/>
  <c r="AW438" i="6"/>
  <c r="AN438" i="6"/>
  <c r="AE438" i="6"/>
  <c r="V438" i="6"/>
  <c r="AW437" i="6"/>
  <c r="AN437" i="6"/>
  <c r="AE437" i="6"/>
  <c r="V437" i="6"/>
  <c r="AW436" i="6"/>
  <c r="AN436" i="6"/>
  <c r="AE436" i="6"/>
  <c r="V436" i="6"/>
  <c r="AW435" i="6"/>
  <c r="AN435" i="6"/>
  <c r="AE435" i="6"/>
  <c r="V435" i="6"/>
  <c r="AW434" i="6"/>
  <c r="AN434" i="6"/>
  <c r="AE434" i="6"/>
  <c r="V434" i="6"/>
  <c r="AW433" i="6"/>
  <c r="AN433" i="6"/>
  <c r="AE433" i="6"/>
  <c r="V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AW429" i="6"/>
  <c r="AN429" i="6"/>
  <c r="AE429" i="6"/>
  <c r="V429" i="6"/>
  <c r="AW428" i="6"/>
  <c r="AN428" i="6"/>
  <c r="AE428" i="6"/>
  <c r="V428" i="6"/>
  <c r="AW427" i="6"/>
  <c r="AN427" i="6"/>
  <c r="AE427" i="6"/>
  <c r="V427" i="6"/>
  <c r="AW426" i="6"/>
  <c r="AN426" i="6"/>
  <c r="AE426" i="6"/>
  <c r="V426" i="6"/>
  <c r="AW425" i="6"/>
  <c r="AN425" i="6"/>
  <c r="AE425" i="6"/>
  <c r="V425" i="6"/>
  <c r="AW424" i="6"/>
  <c r="AN424" i="6"/>
  <c r="AE424" i="6"/>
  <c r="V424" i="6"/>
  <c r="M424" i="6"/>
  <c r="AW423" i="6"/>
  <c r="AN423" i="6"/>
  <c r="AE423" i="6"/>
  <c r="V423" i="6"/>
  <c r="AW422" i="6"/>
  <c r="AN422" i="6"/>
  <c r="AE422" i="6"/>
  <c r="V422" i="6"/>
  <c r="AW421" i="6"/>
  <c r="AN421" i="6"/>
  <c r="AE421" i="6"/>
  <c r="V421" i="6"/>
  <c r="AW420" i="6"/>
  <c r="AN420" i="6"/>
  <c r="AE420" i="6"/>
  <c r="V420" i="6"/>
  <c r="AW419" i="6"/>
  <c r="AN419" i="6"/>
  <c r="AE419" i="6"/>
  <c r="V419" i="6"/>
  <c r="AW418" i="6"/>
  <c r="AN418" i="6"/>
  <c r="AE418" i="6"/>
  <c r="V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AW414" i="6"/>
  <c r="AN414" i="6"/>
  <c r="AE414" i="6"/>
  <c r="V414" i="6"/>
  <c r="AW413" i="6"/>
  <c r="AN413" i="6"/>
  <c r="AE413" i="6"/>
  <c r="V413" i="6"/>
  <c r="AW412" i="6"/>
  <c r="AN412" i="6"/>
  <c r="AE412" i="6"/>
  <c r="V412" i="6"/>
  <c r="AW411" i="6"/>
  <c r="AN411" i="6"/>
  <c r="AE411" i="6"/>
  <c r="V411" i="6"/>
  <c r="AW410" i="6"/>
  <c r="AN410" i="6"/>
  <c r="AE410" i="6"/>
  <c r="V410" i="6"/>
  <c r="AW409" i="6"/>
  <c r="AN409" i="6"/>
  <c r="AE409" i="6"/>
  <c r="V409" i="6"/>
  <c r="AW408" i="6"/>
  <c r="AN408" i="6"/>
  <c r="AE408" i="6"/>
  <c r="V408" i="6"/>
  <c r="M408" i="6"/>
  <c r="AW407" i="6"/>
  <c r="AN407" i="6"/>
  <c r="AE407" i="6"/>
  <c r="V407" i="6"/>
  <c r="AW406" i="6"/>
  <c r="AN406" i="6"/>
  <c r="AE406" i="6"/>
  <c r="V406" i="6"/>
  <c r="AW405" i="6"/>
  <c r="AN405" i="6"/>
  <c r="AE405" i="6"/>
  <c r="V405" i="6"/>
  <c r="AW404" i="6"/>
  <c r="AN404" i="6"/>
  <c r="AE404" i="6"/>
  <c r="V404" i="6"/>
  <c r="AW403" i="6"/>
  <c r="AN403" i="6"/>
  <c r="AE403" i="6"/>
  <c r="V403" i="6"/>
  <c r="AW402" i="6"/>
  <c r="AN402" i="6"/>
  <c r="AE402" i="6"/>
  <c r="V402" i="6"/>
  <c r="AW401" i="6"/>
  <c r="AN401" i="6"/>
  <c r="AE401" i="6"/>
  <c r="V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AW397" i="6"/>
  <c r="AN397" i="6"/>
  <c r="AE397" i="6"/>
  <c r="V397" i="6"/>
  <c r="AW396" i="6"/>
  <c r="AN396" i="6"/>
  <c r="AE396" i="6"/>
  <c r="V396" i="6"/>
  <c r="AW395" i="6"/>
  <c r="AN395" i="6"/>
  <c r="AE395" i="6"/>
  <c r="V395" i="6"/>
  <c r="AW394" i="6"/>
  <c r="AN394" i="6"/>
  <c r="AE394" i="6"/>
  <c r="V394" i="6"/>
  <c r="AW393" i="6"/>
  <c r="AN393" i="6"/>
  <c r="AE393" i="6"/>
  <c r="V393" i="6"/>
  <c r="AW392" i="6"/>
  <c r="AN392" i="6"/>
  <c r="AE392" i="6"/>
  <c r="V392" i="6"/>
  <c r="M392" i="6"/>
  <c r="AW391" i="6"/>
  <c r="AN391" i="6"/>
  <c r="AE391" i="6"/>
  <c r="V391" i="6"/>
  <c r="AW390" i="6"/>
  <c r="AN390" i="6"/>
  <c r="AE390" i="6"/>
  <c r="V390" i="6"/>
  <c r="M390" i="6"/>
  <c r="AW389" i="6"/>
  <c r="AN389" i="6"/>
  <c r="AE389" i="6"/>
  <c r="V389" i="6"/>
  <c r="AW388" i="6"/>
  <c r="AN388" i="6"/>
  <c r="AE388" i="6"/>
  <c r="V388" i="6"/>
  <c r="AW387" i="6"/>
  <c r="AN387" i="6"/>
  <c r="AE387" i="6"/>
  <c r="V387" i="6"/>
  <c r="AW386" i="6"/>
  <c r="AN386" i="6"/>
  <c r="AE386" i="6"/>
  <c r="V386" i="6"/>
  <c r="AW385" i="6"/>
  <c r="AN385" i="6"/>
  <c r="AE385" i="6"/>
  <c r="V385" i="6"/>
  <c r="AW384" i="6"/>
  <c r="AN384" i="6"/>
  <c r="AE384" i="6"/>
  <c r="V384" i="6"/>
  <c r="M384" i="6"/>
  <c r="AW383" i="6"/>
  <c r="AN383" i="6"/>
  <c r="AE383" i="6"/>
  <c r="V383" i="6"/>
  <c r="AW382" i="6"/>
  <c r="AN382" i="6"/>
  <c r="AE382" i="6"/>
  <c r="V382" i="6"/>
  <c r="M382" i="6"/>
  <c r="AW381" i="6"/>
  <c r="AN381" i="6"/>
  <c r="AE381" i="6"/>
  <c r="V381" i="6"/>
  <c r="AW380" i="6"/>
  <c r="AN380" i="6"/>
  <c r="AE380" i="6"/>
  <c r="V380" i="6"/>
  <c r="AW379" i="6"/>
  <c r="AN379" i="6"/>
  <c r="AE379" i="6"/>
  <c r="V379" i="6"/>
  <c r="AW378" i="6"/>
  <c r="AN378" i="6"/>
  <c r="AE378" i="6"/>
  <c r="V378" i="6"/>
  <c r="AW377" i="6"/>
  <c r="AN377" i="6"/>
  <c r="AE377" i="6"/>
  <c r="V377" i="6"/>
  <c r="AW376" i="6"/>
  <c r="AN376" i="6"/>
  <c r="AE376" i="6"/>
  <c r="V376" i="6"/>
  <c r="M376" i="6"/>
  <c r="AW375" i="6"/>
  <c r="AN375" i="6"/>
  <c r="AE375" i="6"/>
  <c r="V375" i="6"/>
  <c r="AW374" i="6"/>
  <c r="AN374" i="6"/>
  <c r="AE374" i="6"/>
  <c r="V374" i="6"/>
  <c r="AW373" i="6"/>
  <c r="AN373" i="6"/>
  <c r="AE373" i="6"/>
  <c r="V373" i="6"/>
  <c r="AW372" i="6"/>
  <c r="AN372" i="6"/>
  <c r="AE372" i="6"/>
  <c r="V372" i="6"/>
  <c r="AW371" i="6"/>
  <c r="AN371" i="6"/>
  <c r="AE371" i="6"/>
  <c r="V371" i="6"/>
  <c r="AW370" i="6"/>
  <c r="AN370" i="6"/>
  <c r="AE370" i="6"/>
  <c r="V370" i="6"/>
  <c r="AW369" i="6"/>
  <c r="AN369" i="6"/>
  <c r="AE369" i="6"/>
  <c r="V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AW365" i="6"/>
  <c r="AN365" i="6"/>
  <c r="AE365" i="6"/>
  <c r="V365" i="6"/>
  <c r="AW364" i="6"/>
  <c r="AN364" i="6"/>
  <c r="AE364" i="6"/>
  <c r="V364" i="6"/>
  <c r="AW363" i="6"/>
  <c r="AN363" i="6"/>
  <c r="AE363" i="6"/>
  <c r="V363" i="6"/>
  <c r="AW362" i="6"/>
  <c r="AN362" i="6"/>
  <c r="AE362" i="6"/>
  <c r="V362" i="6"/>
  <c r="AW361" i="6"/>
  <c r="AN361" i="6"/>
  <c r="AE361" i="6"/>
  <c r="V361" i="6"/>
  <c r="AW360" i="6"/>
  <c r="AN360" i="6"/>
  <c r="AE360" i="6"/>
  <c r="V360" i="6"/>
  <c r="M360" i="6"/>
  <c r="AW359" i="6"/>
  <c r="AN359" i="6"/>
  <c r="AE359" i="6"/>
  <c r="V359" i="6"/>
  <c r="AW358" i="6"/>
  <c r="AN358" i="6"/>
  <c r="AE358" i="6"/>
  <c r="V358" i="6"/>
  <c r="AW357" i="6"/>
  <c r="AN357" i="6"/>
  <c r="AE357" i="6"/>
  <c r="V357" i="6"/>
  <c r="AW356" i="6"/>
  <c r="AN356" i="6"/>
  <c r="AE356" i="6"/>
  <c r="V356" i="6"/>
  <c r="AW355" i="6"/>
  <c r="AN355" i="6"/>
  <c r="AE355" i="6"/>
  <c r="V355" i="6"/>
  <c r="AW354" i="6"/>
  <c r="AN354" i="6"/>
  <c r="AE354" i="6"/>
  <c r="V354" i="6"/>
  <c r="AW353" i="6"/>
  <c r="AN353" i="6"/>
  <c r="AE353" i="6"/>
  <c r="V353" i="6"/>
  <c r="AW352" i="6"/>
  <c r="AN352" i="6"/>
  <c r="AE352" i="6"/>
  <c r="V352" i="6"/>
  <c r="M352" i="6"/>
  <c r="AW351" i="6"/>
  <c r="AN351" i="6"/>
  <c r="AE351" i="6"/>
  <c r="V351" i="6"/>
  <c r="AW350" i="6"/>
  <c r="AN350" i="6"/>
  <c r="AE350" i="6"/>
  <c r="V350" i="6"/>
  <c r="AW349" i="6"/>
  <c r="AN349" i="6"/>
  <c r="AE349" i="6"/>
  <c r="V349" i="6"/>
  <c r="AW348" i="6"/>
  <c r="AN348" i="6"/>
  <c r="AE348" i="6"/>
  <c r="V348" i="6"/>
  <c r="AW347" i="6"/>
  <c r="AN347" i="6"/>
  <c r="AE347" i="6"/>
  <c r="V347" i="6"/>
  <c r="AW346" i="6"/>
  <c r="AN346" i="6"/>
  <c r="AE346" i="6"/>
  <c r="V346" i="6"/>
  <c r="AW345" i="6"/>
  <c r="AN345" i="6"/>
  <c r="AE345" i="6"/>
  <c r="V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AW341" i="6"/>
  <c r="AN341" i="6"/>
  <c r="AE341" i="6"/>
  <c r="V341" i="6"/>
  <c r="AW340" i="6"/>
  <c r="AN340" i="6"/>
  <c r="AE340" i="6"/>
  <c r="V340" i="6"/>
  <c r="AW339" i="6"/>
  <c r="AN339" i="6"/>
  <c r="AE339" i="6"/>
  <c r="V339" i="6"/>
  <c r="AW338" i="6"/>
  <c r="AN338" i="6"/>
  <c r="AE338" i="6"/>
  <c r="V338" i="6"/>
  <c r="AW337" i="6"/>
  <c r="AN337" i="6"/>
  <c r="AE337" i="6"/>
  <c r="V337" i="6"/>
  <c r="AW336" i="6"/>
  <c r="AN336" i="6"/>
  <c r="AE336" i="6"/>
  <c r="V336" i="6"/>
  <c r="M336" i="6"/>
  <c r="AW335" i="6"/>
  <c r="AN335" i="6"/>
  <c r="AE335" i="6"/>
  <c r="V335" i="6"/>
  <c r="AW334" i="6"/>
  <c r="AN334" i="6"/>
  <c r="AE334" i="6"/>
  <c r="V334" i="6"/>
  <c r="M334" i="6"/>
  <c r="AW333" i="6"/>
  <c r="AN333" i="6"/>
  <c r="AE333" i="6"/>
  <c r="V333" i="6"/>
  <c r="AW332" i="6"/>
  <c r="AN332" i="6"/>
  <c r="AE332" i="6"/>
  <c r="V332" i="6"/>
  <c r="AW331" i="6"/>
  <c r="AN331" i="6"/>
  <c r="AE331" i="6"/>
  <c r="V331" i="6"/>
  <c r="AW330" i="6"/>
  <c r="AN330" i="6"/>
  <c r="AE330" i="6"/>
  <c r="V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AW326" i="6"/>
  <c r="AN326" i="6"/>
  <c r="AE326" i="6"/>
  <c r="V326" i="6"/>
  <c r="AW325" i="6"/>
  <c r="AN325" i="6"/>
  <c r="AE325" i="6"/>
  <c r="V325" i="6"/>
  <c r="AW324" i="6"/>
  <c r="AN324" i="6"/>
  <c r="AE324" i="6"/>
  <c r="V324" i="6"/>
  <c r="AW323" i="6"/>
  <c r="AN323" i="6"/>
  <c r="AE323" i="6"/>
  <c r="V323" i="6"/>
  <c r="AW322" i="6"/>
  <c r="AN322" i="6"/>
  <c r="AE322" i="6"/>
  <c r="V322" i="6"/>
  <c r="AW321" i="6"/>
  <c r="AN321" i="6"/>
  <c r="AE321" i="6"/>
  <c r="V321" i="6"/>
  <c r="AW320" i="6"/>
  <c r="AN320" i="6"/>
  <c r="AE320" i="6"/>
  <c r="V320" i="6"/>
  <c r="M320" i="6"/>
  <c r="AW319" i="6"/>
  <c r="AN319" i="6"/>
  <c r="AE319" i="6"/>
  <c r="V319" i="6"/>
  <c r="AW318" i="6"/>
  <c r="AN318" i="6"/>
  <c r="AE318" i="6"/>
  <c r="V318" i="6"/>
  <c r="AW317" i="6"/>
  <c r="AN317" i="6"/>
  <c r="AE317" i="6"/>
  <c r="V317" i="6"/>
  <c r="AW316" i="6"/>
  <c r="AN316" i="6"/>
  <c r="AE316" i="6"/>
  <c r="V316" i="6"/>
  <c r="AW315" i="6"/>
  <c r="AN315" i="6"/>
  <c r="AE315" i="6"/>
  <c r="V315" i="6"/>
  <c r="AW314" i="6"/>
  <c r="AN314" i="6"/>
  <c r="AE314" i="6"/>
  <c r="V314" i="6"/>
  <c r="AW313" i="6"/>
  <c r="AN313" i="6"/>
  <c r="AE313" i="6"/>
  <c r="V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AW309" i="6"/>
  <c r="AN309" i="6"/>
  <c r="AE309" i="6"/>
  <c r="V309" i="6"/>
  <c r="AW308" i="6"/>
  <c r="AN308" i="6"/>
  <c r="AE308" i="6"/>
  <c r="V308" i="6"/>
  <c r="AW307" i="6"/>
  <c r="AN307" i="6"/>
  <c r="AE307" i="6"/>
  <c r="V307" i="6"/>
  <c r="AW306" i="6"/>
  <c r="AN306" i="6"/>
  <c r="AE306" i="6"/>
  <c r="V306" i="6"/>
  <c r="AW305" i="6"/>
  <c r="AN305" i="6"/>
  <c r="AE305" i="6"/>
  <c r="V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AW301" i="6"/>
  <c r="AN301" i="6"/>
  <c r="AE301" i="6"/>
  <c r="V301" i="6"/>
  <c r="AW300" i="6"/>
  <c r="AN300" i="6"/>
  <c r="AE300" i="6"/>
  <c r="V300" i="6"/>
  <c r="AW299" i="6"/>
  <c r="AN299" i="6"/>
  <c r="AE299" i="6"/>
  <c r="V299" i="6"/>
  <c r="AW298" i="6"/>
  <c r="AN298" i="6"/>
  <c r="AE298" i="6"/>
  <c r="V298" i="6"/>
  <c r="AW297" i="6"/>
  <c r="AN297" i="6"/>
  <c r="AE297" i="6"/>
  <c r="V297" i="6"/>
  <c r="AW296" i="6"/>
  <c r="AN296" i="6"/>
  <c r="AE296" i="6"/>
  <c r="V296" i="6"/>
  <c r="M296" i="6"/>
  <c r="AW295" i="6"/>
  <c r="AN295" i="6"/>
  <c r="AE295" i="6"/>
  <c r="V295" i="6"/>
  <c r="AW294" i="6"/>
  <c r="AN294" i="6"/>
  <c r="AE294" i="6"/>
  <c r="V294" i="6"/>
  <c r="AW293" i="6"/>
  <c r="AN293" i="6"/>
  <c r="AE293" i="6"/>
  <c r="V293" i="6"/>
  <c r="AW292" i="6"/>
  <c r="AN292" i="6"/>
  <c r="AE292" i="6"/>
  <c r="V292" i="6"/>
  <c r="AW291" i="6"/>
  <c r="AN291" i="6"/>
  <c r="AE291" i="6"/>
  <c r="V291" i="6"/>
  <c r="AW290" i="6"/>
  <c r="AN290" i="6"/>
  <c r="AE290" i="6"/>
  <c r="V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AW286" i="6"/>
  <c r="AN286" i="6"/>
  <c r="AE286" i="6"/>
  <c r="V286" i="6"/>
  <c r="AW285" i="6"/>
  <c r="AN285" i="6"/>
  <c r="AE285" i="6"/>
  <c r="V285" i="6"/>
  <c r="AW284" i="6"/>
  <c r="AN284" i="6"/>
  <c r="AE284" i="6"/>
  <c r="V284" i="6"/>
  <c r="AW283" i="6"/>
  <c r="AN283" i="6"/>
  <c r="AE283" i="6"/>
  <c r="V283" i="6"/>
  <c r="AW282" i="6"/>
  <c r="AN282" i="6"/>
  <c r="AE282" i="6"/>
  <c r="V282" i="6"/>
  <c r="AW281" i="6"/>
  <c r="AN281" i="6"/>
  <c r="AE281" i="6"/>
  <c r="V281" i="6"/>
  <c r="AW280" i="6"/>
  <c r="AN280" i="6"/>
  <c r="AE280" i="6"/>
  <c r="V280" i="6"/>
  <c r="M280" i="6"/>
  <c r="AW279" i="6"/>
  <c r="AN279" i="6"/>
  <c r="AE279" i="6"/>
  <c r="V279" i="6"/>
  <c r="AW278" i="6"/>
  <c r="AN278" i="6"/>
  <c r="AE278" i="6"/>
  <c r="V278" i="6"/>
  <c r="AW277" i="6"/>
  <c r="AN277" i="6"/>
  <c r="AE277" i="6"/>
  <c r="V277" i="6"/>
  <c r="AW276" i="6"/>
  <c r="AN276" i="6"/>
  <c r="AE276" i="6"/>
  <c r="V276" i="6"/>
  <c r="AW275" i="6"/>
  <c r="AN275" i="6"/>
  <c r="AE275" i="6"/>
  <c r="V275" i="6"/>
  <c r="AW274" i="6"/>
  <c r="AN274" i="6"/>
  <c r="AE274" i="6"/>
  <c r="V274" i="6"/>
  <c r="AW273" i="6"/>
  <c r="AN273" i="6"/>
  <c r="AE273" i="6"/>
  <c r="V273" i="6"/>
  <c r="AW272" i="6"/>
  <c r="AN272" i="6"/>
  <c r="AE272" i="6"/>
  <c r="V272" i="6"/>
  <c r="M272" i="6"/>
  <c r="AW271" i="6"/>
  <c r="AN271" i="6"/>
  <c r="AE271" i="6"/>
  <c r="V271" i="6"/>
  <c r="AW270" i="6"/>
  <c r="AN270" i="6"/>
  <c r="AE270" i="6"/>
  <c r="V270" i="6"/>
  <c r="M270" i="6"/>
  <c r="AW269" i="6"/>
  <c r="AN269" i="6"/>
  <c r="AE269" i="6"/>
  <c r="V269" i="6"/>
  <c r="AW268" i="6"/>
  <c r="AN268" i="6"/>
  <c r="AE268" i="6"/>
  <c r="V268" i="6"/>
  <c r="AW267" i="6"/>
  <c r="AN267" i="6"/>
  <c r="AE267" i="6"/>
  <c r="V267" i="6"/>
  <c r="AW266" i="6"/>
  <c r="AN266" i="6"/>
  <c r="AE266" i="6"/>
  <c r="V266" i="6"/>
  <c r="AW265" i="6"/>
  <c r="AN265" i="6"/>
  <c r="AE265" i="6"/>
  <c r="V265" i="6"/>
  <c r="AW264" i="6"/>
  <c r="AN264" i="6"/>
  <c r="AE264" i="6"/>
  <c r="V264" i="6"/>
  <c r="M264" i="6"/>
  <c r="AW263" i="6"/>
  <c r="AN263" i="6"/>
  <c r="AE263" i="6"/>
  <c r="V263" i="6"/>
  <c r="AW262" i="6"/>
  <c r="AN262" i="6"/>
  <c r="AE262" i="6"/>
  <c r="V262" i="6"/>
  <c r="AW261" i="6"/>
  <c r="AN261" i="6"/>
  <c r="AE261" i="6"/>
  <c r="V261" i="6"/>
  <c r="AW260" i="6"/>
  <c r="AN260" i="6"/>
  <c r="AE260" i="6"/>
  <c r="V260" i="6"/>
  <c r="AW259" i="6"/>
  <c r="AN259" i="6"/>
  <c r="AE259" i="6"/>
  <c r="V259" i="6"/>
  <c r="AW258" i="6"/>
  <c r="AN258" i="6"/>
  <c r="AE258" i="6"/>
  <c r="V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AW254" i="6"/>
  <c r="AN254" i="6"/>
  <c r="AE254" i="6"/>
  <c r="V254" i="6"/>
  <c r="AW253" i="6"/>
  <c r="AN253" i="6"/>
  <c r="AE253" i="6"/>
  <c r="V253" i="6"/>
  <c r="AW252" i="6"/>
  <c r="AN252" i="6"/>
  <c r="AE252" i="6"/>
  <c r="V252" i="6"/>
  <c r="AW251" i="6"/>
  <c r="AN251" i="6"/>
  <c r="AE251" i="6"/>
  <c r="V251" i="6"/>
  <c r="AW250" i="6"/>
  <c r="AN250" i="6"/>
  <c r="AE250" i="6"/>
  <c r="V250" i="6"/>
  <c r="M250" i="6"/>
  <c r="AW249" i="6"/>
  <c r="AN249" i="6"/>
  <c r="AE249" i="6"/>
  <c r="V249" i="6"/>
  <c r="AW248" i="6"/>
  <c r="AN248" i="6"/>
  <c r="AE248" i="6"/>
  <c r="V248" i="6"/>
  <c r="M248" i="6"/>
  <c r="AW247" i="6"/>
  <c r="AN247" i="6"/>
  <c r="AE247" i="6"/>
  <c r="V247" i="6"/>
  <c r="AW246" i="6"/>
  <c r="AN246" i="6"/>
  <c r="AE246" i="6"/>
  <c r="V246" i="6"/>
  <c r="AW245" i="6"/>
  <c r="AN245" i="6"/>
  <c r="AE245" i="6"/>
  <c r="V245" i="6"/>
  <c r="AW244" i="6"/>
  <c r="AN244" i="6"/>
  <c r="AE244" i="6"/>
  <c r="V244" i="6"/>
  <c r="AW243" i="6"/>
  <c r="AN243" i="6"/>
  <c r="AE243" i="6"/>
  <c r="V243" i="6"/>
  <c r="AW242" i="6"/>
  <c r="AN242" i="6"/>
  <c r="AE242" i="6"/>
  <c r="V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AW238" i="6"/>
  <c r="AN238" i="6"/>
  <c r="AE238" i="6"/>
  <c r="V238" i="6"/>
  <c r="AW237" i="6"/>
  <c r="AN237" i="6"/>
  <c r="AE237" i="6"/>
  <c r="V237" i="6"/>
  <c r="AW236" i="6"/>
  <c r="AN236" i="6"/>
  <c r="AE236" i="6"/>
  <c r="V236" i="6"/>
  <c r="AW235" i="6"/>
  <c r="AN235" i="6"/>
  <c r="AE235" i="6"/>
  <c r="V235" i="6"/>
  <c r="AW234" i="6"/>
  <c r="AN234" i="6"/>
  <c r="AE234" i="6"/>
  <c r="V234" i="6"/>
  <c r="AW233" i="6"/>
  <c r="AN233" i="6"/>
  <c r="AE233" i="6"/>
  <c r="V233" i="6"/>
  <c r="AW232" i="6"/>
  <c r="AN232" i="6"/>
  <c r="AE232" i="6"/>
  <c r="V232" i="6"/>
  <c r="M232" i="6"/>
  <c r="AW231" i="6"/>
  <c r="AN231" i="6"/>
  <c r="AE231" i="6"/>
  <c r="V231" i="6"/>
  <c r="AW230" i="6"/>
  <c r="AN230" i="6"/>
  <c r="AE230" i="6"/>
  <c r="V230" i="6"/>
  <c r="AW229" i="6"/>
  <c r="AN229" i="6"/>
  <c r="AE229" i="6"/>
  <c r="V229" i="6"/>
  <c r="AW228" i="6"/>
  <c r="AN228" i="6"/>
  <c r="AE228" i="6"/>
  <c r="V228" i="6"/>
  <c r="AW227" i="6"/>
  <c r="AN227" i="6"/>
  <c r="AE227" i="6"/>
  <c r="V227" i="6"/>
  <c r="AW226" i="6"/>
  <c r="AN226" i="6"/>
  <c r="AE226" i="6"/>
  <c r="V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AW222" i="6"/>
  <c r="AN222" i="6"/>
  <c r="AE222" i="6"/>
  <c r="V222" i="6"/>
  <c r="AW221" i="6"/>
  <c r="AN221" i="6"/>
  <c r="AE221" i="6"/>
  <c r="V221" i="6"/>
  <c r="AW220" i="6"/>
  <c r="AN220" i="6"/>
  <c r="AE220" i="6"/>
  <c r="V220" i="6"/>
  <c r="AW219" i="6"/>
  <c r="AN219" i="6"/>
  <c r="AE219" i="6"/>
  <c r="V219" i="6"/>
  <c r="AW218" i="6"/>
  <c r="AN218" i="6"/>
  <c r="AE218" i="6"/>
  <c r="V218" i="6"/>
  <c r="M218" i="6"/>
  <c r="AW217" i="6"/>
  <c r="AN217" i="6"/>
  <c r="AE217" i="6"/>
  <c r="V217" i="6"/>
  <c r="AW216" i="6"/>
  <c r="AN216" i="6"/>
  <c r="AE216" i="6"/>
  <c r="V216" i="6"/>
  <c r="M216" i="6"/>
  <c r="AW215" i="6"/>
  <c r="AN215" i="6"/>
  <c r="AE215" i="6"/>
  <c r="V215" i="6"/>
  <c r="AW214" i="6"/>
  <c r="AN214" i="6"/>
  <c r="AE214" i="6"/>
  <c r="V214" i="6"/>
  <c r="AW213" i="6"/>
  <c r="AN213" i="6"/>
  <c r="AE213" i="6"/>
  <c r="V213" i="6"/>
  <c r="AW212" i="6"/>
  <c r="AN212" i="6"/>
  <c r="AE212" i="6"/>
  <c r="V212" i="6"/>
  <c r="AW211" i="6"/>
  <c r="AN211" i="6"/>
  <c r="AE211" i="6"/>
  <c r="V211" i="6"/>
  <c r="AW210" i="6"/>
  <c r="AN210" i="6"/>
  <c r="AE210" i="6"/>
  <c r="V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AW206" i="6"/>
  <c r="AN206" i="6"/>
  <c r="AE206" i="6"/>
  <c r="V206" i="6"/>
  <c r="AW205" i="6"/>
  <c r="AN205" i="6"/>
  <c r="AE205" i="6"/>
  <c r="V205" i="6"/>
  <c r="AW204" i="6"/>
  <c r="AN204" i="6"/>
  <c r="AE204" i="6"/>
  <c r="V204" i="6"/>
  <c r="AW203" i="6"/>
  <c r="AN203" i="6"/>
  <c r="AE203" i="6"/>
  <c r="V203" i="6"/>
  <c r="AW202" i="6"/>
  <c r="AN202" i="6"/>
  <c r="AE202" i="6"/>
  <c r="V202" i="6"/>
  <c r="AW201" i="6"/>
  <c r="AN201" i="6"/>
  <c r="AE201" i="6"/>
  <c r="V201" i="6"/>
  <c r="AW200" i="6"/>
  <c r="AN200" i="6"/>
  <c r="AE200" i="6"/>
  <c r="V200" i="6"/>
  <c r="M200" i="6"/>
  <c r="AW199" i="6"/>
  <c r="AN199" i="6"/>
  <c r="AE199" i="6"/>
  <c r="V199" i="6"/>
  <c r="AW198" i="6"/>
  <c r="AN198" i="6"/>
  <c r="AE198" i="6"/>
  <c r="V198" i="6"/>
  <c r="AW197" i="6"/>
  <c r="AN197" i="6"/>
  <c r="AE197" i="6"/>
  <c r="V197" i="6"/>
  <c r="AW196" i="6"/>
  <c r="AN196" i="6"/>
  <c r="AE196" i="6"/>
  <c r="V196" i="6"/>
  <c r="AW195" i="6"/>
  <c r="AN195" i="6"/>
  <c r="AE195" i="6"/>
  <c r="V195" i="6"/>
  <c r="AW194" i="6"/>
  <c r="AN194" i="6"/>
  <c r="AE194" i="6"/>
  <c r="V194" i="6"/>
  <c r="AW193" i="6"/>
  <c r="AN193" i="6"/>
  <c r="AE193" i="6"/>
  <c r="V193" i="6"/>
  <c r="AW192" i="6"/>
  <c r="AN192" i="6"/>
  <c r="AE192" i="6"/>
  <c r="V192" i="6"/>
  <c r="M192" i="6"/>
  <c r="AW191" i="6"/>
  <c r="AN191" i="6"/>
  <c r="AE191" i="6"/>
  <c r="V191" i="6"/>
  <c r="AW190" i="6"/>
  <c r="AN190" i="6"/>
  <c r="AE190" i="6"/>
  <c r="V190" i="6"/>
  <c r="AW189" i="6"/>
  <c r="AN189" i="6"/>
  <c r="AE189" i="6"/>
  <c r="V189" i="6"/>
  <c r="AW188" i="6"/>
  <c r="AN188" i="6"/>
  <c r="AE188" i="6"/>
  <c r="V188" i="6"/>
  <c r="AW187" i="6"/>
  <c r="AN187" i="6"/>
  <c r="AE187" i="6"/>
  <c r="V187" i="6"/>
  <c r="AW186" i="6"/>
  <c r="AN186" i="6"/>
  <c r="AE186" i="6"/>
  <c r="V186" i="6"/>
  <c r="AW185" i="6"/>
  <c r="AN185" i="6"/>
  <c r="AE185" i="6"/>
  <c r="V185" i="6"/>
  <c r="AW184" i="6"/>
  <c r="AN184" i="6"/>
  <c r="AE184" i="6"/>
  <c r="V184" i="6"/>
  <c r="M184" i="6"/>
  <c r="AW183" i="6"/>
  <c r="AN183" i="6"/>
  <c r="AE183" i="6"/>
  <c r="V183" i="6"/>
  <c r="AW182" i="6"/>
  <c r="AN182" i="6"/>
  <c r="AE182" i="6"/>
  <c r="V182" i="6"/>
  <c r="AW181" i="6"/>
  <c r="AN181" i="6"/>
  <c r="AE181" i="6"/>
  <c r="V181" i="6"/>
  <c r="AW180" i="6"/>
  <c r="AN180" i="6"/>
  <c r="AE180" i="6"/>
  <c r="V180" i="6"/>
  <c r="AW179" i="6"/>
  <c r="AN179" i="6"/>
  <c r="AE179" i="6"/>
  <c r="V179" i="6"/>
  <c r="AW178" i="6"/>
  <c r="AN178" i="6"/>
  <c r="AE178" i="6"/>
  <c r="V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AW174" i="6"/>
  <c r="AN174" i="6"/>
  <c r="AE174" i="6"/>
  <c r="V174" i="6"/>
  <c r="AW173" i="6"/>
  <c r="AN173" i="6"/>
  <c r="AE173" i="6"/>
  <c r="V173" i="6"/>
  <c r="AW172" i="6"/>
  <c r="AN172" i="6"/>
  <c r="AE172" i="6"/>
  <c r="V172" i="6"/>
  <c r="AW171" i="6"/>
  <c r="AN171" i="6"/>
  <c r="AE171" i="6"/>
  <c r="V171" i="6"/>
  <c r="AW170" i="6"/>
  <c r="AN170" i="6"/>
  <c r="AE170" i="6"/>
  <c r="V170" i="6"/>
  <c r="AW169" i="6"/>
  <c r="AN169" i="6"/>
  <c r="AE169" i="6"/>
  <c r="V169" i="6"/>
  <c r="AW168" i="6"/>
  <c r="AN168" i="6"/>
  <c r="AE168" i="6"/>
  <c r="V168" i="6"/>
  <c r="M168" i="6"/>
  <c r="AW167" i="6"/>
  <c r="AN167" i="6"/>
  <c r="AE167" i="6"/>
  <c r="V167" i="6"/>
  <c r="AW166" i="6"/>
  <c r="AN166" i="6"/>
  <c r="AE166" i="6"/>
  <c r="V166" i="6"/>
  <c r="AW165" i="6"/>
  <c r="AN165" i="6"/>
  <c r="AE165" i="6"/>
  <c r="V165" i="6"/>
  <c r="AW164" i="6"/>
  <c r="AN164" i="6"/>
  <c r="AE164" i="6"/>
  <c r="V164" i="6"/>
  <c r="AW163" i="6"/>
  <c r="AN163" i="6"/>
  <c r="AE163" i="6"/>
  <c r="V163" i="6"/>
  <c r="AW162" i="6"/>
  <c r="AN162" i="6"/>
  <c r="AE162" i="6"/>
  <c r="V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AW158" i="6"/>
  <c r="AN158" i="6"/>
  <c r="AE158" i="6"/>
  <c r="V158" i="6"/>
  <c r="AW157" i="6"/>
  <c r="AN157" i="6"/>
  <c r="AE157" i="6"/>
  <c r="V157" i="6"/>
  <c r="AW156" i="6"/>
  <c r="AN156" i="6"/>
  <c r="AE156" i="6"/>
  <c r="V156" i="6"/>
  <c r="AW155" i="6"/>
  <c r="AN155" i="6"/>
  <c r="AE155" i="6"/>
  <c r="V155" i="6"/>
  <c r="AW154" i="6"/>
  <c r="AN154" i="6"/>
  <c r="AE154" i="6"/>
  <c r="V154" i="6"/>
  <c r="AW153" i="6"/>
  <c r="AN153" i="6"/>
  <c r="AE153" i="6"/>
  <c r="V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AW149" i="6"/>
  <c r="AN149" i="6"/>
  <c r="AE149" i="6"/>
  <c r="V149" i="6"/>
  <c r="AW148" i="6"/>
  <c r="AN148" i="6"/>
  <c r="AE148" i="6"/>
  <c r="V148" i="6"/>
  <c r="AW147" i="6"/>
  <c r="AN147" i="6"/>
  <c r="AE147" i="6"/>
  <c r="V147" i="6"/>
  <c r="AW146" i="6"/>
  <c r="AN146" i="6"/>
  <c r="AE146" i="6"/>
  <c r="V146" i="6"/>
  <c r="AW145" i="6"/>
  <c r="AN145" i="6"/>
  <c r="AE145" i="6"/>
  <c r="V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AW141" i="6"/>
  <c r="AN141" i="6"/>
  <c r="AE141" i="6"/>
  <c r="V141" i="6"/>
  <c r="AW140" i="6"/>
  <c r="AN140" i="6"/>
  <c r="AE140" i="6"/>
  <c r="V140" i="6"/>
  <c r="AW139" i="6"/>
  <c r="AN139" i="6"/>
  <c r="AE139" i="6"/>
  <c r="V139" i="6"/>
  <c r="AW138" i="6"/>
  <c r="AN138" i="6"/>
  <c r="AE138" i="6"/>
  <c r="V138" i="6"/>
  <c r="AW137" i="6"/>
  <c r="AN137" i="6"/>
  <c r="AE137" i="6"/>
  <c r="V137" i="6"/>
  <c r="AW136" i="6"/>
  <c r="AN136" i="6"/>
  <c r="AE136" i="6"/>
  <c r="V136" i="6"/>
  <c r="M136" i="6"/>
  <c r="AW135" i="6"/>
  <c r="AN135" i="6"/>
  <c r="AE135" i="6"/>
  <c r="V135" i="6"/>
  <c r="AW134" i="6"/>
  <c r="AN134" i="6"/>
  <c r="AE134" i="6"/>
  <c r="V134" i="6"/>
  <c r="M134" i="6"/>
  <c r="AW133" i="6"/>
  <c r="AN133" i="6"/>
  <c r="AE133" i="6"/>
  <c r="V133" i="6"/>
  <c r="AW132" i="6"/>
  <c r="AN132" i="6"/>
  <c r="AE132" i="6"/>
  <c r="V132" i="6"/>
  <c r="AW131" i="6"/>
  <c r="AN131" i="6"/>
  <c r="AE131" i="6"/>
  <c r="V131" i="6"/>
  <c r="AW130" i="6"/>
  <c r="AN130" i="6"/>
  <c r="AE130" i="6"/>
  <c r="V130" i="6"/>
  <c r="AW129" i="6"/>
  <c r="AN129" i="6"/>
  <c r="AE129" i="6"/>
  <c r="V129" i="6"/>
  <c r="AW128" i="6"/>
  <c r="AN128" i="6"/>
  <c r="AE128" i="6"/>
  <c r="V128" i="6"/>
  <c r="M128" i="6"/>
  <c r="AW127" i="6"/>
  <c r="AN127" i="6"/>
  <c r="AE127" i="6"/>
  <c r="V127" i="6"/>
  <c r="AW126" i="6"/>
  <c r="AN126" i="6"/>
  <c r="AE126" i="6"/>
  <c r="V126" i="6"/>
  <c r="M126" i="6"/>
  <c r="AW125" i="6"/>
  <c r="AN125" i="6"/>
  <c r="AE125" i="6"/>
  <c r="V125" i="6"/>
  <c r="AW124" i="6"/>
  <c r="AN124" i="6"/>
  <c r="AE124" i="6"/>
  <c r="V124" i="6"/>
  <c r="AW123" i="6"/>
  <c r="AN123" i="6"/>
  <c r="AE123" i="6"/>
  <c r="V123" i="6"/>
  <c r="AW122" i="6"/>
  <c r="AN122" i="6"/>
  <c r="AE122" i="6"/>
  <c r="V122" i="6"/>
  <c r="AW121" i="6"/>
  <c r="AN121" i="6"/>
  <c r="AE121" i="6"/>
  <c r="V121" i="6"/>
  <c r="AW120" i="6"/>
  <c r="AN120" i="6"/>
  <c r="AE120" i="6"/>
  <c r="V120" i="6"/>
  <c r="M120" i="6"/>
  <c r="AW119" i="6"/>
  <c r="AN119" i="6"/>
  <c r="AE119" i="6"/>
  <c r="V119" i="6"/>
  <c r="AW118" i="6"/>
  <c r="AN118" i="6"/>
  <c r="AE118" i="6"/>
  <c r="V118" i="6"/>
  <c r="AW117" i="6"/>
  <c r="AN117" i="6"/>
  <c r="AE117" i="6"/>
  <c r="V117" i="6"/>
  <c r="AW116" i="6"/>
  <c r="AN116" i="6"/>
  <c r="AE116" i="6"/>
  <c r="V116" i="6"/>
  <c r="AW115" i="6"/>
  <c r="AN115" i="6"/>
  <c r="AE115" i="6"/>
  <c r="V115" i="6"/>
  <c r="AW114" i="6"/>
  <c r="AN114" i="6"/>
  <c r="AE114" i="6"/>
  <c r="V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AW110" i="6"/>
  <c r="AN110" i="6"/>
  <c r="AE110" i="6"/>
  <c r="V110" i="6"/>
  <c r="AW109" i="6"/>
  <c r="AN109" i="6"/>
  <c r="AE109" i="6"/>
  <c r="V109" i="6"/>
  <c r="AW108" i="6"/>
  <c r="AN108" i="6"/>
  <c r="AE108" i="6"/>
  <c r="V108" i="6"/>
  <c r="AW107" i="6"/>
  <c r="AN107" i="6"/>
  <c r="AE107" i="6"/>
  <c r="V107" i="6"/>
  <c r="AW106" i="6"/>
  <c r="AN106" i="6"/>
  <c r="AE106" i="6"/>
  <c r="V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AW102" i="6"/>
  <c r="AN102" i="6"/>
  <c r="AE102" i="6"/>
  <c r="V102" i="6"/>
  <c r="AW101" i="6"/>
  <c r="AN101" i="6"/>
  <c r="AE101" i="6"/>
  <c r="V101" i="6"/>
  <c r="AW100" i="6"/>
  <c r="AN100" i="6"/>
  <c r="AE100" i="6"/>
  <c r="V100" i="6"/>
  <c r="AW99" i="6"/>
  <c r="AN99" i="6"/>
  <c r="AE99" i="6"/>
  <c r="V99" i="6"/>
  <c r="AW98" i="6"/>
  <c r="AN98" i="6"/>
  <c r="AE98" i="6"/>
  <c r="V98" i="6"/>
  <c r="AW97" i="6"/>
  <c r="AN97" i="6"/>
  <c r="AE97" i="6"/>
  <c r="V97" i="6"/>
  <c r="AW96" i="6"/>
  <c r="AN96" i="6"/>
  <c r="AE96" i="6"/>
  <c r="V96" i="6"/>
  <c r="M96" i="6"/>
  <c r="AW95" i="6"/>
  <c r="AN95" i="6"/>
  <c r="AE95" i="6"/>
  <c r="V95" i="6"/>
  <c r="AW94" i="6"/>
  <c r="AN94" i="6"/>
  <c r="AE94" i="6"/>
  <c r="V94" i="6"/>
  <c r="AW93" i="6"/>
  <c r="AN93" i="6"/>
  <c r="AE93" i="6"/>
  <c r="V93" i="6"/>
  <c r="AW92" i="6"/>
  <c r="AN92" i="6"/>
  <c r="AE92" i="6"/>
  <c r="V92" i="6"/>
  <c r="AW91" i="6"/>
  <c r="AN91" i="6"/>
  <c r="AE91" i="6"/>
  <c r="V91" i="6"/>
  <c r="AW90" i="6"/>
  <c r="AN90" i="6"/>
  <c r="AE90" i="6"/>
  <c r="V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AW86" i="6"/>
  <c r="AN86" i="6"/>
  <c r="AE86" i="6"/>
  <c r="V86" i="6"/>
  <c r="AW85" i="6"/>
  <c r="AN85" i="6"/>
  <c r="AE85" i="6"/>
  <c r="V85" i="6"/>
  <c r="AW84" i="6"/>
  <c r="AN84" i="6"/>
  <c r="AE84" i="6"/>
  <c r="V84" i="6"/>
  <c r="AW83" i="6"/>
  <c r="AN83" i="6"/>
  <c r="AE83" i="6"/>
  <c r="V83" i="6"/>
  <c r="AW82" i="6"/>
  <c r="AN82" i="6"/>
  <c r="AE82" i="6"/>
  <c r="V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AW78" i="6"/>
  <c r="AN78" i="6"/>
  <c r="AE78" i="6"/>
  <c r="V78" i="6"/>
  <c r="AW77" i="6"/>
  <c r="AN77" i="6"/>
  <c r="AE77" i="6"/>
  <c r="V77" i="6"/>
  <c r="AW76" i="6"/>
  <c r="AN76" i="6"/>
  <c r="AE76" i="6"/>
  <c r="V76" i="6"/>
  <c r="AW75" i="6"/>
  <c r="AN75" i="6"/>
  <c r="AE75" i="6"/>
  <c r="V75" i="6"/>
  <c r="AW74" i="6"/>
  <c r="AN74" i="6"/>
  <c r="AE74" i="6"/>
  <c r="V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AW70" i="6"/>
  <c r="AN70" i="6"/>
  <c r="AE70" i="6"/>
  <c r="V70" i="6"/>
  <c r="AW69" i="6"/>
  <c r="AN69" i="6"/>
  <c r="AE69" i="6"/>
  <c r="V69" i="6"/>
  <c r="AW68" i="6"/>
  <c r="AN68" i="6"/>
  <c r="AE68" i="6"/>
  <c r="V68" i="6"/>
  <c r="AW67" i="6"/>
  <c r="AN67" i="6"/>
  <c r="AE67" i="6"/>
  <c r="V67" i="6"/>
  <c r="AW66" i="6"/>
  <c r="AN66" i="6"/>
  <c r="AE66" i="6"/>
  <c r="V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AW62" i="6"/>
  <c r="AN62" i="6"/>
  <c r="AE62" i="6"/>
  <c r="V62" i="6"/>
  <c r="AW61" i="6"/>
  <c r="AN61" i="6"/>
  <c r="AE61" i="6"/>
  <c r="V61" i="6"/>
  <c r="AW60" i="6"/>
  <c r="AN60" i="6"/>
  <c r="AE60" i="6"/>
  <c r="V60" i="6"/>
  <c r="AW59" i="6"/>
  <c r="AN59" i="6"/>
  <c r="AE59" i="6"/>
  <c r="V59" i="6"/>
  <c r="AW58" i="6"/>
  <c r="AN58" i="6"/>
  <c r="AE58" i="6"/>
  <c r="V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AW54" i="6"/>
  <c r="AN54" i="6"/>
  <c r="AE54" i="6"/>
  <c r="V54" i="6"/>
  <c r="AW53" i="6"/>
  <c r="AN53" i="6"/>
  <c r="AE53" i="6"/>
  <c r="V53" i="6"/>
  <c r="AW52" i="6"/>
  <c r="AN52" i="6"/>
  <c r="AE52" i="6"/>
  <c r="V52" i="6"/>
  <c r="AW51" i="6"/>
  <c r="AN51" i="6"/>
  <c r="AE51" i="6"/>
  <c r="V51" i="6"/>
  <c r="AW50" i="6"/>
  <c r="AN50" i="6"/>
  <c r="AE50" i="6"/>
  <c r="V50" i="6"/>
  <c r="M50" i="6"/>
  <c r="AW49" i="6"/>
  <c r="AN49" i="6"/>
  <c r="AE49" i="6"/>
  <c r="V49" i="6"/>
  <c r="AW48" i="6"/>
  <c r="AN48" i="6"/>
  <c r="AE48" i="6"/>
  <c r="V48" i="6"/>
  <c r="M48" i="6"/>
  <c r="AW47" i="6"/>
  <c r="AN47" i="6"/>
  <c r="AE47" i="6"/>
  <c r="V47" i="6"/>
  <c r="AW46" i="6"/>
  <c r="AN46" i="6"/>
  <c r="AE46" i="6"/>
  <c r="V46" i="6"/>
  <c r="AW45" i="6"/>
  <c r="AN45" i="6"/>
  <c r="AE45" i="6"/>
  <c r="V45" i="6"/>
  <c r="AW44" i="6"/>
  <c r="AN44" i="6"/>
  <c r="AE44" i="6"/>
  <c r="V44" i="6"/>
  <c r="AW43" i="6"/>
  <c r="AN43" i="6"/>
  <c r="AE43" i="6"/>
  <c r="V43" i="6"/>
  <c r="AW42" i="6"/>
  <c r="AN42" i="6"/>
  <c r="AE42" i="6"/>
  <c r="V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AW38" i="6"/>
  <c r="AN38" i="6"/>
  <c r="AE38" i="6"/>
  <c r="V38" i="6"/>
  <c r="AW37" i="6"/>
  <c r="AN37" i="6"/>
  <c r="AE37" i="6"/>
  <c r="V37" i="6"/>
  <c r="AW36" i="6"/>
  <c r="AN36" i="6"/>
  <c r="AE36" i="6"/>
  <c r="V36" i="6"/>
  <c r="AW35" i="6"/>
  <c r="AN35" i="6"/>
  <c r="AE35" i="6"/>
  <c r="V35" i="6"/>
  <c r="AW34" i="6"/>
  <c r="AN34" i="6"/>
  <c r="AE34" i="6"/>
  <c r="V34" i="6"/>
  <c r="AW33" i="6"/>
  <c r="AN33" i="6"/>
  <c r="AE33" i="6"/>
  <c r="V33" i="6"/>
  <c r="AW32" i="6"/>
  <c r="AN32" i="6"/>
  <c r="AE32" i="6"/>
  <c r="V32" i="6"/>
  <c r="M32" i="6"/>
  <c r="AW31" i="6"/>
  <c r="AN31" i="6"/>
  <c r="AE31" i="6"/>
  <c r="V31" i="6"/>
  <c r="AW30" i="6"/>
  <c r="AN30" i="6"/>
  <c r="AE30" i="6"/>
  <c r="V30" i="6"/>
  <c r="AW29" i="6"/>
  <c r="AN29" i="6"/>
  <c r="AE29" i="6"/>
  <c r="V29" i="6"/>
  <c r="AW28" i="6"/>
  <c r="AN28" i="6"/>
  <c r="AE28" i="6"/>
  <c r="V28" i="6"/>
  <c r="AW27" i="6"/>
  <c r="AN27" i="6"/>
  <c r="AE27" i="6"/>
  <c r="V27" i="6"/>
  <c r="AW26" i="6"/>
  <c r="AN26" i="6"/>
  <c r="AE26" i="6"/>
  <c r="V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AW22" i="6"/>
  <c r="AN22" i="6"/>
  <c r="AE22" i="6"/>
  <c r="V22" i="6"/>
  <c r="AW21" i="6"/>
  <c r="AN21" i="6"/>
  <c r="AE21" i="6"/>
  <c r="V21" i="6"/>
  <c r="AW20" i="6"/>
  <c r="AN20" i="6"/>
  <c r="AE20" i="6"/>
  <c r="V20" i="6"/>
  <c r="AW19" i="6"/>
  <c r="AN19" i="6"/>
  <c r="AE19" i="6"/>
  <c r="V19" i="6"/>
  <c r="AW18" i="6"/>
  <c r="AN18" i="6"/>
  <c r="AE18" i="6"/>
  <c r="V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AW14" i="6"/>
  <c r="AN14" i="6"/>
  <c r="AE14" i="6"/>
  <c r="V14" i="6"/>
  <c r="AW13" i="6"/>
  <c r="AN13" i="6"/>
  <c r="AE13" i="6"/>
  <c r="V13" i="6"/>
  <c r="AW12" i="6"/>
  <c r="AN12" i="6"/>
  <c r="AE12" i="6"/>
  <c r="V12" i="6"/>
  <c r="AW11" i="6"/>
  <c r="AN11" i="6"/>
  <c r="AE11" i="6"/>
  <c r="V11" i="6"/>
  <c r="AW10" i="6"/>
  <c r="AN10" i="6"/>
  <c r="AE10" i="6"/>
  <c r="V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AW6" i="6"/>
  <c r="AN6" i="6"/>
  <c r="AE6" i="6"/>
  <c r="V6" i="6"/>
  <c r="AW5" i="6"/>
  <c r="AN5" i="6"/>
  <c r="AE5" i="6"/>
  <c r="V5" i="6"/>
  <c r="AW168" i="5"/>
  <c r="AN168" i="5"/>
  <c r="AE168" i="5"/>
  <c r="V168" i="5"/>
  <c r="AW167" i="5"/>
  <c r="AN167" i="5"/>
  <c r="AE167" i="5"/>
  <c r="V167" i="5"/>
  <c r="AW166" i="5"/>
  <c r="AN166" i="5"/>
  <c r="AE166" i="5"/>
  <c r="V166" i="5"/>
  <c r="AW165" i="5"/>
  <c r="AN165" i="5"/>
  <c r="AE165" i="5"/>
  <c r="V165" i="5"/>
  <c r="AW164" i="5"/>
  <c r="AN164" i="5"/>
  <c r="AE164" i="5"/>
  <c r="V164" i="5"/>
  <c r="AW163" i="5"/>
  <c r="AN163" i="5"/>
  <c r="AE163" i="5"/>
  <c r="V163" i="5"/>
  <c r="AW162" i="5"/>
  <c r="AN162" i="5"/>
  <c r="AE162" i="5"/>
  <c r="V162" i="5"/>
  <c r="AW161" i="5"/>
  <c r="AN161" i="5"/>
  <c r="AE161" i="5"/>
  <c r="V161" i="5"/>
  <c r="AW160" i="5"/>
  <c r="AN160" i="5"/>
  <c r="AE160" i="5"/>
  <c r="V160" i="5"/>
  <c r="AW159" i="5"/>
  <c r="AN159" i="5"/>
  <c r="AE159" i="5"/>
  <c r="V159" i="5"/>
  <c r="AW158" i="5"/>
  <c r="AN158" i="5"/>
  <c r="AE158" i="5"/>
  <c r="V158" i="5"/>
  <c r="AW157" i="5"/>
  <c r="AN157" i="5"/>
  <c r="AE157" i="5"/>
  <c r="V157" i="5"/>
  <c r="AW156" i="5"/>
  <c r="AN156" i="5"/>
  <c r="AE156" i="5"/>
  <c r="V156" i="5"/>
  <c r="AW155" i="5"/>
  <c r="AN155" i="5"/>
  <c r="AE155" i="5"/>
  <c r="V155" i="5"/>
  <c r="AW154" i="5"/>
  <c r="AN154" i="5"/>
  <c r="AE154" i="5"/>
  <c r="V154" i="5"/>
  <c r="AW153" i="5"/>
  <c r="AN153" i="5"/>
  <c r="AE153" i="5"/>
  <c r="V153" i="5"/>
  <c r="AW152" i="5"/>
  <c r="AN152" i="5"/>
  <c r="AE152" i="5"/>
  <c r="V152" i="5"/>
  <c r="AW151" i="5"/>
  <c r="AN151" i="5"/>
  <c r="AE151" i="5"/>
  <c r="V151" i="5"/>
  <c r="AW150" i="5"/>
  <c r="AN150" i="5"/>
  <c r="AE150" i="5"/>
  <c r="V150" i="5"/>
  <c r="AW149" i="5"/>
  <c r="AN149" i="5"/>
  <c r="AE149" i="5"/>
  <c r="V149" i="5"/>
  <c r="AW148" i="5"/>
  <c r="AN148" i="5"/>
  <c r="AE148" i="5"/>
  <c r="V148" i="5"/>
  <c r="AW147" i="5"/>
  <c r="AN147" i="5"/>
  <c r="AE147" i="5"/>
  <c r="V147" i="5"/>
  <c r="AW146" i="5"/>
  <c r="AN146" i="5"/>
  <c r="AE146" i="5"/>
  <c r="V146" i="5"/>
  <c r="AW145" i="5"/>
  <c r="AN145" i="5"/>
  <c r="AE145" i="5"/>
  <c r="V145" i="5"/>
  <c r="AW144" i="5"/>
  <c r="AN144" i="5"/>
  <c r="AE144" i="5"/>
  <c r="V144" i="5"/>
  <c r="AW143" i="5"/>
  <c r="AN143" i="5"/>
  <c r="AE143" i="5"/>
  <c r="V143" i="5"/>
  <c r="AW142" i="5"/>
  <c r="AN142" i="5"/>
  <c r="AE142" i="5"/>
  <c r="V142" i="5"/>
  <c r="AW141" i="5"/>
  <c r="AN141" i="5"/>
  <c r="AE141" i="5"/>
  <c r="V141" i="5"/>
  <c r="AW140" i="5"/>
  <c r="AN140" i="5"/>
  <c r="AE140" i="5"/>
  <c r="V140" i="5"/>
  <c r="AW139" i="5"/>
  <c r="AN139" i="5"/>
  <c r="AE139" i="5"/>
  <c r="V139" i="5"/>
  <c r="AW138" i="5"/>
  <c r="AN138" i="5"/>
  <c r="AE138" i="5"/>
  <c r="V138" i="5"/>
  <c r="AW137" i="5"/>
  <c r="AN137" i="5"/>
  <c r="AE137" i="5"/>
  <c r="V137" i="5"/>
  <c r="AW136" i="5"/>
  <c r="AN136" i="5"/>
  <c r="AE136" i="5"/>
  <c r="V136" i="5"/>
  <c r="AW135" i="5"/>
  <c r="AN135" i="5"/>
  <c r="AE135" i="5"/>
  <c r="V135" i="5"/>
  <c r="AW134" i="5"/>
  <c r="AN134" i="5"/>
  <c r="AE134" i="5"/>
  <c r="V134" i="5"/>
  <c r="AW133" i="5"/>
  <c r="AN133" i="5"/>
  <c r="AE133" i="5"/>
  <c r="V133" i="5"/>
  <c r="AW132" i="5"/>
  <c r="AN132" i="5"/>
  <c r="AE132" i="5"/>
  <c r="V132" i="5"/>
  <c r="AW131" i="5"/>
  <c r="AN131" i="5"/>
  <c r="AE131" i="5"/>
  <c r="V131" i="5"/>
  <c r="M131" i="5"/>
  <c r="AW130" i="5"/>
  <c r="AN130" i="5"/>
  <c r="AE130" i="5"/>
  <c r="V130" i="5"/>
  <c r="AW129" i="5"/>
  <c r="AN129" i="5"/>
  <c r="AE129" i="5"/>
  <c r="V129" i="5"/>
  <c r="AW128" i="5"/>
  <c r="AN128" i="5"/>
  <c r="AE128" i="5"/>
  <c r="V128" i="5"/>
  <c r="AW127" i="5"/>
  <c r="AN127" i="5"/>
  <c r="AE127" i="5"/>
  <c r="V127" i="5"/>
  <c r="AW126" i="5"/>
  <c r="AN126" i="5"/>
  <c r="AE126" i="5"/>
  <c r="V126" i="5"/>
  <c r="AW125" i="5"/>
  <c r="AN125" i="5"/>
  <c r="AE125" i="5"/>
  <c r="V125" i="5"/>
  <c r="AW124" i="5"/>
  <c r="AN124" i="5"/>
  <c r="AE124" i="5"/>
  <c r="V124" i="5"/>
  <c r="AW123" i="5"/>
  <c r="AN123" i="5"/>
  <c r="AE123" i="5"/>
  <c r="V123" i="5"/>
  <c r="AW122" i="5"/>
  <c r="AN122" i="5"/>
  <c r="AE122" i="5"/>
  <c r="V122" i="5"/>
  <c r="AW121" i="5"/>
  <c r="AN121" i="5"/>
  <c r="AE121" i="5"/>
  <c r="V121" i="5"/>
  <c r="AW120" i="5"/>
  <c r="AN120" i="5"/>
  <c r="AE120" i="5"/>
  <c r="V120" i="5"/>
  <c r="AW119" i="5"/>
  <c r="AN119" i="5"/>
  <c r="AE119" i="5"/>
  <c r="V119" i="5"/>
  <c r="AW118" i="5"/>
  <c r="AN118" i="5"/>
  <c r="AE118" i="5"/>
  <c r="V118" i="5"/>
  <c r="AW117" i="5"/>
  <c r="AN117" i="5"/>
  <c r="AE117" i="5"/>
  <c r="V117" i="5"/>
  <c r="AW116" i="5"/>
  <c r="AN116" i="5"/>
  <c r="AE116" i="5"/>
  <c r="V116" i="5"/>
  <c r="AW115" i="5"/>
  <c r="AN115" i="5"/>
  <c r="AE115" i="5"/>
  <c r="V115" i="5"/>
  <c r="AW114" i="5"/>
  <c r="AN114" i="5"/>
  <c r="AE114" i="5"/>
  <c r="V114" i="5"/>
  <c r="AW113" i="5"/>
  <c r="AN113" i="5"/>
  <c r="AE113" i="5"/>
  <c r="V113" i="5"/>
  <c r="AW112" i="5"/>
  <c r="AN112" i="5"/>
  <c r="AE112" i="5"/>
  <c r="V112" i="5"/>
  <c r="AW111" i="5"/>
  <c r="AN111" i="5"/>
  <c r="AE111" i="5"/>
  <c r="V111" i="5"/>
  <c r="AW110" i="5"/>
  <c r="AN110" i="5"/>
  <c r="AE110" i="5"/>
  <c r="V110" i="5"/>
  <c r="M110" i="5"/>
  <c r="AW109" i="5"/>
  <c r="AN109" i="5"/>
  <c r="AE109" i="5"/>
  <c r="V109" i="5"/>
  <c r="AW108" i="5"/>
  <c r="AN108" i="5"/>
  <c r="AE108" i="5"/>
  <c r="V108" i="5"/>
  <c r="AW107" i="5"/>
  <c r="AN107" i="5"/>
  <c r="AE107" i="5"/>
  <c r="V107" i="5"/>
  <c r="AW106" i="5"/>
  <c r="AN106" i="5"/>
  <c r="AE106" i="5"/>
  <c r="V106" i="5"/>
  <c r="AW105" i="5"/>
  <c r="AN105" i="5"/>
  <c r="AE105" i="5"/>
  <c r="V105" i="5"/>
  <c r="AW104" i="5"/>
  <c r="AN104" i="5"/>
  <c r="AE104" i="5"/>
  <c r="V104" i="5"/>
  <c r="AW103" i="5"/>
  <c r="AN103" i="5"/>
  <c r="AE103" i="5"/>
  <c r="V103" i="5"/>
  <c r="AW102" i="5"/>
  <c r="AN102" i="5"/>
  <c r="AE102" i="5"/>
  <c r="V102" i="5"/>
  <c r="AW101" i="5"/>
  <c r="AN101" i="5"/>
  <c r="AE101" i="5"/>
  <c r="V101" i="5"/>
  <c r="AW100" i="5"/>
  <c r="AN100" i="5"/>
  <c r="AE100" i="5"/>
  <c r="V100" i="5"/>
  <c r="AW99" i="5"/>
  <c r="AN99" i="5"/>
  <c r="AE99" i="5"/>
  <c r="V99" i="5"/>
  <c r="AW98" i="5"/>
  <c r="AN98" i="5"/>
  <c r="AE98" i="5"/>
  <c r="V98" i="5"/>
  <c r="AW97" i="5"/>
  <c r="AN97" i="5"/>
  <c r="AE97" i="5"/>
  <c r="V97" i="5"/>
  <c r="AW96" i="5"/>
  <c r="AN96" i="5"/>
  <c r="AE96" i="5"/>
  <c r="V96" i="5"/>
  <c r="AW95" i="5"/>
  <c r="AN95" i="5"/>
  <c r="AE95" i="5"/>
  <c r="V95" i="5"/>
  <c r="AW94" i="5"/>
  <c r="AN94" i="5"/>
  <c r="AE94" i="5"/>
  <c r="V94" i="5"/>
  <c r="AW93" i="5"/>
  <c r="AN93" i="5"/>
  <c r="AE93" i="5"/>
  <c r="V93" i="5"/>
  <c r="AW92" i="5"/>
  <c r="AN92" i="5"/>
  <c r="AE92" i="5"/>
  <c r="V92" i="5"/>
  <c r="AW91" i="5"/>
  <c r="AN91" i="5"/>
  <c r="AE91" i="5"/>
  <c r="V91" i="5"/>
  <c r="AW90" i="5"/>
  <c r="AN90" i="5"/>
  <c r="AE90" i="5"/>
  <c r="V90" i="5"/>
  <c r="AW89" i="5"/>
  <c r="AN89" i="5"/>
  <c r="AE89" i="5"/>
  <c r="V89" i="5"/>
  <c r="AW88" i="5"/>
  <c r="AN88" i="5"/>
  <c r="AE88" i="5"/>
  <c r="V88" i="5"/>
  <c r="AW87" i="5"/>
  <c r="AN87" i="5"/>
  <c r="AE87" i="5"/>
  <c r="V87" i="5"/>
  <c r="AW86" i="5"/>
  <c r="AN86" i="5"/>
  <c r="AE86" i="5"/>
  <c r="V86" i="5"/>
  <c r="AW85" i="5"/>
  <c r="AN85" i="5"/>
  <c r="AE85" i="5"/>
  <c r="V85" i="5"/>
  <c r="AW84" i="5"/>
  <c r="AN84" i="5"/>
  <c r="AE84" i="5"/>
  <c r="V84" i="5"/>
  <c r="AW83" i="5"/>
  <c r="AN83" i="5"/>
  <c r="AE83" i="5"/>
  <c r="V83" i="5"/>
  <c r="AW82" i="5"/>
  <c r="AN82" i="5"/>
  <c r="AE82" i="5"/>
  <c r="V82" i="5"/>
  <c r="AW81" i="5"/>
  <c r="AN81" i="5"/>
  <c r="AE81" i="5"/>
  <c r="V81" i="5"/>
  <c r="AW80" i="5"/>
  <c r="AN80" i="5"/>
  <c r="AE80" i="5"/>
  <c r="V80" i="5"/>
  <c r="AW79" i="5"/>
  <c r="AN79" i="5"/>
  <c r="AE79" i="5"/>
  <c r="V79" i="5"/>
  <c r="AW78" i="5"/>
  <c r="AN78" i="5"/>
  <c r="AE78" i="5"/>
  <c r="V78" i="5"/>
  <c r="AW77" i="5"/>
  <c r="AN77" i="5"/>
  <c r="AE77" i="5"/>
  <c r="V77" i="5"/>
  <c r="AW76" i="5"/>
  <c r="AN76" i="5"/>
  <c r="AE76" i="5"/>
  <c r="V76" i="5"/>
  <c r="AW75" i="5"/>
  <c r="AN75" i="5"/>
  <c r="AE75" i="5"/>
  <c r="V75" i="5"/>
  <c r="AW74" i="5"/>
  <c r="AN74" i="5"/>
  <c r="AE74" i="5"/>
  <c r="V74" i="5"/>
  <c r="AW73" i="5"/>
  <c r="AN73" i="5"/>
  <c r="AE73" i="5"/>
  <c r="V73" i="5"/>
  <c r="AW72" i="5"/>
  <c r="AN72" i="5"/>
  <c r="AE72" i="5"/>
  <c r="V72" i="5"/>
  <c r="AW71" i="5"/>
  <c r="AN71" i="5"/>
  <c r="AE71" i="5"/>
  <c r="V71" i="5"/>
  <c r="AW70" i="5"/>
  <c r="AN70" i="5"/>
  <c r="AE70" i="5"/>
  <c r="V70" i="5"/>
  <c r="AW69" i="5"/>
  <c r="AN69" i="5"/>
  <c r="AE69" i="5"/>
  <c r="V69" i="5"/>
  <c r="AW68" i="5"/>
  <c r="AN68" i="5"/>
  <c r="AE68" i="5"/>
  <c r="V68" i="5"/>
  <c r="AW67" i="5"/>
  <c r="AN67" i="5"/>
  <c r="AE67" i="5"/>
  <c r="V67" i="5"/>
  <c r="AW66" i="5"/>
  <c r="AN66" i="5"/>
  <c r="AE66" i="5"/>
  <c r="V66" i="5"/>
  <c r="AW65" i="5"/>
  <c r="AN65" i="5"/>
  <c r="AE65" i="5"/>
  <c r="V65" i="5"/>
  <c r="AW64" i="5"/>
  <c r="AN64" i="5"/>
  <c r="AE64" i="5"/>
  <c r="V64" i="5"/>
  <c r="AW63" i="5"/>
  <c r="AN63" i="5"/>
  <c r="AE63" i="5"/>
  <c r="V63" i="5"/>
  <c r="AW62" i="5"/>
  <c r="AN62" i="5"/>
  <c r="AE62" i="5"/>
  <c r="V62" i="5"/>
  <c r="AW61" i="5"/>
  <c r="AN61" i="5"/>
  <c r="AE61" i="5"/>
  <c r="V61" i="5"/>
  <c r="AW60" i="5"/>
  <c r="AN60" i="5"/>
  <c r="AE60" i="5"/>
  <c r="V60" i="5"/>
  <c r="AW59" i="5"/>
  <c r="AN59" i="5"/>
  <c r="AE59" i="5"/>
  <c r="V59" i="5"/>
  <c r="AW58" i="5"/>
  <c r="AN58" i="5"/>
  <c r="AE58" i="5"/>
  <c r="V58" i="5"/>
  <c r="AW57" i="5"/>
  <c r="AN57" i="5"/>
  <c r="AE57" i="5"/>
  <c r="V57" i="5"/>
  <c r="AW56" i="5"/>
  <c r="AN56" i="5"/>
  <c r="AE56" i="5"/>
  <c r="V56" i="5"/>
  <c r="AW55" i="5"/>
  <c r="AN55" i="5"/>
  <c r="AE55" i="5"/>
  <c r="V55" i="5"/>
  <c r="AW54" i="5"/>
  <c r="AN54" i="5"/>
  <c r="AE54" i="5"/>
  <c r="V54" i="5"/>
  <c r="AW53" i="5"/>
  <c r="AN53" i="5"/>
  <c r="AE53" i="5"/>
  <c r="V53" i="5"/>
  <c r="AW52" i="5"/>
  <c r="AN52" i="5"/>
  <c r="AE52" i="5"/>
  <c r="V52" i="5"/>
  <c r="AW51" i="5"/>
  <c r="AN51" i="5"/>
  <c r="AE51" i="5"/>
  <c r="V51" i="5"/>
  <c r="AW50" i="5"/>
  <c r="AN50" i="5"/>
  <c r="AE50" i="5"/>
  <c r="V50" i="5"/>
  <c r="AW49" i="5"/>
  <c r="AN49" i="5"/>
  <c r="AE49" i="5"/>
  <c r="V49" i="5"/>
  <c r="AW48" i="5"/>
  <c r="AN48" i="5"/>
  <c r="AE48" i="5"/>
  <c r="V48" i="5"/>
  <c r="AW47" i="5"/>
  <c r="AN47" i="5"/>
  <c r="AE47" i="5"/>
  <c r="V47" i="5"/>
  <c r="AW46" i="5"/>
  <c r="AN46" i="5"/>
  <c r="AE46" i="5"/>
  <c r="V46" i="5"/>
  <c r="AW45" i="5"/>
  <c r="AN45" i="5"/>
  <c r="AE45" i="5"/>
  <c r="V45" i="5"/>
  <c r="AW44" i="5"/>
  <c r="AN44" i="5"/>
  <c r="AE44" i="5"/>
  <c r="V44" i="5"/>
  <c r="AW43" i="5"/>
  <c r="AN43" i="5"/>
  <c r="AE43" i="5"/>
  <c r="V43" i="5"/>
  <c r="AW42" i="5"/>
  <c r="AN42" i="5"/>
  <c r="AE42" i="5"/>
  <c r="V42" i="5"/>
  <c r="AW41" i="5"/>
  <c r="AN41" i="5"/>
  <c r="AE41" i="5"/>
  <c r="V41" i="5"/>
  <c r="AW40" i="5"/>
  <c r="AN40" i="5"/>
  <c r="AE40" i="5"/>
  <c r="V40" i="5"/>
  <c r="AW39" i="5"/>
  <c r="AN39" i="5"/>
  <c r="AE39" i="5"/>
  <c r="V39" i="5"/>
  <c r="AW38" i="5"/>
  <c r="AN38" i="5"/>
  <c r="AE38" i="5"/>
  <c r="V38" i="5"/>
  <c r="AW37" i="5"/>
  <c r="AN37" i="5"/>
  <c r="AE37" i="5"/>
  <c r="V37" i="5"/>
  <c r="AW36" i="5"/>
  <c r="AN36" i="5"/>
  <c r="AE36" i="5"/>
  <c r="V36" i="5"/>
  <c r="AW35" i="5"/>
  <c r="AN35" i="5"/>
  <c r="AE35" i="5"/>
  <c r="V35" i="5"/>
  <c r="AW34" i="5"/>
  <c r="AN34" i="5"/>
  <c r="AE34" i="5"/>
  <c r="V34" i="5"/>
  <c r="AW33" i="5"/>
  <c r="AN33" i="5"/>
  <c r="AE33" i="5"/>
  <c r="V33" i="5"/>
  <c r="AW32" i="5"/>
  <c r="AN32" i="5"/>
  <c r="AE32" i="5"/>
  <c r="V32" i="5"/>
  <c r="AW31" i="5"/>
  <c r="AN31" i="5"/>
  <c r="AE31" i="5"/>
  <c r="V31" i="5"/>
  <c r="AW30" i="5"/>
  <c r="AN30" i="5"/>
  <c r="AE30" i="5"/>
  <c r="V30" i="5"/>
  <c r="AW29" i="5"/>
  <c r="AN29" i="5"/>
  <c r="AE29" i="5"/>
  <c r="V29" i="5"/>
  <c r="AW28" i="5"/>
  <c r="AN28" i="5"/>
  <c r="AE28" i="5"/>
  <c r="V28" i="5"/>
  <c r="AW27" i="5"/>
  <c r="AN27" i="5"/>
  <c r="AE27" i="5"/>
  <c r="V27" i="5"/>
  <c r="AW26" i="5"/>
  <c r="AN26" i="5"/>
  <c r="AE26" i="5"/>
  <c r="V26" i="5"/>
  <c r="AW25" i="5"/>
  <c r="AN25" i="5"/>
  <c r="AE25" i="5"/>
  <c r="V25" i="5"/>
  <c r="AW24" i="5"/>
  <c r="AN24" i="5"/>
  <c r="AE24" i="5"/>
  <c r="V24" i="5"/>
  <c r="AW23" i="5"/>
  <c r="AN23" i="5"/>
  <c r="AE23" i="5"/>
  <c r="V23" i="5"/>
  <c r="AW22" i="5"/>
  <c r="AN22" i="5"/>
  <c r="AE22" i="5"/>
  <c r="V22" i="5"/>
  <c r="AW21" i="5"/>
  <c r="AN21" i="5"/>
  <c r="AE21" i="5"/>
  <c r="V21" i="5"/>
  <c r="AW20" i="5"/>
  <c r="AN20" i="5"/>
  <c r="AE20" i="5"/>
  <c r="V20" i="5"/>
  <c r="AW19" i="5"/>
  <c r="AN19" i="5"/>
  <c r="AE19" i="5"/>
  <c r="V19" i="5"/>
  <c r="M19" i="5"/>
  <c r="AW18" i="5"/>
  <c r="AN18" i="5"/>
  <c r="AE18" i="5"/>
  <c r="V18" i="5"/>
  <c r="AW17" i="5"/>
  <c r="AN17" i="5"/>
  <c r="AE17" i="5"/>
  <c r="V17" i="5"/>
  <c r="AW16" i="5"/>
  <c r="AN16" i="5"/>
  <c r="AE16" i="5"/>
  <c r="V16" i="5"/>
  <c r="AW15" i="5"/>
  <c r="AN15" i="5"/>
  <c r="AE15" i="5"/>
  <c r="V15" i="5"/>
  <c r="AW14" i="5"/>
  <c r="AN14" i="5"/>
  <c r="AE14" i="5"/>
  <c r="V14" i="5"/>
  <c r="AW13" i="5"/>
  <c r="AN13" i="5"/>
  <c r="AE13" i="5"/>
  <c r="V13" i="5"/>
  <c r="AW12" i="5"/>
  <c r="AN12" i="5"/>
  <c r="AE12" i="5"/>
  <c r="V12" i="5"/>
  <c r="AW11" i="5"/>
  <c r="AN11" i="5"/>
  <c r="AE11" i="5"/>
  <c r="V11" i="5"/>
  <c r="M11" i="5"/>
  <c r="AW10" i="5"/>
  <c r="AN10" i="5"/>
  <c r="AE10" i="5"/>
  <c r="V10" i="5"/>
  <c r="AW9" i="5"/>
  <c r="AN9" i="5"/>
  <c r="AE9" i="5"/>
  <c r="V9" i="5"/>
  <c r="AW8" i="5"/>
  <c r="AN8" i="5"/>
  <c r="AE8" i="5"/>
  <c r="V8" i="5"/>
  <c r="AW7" i="5"/>
  <c r="AN7" i="5"/>
  <c r="AE7" i="5"/>
  <c r="V7" i="5"/>
  <c r="AW6" i="5"/>
  <c r="AN6" i="5"/>
  <c r="AE6" i="5"/>
  <c r="V6" i="5"/>
  <c r="AW5" i="5"/>
  <c r="AN5" i="5"/>
  <c r="AE5" i="5"/>
  <c r="V5" i="5"/>
  <c r="AW85" i="4"/>
  <c r="AN85" i="4"/>
  <c r="AE85" i="4"/>
  <c r="V85" i="4"/>
  <c r="AW84" i="4"/>
  <c r="AN84" i="4"/>
  <c r="AE84" i="4"/>
  <c r="V84" i="4"/>
  <c r="AW83" i="4"/>
  <c r="AN83" i="4"/>
  <c r="AE83" i="4"/>
  <c r="V83" i="4"/>
  <c r="AW82" i="4"/>
  <c r="AN82" i="4"/>
  <c r="AE82" i="4"/>
  <c r="V82" i="4"/>
  <c r="AW81" i="4"/>
  <c r="AN81" i="4"/>
  <c r="AE81" i="4"/>
  <c r="V81" i="4"/>
  <c r="AW80" i="4"/>
  <c r="AN80" i="4"/>
  <c r="AE80" i="4"/>
  <c r="V80" i="4"/>
  <c r="AW79" i="4"/>
  <c r="AN79" i="4"/>
  <c r="AE79" i="4"/>
  <c r="V79" i="4"/>
  <c r="AW78" i="4"/>
  <c r="AN78" i="4"/>
  <c r="AE78" i="4"/>
  <c r="V78" i="4"/>
  <c r="AW77" i="4"/>
  <c r="AN77" i="4"/>
  <c r="AE77" i="4"/>
  <c r="V77" i="4"/>
  <c r="AW76" i="4"/>
  <c r="AN76" i="4"/>
  <c r="AE76" i="4"/>
  <c r="V76" i="4"/>
  <c r="AW75" i="4"/>
  <c r="AN75" i="4"/>
  <c r="AE75" i="4"/>
  <c r="V75" i="4"/>
  <c r="AW74" i="4"/>
  <c r="AN74" i="4"/>
  <c r="AE74" i="4"/>
  <c r="V74" i="4"/>
  <c r="AW73" i="4"/>
  <c r="AN73" i="4"/>
  <c r="AE73" i="4"/>
  <c r="V73" i="4"/>
  <c r="AW72" i="4"/>
  <c r="AN72" i="4"/>
  <c r="AE72" i="4"/>
  <c r="V72" i="4"/>
  <c r="AW71" i="4"/>
  <c r="AN71" i="4"/>
  <c r="AE71" i="4"/>
  <c r="V71" i="4"/>
  <c r="AW70" i="4"/>
  <c r="AN70" i="4"/>
  <c r="AE70" i="4"/>
  <c r="V70" i="4"/>
  <c r="AW69" i="4"/>
  <c r="AN69" i="4"/>
  <c r="AE69" i="4"/>
  <c r="V69" i="4"/>
  <c r="AW68" i="4"/>
  <c r="AN68" i="4"/>
  <c r="AE68" i="4"/>
  <c r="V68" i="4"/>
  <c r="AW67" i="4"/>
  <c r="AN67" i="4"/>
  <c r="AE67" i="4"/>
  <c r="V67" i="4"/>
  <c r="AW66" i="4"/>
  <c r="AN66" i="4"/>
  <c r="AE66" i="4"/>
  <c r="V66" i="4"/>
  <c r="AW65" i="4"/>
  <c r="AN65" i="4"/>
  <c r="AE65" i="4"/>
  <c r="V65" i="4"/>
  <c r="AW64" i="4"/>
  <c r="AN64" i="4"/>
  <c r="AE64" i="4"/>
  <c r="V64" i="4"/>
  <c r="AW63" i="4"/>
  <c r="AN63" i="4"/>
  <c r="AE63" i="4"/>
  <c r="V63" i="4"/>
  <c r="AW62" i="4"/>
  <c r="AN62" i="4"/>
  <c r="AE62" i="4"/>
  <c r="V62" i="4"/>
  <c r="AW61" i="4"/>
  <c r="AN61" i="4"/>
  <c r="AE61" i="4"/>
  <c r="V61" i="4"/>
  <c r="AW60" i="4"/>
  <c r="AN60" i="4"/>
  <c r="AE60" i="4"/>
  <c r="V60" i="4"/>
  <c r="AW59" i="4"/>
  <c r="AN59" i="4"/>
  <c r="AE59" i="4"/>
  <c r="V59" i="4"/>
  <c r="AW58" i="4"/>
  <c r="AN58" i="4"/>
  <c r="AE58" i="4"/>
  <c r="V58" i="4"/>
  <c r="AW57" i="4"/>
  <c r="AN57" i="4"/>
  <c r="AE57" i="4"/>
  <c r="V57" i="4"/>
  <c r="AW56" i="4"/>
  <c r="AN56" i="4"/>
  <c r="AE56" i="4"/>
  <c r="V56" i="4"/>
  <c r="AW55" i="4"/>
  <c r="AN55" i="4"/>
  <c r="AE55" i="4"/>
  <c r="V55" i="4"/>
  <c r="AW54" i="4"/>
  <c r="AN54" i="4"/>
  <c r="AE54" i="4"/>
  <c r="V54" i="4"/>
  <c r="AW53" i="4"/>
  <c r="AN53" i="4"/>
  <c r="AE53" i="4"/>
  <c r="V53" i="4"/>
  <c r="AW52" i="4"/>
  <c r="AN52" i="4"/>
  <c r="AE52" i="4"/>
  <c r="V52" i="4"/>
  <c r="AW51" i="4"/>
  <c r="AN51" i="4"/>
  <c r="AE51" i="4"/>
  <c r="V51" i="4"/>
  <c r="AW50" i="4"/>
  <c r="AN50" i="4"/>
  <c r="AE50" i="4"/>
  <c r="V50" i="4"/>
  <c r="AW49" i="4"/>
  <c r="AN49" i="4"/>
  <c r="AE49" i="4"/>
  <c r="V49" i="4"/>
  <c r="AW48" i="4"/>
  <c r="AN48" i="4"/>
  <c r="AE48" i="4"/>
  <c r="V48" i="4"/>
  <c r="AW47" i="4"/>
  <c r="AN47" i="4"/>
  <c r="AE47" i="4"/>
  <c r="V47" i="4"/>
  <c r="AW46" i="4"/>
  <c r="AN46" i="4"/>
  <c r="AE46" i="4"/>
  <c r="V46" i="4"/>
  <c r="AW45" i="4"/>
  <c r="AN45" i="4"/>
  <c r="AE45" i="4"/>
  <c r="V45" i="4"/>
  <c r="AW44" i="4"/>
  <c r="AN44" i="4"/>
  <c r="AE44" i="4"/>
  <c r="V44" i="4"/>
  <c r="AW43" i="4"/>
  <c r="AN43" i="4"/>
  <c r="AE43" i="4"/>
  <c r="V43" i="4"/>
  <c r="AW42" i="4"/>
  <c r="AN42" i="4"/>
  <c r="AE42" i="4"/>
  <c r="V42" i="4"/>
  <c r="AW41" i="4"/>
  <c r="AN41" i="4"/>
  <c r="AE41" i="4"/>
  <c r="V41" i="4"/>
  <c r="AW40" i="4"/>
  <c r="AN40" i="4"/>
  <c r="AE40" i="4"/>
  <c r="V40" i="4"/>
  <c r="AW39" i="4"/>
  <c r="AN39" i="4"/>
  <c r="AE39" i="4"/>
  <c r="V39" i="4"/>
  <c r="AW38" i="4"/>
  <c r="AN38" i="4"/>
  <c r="AE38" i="4"/>
  <c r="V38" i="4"/>
  <c r="AW37" i="4"/>
  <c r="AN37" i="4"/>
  <c r="AE37" i="4"/>
  <c r="V37" i="4"/>
  <c r="AW36" i="4"/>
  <c r="AN36" i="4"/>
  <c r="AE36" i="4"/>
  <c r="V36" i="4"/>
  <c r="AW35" i="4"/>
  <c r="AN35" i="4"/>
  <c r="AE35" i="4"/>
  <c r="V35" i="4"/>
  <c r="AW34" i="4"/>
  <c r="AN34" i="4"/>
  <c r="AE34" i="4"/>
  <c r="V34" i="4"/>
  <c r="AW33" i="4"/>
  <c r="AN33" i="4"/>
  <c r="AE33" i="4"/>
  <c r="V33" i="4"/>
  <c r="AW32" i="4"/>
  <c r="AN32" i="4"/>
  <c r="AE32" i="4"/>
  <c r="V32" i="4"/>
  <c r="AW31" i="4"/>
  <c r="AN31" i="4"/>
  <c r="AE31" i="4"/>
  <c r="V31" i="4"/>
  <c r="AW30" i="4"/>
  <c r="AN30" i="4"/>
  <c r="AE30" i="4"/>
  <c r="V30" i="4"/>
  <c r="AW29" i="4"/>
  <c r="AN29" i="4"/>
  <c r="AE29" i="4"/>
  <c r="V29" i="4"/>
  <c r="AW28" i="4"/>
  <c r="AN28" i="4"/>
  <c r="AE28" i="4"/>
  <c r="V28" i="4"/>
  <c r="AW27" i="4"/>
  <c r="AN27" i="4"/>
  <c r="AE27" i="4"/>
  <c r="V27" i="4"/>
  <c r="AW26" i="4"/>
  <c r="AN26" i="4"/>
  <c r="AE26" i="4"/>
  <c r="V26" i="4"/>
  <c r="AW25" i="4"/>
  <c r="AN25" i="4"/>
  <c r="AE25" i="4"/>
  <c r="V25" i="4"/>
  <c r="AW24" i="4"/>
  <c r="AN24" i="4"/>
  <c r="AE24" i="4"/>
  <c r="V24" i="4"/>
  <c r="AW23" i="4"/>
  <c r="AN23" i="4"/>
  <c r="AE23" i="4"/>
  <c r="V23" i="4"/>
  <c r="AW22" i="4"/>
  <c r="AN22" i="4"/>
  <c r="AE22" i="4"/>
  <c r="V22" i="4"/>
  <c r="AW21" i="4"/>
  <c r="AN21" i="4"/>
  <c r="AE21" i="4"/>
  <c r="V21" i="4"/>
  <c r="AW20" i="4"/>
  <c r="AN20" i="4"/>
  <c r="AE20" i="4"/>
  <c r="V20" i="4"/>
  <c r="AW19" i="4"/>
  <c r="AN19" i="4"/>
  <c r="AE19" i="4"/>
  <c r="V19" i="4"/>
  <c r="AW18" i="4"/>
  <c r="AN18" i="4"/>
  <c r="AE18" i="4"/>
  <c r="V18" i="4"/>
  <c r="AW17" i="4"/>
  <c r="AN17" i="4"/>
  <c r="AE17" i="4"/>
  <c r="V17" i="4"/>
  <c r="AW16" i="4"/>
  <c r="AN16" i="4"/>
  <c r="AE16" i="4"/>
  <c r="V16" i="4"/>
  <c r="AW15" i="4"/>
  <c r="AN15" i="4"/>
  <c r="AE15" i="4"/>
  <c r="V15" i="4"/>
  <c r="AW14" i="4"/>
  <c r="AN14" i="4"/>
  <c r="AE14" i="4"/>
  <c r="V14" i="4"/>
  <c r="AW13" i="4"/>
  <c r="AN13" i="4"/>
  <c r="AE13" i="4"/>
  <c r="V13" i="4"/>
  <c r="AW12" i="4"/>
  <c r="AN12" i="4"/>
  <c r="AE12" i="4"/>
  <c r="V12" i="4"/>
  <c r="AW11" i="4"/>
  <c r="AN11" i="4"/>
  <c r="AE11" i="4"/>
  <c r="V11" i="4"/>
  <c r="AW10" i="4"/>
  <c r="AN10" i="4"/>
  <c r="AE10" i="4"/>
  <c r="V10" i="4"/>
  <c r="AW9" i="4"/>
  <c r="AN9" i="4"/>
  <c r="AE9" i="4"/>
  <c r="V9" i="4"/>
  <c r="AW8" i="4"/>
  <c r="AN8" i="4"/>
  <c r="AE8" i="4"/>
  <c r="V8" i="4"/>
  <c r="AW7" i="4"/>
  <c r="AN7" i="4"/>
  <c r="AE7" i="4"/>
  <c r="V7" i="4"/>
  <c r="AW6" i="4"/>
  <c r="AN6" i="4"/>
  <c r="AE6" i="4"/>
  <c r="V6" i="4"/>
  <c r="AW5" i="4"/>
  <c r="AN5" i="4"/>
  <c r="AE5" i="4"/>
  <c r="V5" i="4"/>
  <c r="AW67" i="3"/>
  <c r="AN67" i="3"/>
  <c r="AE67" i="3"/>
  <c r="V67" i="3"/>
  <c r="AW66" i="3"/>
  <c r="AN66" i="3"/>
  <c r="AE66" i="3"/>
  <c r="V66" i="3"/>
  <c r="AW65" i="3"/>
  <c r="AN65" i="3"/>
  <c r="AE65" i="3"/>
  <c r="V65" i="3"/>
  <c r="AW64" i="3"/>
  <c r="AN64" i="3"/>
  <c r="AE64" i="3"/>
  <c r="V64" i="3"/>
  <c r="AW63" i="3"/>
  <c r="AN63" i="3"/>
  <c r="AE63" i="3"/>
  <c r="V63" i="3"/>
  <c r="AW62" i="3"/>
  <c r="AN62" i="3"/>
  <c r="AE62" i="3"/>
  <c r="V62" i="3"/>
  <c r="AW61" i="3"/>
  <c r="AN61" i="3"/>
  <c r="AE61" i="3"/>
  <c r="V61" i="3"/>
  <c r="AW60" i="3"/>
  <c r="AN60" i="3"/>
  <c r="AE60" i="3"/>
  <c r="V60" i="3"/>
  <c r="AW59" i="3"/>
  <c r="AN59" i="3"/>
  <c r="AE59" i="3"/>
  <c r="V59" i="3"/>
  <c r="AW58" i="3"/>
  <c r="AN58" i="3"/>
  <c r="AE58" i="3"/>
  <c r="V58" i="3"/>
  <c r="AW57" i="3"/>
  <c r="AN57" i="3"/>
  <c r="AE57" i="3"/>
  <c r="V57" i="3"/>
  <c r="AW56" i="3"/>
  <c r="AN56" i="3"/>
  <c r="AE56" i="3"/>
  <c r="V56" i="3"/>
  <c r="AW55" i="3"/>
  <c r="AN55" i="3"/>
  <c r="AE55" i="3"/>
  <c r="V55" i="3"/>
  <c r="AW54" i="3"/>
  <c r="AN54" i="3"/>
  <c r="AE54" i="3"/>
  <c r="V54" i="3"/>
  <c r="AW53" i="3"/>
  <c r="AN53" i="3"/>
  <c r="AE53" i="3"/>
  <c r="V53" i="3"/>
  <c r="AW52" i="3"/>
  <c r="AN52" i="3"/>
  <c r="AE52" i="3"/>
  <c r="V52" i="3"/>
  <c r="AW51" i="3"/>
  <c r="AN51" i="3"/>
  <c r="AE51" i="3"/>
  <c r="V51" i="3"/>
  <c r="AW50" i="3"/>
  <c r="AN50" i="3"/>
  <c r="AE50" i="3"/>
  <c r="V50" i="3"/>
  <c r="AW49" i="3"/>
  <c r="AN49" i="3"/>
  <c r="AE49" i="3"/>
  <c r="V49" i="3"/>
  <c r="AW48" i="3"/>
  <c r="AN48" i="3"/>
  <c r="AE48" i="3"/>
  <c r="V48" i="3"/>
  <c r="AW47" i="3"/>
  <c r="AN47" i="3"/>
  <c r="AE47" i="3"/>
  <c r="V47" i="3"/>
  <c r="AW46" i="3"/>
  <c r="AN46" i="3"/>
  <c r="AE46" i="3"/>
  <c r="V46" i="3"/>
  <c r="AW45" i="3"/>
  <c r="AN45" i="3"/>
  <c r="AE45" i="3"/>
  <c r="V45" i="3"/>
  <c r="AW44" i="3"/>
  <c r="AN44" i="3"/>
  <c r="AE44" i="3"/>
  <c r="V44" i="3"/>
  <c r="AW43" i="3"/>
  <c r="AN43" i="3"/>
  <c r="AE43" i="3"/>
  <c r="V43" i="3"/>
  <c r="AW42" i="3"/>
  <c r="AN42" i="3"/>
  <c r="AE42" i="3"/>
  <c r="V42" i="3"/>
  <c r="AW41" i="3"/>
  <c r="AN41" i="3"/>
  <c r="AE41" i="3"/>
  <c r="V41" i="3"/>
  <c r="AW40" i="3"/>
  <c r="AN40" i="3"/>
  <c r="AE40" i="3"/>
  <c r="V40" i="3"/>
  <c r="AW39" i="3"/>
  <c r="AN39" i="3"/>
  <c r="AE39" i="3"/>
  <c r="V39" i="3"/>
  <c r="AW38" i="3"/>
  <c r="AN38" i="3"/>
  <c r="AE38" i="3"/>
  <c r="V38" i="3"/>
  <c r="AW37" i="3"/>
  <c r="AN37" i="3"/>
  <c r="AE37" i="3"/>
  <c r="V37" i="3"/>
  <c r="AW36" i="3"/>
  <c r="AN36" i="3"/>
  <c r="AE36" i="3"/>
  <c r="V36" i="3"/>
  <c r="AW35" i="3"/>
  <c r="AN35" i="3"/>
  <c r="AE35" i="3"/>
  <c r="V35" i="3"/>
  <c r="AW34" i="3"/>
  <c r="AN34" i="3"/>
  <c r="AE34" i="3"/>
  <c r="V34" i="3"/>
  <c r="AW33" i="3"/>
  <c r="AN33" i="3"/>
  <c r="AE33" i="3"/>
  <c r="V33" i="3"/>
  <c r="AW32" i="3"/>
  <c r="AN32" i="3"/>
  <c r="AE32" i="3"/>
  <c r="V32" i="3"/>
  <c r="AW31" i="3"/>
  <c r="AN31" i="3"/>
  <c r="AE31" i="3"/>
  <c r="V31" i="3"/>
  <c r="AW30" i="3"/>
  <c r="AN30" i="3"/>
  <c r="AE30" i="3"/>
  <c r="V30" i="3"/>
  <c r="AW29" i="3"/>
  <c r="AN29" i="3"/>
  <c r="AE29" i="3"/>
  <c r="V29" i="3"/>
  <c r="AW28" i="3"/>
  <c r="AN28" i="3"/>
  <c r="AE28" i="3"/>
  <c r="V28" i="3"/>
  <c r="AW27" i="3"/>
  <c r="AN27" i="3"/>
  <c r="AE27" i="3"/>
  <c r="V27" i="3"/>
  <c r="AW26" i="3"/>
  <c r="AN26" i="3"/>
  <c r="AE26" i="3"/>
  <c r="V26" i="3"/>
  <c r="AW25" i="3"/>
  <c r="AN25" i="3"/>
  <c r="AE25" i="3"/>
  <c r="V25" i="3"/>
  <c r="AW24" i="3"/>
  <c r="AN24" i="3"/>
  <c r="AE24" i="3"/>
  <c r="V24" i="3"/>
  <c r="AW23" i="3"/>
  <c r="AN23" i="3"/>
  <c r="AE23" i="3"/>
  <c r="V23" i="3"/>
  <c r="AW22" i="3"/>
  <c r="AN22" i="3"/>
  <c r="AE22" i="3"/>
  <c r="V22" i="3"/>
  <c r="AW21" i="3"/>
  <c r="AN21" i="3"/>
  <c r="AE21" i="3"/>
  <c r="V21" i="3"/>
  <c r="AW20" i="3"/>
  <c r="AN20" i="3"/>
  <c r="AE20" i="3"/>
  <c r="V20" i="3"/>
  <c r="AW19" i="3"/>
  <c r="AN19" i="3"/>
  <c r="AE19" i="3"/>
  <c r="V19" i="3"/>
  <c r="AW18" i="3"/>
  <c r="AN18" i="3"/>
  <c r="AE18" i="3"/>
  <c r="V18" i="3"/>
  <c r="AW17" i="3"/>
  <c r="AN17" i="3"/>
  <c r="AE17" i="3"/>
  <c r="V17" i="3"/>
  <c r="AW16" i="3"/>
  <c r="AN16" i="3"/>
  <c r="AE16" i="3"/>
  <c r="V16" i="3"/>
  <c r="AW15" i="3"/>
  <c r="AN15" i="3"/>
  <c r="AE15" i="3"/>
  <c r="V15" i="3"/>
  <c r="AW14" i="3"/>
  <c r="AN14" i="3"/>
  <c r="AE14" i="3"/>
  <c r="V14" i="3"/>
  <c r="AW13" i="3"/>
  <c r="AN13" i="3"/>
  <c r="AE13" i="3"/>
  <c r="V13" i="3"/>
  <c r="AW12" i="3"/>
  <c r="AN12" i="3"/>
  <c r="AE12" i="3"/>
  <c r="V12" i="3"/>
  <c r="AW11" i="3"/>
  <c r="AN11" i="3"/>
  <c r="AE11" i="3"/>
  <c r="V11" i="3"/>
  <c r="AW10" i="3"/>
  <c r="AN10" i="3"/>
  <c r="AE10" i="3"/>
  <c r="V10" i="3"/>
  <c r="AW9" i="3"/>
  <c r="AN9" i="3"/>
  <c r="AE9" i="3"/>
  <c r="V9" i="3"/>
  <c r="AW8" i="3"/>
  <c r="AN8" i="3"/>
  <c r="AE8" i="3"/>
  <c r="V8" i="3"/>
  <c r="AW7" i="3"/>
  <c r="AN7" i="3"/>
  <c r="AE7" i="3"/>
  <c r="V7" i="3"/>
  <c r="AW6" i="3"/>
  <c r="AN6" i="3"/>
  <c r="AE6" i="3"/>
  <c r="V6" i="3"/>
  <c r="AW5" i="3"/>
  <c r="AN5" i="3"/>
  <c r="AE5" i="3"/>
  <c r="V5" i="3"/>
  <c r="AW288" i="2"/>
  <c r="AN288" i="2"/>
  <c r="AE288" i="2"/>
  <c r="V288" i="2"/>
  <c r="AW287" i="2"/>
  <c r="AN287" i="2"/>
  <c r="AE287" i="2"/>
  <c r="V287" i="2"/>
  <c r="AW286" i="2"/>
  <c r="AN286" i="2"/>
  <c r="AE286" i="2"/>
  <c r="V286" i="2"/>
  <c r="AW285" i="2"/>
  <c r="AN285" i="2"/>
  <c r="AE285" i="2"/>
  <c r="V285" i="2"/>
  <c r="AW284" i="2"/>
  <c r="AN284" i="2"/>
  <c r="AE284" i="2"/>
  <c r="V284" i="2"/>
  <c r="AW283" i="2"/>
  <c r="AN283" i="2"/>
  <c r="AE283" i="2"/>
  <c r="V283" i="2"/>
  <c r="AW282" i="2"/>
  <c r="AN282" i="2"/>
  <c r="AE282" i="2"/>
  <c r="V282" i="2"/>
  <c r="AW281" i="2"/>
  <c r="AN281" i="2"/>
  <c r="AE281" i="2"/>
  <c r="V281" i="2"/>
  <c r="AW280" i="2"/>
  <c r="AN280" i="2"/>
  <c r="AE280" i="2"/>
  <c r="V280" i="2"/>
  <c r="AW279" i="2"/>
  <c r="AN279" i="2"/>
  <c r="AE279" i="2"/>
  <c r="V279" i="2"/>
  <c r="AW278" i="2"/>
  <c r="AN278" i="2"/>
  <c r="AE278" i="2"/>
  <c r="V278" i="2"/>
  <c r="AW277" i="2"/>
  <c r="AN277" i="2"/>
  <c r="AE277" i="2"/>
  <c r="V277" i="2"/>
  <c r="AW276" i="2"/>
  <c r="AN276" i="2"/>
  <c r="AE276" i="2"/>
  <c r="V276" i="2"/>
  <c r="AW275" i="2"/>
  <c r="AN275" i="2"/>
  <c r="AE275" i="2"/>
  <c r="V275" i="2"/>
  <c r="AW274" i="2"/>
  <c r="AN274" i="2"/>
  <c r="AE274" i="2"/>
  <c r="V274" i="2"/>
  <c r="AW273" i="2"/>
  <c r="AN273" i="2"/>
  <c r="AE273" i="2"/>
  <c r="V273" i="2"/>
  <c r="AW272" i="2"/>
  <c r="AN272" i="2"/>
  <c r="AE272" i="2"/>
  <c r="V272" i="2"/>
  <c r="AW271" i="2"/>
  <c r="AN271" i="2"/>
  <c r="AE271" i="2"/>
  <c r="V271" i="2"/>
  <c r="AW270" i="2"/>
  <c r="AN270" i="2"/>
  <c r="AE270" i="2"/>
  <c r="V270" i="2"/>
  <c r="AW269" i="2"/>
  <c r="AN269" i="2"/>
  <c r="AE269" i="2"/>
  <c r="V269" i="2"/>
  <c r="AW268" i="2"/>
  <c r="AN268" i="2"/>
  <c r="AE268" i="2"/>
  <c r="V268" i="2"/>
  <c r="AW267" i="2"/>
  <c r="AN267" i="2"/>
  <c r="AE267" i="2"/>
  <c r="V267" i="2"/>
  <c r="AW266" i="2"/>
  <c r="AN266" i="2"/>
  <c r="AE266" i="2"/>
  <c r="V266" i="2"/>
  <c r="AW265" i="2"/>
  <c r="AN265" i="2"/>
  <c r="AE265" i="2"/>
  <c r="V265" i="2"/>
  <c r="AW264" i="2"/>
  <c r="AN264" i="2"/>
  <c r="AE264" i="2"/>
  <c r="V264" i="2"/>
  <c r="AW263" i="2"/>
  <c r="AN263" i="2"/>
  <c r="AE263" i="2"/>
  <c r="V263" i="2"/>
  <c r="AW262" i="2"/>
  <c r="AN262" i="2"/>
  <c r="AE262" i="2"/>
  <c r="V262" i="2"/>
  <c r="AW261" i="2"/>
  <c r="AN261" i="2"/>
  <c r="AE261" i="2"/>
  <c r="V261" i="2"/>
  <c r="AW260" i="2"/>
  <c r="AN260" i="2"/>
  <c r="AE260" i="2"/>
  <c r="V260" i="2"/>
  <c r="AW259" i="2"/>
  <c r="AN259" i="2"/>
  <c r="AE259" i="2"/>
  <c r="V259" i="2"/>
  <c r="AW258" i="2"/>
  <c r="AN258" i="2"/>
  <c r="AE258" i="2"/>
  <c r="V258" i="2"/>
  <c r="AW257" i="2"/>
  <c r="AN257" i="2"/>
  <c r="AE257" i="2"/>
  <c r="V257" i="2"/>
  <c r="AW256" i="2"/>
  <c r="AN256" i="2"/>
  <c r="AE256" i="2"/>
  <c r="V256" i="2"/>
  <c r="AW255" i="2"/>
  <c r="AN255" i="2"/>
  <c r="AE255" i="2"/>
  <c r="V255" i="2"/>
  <c r="AW254" i="2"/>
  <c r="AN254" i="2"/>
  <c r="AE254" i="2"/>
  <c r="V254" i="2"/>
  <c r="AW253" i="2"/>
  <c r="AN253" i="2"/>
  <c r="AE253" i="2"/>
  <c r="V253" i="2"/>
  <c r="AW252" i="2"/>
  <c r="AN252" i="2"/>
  <c r="AE252" i="2"/>
  <c r="V252" i="2"/>
  <c r="AW251" i="2"/>
  <c r="AN251" i="2"/>
  <c r="AE251" i="2"/>
  <c r="V251" i="2"/>
  <c r="AW250" i="2"/>
  <c r="AN250" i="2"/>
  <c r="AE250" i="2"/>
  <c r="V250" i="2"/>
  <c r="AW249" i="2"/>
  <c r="AN249" i="2"/>
  <c r="AE249" i="2"/>
  <c r="V249" i="2"/>
  <c r="AW248" i="2"/>
  <c r="AN248" i="2"/>
  <c r="AE248" i="2"/>
  <c r="V248" i="2"/>
  <c r="AW247" i="2"/>
  <c r="AN247" i="2"/>
  <c r="AE247" i="2"/>
  <c r="V247" i="2"/>
  <c r="AW246" i="2"/>
  <c r="AN246" i="2"/>
  <c r="AE246" i="2"/>
  <c r="V246" i="2"/>
  <c r="AW245" i="2"/>
  <c r="AN245" i="2"/>
  <c r="AE245" i="2"/>
  <c r="V245" i="2"/>
  <c r="AW244" i="2"/>
  <c r="AN244" i="2"/>
  <c r="AE244" i="2"/>
  <c r="V244" i="2"/>
  <c r="AW243" i="2"/>
  <c r="AN243" i="2"/>
  <c r="AE243" i="2"/>
  <c r="V243" i="2"/>
  <c r="AW242" i="2"/>
  <c r="AN242" i="2"/>
  <c r="AE242" i="2"/>
  <c r="V242" i="2"/>
  <c r="AW241" i="2"/>
  <c r="AN241" i="2"/>
  <c r="AE241" i="2"/>
  <c r="V241" i="2"/>
  <c r="AW240" i="2"/>
  <c r="AN240" i="2"/>
  <c r="AE240" i="2"/>
  <c r="V240" i="2"/>
  <c r="AW239" i="2"/>
  <c r="AN239" i="2"/>
  <c r="AE239" i="2"/>
  <c r="V239" i="2"/>
  <c r="AW238" i="2"/>
  <c r="AN238" i="2"/>
  <c r="AE238" i="2"/>
  <c r="V238" i="2"/>
  <c r="AW237" i="2"/>
  <c r="AN237" i="2"/>
  <c r="AE237" i="2"/>
  <c r="V237" i="2"/>
  <c r="AW236" i="2"/>
  <c r="AN236" i="2"/>
  <c r="AE236" i="2"/>
  <c r="V236" i="2"/>
  <c r="AW235" i="2"/>
  <c r="AN235" i="2"/>
  <c r="AE235" i="2"/>
  <c r="V235" i="2"/>
  <c r="AW234" i="2"/>
  <c r="AN234" i="2"/>
  <c r="AE234" i="2"/>
  <c r="V234" i="2"/>
  <c r="AW233" i="2"/>
  <c r="AN233" i="2"/>
  <c r="AE233" i="2"/>
  <c r="V233" i="2"/>
  <c r="AW232" i="2"/>
  <c r="AN232" i="2"/>
  <c r="AE232" i="2"/>
  <c r="V232" i="2"/>
  <c r="AW231" i="2"/>
  <c r="AN231" i="2"/>
  <c r="AE231" i="2"/>
  <c r="V231" i="2"/>
  <c r="AW230" i="2"/>
  <c r="AN230" i="2"/>
  <c r="AE230" i="2"/>
  <c r="V230" i="2"/>
  <c r="AW229" i="2"/>
  <c r="AN229" i="2"/>
  <c r="AE229" i="2"/>
  <c r="V229" i="2"/>
  <c r="AW228" i="2"/>
  <c r="AN228" i="2"/>
  <c r="AE228" i="2"/>
  <c r="V228" i="2"/>
  <c r="AW227" i="2"/>
  <c r="AN227" i="2"/>
  <c r="AE227" i="2"/>
  <c r="V227" i="2"/>
  <c r="AW226" i="2"/>
  <c r="AN226" i="2"/>
  <c r="AE226" i="2"/>
  <c r="V226" i="2"/>
  <c r="AW225" i="2"/>
  <c r="AN225" i="2"/>
  <c r="AE225" i="2"/>
  <c r="V225" i="2"/>
  <c r="AW224" i="2"/>
  <c r="AN224" i="2"/>
  <c r="AE224" i="2"/>
  <c r="V224" i="2"/>
  <c r="AW223" i="2"/>
  <c r="AN223" i="2"/>
  <c r="AE223" i="2"/>
  <c r="V223" i="2"/>
  <c r="AW222" i="2"/>
  <c r="AN222" i="2"/>
  <c r="AE222" i="2"/>
  <c r="V222" i="2"/>
  <c r="AW221" i="2"/>
  <c r="AN221" i="2"/>
  <c r="AE221" i="2"/>
  <c r="V221" i="2"/>
  <c r="AW220" i="2"/>
  <c r="AN220" i="2"/>
  <c r="AE220" i="2"/>
  <c r="V220" i="2"/>
  <c r="AW219" i="2"/>
  <c r="AN219" i="2"/>
  <c r="AE219" i="2"/>
  <c r="V219" i="2"/>
  <c r="AW218" i="2"/>
  <c r="AN218" i="2"/>
  <c r="AE218" i="2"/>
  <c r="V218" i="2"/>
  <c r="AW217" i="2"/>
  <c r="AN217" i="2"/>
  <c r="AE217" i="2"/>
  <c r="V217" i="2"/>
  <c r="AW216" i="2"/>
  <c r="AN216" i="2"/>
  <c r="AE216" i="2"/>
  <c r="V216" i="2"/>
  <c r="AW215" i="2"/>
  <c r="AN215" i="2"/>
  <c r="AE215" i="2"/>
  <c r="V215" i="2"/>
  <c r="AW214" i="2"/>
  <c r="AN214" i="2"/>
  <c r="AE214" i="2"/>
  <c r="V214" i="2"/>
  <c r="AW213" i="2"/>
  <c r="AN213" i="2"/>
  <c r="AE213" i="2"/>
  <c r="V213" i="2"/>
  <c r="AW212" i="2"/>
  <c r="AN212" i="2"/>
  <c r="AE212" i="2"/>
  <c r="V212" i="2"/>
  <c r="AW211" i="2"/>
  <c r="AN211" i="2"/>
  <c r="AE211" i="2"/>
  <c r="V211" i="2"/>
  <c r="AW210" i="2"/>
  <c r="AN210" i="2"/>
  <c r="AE210" i="2"/>
  <c r="V210" i="2"/>
  <c r="AW209" i="2"/>
  <c r="AN209" i="2"/>
  <c r="AE209" i="2"/>
  <c r="V209" i="2"/>
  <c r="AW208" i="2"/>
  <c r="AN208" i="2"/>
  <c r="AE208" i="2"/>
  <c r="V208" i="2"/>
  <c r="AW207" i="2"/>
  <c r="AN207" i="2"/>
  <c r="AE207" i="2"/>
  <c r="V207" i="2"/>
  <c r="AW206" i="2"/>
  <c r="AN206" i="2"/>
  <c r="AE206" i="2"/>
  <c r="V206" i="2"/>
  <c r="AW205" i="2"/>
  <c r="AN205" i="2"/>
  <c r="AE205" i="2"/>
  <c r="V205" i="2"/>
  <c r="AW204" i="2"/>
  <c r="AN204" i="2"/>
  <c r="AE204" i="2"/>
  <c r="V204" i="2"/>
  <c r="AW203" i="2"/>
  <c r="AN203" i="2"/>
  <c r="AE203" i="2"/>
  <c r="V203" i="2"/>
  <c r="AW202" i="2"/>
  <c r="AN202" i="2"/>
  <c r="AE202" i="2"/>
  <c r="V202" i="2"/>
  <c r="AW201" i="2"/>
  <c r="AN201" i="2"/>
  <c r="AE201" i="2"/>
  <c r="V201" i="2"/>
  <c r="AW200" i="2"/>
  <c r="AN200" i="2"/>
  <c r="AE200" i="2"/>
  <c r="V200" i="2"/>
  <c r="AW199" i="2"/>
  <c r="AN199" i="2"/>
  <c r="AE199" i="2"/>
  <c r="V199" i="2"/>
  <c r="AW198" i="2"/>
  <c r="AN198" i="2"/>
  <c r="AE198" i="2"/>
  <c r="V198" i="2"/>
  <c r="AW197" i="2"/>
  <c r="AN197" i="2"/>
  <c r="AE197" i="2"/>
  <c r="V197" i="2"/>
  <c r="AW196" i="2"/>
  <c r="AN196" i="2"/>
  <c r="AE196" i="2"/>
  <c r="V196" i="2"/>
  <c r="AW195" i="2"/>
  <c r="AN195" i="2"/>
  <c r="AE195" i="2"/>
  <c r="V195" i="2"/>
  <c r="AW194" i="2"/>
  <c r="AN194" i="2"/>
  <c r="AE194" i="2"/>
  <c r="V194" i="2"/>
  <c r="AW193" i="2"/>
  <c r="AN193" i="2"/>
  <c r="AE193" i="2"/>
  <c r="V193" i="2"/>
  <c r="AW192" i="2"/>
  <c r="AN192" i="2"/>
  <c r="AE192" i="2"/>
  <c r="V192" i="2"/>
  <c r="AW191" i="2"/>
  <c r="AN191" i="2"/>
  <c r="AE191" i="2"/>
  <c r="V191" i="2"/>
  <c r="AW190" i="2"/>
  <c r="AN190" i="2"/>
  <c r="AE190" i="2"/>
  <c r="V190" i="2"/>
  <c r="AW189" i="2"/>
  <c r="AN189" i="2"/>
  <c r="AE189" i="2"/>
  <c r="V189" i="2"/>
  <c r="AW188" i="2"/>
  <c r="AN188" i="2"/>
  <c r="AE188" i="2"/>
  <c r="V188" i="2"/>
  <c r="AW187" i="2"/>
  <c r="AN187" i="2"/>
  <c r="AE187" i="2"/>
  <c r="V187" i="2"/>
  <c r="AW186" i="2"/>
  <c r="AN186" i="2"/>
  <c r="AE186" i="2"/>
  <c r="V186" i="2"/>
  <c r="AW185" i="2"/>
  <c r="AN185" i="2"/>
  <c r="AE185" i="2"/>
  <c r="V185" i="2"/>
  <c r="AW184" i="2"/>
  <c r="AN184" i="2"/>
  <c r="AE184" i="2"/>
  <c r="V184" i="2"/>
  <c r="AW183" i="2"/>
  <c r="AN183" i="2"/>
  <c r="AE183" i="2"/>
  <c r="V183" i="2"/>
  <c r="AW182" i="2"/>
  <c r="AN182" i="2"/>
  <c r="AE182" i="2"/>
  <c r="V182" i="2"/>
  <c r="AW181" i="2"/>
  <c r="AN181" i="2"/>
  <c r="AE181" i="2"/>
  <c r="V181" i="2"/>
  <c r="AW180" i="2"/>
  <c r="AN180" i="2"/>
  <c r="AE180" i="2"/>
  <c r="V180" i="2"/>
  <c r="AW179" i="2"/>
  <c r="AN179" i="2"/>
  <c r="AE179" i="2"/>
  <c r="V179" i="2"/>
  <c r="AW178" i="2"/>
  <c r="AN178" i="2"/>
  <c r="AE178" i="2"/>
  <c r="V178" i="2"/>
  <c r="AW177" i="2"/>
  <c r="AN177" i="2"/>
  <c r="AE177" i="2"/>
  <c r="V177" i="2"/>
  <c r="AW176" i="2"/>
  <c r="AN176" i="2"/>
  <c r="AE176" i="2"/>
  <c r="V176" i="2"/>
  <c r="AW175" i="2"/>
  <c r="AN175" i="2"/>
  <c r="AE175" i="2"/>
  <c r="V175" i="2"/>
  <c r="AW174" i="2"/>
  <c r="AN174" i="2"/>
  <c r="AE174" i="2"/>
  <c r="V174" i="2"/>
  <c r="AW173" i="2"/>
  <c r="AN173" i="2"/>
  <c r="AE173" i="2"/>
  <c r="V173" i="2"/>
  <c r="AW172" i="2"/>
  <c r="AN172" i="2"/>
  <c r="AE172" i="2"/>
  <c r="V172" i="2"/>
  <c r="AW171" i="2"/>
  <c r="AN171" i="2"/>
  <c r="AE171" i="2"/>
  <c r="V171" i="2"/>
  <c r="AW170" i="2"/>
  <c r="AN170" i="2"/>
  <c r="AE170" i="2"/>
  <c r="V170" i="2"/>
  <c r="AW169" i="2"/>
  <c r="AN169" i="2"/>
  <c r="AE169" i="2"/>
  <c r="V169" i="2"/>
  <c r="AW168" i="2"/>
  <c r="AN168" i="2"/>
  <c r="AE168" i="2"/>
  <c r="V168" i="2"/>
  <c r="AW167" i="2"/>
  <c r="AN167" i="2"/>
  <c r="AE167" i="2"/>
  <c r="V167" i="2"/>
  <c r="AW166" i="2"/>
  <c r="AN166" i="2"/>
  <c r="AE166" i="2"/>
  <c r="V166" i="2"/>
  <c r="AW165" i="2"/>
  <c r="AN165" i="2"/>
  <c r="AE165" i="2"/>
  <c r="V165" i="2"/>
  <c r="AW164" i="2"/>
  <c r="AN164" i="2"/>
  <c r="AE164" i="2"/>
  <c r="V164" i="2"/>
  <c r="AW163" i="2"/>
  <c r="AN163" i="2"/>
  <c r="AE163" i="2"/>
  <c r="V163" i="2"/>
  <c r="AW162" i="2"/>
  <c r="AN162" i="2"/>
  <c r="AE162" i="2"/>
  <c r="V162" i="2"/>
  <c r="AW161" i="2"/>
  <c r="AN161" i="2"/>
  <c r="AE161" i="2"/>
  <c r="V161" i="2"/>
  <c r="AW160" i="2"/>
  <c r="AN160" i="2"/>
  <c r="AE160" i="2"/>
  <c r="V160" i="2"/>
  <c r="AW159" i="2"/>
  <c r="AN159" i="2"/>
  <c r="AE159" i="2"/>
  <c r="V159" i="2"/>
  <c r="AW158" i="2"/>
  <c r="AN158" i="2"/>
  <c r="AE158" i="2"/>
  <c r="V158" i="2"/>
  <c r="AW157" i="2"/>
  <c r="AN157" i="2"/>
  <c r="AE157" i="2"/>
  <c r="V157" i="2"/>
  <c r="AW156" i="2"/>
  <c r="AN156" i="2"/>
  <c r="AE156" i="2"/>
  <c r="V156" i="2"/>
  <c r="AW155" i="2"/>
  <c r="AN155" i="2"/>
  <c r="AE155" i="2"/>
  <c r="V155" i="2"/>
  <c r="AW154" i="2"/>
  <c r="AN154" i="2"/>
  <c r="AE154" i="2"/>
  <c r="V154" i="2"/>
  <c r="AW153" i="2"/>
  <c r="AN153" i="2"/>
  <c r="AE153" i="2"/>
  <c r="V153" i="2"/>
  <c r="AW152" i="2"/>
  <c r="AN152" i="2"/>
  <c r="AE152" i="2"/>
  <c r="V152" i="2"/>
  <c r="AW151" i="2"/>
  <c r="AN151" i="2"/>
  <c r="AE151" i="2"/>
  <c r="V151" i="2"/>
  <c r="AW150" i="2"/>
  <c r="AN150" i="2"/>
  <c r="AE150" i="2"/>
  <c r="V150" i="2"/>
  <c r="AW149" i="2"/>
  <c r="AN149" i="2"/>
  <c r="AE149" i="2"/>
  <c r="V149" i="2"/>
  <c r="AW148" i="2"/>
  <c r="AN148" i="2"/>
  <c r="AE148" i="2"/>
  <c r="V148" i="2"/>
  <c r="AW147" i="2"/>
  <c r="AN147" i="2"/>
  <c r="AE147" i="2"/>
  <c r="V147" i="2"/>
  <c r="AW146" i="2"/>
  <c r="AN146" i="2"/>
  <c r="AE146" i="2"/>
  <c r="V146" i="2"/>
  <c r="AW145" i="2"/>
  <c r="AN145" i="2"/>
  <c r="AE145" i="2"/>
  <c r="V145" i="2"/>
  <c r="AW144" i="2"/>
  <c r="AN144" i="2"/>
  <c r="AE144" i="2"/>
  <c r="V144" i="2"/>
  <c r="AW143" i="2"/>
  <c r="AN143" i="2"/>
  <c r="AE143" i="2"/>
  <c r="V143" i="2"/>
  <c r="AW142" i="2"/>
  <c r="AN142" i="2"/>
  <c r="AE142" i="2"/>
  <c r="V142" i="2"/>
  <c r="AW141" i="2"/>
  <c r="AN141" i="2"/>
  <c r="AE141" i="2"/>
  <c r="V141" i="2"/>
  <c r="AW140" i="2"/>
  <c r="AN140" i="2"/>
  <c r="AE140" i="2"/>
  <c r="V140" i="2"/>
  <c r="AW139" i="2"/>
  <c r="AN139" i="2"/>
  <c r="AE139" i="2"/>
  <c r="V139" i="2"/>
  <c r="AW138" i="2"/>
  <c r="AN138" i="2"/>
  <c r="AE138" i="2"/>
  <c r="V138" i="2"/>
  <c r="AW137" i="2"/>
  <c r="AN137" i="2"/>
  <c r="AE137" i="2"/>
  <c r="V137" i="2"/>
  <c r="AW136" i="2"/>
  <c r="AN136" i="2"/>
  <c r="AE136" i="2"/>
  <c r="V136" i="2"/>
  <c r="AW135" i="2"/>
  <c r="AN135" i="2"/>
  <c r="AE135" i="2"/>
  <c r="V135" i="2"/>
  <c r="AW134" i="2"/>
  <c r="AN134" i="2"/>
  <c r="AE134" i="2"/>
  <c r="V134" i="2"/>
  <c r="AW133" i="2"/>
  <c r="AN133" i="2"/>
  <c r="AE133" i="2"/>
  <c r="V133" i="2"/>
  <c r="AW132" i="2"/>
  <c r="AN132" i="2"/>
  <c r="AE132" i="2"/>
  <c r="V132" i="2"/>
  <c r="AW131" i="2"/>
  <c r="AN131" i="2"/>
  <c r="AE131" i="2"/>
  <c r="V131" i="2"/>
  <c r="AW130" i="2"/>
  <c r="AN130" i="2"/>
  <c r="AE130" i="2"/>
  <c r="V130" i="2"/>
  <c r="AW129" i="2"/>
  <c r="AN129" i="2"/>
  <c r="AE129" i="2"/>
  <c r="V129" i="2"/>
  <c r="AW128" i="2"/>
  <c r="AN128" i="2"/>
  <c r="AE128" i="2"/>
  <c r="V128" i="2"/>
  <c r="AW127" i="2"/>
  <c r="AN127" i="2"/>
  <c r="AE127" i="2"/>
  <c r="V127" i="2"/>
  <c r="AW126" i="2"/>
  <c r="AN126" i="2"/>
  <c r="AE126" i="2"/>
  <c r="V126" i="2"/>
  <c r="AW125" i="2"/>
  <c r="AN125" i="2"/>
  <c r="AE125" i="2"/>
  <c r="V125" i="2"/>
  <c r="AW124" i="2"/>
  <c r="AN124" i="2"/>
  <c r="AE124" i="2"/>
  <c r="V124" i="2"/>
  <c r="AW123" i="2"/>
  <c r="AN123" i="2"/>
  <c r="AE123" i="2"/>
  <c r="V123" i="2"/>
  <c r="AW122" i="2"/>
  <c r="AN122" i="2"/>
  <c r="AE122" i="2"/>
  <c r="V122" i="2"/>
  <c r="AW121" i="2"/>
  <c r="AN121" i="2"/>
  <c r="AE121" i="2"/>
  <c r="V121" i="2"/>
  <c r="AW120" i="2"/>
  <c r="AN120" i="2"/>
  <c r="AE120" i="2"/>
  <c r="V120" i="2"/>
  <c r="AW119" i="2"/>
  <c r="AN119" i="2"/>
  <c r="AE119" i="2"/>
  <c r="V119" i="2"/>
  <c r="AW118" i="2"/>
  <c r="AN118" i="2"/>
  <c r="AE118" i="2"/>
  <c r="V118" i="2"/>
  <c r="AW117" i="2"/>
  <c r="AN117" i="2"/>
  <c r="AE117" i="2"/>
  <c r="V117" i="2"/>
  <c r="AW116" i="2"/>
  <c r="AN116" i="2"/>
  <c r="AE116" i="2"/>
  <c r="V116" i="2"/>
  <c r="AW115" i="2"/>
  <c r="AN115" i="2"/>
  <c r="AE115" i="2"/>
  <c r="V115" i="2"/>
  <c r="AW114" i="2"/>
  <c r="AN114" i="2"/>
  <c r="AE114" i="2"/>
  <c r="V114" i="2"/>
  <c r="AW113" i="2"/>
  <c r="AN113" i="2"/>
  <c r="AE113" i="2"/>
  <c r="V113" i="2"/>
  <c r="AW112" i="2"/>
  <c r="AN112" i="2"/>
  <c r="AE112" i="2"/>
  <c r="V112" i="2"/>
  <c r="AW111" i="2"/>
  <c r="AN111" i="2"/>
  <c r="AE111" i="2"/>
  <c r="V111" i="2"/>
  <c r="AW110" i="2"/>
  <c r="AN110" i="2"/>
  <c r="AE110" i="2"/>
  <c r="V110" i="2"/>
  <c r="AW109" i="2"/>
  <c r="AN109" i="2"/>
  <c r="AE109" i="2"/>
  <c r="V109" i="2"/>
  <c r="AW108" i="2"/>
  <c r="AN108" i="2"/>
  <c r="AE108" i="2"/>
  <c r="V108" i="2"/>
  <c r="AW107" i="2"/>
  <c r="AN107" i="2"/>
  <c r="AE107" i="2"/>
  <c r="V107" i="2"/>
  <c r="AW106" i="2"/>
  <c r="AN106" i="2"/>
  <c r="AE106" i="2"/>
  <c r="V106" i="2"/>
  <c r="AW105" i="2"/>
  <c r="AN105" i="2"/>
  <c r="AE105" i="2"/>
  <c r="V105" i="2"/>
  <c r="AW104" i="2"/>
  <c r="AN104" i="2"/>
  <c r="AE104" i="2"/>
  <c r="V104" i="2"/>
  <c r="AW103" i="2"/>
  <c r="AN103" i="2"/>
  <c r="AE103" i="2"/>
  <c r="V103" i="2"/>
  <c r="AW102" i="2"/>
  <c r="AN102" i="2"/>
  <c r="AE102" i="2"/>
  <c r="V102" i="2"/>
  <c r="AW101" i="2"/>
  <c r="AN101" i="2"/>
  <c r="AE101" i="2"/>
  <c r="V101" i="2"/>
  <c r="AW100" i="2"/>
  <c r="AN100" i="2"/>
  <c r="AE100" i="2"/>
  <c r="V100" i="2"/>
  <c r="AW99" i="2"/>
  <c r="AN99" i="2"/>
  <c r="AE99" i="2"/>
  <c r="V99" i="2"/>
  <c r="AW98" i="2"/>
  <c r="AN98" i="2"/>
  <c r="AE98" i="2"/>
  <c r="V98" i="2"/>
  <c r="AW97" i="2"/>
  <c r="AN97" i="2"/>
  <c r="AE97" i="2"/>
  <c r="V97" i="2"/>
  <c r="AW96" i="2"/>
  <c r="AN96" i="2"/>
  <c r="AE96" i="2"/>
  <c r="V96" i="2"/>
  <c r="AW95" i="2"/>
  <c r="AN95" i="2"/>
  <c r="AE95" i="2"/>
  <c r="V95" i="2"/>
  <c r="AW94" i="2"/>
  <c r="AN94" i="2"/>
  <c r="AE94" i="2"/>
  <c r="V94" i="2"/>
  <c r="AW93" i="2"/>
  <c r="AN93" i="2"/>
  <c r="AE93" i="2"/>
  <c r="V93" i="2"/>
  <c r="AW92" i="2"/>
  <c r="AN92" i="2"/>
  <c r="AE92" i="2"/>
  <c r="V92" i="2"/>
  <c r="AW91" i="2"/>
  <c r="AN91" i="2"/>
  <c r="AE91" i="2"/>
  <c r="V91" i="2"/>
  <c r="AW90" i="2"/>
  <c r="AN90" i="2"/>
  <c r="AE90" i="2"/>
  <c r="V90" i="2"/>
  <c r="AW89" i="2"/>
  <c r="AN89" i="2"/>
  <c r="AE89" i="2"/>
  <c r="V89" i="2"/>
  <c r="AW88" i="2"/>
  <c r="AN88" i="2"/>
  <c r="AE88" i="2"/>
  <c r="V88" i="2"/>
  <c r="AW87" i="2"/>
  <c r="AN87" i="2"/>
  <c r="AE87" i="2"/>
  <c r="V87" i="2"/>
  <c r="AW86" i="2"/>
  <c r="AN86" i="2"/>
  <c r="AE86" i="2"/>
  <c r="V86" i="2"/>
  <c r="AW85" i="2"/>
  <c r="AN85" i="2"/>
  <c r="AE85" i="2"/>
  <c r="V85" i="2"/>
  <c r="AW84" i="2"/>
  <c r="AN84" i="2"/>
  <c r="AE84" i="2"/>
  <c r="V84" i="2"/>
  <c r="AW83" i="2"/>
  <c r="AN83" i="2"/>
  <c r="AE83" i="2"/>
  <c r="V83" i="2"/>
  <c r="AW82" i="2"/>
  <c r="AN82" i="2"/>
  <c r="AE82" i="2"/>
  <c r="V82" i="2"/>
  <c r="AW81" i="2"/>
  <c r="AN81" i="2"/>
  <c r="AE81" i="2"/>
  <c r="V81" i="2"/>
  <c r="AW80" i="2"/>
  <c r="AN80" i="2"/>
  <c r="AE80" i="2"/>
  <c r="V80" i="2"/>
  <c r="AW79" i="2"/>
  <c r="AN79" i="2"/>
  <c r="AE79" i="2"/>
  <c r="V79" i="2"/>
  <c r="AW78" i="2"/>
  <c r="AN78" i="2"/>
  <c r="AE78" i="2"/>
  <c r="V78" i="2"/>
  <c r="AW77" i="2"/>
  <c r="AN77" i="2"/>
  <c r="AE77" i="2"/>
  <c r="V77" i="2"/>
  <c r="AW76" i="2"/>
  <c r="AN76" i="2"/>
  <c r="AE76" i="2"/>
  <c r="V76" i="2"/>
  <c r="AW75" i="2"/>
  <c r="AN75" i="2"/>
  <c r="AE75" i="2"/>
  <c r="V75" i="2"/>
  <c r="AW74" i="2"/>
  <c r="AN74" i="2"/>
  <c r="AE74" i="2"/>
  <c r="V74" i="2"/>
  <c r="AW73" i="2"/>
  <c r="AN73" i="2"/>
  <c r="AE73" i="2"/>
  <c r="V73" i="2"/>
  <c r="AW72" i="2"/>
  <c r="AN72" i="2"/>
  <c r="AE72" i="2"/>
  <c r="V72" i="2"/>
  <c r="AW71" i="2"/>
  <c r="AN71" i="2"/>
  <c r="AE71" i="2"/>
  <c r="V71" i="2"/>
  <c r="AW70" i="2"/>
  <c r="AN70" i="2"/>
  <c r="AE70" i="2"/>
  <c r="V70" i="2"/>
  <c r="AW69" i="2"/>
  <c r="AN69" i="2"/>
  <c r="AE69" i="2"/>
  <c r="V69" i="2"/>
  <c r="AW68" i="2"/>
  <c r="AN68" i="2"/>
  <c r="AE68" i="2"/>
  <c r="V68" i="2"/>
  <c r="AW67" i="2"/>
  <c r="AN67" i="2"/>
  <c r="AE67" i="2"/>
  <c r="V67" i="2"/>
  <c r="AW66" i="2"/>
  <c r="AN66" i="2"/>
  <c r="AE66" i="2"/>
  <c r="V66" i="2"/>
  <c r="AW65" i="2"/>
  <c r="AN65" i="2"/>
  <c r="AE65" i="2"/>
  <c r="V65" i="2"/>
  <c r="AW64" i="2"/>
  <c r="AN64" i="2"/>
  <c r="AE64" i="2"/>
  <c r="V64" i="2"/>
  <c r="AW63" i="2"/>
  <c r="AN63" i="2"/>
  <c r="AE63" i="2"/>
  <c r="V63" i="2"/>
  <c r="AW62" i="2"/>
  <c r="AN62" i="2"/>
  <c r="AE62" i="2"/>
  <c r="V62" i="2"/>
  <c r="AW61" i="2"/>
  <c r="AN61" i="2"/>
  <c r="AE61" i="2"/>
  <c r="V61" i="2"/>
  <c r="AW60" i="2"/>
  <c r="AN60" i="2"/>
  <c r="AE60" i="2"/>
  <c r="V60" i="2"/>
  <c r="AW59" i="2"/>
  <c r="AN59" i="2"/>
  <c r="AE59" i="2"/>
  <c r="V59" i="2"/>
  <c r="AW58" i="2"/>
  <c r="AN58" i="2"/>
  <c r="AE58" i="2"/>
  <c r="V58" i="2"/>
  <c r="AW57" i="2"/>
  <c r="AN57" i="2"/>
  <c r="AE57" i="2"/>
  <c r="V57" i="2"/>
  <c r="AW56" i="2"/>
  <c r="AN56" i="2"/>
  <c r="AE56" i="2"/>
  <c r="V56" i="2"/>
  <c r="AW55" i="2"/>
  <c r="AN55" i="2"/>
  <c r="AE55" i="2"/>
  <c r="V55" i="2"/>
  <c r="AW54" i="2"/>
  <c r="AN54" i="2"/>
  <c r="AE54" i="2"/>
  <c r="V54" i="2"/>
  <c r="AW53" i="2"/>
  <c r="AN53" i="2"/>
  <c r="AE53" i="2"/>
  <c r="V53" i="2"/>
  <c r="AW52" i="2"/>
  <c r="AN52" i="2"/>
  <c r="AE52" i="2"/>
  <c r="V52" i="2"/>
  <c r="AW51" i="2"/>
  <c r="AN51" i="2"/>
  <c r="AE51" i="2"/>
  <c r="V51" i="2"/>
  <c r="AW50" i="2"/>
  <c r="AN50" i="2"/>
  <c r="AE50" i="2"/>
  <c r="V50" i="2"/>
  <c r="AW49" i="2"/>
  <c r="AN49" i="2"/>
  <c r="AE49" i="2"/>
  <c r="V49" i="2"/>
  <c r="AW48" i="2"/>
  <c r="AN48" i="2"/>
  <c r="AE48" i="2"/>
  <c r="V48" i="2"/>
  <c r="AW47" i="2"/>
  <c r="AN47" i="2"/>
  <c r="AE47" i="2"/>
  <c r="V47" i="2"/>
  <c r="AW46" i="2"/>
  <c r="AN46" i="2"/>
  <c r="AE46" i="2"/>
  <c r="V46" i="2"/>
  <c r="AW45" i="2"/>
  <c r="AN45" i="2"/>
  <c r="AE45" i="2"/>
  <c r="V45" i="2"/>
  <c r="AW44" i="2"/>
  <c r="AN44" i="2"/>
  <c r="AE44" i="2"/>
  <c r="V44" i="2"/>
  <c r="AW43" i="2"/>
  <c r="AN43" i="2"/>
  <c r="AE43" i="2"/>
  <c r="V43" i="2"/>
  <c r="AW42" i="2"/>
  <c r="AN42" i="2"/>
  <c r="AE42" i="2"/>
  <c r="V42" i="2"/>
  <c r="AW41" i="2"/>
  <c r="AN41" i="2"/>
  <c r="AE41" i="2"/>
  <c r="V41" i="2"/>
  <c r="AW40" i="2"/>
  <c r="AN40" i="2"/>
  <c r="AE40" i="2"/>
  <c r="V40" i="2"/>
  <c r="AW39" i="2"/>
  <c r="AN39" i="2"/>
  <c r="AE39" i="2"/>
  <c r="V39" i="2"/>
  <c r="AW38" i="2"/>
  <c r="AN38" i="2"/>
  <c r="AE38" i="2"/>
  <c r="V38" i="2"/>
  <c r="AW37" i="2"/>
  <c r="AN37" i="2"/>
  <c r="AE37" i="2"/>
  <c r="V37" i="2"/>
  <c r="AW36" i="2"/>
  <c r="AN36" i="2"/>
  <c r="AE36" i="2"/>
  <c r="V36" i="2"/>
  <c r="AW35" i="2"/>
  <c r="AN35" i="2"/>
  <c r="AE35" i="2"/>
  <c r="V35" i="2"/>
  <c r="AW34" i="2"/>
  <c r="AN34" i="2"/>
  <c r="AE34" i="2"/>
  <c r="V34" i="2"/>
  <c r="AW33" i="2"/>
  <c r="AN33" i="2"/>
  <c r="AE33" i="2"/>
  <c r="V33" i="2"/>
  <c r="AW32" i="2"/>
  <c r="AN32" i="2"/>
  <c r="AE32" i="2"/>
  <c r="V32" i="2"/>
  <c r="AW31" i="2"/>
  <c r="AN31" i="2"/>
  <c r="AE31" i="2"/>
  <c r="V31" i="2"/>
  <c r="AW30" i="2"/>
  <c r="AN30" i="2"/>
  <c r="AE30" i="2"/>
  <c r="V30" i="2"/>
  <c r="AW29" i="2"/>
  <c r="AN29" i="2"/>
  <c r="AE29" i="2"/>
  <c r="V29" i="2"/>
  <c r="AW28" i="2"/>
  <c r="AN28" i="2"/>
  <c r="AE28" i="2"/>
  <c r="V28" i="2"/>
  <c r="AW27" i="2"/>
  <c r="AN27" i="2"/>
  <c r="AE27" i="2"/>
  <c r="V27" i="2"/>
  <c r="AW26" i="2"/>
  <c r="AN26" i="2"/>
  <c r="AE26" i="2"/>
  <c r="V26" i="2"/>
  <c r="AW25" i="2"/>
  <c r="AN25" i="2"/>
  <c r="AE25" i="2"/>
  <c r="V25" i="2"/>
  <c r="AW24" i="2"/>
  <c r="AN24" i="2"/>
  <c r="AE24" i="2"/>
  <c r="V24" i="2"/>
  <c r="AW23" i="2"/>
  <c r="AN23" i="2"/>
  <c r="AE23" i="2"/>
  <c r="V23" i="2"/>
  <c r="AW22" i="2"/>
  <c r="AN22" i="2"/>
  <c r="AE22" i="2"/>
  <c r="V22" i="2"/>
  <c r="AW21" i="2"/>
  <c r="AN21" i="2"/>
  <c r="AE21" i="2"/>
  <c r="V21" i="2"/>
  <c r="AW20" i="2"/>
  <c r="AN20" i="2"/>
  <c r="AE20" i="2"/>
  <c r="V20" i="2"/>
  <c r="AW19" i="2"/>
  <c r="AN19" i="2"/>
  <c r="AE19" i="2"/>
  <c r="V19" i="2"/>
  <c r="AW18" i="2"/>
  <c r="AN18" i="2"/>
  <c r="AE18" i="2"/>
  <c r="V18" i="2"/>
  <c r="AW17" i="2"/>
  <c r="AN17" i="2"/>
  <c r="AE17" i="2"/>
  <c r="V17" i="2"/>
  <c r="AW16" i="2"/>
  <c r="AN16" i="2"/>
  <c r="AE16" i="2"/>
  <c r="V16" i="2"/>
  <c r="AW15" i="2"/>
  <c r="AN15" i="2"/>
  <c r="AE15" i="2"/>
  <c r="V15" i="2"/>
  <c r="AW14" i="2"/>
  <c r="AN14" i="2"/>
  <c r="AE14" i="2"/>
  <c r="V14" i="2"/>
  <c r="AW13" i="2"/>
  <c r="AN13" i="2"/>
  <c r="AE13" i="2"/>
  <c r="V13" i="2"/>
  <c r="AW12" i="2"/>
  <c r="AN12" i="2"/>
  <c r="AE12" i="2"/>
  <c r="V12" i="2"/>
  <c r="AW11" i="2"/>
  <c r="AN11" i="2"/>
  <c r="AE11" i="2"/>
  <c r="V11" i="2"/>
  <c r="AW10" i="2"/>
  <c r="AN10" i="2"/>
  <c r="AE10" i="2"/>
  <c r="V10" i="2"/>
  <c r="AW9" i="2"/>
  <c r="AN9" i="2"/>
  <c r="AE9" i="2"/>
  <c r="V9" i="2"/>
  <c r="AW8" i="2"/>
  <c r="AN8" i="2"/>
  <c r="AE8" i="2"/>
  <c r="V8" i="2"/>
  <c r="AW7" i="2"/>
  <c r="AN7" i="2"/>
  <c r="AE7" i="2"/>
  <c r="V7" i="2"/>
  <c r="AW6" i="2"/>
  <c r="AN6" i="2"/>
  <c r="AE6" i="2"/>
  <c r="V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J16" i="1"/>
  <c r="F16" i="1"/>
  <c r="V15" i="1"/>
  <c r="R15" i="1"/>
  <c r="N15" i="1"/>
  <c r="J15" i="1"/>
  <c r="F15" i="1"/>
  <c r="V14" i="1"/>
  <c r="R14" i="1"/>
  <c r="N14" i="1"/>
  <c r="J14" i="1"/>
  <c r="F14" i="1"/>
  <c r="V13" i="1"/>
  <c r="R13" i="1"/>
  <c r="N13" i="1"/>
  <c r="J13" i="1"/>
  <c r="F13" i="1"/>
  <c r="V12" i="1"/>
  <c r="U12" i="1"/>
  <c r="T12" i="1"/>
  <c r="R12" i="1"/>
  <c r="Q12" i="1"/>
  <c r="P12" i="1"/>
  <c r="N12" i="1"/>
  <c r="M12" i="1"/>
  <c r="L12" i="1"/>
  <c r="J12" i="1"/>
  <c r="I12" i="1"/>
  <c r="H12" i="1"/>
  <c r="F12" i="1"/>
  <c r="V11" i="1"/>
  <c r="R11" i="1"/>
  <c r="N11" i="1"/>
  <c r="J11" i="1"/>
  <c r="F11" i="1"/>
  <c r="V10" i="1"/>
  <c r="U10" i="1"/>
  <c r="T10" i="1"/>
  <c r="R10" i="1"/>
  <c r="Q10" i="1"/>
  <c r="P10" i="1"/>
  <c r="N10" i="1"/>
  <c r="M10" i="1"/>
  <c r="L10" i="1"/>
  <c r="J10" i="1"/>
  <c r="I10" i="1"/>
  <c r="H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N7" i="1"/>
  <c r="J7" i="1"/>
  <c r="F7" i="1"/>
  <c r="V6" i="1"/>
  <c r="R6" i="1"/>
  <c r="N6" i="1"/>
  <c r="J6" i="1"/>
  <c r="F6" i="1"/>
  <c r="AW298" i="13"/>
  <c r="AN298" i="13"/>
  <c r="AE298" i="13"/>
  <c r="V298" i="13"/>
  <c r="AW297" i="13"/>
  <c r="AN297" i="13"/>
  <c r="AE297" i="13"/>
  <c r="V297" i="13"/>
  <c r="AW296" i="13"/>
  <c r="AN296" i="13"/>
  <c r="AE296" i="13"/>
  <c r="V296" i="13"/>
  <c r="AW295" i="13"/>
  <c r="AN295" i="13"/>
  <c r="AE295" i="13"/>
  <c r="V295" i="13"/>
  <c r="AW294" i="13"/>
  <c r="AN294" i="13"/>
  <c r="AE294" i="13"/>
  <c r="V294" i="13"/>
  <c r="AW293" i="13"/>
  <c r="AN293" i="13"/>
  <c r="AE293" i="13"/>
  <c r="V293" i="13"/>
  <c r="H6" i="1" l="1"/>
  <c r="T6" i="1"/>
  <c r="E6" i="1"/>
  <c r="M17" i="1"/>
  <c r="Q17" i="1"/>
  <c r="U17" i="1"/>
  <c r="E17" i="1"/>
  <c r="I17" i="1"/>
  <c r="Q6" i="1"/>
  <c r="I6" i="1"/>
  <c r="U6" i="1"/>
  <c r="M6" i="1"/>
  <c r="L6" i="1"/>
  <c r="D6" i="1"/>
  <c r="P6" i="1"/>
  <c r="M37" i="10"/>
  <c r="M30" i="10"/>
  <c r="H14" i="1"/>
  <c r="M23" i="10"/>
  <c r="M18" i="10"/>
  <c r="Q14" i="1"/>
  <c r="M26" i="10"/>
  <c r="I14" i="1"/>
  <c r="U14" i="1"/>
  <c r="M14" i="1"/>
  <c r="T14" i="1"/>
  <c r="L14" i="1"/>
  <c r="P14" i="1"/>
  <c r="M25" i="9"/>
  <c r="M23" i="9"/>
  <c r="I13" i="1"/>
  <c r="M24" i="9"/>
  <c r="M26" i="9"/>
  <c r="T13" i="1"/>
  <c r="H13" i="1"/>
  <c r="Q13" i="1"/>
  <c r="M13" i="1"/>
  <c r="U13" i="1"/>
  <c r="L13" i="1"/>
  <c r="P13" i="1"/>
  <c r="M106" i="5"/>
  <c r="M98" i="5"/>
  <c r="M122" i="5"/>
  <c r="M148" i="5"/>
  <c r="M116" i="5"/>
  <c r="M167" i="5"/>
  <c r="M28" i="5"/>
  <c r="M102" i="5"/>
  <c r="M64" i="5"/>
  <c r="M105" i="5"/>
  <c r="M73" i="5"/>
  <c r="M5" i="5"/>
  <c r="M147" i="5"/>
  <c r="M139" i="5"/>
  <c r="M115" i="5"/>
  <c r="M99" i="5"/>
  <c r="M91" i="5"/>
  <c r="M161" i="5"/>
  <c r="M153" i="5"/>
  <c r="M145" i="5"/>
  <c r="M137" i="5"/>
  <c r="M127" i="5"/>
  <c r="M103" i="5"/>
  <c r="M97" i="5"/>
  <c r="M95" i="5"/>
  <c r="M89" i="5"/>
  <c r="M81" i="5"/>
  <c r="M79" i="5"/>
  <c r="M71" i="5"/>
  <c r="M65" i="5"/>
  <c r="M63" i="5"/>
  <c r="M49" i="5"/>
  <c r="M41" i="5"/>
  <c r="M33" i="5"/>
  <c r="M25" i="5"/>
  <c r="M17" i="5"/>
  <c r="M9" i="5"/>
  <c r="M5" i="4"/>
  <c r="M8" i="1"/>
  <c r="U8" i="1"/>
  <c r="I8" i="1"/>
  <c r="Q8" i="1"/>
  <c r="T8" i="1"/>
  <c r="L8" i="1"/>
  <c r="P8" i="1"/>
  <c r="H8" i="1"/>
  <c r="M138" i="5"/>
  <c r="M50" i="5"/>
  <c r="M42" i="5"/>
  <c r="M34" i="5"/>
  <c r="M26" i="5"/>
  <c r="M18" i="5"/>
  <c r="M10" i="5"/>
  <c r="M164" i="5"/>
  <c r="M123" i="5"/>
  <c r="M24" i="5"/>
  <c r="M80" i="5"/>
  <c r="M72" i="5"/>
  <c r="M83" i="5"/>
  <c r="M75" i="5"/>
  <c r="M166" i="5"/>
  <c r="M126" i="5"/>
  <c r="M20" i="5"/>
  <c r="M123" i="6"/>
  <c r="M115" i="6"/>
  <c r="M107" i="6"/>
  <c r="M99" i="6"/>
  <c r="M91" i="6"/>
  <c r="M83" i="6"/>
  <c r="M75" i="6"/>
  <c r="M67" i="6"/>
  <c r="M59" i="6"/>
  <c r="M51" i="6"/>
  <c r="M43" i="6"/>
  <c r="M35" i="6"/>
  <c r="M27" i="6"/>
  <c r="M19" i="6"/>
  <c r="M11" i="6"/>
  <c r="M100" i="6"/>
  <c r="M1326" i="6"/>
  <c r="M1222" i="6"/>
  <c r="M1198" i="6"/>
  <c r="M1134" i="6"/>
  <c r="M1094" i="6"/>
  <c r="M1070" i="6"/>
  <c r="M1038" i="6"/>
  <c r="M830" i="6"/>
  <c r="M798" i="6"/>
  <c r="M750" i="6"/>
  <c r="M710" i="6"/>
  <c r="M686" i="6"/>
  <c r="M662" i="6"/>
  <c r="M582" i="6"/>
  <c r="M558" i="6"/>
  <c r="M542" i="6"/>
  <c r="M502" i="6"/>
  <c r="M462" i="6"/>
  <c r="M422" i="6"/>
  <c r="M406" i="6"/>
  <c r="M374" i="6"/>
  <c r="M278" i="6"/>
  <c r="M1401" i="6"/>
  <c r="M1393" i="6"/>
  <c r="M1377" i="6"/>
  <c r="M1369" i="6"/>
  <c r="M1353" i="6"/>
  <c r="M1329" i="6"/>
  <c r="M1313" i="6"/>
  <c r="M1289" i="6"/>
  <c r="M1265" i="6"/>
  <c r="M1241" i="6"/>
  <c r="M1201" i="6"/>
  <c r="M1185" i="6"/>
  <c r="M1169" i="6"/>
  <c r="M1161" i="6"/>
  <c r="M1145" i="6"/>
  <c r="M1121" i="6"/>
  <c r="M1097" i="6"/>
  <c r="M1081" i="6"/>
  <c r="M1073" i="6"/>
  <c r="M1057" i="6"/>
  <c r="M1041" i="6"/>
  <c r="M1025" i="6"/>
  <c r="M1009" i="6"/>
  <c r="M985" i="6"/>
  <c r="M969" i="6"/>
  <c r="M929" i="6"/>
  <c r="M913" i="6"/>
  <c r="M897" i="6"/>
  <c r="M857" i="6"/>
  <c r="M841" i="6"/>
  <c r="M825" i="6"/>
  <c r="M809" i="6"/>
  <c r="M793" i="6"/>
  <c r="M777" i="6"/>
  <c r="M761" i="6"/>
  <c r="M729" i="6"/>
  <c r="M713" i="6"/>
  <c r="M697" i="6"/>
  <c r="M681" i="6"/>
  <c r="M665" i="6"/>
  <c r="M657" i="6"/>
  <c r="M641" i="6"/>
  <c r="M625" i="6"/>
  <c r="M609" i="6"/>
  <c r="M569" i="6"/>
  <c r="M553" i="6"/>
  <c r="M537" i="6"/>
  <c r="M513" i="6"/>
  <c r="M497" i="6"/>
  <c r="M481" i="6"/>
  <c r="M465" i="6"/>
  <c r="M441" i="6"/>
  <c r="M425" i="6"/>
  <c r="M409" i="6"/>
  <c r="M393" i="6"/>
  <c r="M369" i="6"/>
  <c r="M353" i="6"/>
  <c r="M337" i="6"/>
  <c r="M313" i="6"/>
  <c r="M249" i="6"/>
  <c r="M185" i="6"/>
  <c r="M658" i="6"/>
  <c r="M530" i="6"/>
  <c r="M442" i="6"/>
  <c r="M314" i="6"/>
  <c r="M298" i="6"/>
  <c r="M290" i="6"/>
  <c r="M274" i="6"/>
  <c r="M258" i="6"/>
  <c r="M210" i="6"/>
  <c r="M154" i="6"/>
  <c r="M138" i="6"/>
  <c r="M130" i="6"/>
  <c r="M74" i="6"/>
  <c r="M42" i="6"/>
  <c r="M26" i="6"/>
  <c r="M1408" i="6"/>
  <c r="M1400" i="6"/>
  <c r="M1384" i="6"/>
  <c r="M1376" i="6"/>
  <c r="M1336" i="6"/>
  <c r="M1320" i="6"/>
  <c r="M1296" i="6"/>
  <c r="M1272" i="6"/>
  <c r="M1264" i="6"/>
  <c r="M1256" i="6"/>
  <c r="M1248" i="6"/>
  <c r="M1240" i="6"/>
  <c r="M1208" i="6"/>
  <c r="M1192" i="6"/>
  <c r="M1168" i="6"/>
  <c r="M1160" i="6"/>
  <c r="M1144" i="6"/>
  <c r="M1136" i="6"/>
  <c r="M1128" i="6"/>
  <c r="M1112" i="6"/>
  <c r="M1080" i="6"/>
  <c r="M1064" i="6"/>
  <c r="M1016" i="6"/>
  <c r="M1000" i="6"/>
  <c r="M952" i="6"/>
  <c r="M936" i="6"/>
  <c r="M888" i="6"/>
  <c r="M872" i="6"/>
  <c r="M824" i="6"/>
  <c r="M760" i="6"/>
  <c r="M1361" i="6"/>
  <c r="M1337" i="6"/>
  <c r="M1305" i="6"/>
  <c r="M1273" i="6"/>
  <c r="M1249" i="6"/>
  <c r="M1177" i="6"/>
  <c r="M1113" i="6"/>
  <c r="M1089" i="6"/>
  <c r="M1065" i="6"/>
  <c r="M1033" i="6"/>
  <c r="M961" i="6"/>
  <c r="M937" i="6"/>
  <c r="M921" i="6"/>
  <c r="M889" i="6"/>
  <c r="M873" i="6"/>
  <c r="M849" i="6"/>
  <c r="M817" i="6"/>
  <c r="M801" i="6"/>
  <c r="M785" i="6"/>
  <c r="M745" i="6"/>
  <c r="M705" i="6"/>
  <c r="M689" i="6"/>
  <c r="M649" i="6"/>
  <c r="M633" i="6"/>
  <c r="M593" i="6"/>
  <c r="M577" i="6"/>
  <c r="M521" i="6"/>
  <c r="M505" i="6"/>
  <c r="M449" i="6"/>
  <c r="M433" i="6"/>
  <c r="M361" i="6"/>
  <c r="M345" i="6"/>
  <c r="M297" i="6"/>
  <c r="M281" i="6"/>
  <c r="M265" i="6"/>
  <c r="M233" i="6"/>
  <c r="M1359" i="6"/>
  <c r="M1295" i="6"/>
  <c r="M1231" i="6"/>
  <c r="M1167" i="6"/>
  <c r="M1103" i="6"/>
  <c r="M1039" i="6"/>
  <c r="M730" i="6"/>
  <c r="M610" i="6"/>
  <c r="M482" i="6"/>
  <c r="M378" i="6"/>
  <c r="M194" i="6"/>
  <c r="M162" i="6"/>
  <c r="M1008" i="6"/>
  <c r="M984" i="6"/>
  <c r="M880" i="6"/>
  <c r="M728" i="6"/>
  <c r="M640" i="6"/>
  <c r="M600" i="6"/>
  <c r="M520" i="6"/>
  <c r="M480" i="6"/>
  <c r="M440" i="6"/>
  <c r="M132" i="5"/>
  <c r="M37" i="5"/>
  <c r="M140" i="5"/>
  <c r="M52" i="5"/>
  <c r="M44" i="5"/>
  <c r="M36" i="5"/>
  <c r="M12" i="5"/>
  <c r="M35" i="5"/>
  <c r="M8" i="5"/>
  <c r="M163" i="5"/>
  <c r="M144" i="5"/>
  <c r="M40" i="5"/>
  <c r="M84" i="5"/>
  <c r="M68" i="5"/>
  <c r="M5" i="12"/>
  <c r="I16" i="1"/>
  <c r="Q16" i="1"/>
  <c r="U16" i="1"/>
  <c r="L16" i="1"/>
  <c r="P16" i="1"/>
  <c r="M16" i="1"/>
  <c r="H16" i="1"/>
  <c r="T16" i="1"/>
  <c r="I15" i="1"/>
  <c r="M70" i="11"/>
  <c r="M14" i="11"/>
  <c r="M5" i="11"/>
  <c r="M57" i="11"/>
  <c r="T15" i="1"/>
  <c r="M79" i="11"/>
  <c r="M23" i="11"/>
  <c r="M7" i="11"/>
  <c r="M54" i="11"/>
  <c r="M38" i="11"/>
  <c r="M30" i="11"/>
  <c r="U15" i="1"/>
  <c r="H15" i="1"/>
  <c r="M73" i="11"/>
  <c r="M25" i="11"/>
  <c r="M15" i="1"/>
  <c r="L15" i="1"/>
  <c r="M49" i="11"/>
  <c r="M33" i="11"/>
  <c r="Q15" i="1"/>
  <c r="M71" i="11"/>
  <c r="M63" i="11"/>
  <c r="M55" i="11"/>
  <c r="M47" i="11"/>
  <c r="M31" i="11"/>
  <c r="M15" i="11"/>
  <c r="M65" i="11"/>
  <c r="M41" i="11"/>
  <c r="M17" i="11"/>
  <c r="M9" i="11"/>
  <c r="M74" i="11"/>
  <c r="M58" i="11"/>
  <c r="M42" i="11"/>
  <c r="M26" i="11"/>
  <c r="M78" i="11"/>
  <c r="M62" i="11"/>
  <c r="M46" i="11"/>
  <c r="M22" i="11"/>
  <c r="M6" i="11"/>
  <c r="P15" i="1"/>
  <c r="M80" i="11"/>
  <c r="M72" i="11"/>
  <c r="M64" i="11"/>
  <c r="M56" i="11"/>
  <c r="M48" i="11"/>
  <c r="M40" i="11"/>
  <c r="M32" i="11"/>
  <c r="M24" i="11"/>
  <c r="M16" i="11"/>
  <c r="M8" i="11"/>
  <c r="M66" i="11"/>
  <c r="M50" i="11"/>
  <c r="M34" i="11"/>
  <c r="M18" i="11"/>
  <c r="M77" i="11"/>
  <c r="M69" i="11"/>
  <c r="M61" i="11"/>
  <c r="M53" i="11"/>
  <c r="M45" i="11"/>
  <c r="M37" i="11"/>
  <c r="M29" i="11"/>
  <c r="M21" i="11"/>
  <c r="M13" i="11"/>
  <c r="M76" i="11"/>
  <c r="M68" i="11"/>
  <c r="M60" i="11"/>
  <c r="M52" i="11"/>
  <c r="M44" i="11"/>
  <c r="M36" i="11"/>
  <c r="M28" i="11"/>
  <c r="M20" i="11"/>
  <c r="M12" i="11"/>
  <c r="M75" i="11"/>
  <c r="M67" i="11"/>
  <c r="M59" i="11"/>
  <c r="M51" i="11"/>
  <c r="M43" i="11"/>
  <c r="M35" i="11"/>
  <c r="M27" i="11"/>
  <c r="M19" i="11"/>
  <c r="M11" i="11"/>
  <c r="M18" i="9"/>
  <c r="M20" i="9"/>
  <c r="M12" i="9"/>
  <c r="M21" i="9"/>
  <c r="M19" i="9"/>
  <c r="M11" i="9"/>
  <c r="M13" i="9"/>
  <c r="M16" i="9"/>
  <c r="M12" i="8"/>
  <c r="M8" i="8"/>
  <c r="D12" i="1" s="1"/>
  <c r="M13" i="8"/>
  <c r="M11" i="8"/>
  <c r="E12" i="1"/>
  <c r="M48" i="7"/>
  <c r="M72" i="7"/>
  <c r="M55" i="7"/>
  <c r="M22" i="7"/>
  <c r="M71" i="7"/>
  <c r="M62" i="7"/>
  <c r="M54" i="7"/>
  <c r="M46" i="7"/>
  <c r="M38" i="7"/>
  <c r="M56" i="7"/>
  <c r="M40" i="7"/>
  <c r="M47" i="7"/>
  <c r="M30" i="7"/>
  <c r="M5" i="7"/>
  <c r="M32" i="7"/>
  <c r="M63" i="7"/>
  <c r="M39" i="7"/>
  <c r="M37" i="7"/>
  <c r="M60" i="7"/>
  <c r="M36" i="7"/>
  <c r="M76" i="7"/>
  <c r="M26" i="7"/>
  <c r="M18" i="7"/>
  <c r="M10" i="7"/>
  <c r="M45" i="7"/>
  <c r="M28" i="7"/>
  <c r="M12" i="7"/>
  <c r="M52" i="7"/>
  <c r="M24" i="7"/>
  <c r="M53" i="7"/>
  <c r="M20" i="7"/>
  <c r="M68" i="7"/>
  <c r="M44" i="7"/>
  <c r="M13" i="7"/>
  <c r="M69" i="7"/>
  <c r="M77" i="7"/>
  <c r="M27" i="7"/>
  <c r="M19" i="7"/>
  <c r="M11" i="7"/>
  <c r="M67" i="7"/>
  <c r="M59" i="7"/>
  <c r="M51" i="7"/>
  <c r="M43" i="7"/>
  <c r="M35" i="7"/>
  <c r="M75" i="7"/>
  <c r="M66" i="7"/>
  <c r="M58" i="7"/>
  <c r="M50" i="7"/>
  <c r="M42" i="7"/>
  <c r="M34" i="7"/>
  <c r="M25" i="7"/>
  <c r="M17" i="7"/>
  <c r="M74" i="7"/>
  <c r="M65" i="7"/>
  <c r="M57" i="7"/>
  <c r="M41" i="7"/>
  <c r="M33" i="7"/>
  <c r="M61" i="7"/>
  <c r="M73" i="7"/>
  <c r="M64" i="7"/>
  <c r="M48" i="5"/>
  <c r="M57" i="5"/>
  <c r="M136" i="5"/>
  <c r="M32" i="5"/>
  <c r="M47" i="5"/>
  <c r="M16" i="5"/>
  <c r="M51" i="5"/>
  <c r="M43" i="5"/>
  <c r="M135" i="5"/>
  <c r="M87" i="5"/>
  <c r="M55" i="5"/>
  <c r="M31" i="5"/>
  <c r="M7" i="5"/>
  <c r="M86" i="5"/>
  <c r="M30" i="5"/>
  <c r="M128" i="5"/>
  <c r="M143" i="5"/>
  <c r="M23" i="5"/>
  <c r="M142" i="5"/>
  <c r="M70" i="5"/>
  <c r="M46" i="5"/>
  <c r="M22" i="5"/>
  <c r="M39" i="5"/>
  <c r="M15" i="5"/>
  <c r="M150" i="5"/>
  <c r="M78" i="5"/>
  <c r="M54" i="5"/>
  <c r="M38" i="5"/>
  <c r="M14" i="5"/>
  <c r="M160" i="5"/>
  <c r="M155" i="5"/>
  <c r="M67" i="5"/>
  <c r="P11" i="1"/>
  <c r="Q11" i="1"/>
  <c r="I11" i="1"/>
  <c r="H11" i="1"/>
  <c r="U11" i="1"/>
  <c r="M11" i="1"/>
  <c r="T11" i="1"/>
  <c r="L11" i="1"/>
  <c r="M1411" i="6"/>
  <c r="M1403" i="6"/>
  <c r="M1395" i="6"/>
  <c r="M1387" i="6"/>
  <c r="M1379" i="6"/>
  <c r="M1371" i="6"/>
  <c r="M1363" i="6"/>
  <c r="M1355" i="6"/>
  <c r="M1347" i="6"/>
  <c r="M1339" i="6"/>
  <c r="M1331" i="6"/>
  <c r="M1323" i="6"/>
  <c r="M1315" i="6"/>
  <c r="M1307" i="6"/>
  <c r="M1299" i="6"/>
  <c r="M1291" i="6"/>
  <c r="M1283" i="6"/>
  <c r="M1275" i="6"/>
  <c r="M1267" i="6"/>
  <c r="M1259" i="6"/>
  <c r="M1251" i="6"/>
  <c r="M1243" i="6"/>
  <c r="M1235" i="6"/>
  <c r="M1227" i="6"/>
  <c r="M1219" i="6"/>
  <c r="M1211" i="6"/>
  <c r="M1203" i="6"/>
  <c r="M1195" i="6"/>
  <c r="M1187" i="6"/>
  <c r="M1179" i="6"/>
  <c r="M1171" i="6"/>
  <c r="M1163" i="6"/>
  <c r="M1155" i="6"/>
  <c r="M1139" i="6"/>
  <c r="M1131" i="6"/>
  <c r="M1123" i="6"/>
  <c r="M1115" i="6"/>
  <c r="M1107" i="6"/>
  <c r="M1099" i="6"/>
  <c r="M1091" i="6"/>
  <c r="M1083" i="6"/>
  <c r="M1075" i="6"/>
  <c r="M1067" i="6"/>
  <c r="M1059" i="6"/>
  <c r="M1051" i="6"/>
  <c r="M1043" i="6"/>
  <c r="M1035" i="6"/>
  <c r="M1027" i="6"/>
  <c r="M1019" i="6"/>
  <c r="M1011" i="6"/>
  <c r="M1003" i="6"/>
  <c r="M995" i="6"/>
  <c r="M987" i="6"/>
  <c r="M979" i="6"/>
  <c r="M971" i="6"/>
  <c r="M963" i="6"/>
  <c r="M955" i="6"/>
  <c r="M947" i="6"/>
  <c r="M939" i="6"/>
  <c r="M931" i="6"/>
  <c r="M923" i="6"/>
  <c r="M915" i="6"/>
  <c r="M907" i="6"/>
  <c r="M899" i="6"/>
  <c r="M891" i="6"/>
  <c r="M883" i="6"/>
  <c r="M875" i="6"/>
  <c r="M867" i="6"/>
  <c r="M859" i="6"/>
  <c r="M851" i="6"/>
  <c r="M843" i="6"/>
  <c r="M835" i="6"/>
  <c r="M827" i="6"/>
  <c r="M819" i="6"/>
  <c r="M811" i="6"/>
  <c r="M803" i="6"/>
  <c r="M1278" i="6"/>
  <c r="M1350" i="6"/>
  <c r="M1412" i="6"/>
  <c r="M1404" i="6"/>
  <c r="M1396" i="6"/>
  <c r="M1380" i="6"/>
  <c r="M1364" i="6"/>
  <c r="M1356" i="6"/>
  <c r="M1348" i="6"/>
  <c r="M1340" i="6"/>
  <c r="M1332" i="6"/>
  <c r="M1324" i="6"/>
  <c r="M1316" i="6"/>
  <c r="M1308" i="6"/>
  <c r="M1300" i="6"/>
  <c r="M1292" i="6"/>
  <c r="M1284" i="6"/>
  <c r="M1276" i="6"/>
  <c r="M1268" i="6"/>
  <c r="M1260" i="6"/>
  <c r="M1252" i="6"/>
  <c r="M1244" i="6"/>
  <c r="M1236" i="6"/>
  <c r="M1228" i="6"/>
  <c r="M1220" i="6"/>
  <c r="M1212" i="6"/>
  <c r="M1204" i="6"/>
  <c r="M1196" i="6"/>
  <c r="M1188" i="6"/>
  <c r="M1180" i="6"/>
  <c r="M1172" i="6"/>
  <c r="M1164" i="6"/>
  <c r="M1156" i="6"/>
  <c r="M1148" i="6"/>
  <c r="M1140" i="6"/>
  <c r="M1132" i="6"/>
  <c r="M1124" i="6"/>
  <c r="M1116" i="6"/>
  <c r="M1108" i="6"/>
  <c r="M1100" i="6"/>
  <c r="M1092" i="6"/>
  <c r="M1084" i="6"/>
  <c r="M1076" i="6"/>
  <c r="M1068" i="6"/>
  <c r="M1060" i="6"/>
  <c r="M1052" i="6"/>
  <c r="M1044" i="6"/>
  <c r="M1036" i="6"/>
  <c r="M1028" i="6"/>
  <c r="M1020" i="6"/>
  <c r="M1012" i="6"/>
  <c r="M1004" i="6"/>
  <c r="M996" i="6"/>
  <c r="M988" i="6"/>
  <c r="M980" i="6"/>
  <c r="M972" i="6"/>
  <c r="M964" i="6"/>
  <c r="M956" i="6"/>
  <c r="M948" i="6"/>
  <c r="M940" i="6"/>
  <c r="M932" i="6"/>
  <c r="M924" i="6"/>
  <c r="M916" i="6"/>
  <c r="M908" i="6"/>
  <c r="M900" i="6"/>
  <c r="M892" i="6"/>
  <c r="M884" i="6"/>
  <c r="M876" i="6"/>
  <c r="M868" i="6"/>
  <c r="M860" i="6"/>
  <c r="M852" i="6"/>
  <c r="M844" i="6"/>
  <c r="M836" i="6"/>
  <c r="M828" i="6"/>
  <c r="M820" i="6"/>
  <c r="M812" i="6"/>
  <c r="M796" i="6"/>
  <c r="M788" i="6"/>
  <c r="M780" i="6"/>
  <c r="M772" i="6"/>
  <c r="M764" i="6"/>
  <c r="M756" i="6"/>
  <c r="M748" i="6"/>
  <c r="M740" i="6"/>
  <c r="M732" i="6"/>
  <c r="M724" i="6"/>
  <c r="M716" i="6"/>
  <c r="M708" i="6"/>
  <c r="M700" i="6"/>
  <c r="M795" i="6"/>
  <c r="M787" i="6"/>
  <c r="M779" i="6"/>
  <c r="M771" i="6"/>
  <c r="M763" i="6"/>
  <c r="M755" i="6"/>
  <c r="M747" i="6"/>
  <c r="M739" i="6"/>
  <c r="M731" i="6"/>
  <c r="M723" i="6"/>
  <c r="M715" i="6"/>
  <c r="M707" i="6"/>
  <c r="M699" i="6"/>
  <c r="M691" i="6"/>
  <c r="M683" i="6"/>
  <c r="M675" i="6"/>
  <c r="M667" i="6"/>
  <c r="M659" i="6"/>
  <c r="M651" i="6"/>
  <c r="M643" i="6"/>
  <c r="M635" i="6"/>
  <c r="M627" i="6"/>
  <c r="M619" i="6"/>
  <c r="M611" i="6"/>
  <c r="M603" i="6"/>
  <c r="M595" i="6"/>
  <c r="M587" i="6"/>
  <c r="M579" i="6"/>
  <c r="M571" i="6"/>
  <c r="M563" i="6"/>
  <c r="M555" i="6"/>
  <c r="M547" i="6"/>
  <c r="M539" i="6"/>
  <c r="M531" i="6"/>
  <c r="M523" i="6"/>
  <c r="M515" i="6"/>
  <c r="M507" i="6"/>
  <c r="M499" i="6"/>
  <c r="M491" i="6"/>
  <c r="M483" i="6"/>
  <c r="M475" i="6"/>
  <c r="M467" i="6"/>
  <c r="M459" i="6"/>
  <c r="M451" i="6"/>
  <c r="M443" i="6"/>
  <c r="M435" i="6"/>
  <c r="M427" i="6"/>
  <c r="M419" i="6"/>
  <c r="M411" i="6"/>
  <c r="M403" i="6"/>
  <c r="M395" i="6"/>
  <c r="M387" i="6"/>
  <c r="M379" i="6"/>
  <c r="M371" i="6"/>
  <c r="M363" i="6"/>
  <c r="M355" i="6"/>
  <c r="M347" i="6"/>
  <c r="M339" i="6"/>
  <c r="M331" i="6"/>
  <c r="M323" i="6"/>
  <c r="M315" i="6"/>
  <c r="M307" i="6"/>
  <c r="M299" i="6"/>
  <c r="M291" i="6"/>
  <c r="M283" i="6"/>
  <c r="M275" i="6"/>
  <c r="M267" i="6"/>
  <c r="M259" i="6"/>
  <c r="M251" i="6"/>
  <c r="M243" i="6"/>
  <c r="M235" i="6"/>
  <c r="M227" i="6"/>
  <c r="M219" i="6"/>
  <c r="M211" i="6"/>
  <c r="M203" i="6"/>
  <c r="M195" i="6"/>
  <c r="M187" i="6"/>
  <c r="M179" i="6"/>
  <c r="M171" i="6"/>
  <c r="M163" i="6"/>
  <c r="M155" i="6"/>
  <c r="M147" i="6"/>
  <c r="M139" i="6"/>
  <c r="M131" i="6"/>
  <c r="M804" i="6"/>
  <c r="M692" i="6"/>
  <c r="M684" i="6"/>
  <c r="M676" i="6"/>
  <c r="M668" i="6"/>
  <c r="M660" i="6"/>
  <c r="M652" i="6"/>
  <c r="M644" i="6"/>
  <c r="M636" i="6"/>
  <c r="M628" i="6"/>
  <c r="M620" i="6"/>
  <c r="M612" i="6"/>
  <c r="M604" i="6"/>
  <c r="M596" i="6"/>
  <c r="M588" i="6"/>
  <c r="M580" i="6"/>
  <c r="M572" i="6"/>
  <c r="M564" i="6"/>
  <c r="M556" i="6"/>
  <c r="M548" i="6"/>
  <c r="M540" i="6"/>
  <c r="M532" i="6"/>
  <c r="M524" i="6"/>
  <c r="M516" i="6"/>
  <c r="M508" i="6"/>
  <c r="M500" i="6"/>
  <c r="M492" i="6"/>
  <c r="M484" i="6"/>
  <c r="M476" i="6"/>
  <c r="M468" i="6"/>
  <c r="M460" i="6"/>
  <c r="M452" i="6"/>
  <c r="M444" i="6"/>
  <c r="M436" i="6"/>
  <c r="M428" i="6"/>
  <c r="M420" i="6"/>
  <c r="M412" i="6"/>
  <c r="M404" i="6"/>
  <c r="M396" i="6"/>
  <c r="M388" i="6"/>
  <c r="M380" i="6"/>
  <c r="M372" i="6"/>
  <c r="M364" i="6"/>
  <c r="M356" i="6"/>
  <c r="M348" i="6"/>
  <c r="M340" i="6"/>
  <c r="M332" i="6"/>
  <c r="M324" i="6"/>
  <c r="M316" i="6"/>
  <c r="M308" i="6"/>
  <c r="M300" i="6"/>
  <c r="M292" i="6"/>
  <c r="M284" i="6"/>
  <c r="M276" i="6"/>
  <c r="M268" i="6"/>
  <c r="M260" i="6"/>
  <c r="M252" i="6"/>
  <c r="M244" i="6"/>
  <c r="M236" i="6"/>
  <c r="M228" i="6"/>
  <c r="M220" i="6"/>
  <c r="M212" i="6"/>
  <c r="M204" i="6"/>
  <c r="M196" i="6"/>
  <c r="M188" i="6"/>
  <c r="M180" i="6"/>
  <c r="M172" i="6"/>
  <c r="M164" i="6"/>
  <c r="M156" i="6"/>
  <c r="M148" i="6"/>
  <c r="M140" i="6"/>
  <c r="M132" i="6"/>
  <c r="M124" i="6"/>
  <c r="M116" i="6"/>
  <c r="M108" i="6"/>
  <c r="M92" i="6"/>
  <c r="M84" i="6"/>
  <c r="M76" i="6"/>
  <c r="M68" i="6"/>
  <c r="M60" i="6"/>
  <c r="M52" i="6"/>
  <c r="M44" i="6"/>
  <c r="M36" i="6"/>
  <c r="M28" i="6"/>
  <c r="M20" i="6"/>
  <c r="M12" i="6"/>
  <c r="M1372" i="6"/>
  <c r="M1388" i="6"/>
  <c r="M1413" i="6"/>
  <c r="M1405" i="6"/>
  <c r="M1397" i="6"/>
  <c r="M1389" i="6"/>
  <c r="M1381" i="6"/>
  <c r="M1373" i="6"/>
  <c r="M1365" i="6"/>
  <c r="M1357" i="6"/>
  <c r="M1349" i="6"/>
  <c r="M1341" i="6"/>
  <c r="M1333" i="6"/>
  <c r="M1325" i="6"/>
  <c r="M1317" i="6"/>
  <c r="M1309" i="6"/>
  <c r="M1301" i="6"/>
  <c r="M1293" i="6"/>
  <c r="M1285" i="6"/>
  <c r="M1277" i="6"/>
  <c r="M1269" i="6"/>
  <c r="M1261" i="6"/>
  <c r="M1253" i="6"/>
  <c r="M1245" i="6"/>
  <c r="M1237" i="6"/>
  <c r="M1229" i="6"/>
  <c r="M1221" i="6"/>
  <c r="M1213" i="6"/>
  <c r="M1205" i="6"/>
  <c r="M1197" i="6"/>
  <c r="M1189" i="6"/>
  <c r="M1181" i="6"/>
  <c r="M1173" i="6"/>
  <c r="M1165" i="6"/>
  <c r="M1157" i="6"/>
  <c r="M1149" i="6"/>
  <c r="M1141" i="6"/>
  <c r="M1133" i="6"/>
  <c r="M1125" i="6"/>
  <c r="M1117" i="6"/>
  <c r="M1109" i="6"/>
  <c r="M1101" i="6"/>
  <c r="M1093" i="6"/>
  <c r="M1085" i="6"/>
  <c r="M1077" i="6"/>
  <c r="M1069" i="6"/>
  <c r="M1061" i="6"/>
  <c r="M1053" i="6"/>
  <c r="M1045" i="6"/>
  <c r="M1037" i="6"/>
  <c r="M1029" i="6"/>
  <c r="M1021" i="6"/>
  <c r="M1013" i="6"/>
  <c r="M1005" i="6"/>
  <c r="M997" i="6"/>
  <c r="M989" i="6"/>
  <c r="M981" i="6"/>
  <c r="M973" i="6"/>
  <c r="M965" i="6"/>
  <c r="M957" i="6"/>
  <c r="M949" i="6"/>
  <c r="M941" i="6"/>
  <c r="M933" i="6"/>
  <c r="M925" i="6"/>
  <c r="M917" i="6"/>
  <c r="M909" i="6"/>
  <c r="M901" i="6"/>
  <c r="M893" i="6"/>
  <c r="M885" i="6"/>
  <c r="M877" i="6"/>
  <c r="M869" i="6"/>
  <c r="M861" i="6"/>
  <c r="M853" i="6"/>
  <c r="M845" i="6"/>
  <c r="M837" i="6"/>
  <c r="M829" i="6"/>
  <c r="M821" i="6"/>
  <c r="M813" i="6"/>
  <c r="M805" i="6"/>
  <c r="M797" i="6"/>
  <c r="M789" i="6"/>
  <c r="M781" i="6"/>
  <c r="M773" i="6"/>
  <c r="M765" i="6"/>
  <c r="M757" i="6"/>
  <c r="M749" i="6"/>
  <c r="M741" i="6"/>
  <c r="M733" i="6"/>
  <c r="M725" i="6"/>
  <c r="M717" i="6"/>
  <c r="M709" i="6"/>
  <c r="M701" i="6"/>
  <c r="M693" i="6"/>
  <c r="M1398" i="6"/>
  <c r="M1390" i="6"/>
  <c r="M1382" i="6"/>
  <c r="M1374" i="6"/>
  <c r="M1366" i="6"/>
  <c r="M1342" i="6"/>
  <c r="M1318" i="6"/>
  <c r="M1302" i="6"/>
  <c r="M1294" i="6"/>
  <c r="M1286" i="6"/>
  <c r="M1262" i="6"/>
  <c r="M1254" i="6"/>
  <c r="M1238" i="6"/>
  <c r="M1206" i="6"/>
  <c r="M1190" i="6"/>
  <c r="M1174" i="6"/>
  <c r="M1158" i="6"/>
  <c r="M1150" i="6"/>
  <c r="M1126" i="6"/>
  <c r="M1110" i="6"/>
  <c r="M1102" i="6"/>
  <c r="M1078" i="6"/>
  <c r="M1062" i="6"/>
  <c r="M1046" i="6"/>
  <c r="M1022" i="6"/>
  <c r="M998" i="6"/>
  <c r="M990" i="6"/>
  <c r="M982" i="6"/>
  <c r="M966" i="6"/>
  <c r="M958" i="6"/>
  <c r="M934" i="6"/>
  <c r="M918" i="6"/>
  <c r="M902" i="6"/>
  <c r="M870" i="6"/>
  <c r="M854" i="6"/>
  <c r="M806" i="6"/>
  <c r="M790" i="6"/>
  <c r="M742" i="6"/>
  <c r="M685" i="6"/>
  <c r="M677" i="6"/>
  <c r="M669" i="6"/>
  <c r="M661" i="6"/>
  <c r="M653" i="6"/>
  <c r="M645" i="6"/>
  <c r="M637" i="6"/>
  <c r="M629" i="6"/>
  <c r="M621" i="6"/>
  <c r="M613" i="6"/>
  <c r="M605" i="6"/>
  <c r="M597" i="6"/>
  <c r="M589" i="6"/>
  <c r="M581" i="6"/>
  <c r="M573" i="6"/>
  <c r="M565" i="6"/>
  <c r="M557" i="6"/>
  <c r="M549" i="6"/>
  <c r="M541" i="6"/>
  <c r="M533" i="6"/>
  <c r="M525" i="6"/>
  <c r="M517" i="6"/>
  <c r="M509" i="6"/>
  <c r="M501" i="6"/>
  <c r="M493" i="6"/>
  <c r="M485" i="6"/>
  <c r="M477" i="6"/>
  <c r="M469" i="6"/>
  <c r="M461" i="6"/>
  <c r="M453" i="6"/>
  <c r="M445" i="6"/>
  <c r="M437" i="6"/>
  <c r="M429" i="6"/>
  <c r="M421" i="6"/>
  <c r="M413" i="6"/>
  <c r="M405" i="6"/>
  <c r="M397" i="6"/>
  <c r="M389" i="6"/>
  <c r="M381" i="6"/>
  <c r="M373" i="6"/>
  <c r="M365" i="6"/>
  <c r="M357" i="6"/>
  <c r="M349" i="6"/>
  <c r="M341" i="6"/>
  <c r="M333" i="6"/>
  <c r="M325" i="6"/>
  <c r="M317" i="6"/>
  <c r="M309" i="6"/>
  <c r="M301" i="6"/>
  <c r="M293" i="6"/>
  <c r="M285" i="6"/>
  <c r="M277" i="6"/>
  <c r="M269" i="6"/>
  <c r="M261" i="6"/>
  <c r="M253" i="6"/>
  <c r="M245" i="6"/>
  <c r="M237" i="6"/>
  <c r="M229" i="6"/>
  <c r="M221" i="6"/>
  <c r="M213" i="6"/>
  <c r="M205" i="6"/>
  <c r="M197" i="6"/>
  <c r="M189" i="6"/>
  <c r="M181" i="6"/>
  <c r="M173" i="6"/>
  <c r="M165" i="6"/>
  <c r="M157" i="6"/>
  <c r="M149" i="6"/>
  <c r="M141" i="6"/>
  <c r="M133" i="6"/>
  <c r="M125" i="6"/>
  <c r="M117" i="6"/>
  <c r="M109" i="6"/>
  <c r="M101" i="6"/>
  <c r="M93" i="6"/>
  <c r="M85" i="6"/>
  <c r="M77" i="6"/>
  <c r="M69" i="6"/>
  <c r="M61" i="6"/>
  <c r="M53" i="6"/>
  <c r="M45" i="6"/>
  <c r="M37" i="6"/>
  <c r="M29" i="6"/>
  <c r="M21" i="6"/>
  <c r="M13" i="6"/>
  <c r="E10" i="1"/>
  <c r="M101" i="5"/>
  <c r="M118" i="5"/>
  <c r="M82" i="5"/>
  <c r="M74" i="5"/>
  <c r="M66" i="5"/>
  <c r="M9" i="1"/>
  <c r="M165" i="5"/>
  <c r="M157" i="5"/>
  <c r="M149" i="5"/>
  <c r="M141" i="5"/>
  <c r="M133" i="5"/>
  <c r="M117" i="5"/>
  <c r="M93" i="5"/>
  <c r="M77" i="5"/>
  <c r="M69" i="5"/>
  <c r="M53" i="5"/>
  <c r="M45" i="5"/>
  <c r="M29" i="5"/>
  <c r="M21" i="5"/>
  <c r="M13" i="5"/>
  <c r="L9" i="1"/>
  <c r="U9" i="1"/>
  <c r="Q9" i="1"/>
  <c r="I9" i="1"/>
  <c r="P9" i="1"/>
  <c r="H9" i="1"/>
  <c r="T9" i="1"/>
  <c r="M65" i="3"/>
  <c r="M57" i="3"/>
  <c r="M49" i="3"/>
  <c r="M41" i="3"/>
  <c r="M33" i="3"/>
  <c r="M63" i="3"/>
  <c r="M55" i="3"/>
  <c r="M47" i="3"/>
  <c r="M39" i="3"/>
  <c r="M31" i="3"/>
  <c r="M13" i="3"/>
  <c r="M67" i="3"/>
  <c r="M35" i="3"/>
  <c r="M10" i="3"/>
  <c r="M42" i="3"/>
  <c r="M37" i="3"/>
  <c r="P7" i="1"/>
  <c r="L7" i="1"/>
  <c r="M66" i="3"/>
  <c r="M58" i="3"/>
  <c r="M50" i="3"/>
  <c r="M34" i="3"/>
  <c r="M32" i="3"/>
  <c r="M64" i="3"/>
  <c r="M56" i="3"/>
  <c r="M48" i="3"/>
  <c r="M40" i="3"/>
  <c r="M23" i="3"/>
  <c r="M18" i="3"/>
  <c r="M59" i="3"/>
  <c r="M51" i="3"/>
  <c r="M43" i="3"/>
  <c r="M26" i="3"/>
  <c r="M21" i="3"/>
  <c r="M61" i="3"/>
  <c r="M53" i="3"/>
  <c r="M45" i="3"/>
  <c r="M29" i="3"/>
  <c r="M60" i="3"/>
  <c r="M52" i="3"/>
  <c r="M44" i="3"/>
  <c r="M36" i="3"/>
  <c r="M27" i="3"/>
  <c r="I7" i="1"/>
  <c r="U7" i="1"/>
  <c r="M7" i="1"/>
  <c r="Q7" i="1"/>
  <c r="H7" i="1"/>
  <c r="T7" i="1"/>
  <c r="H17" i="1"/>
  <c r="T17" i="1"/>
  <c r="L17" i="1"/>
  <c r="D17" i="1"/>
  <c r="P17" i="1"/>
  <c r="E14" i="1" l="1"/>
  <c r="D14" i="1"/>
  <c r="E13" i="1"/>
  <c r="E11" i="1"/>
  <c r="D10" i="1"/>
  <c r="E8" i="1"/>
  <c r="D8" i="1"/>
  <c r="E16" i="1"/>
  <c r="D16" i="1"/>
  <c r="D15" i="1"/>
  <c r="E15" i="1"/>
  <c r="D13" i="1"/>
  <c r="D11" i="1"/>
  <c r="D9" i="1"/>
  <c r="E9" i="1"/>
  <c r="E7" i="1"/>
  <c r="D7" i="1"/>
</calcChain>
</file>

<file path=xl/sharedStrings.xml><?xml version="1.0" encoding="utf-8"?>
<sst xmlns="http://schemas.openxmlformats.org/spreadsheetml/2006/main" count="28178" uniqueCount="6177">
  <si>
    <t>🏭   ANDHERI EXPERIENCE CENTRE — MATERIAL AUDIT TRACKER</t>
  </si>
  <si>
    <t>Mumbai Location  |  3,032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</si>
  <si>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</si>
  <si>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</si>
  <si>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</si>
  <si>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</si>
  <si>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</si>
  <si>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</si>
  <si>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</si>
  <si>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</si>
  <si>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</si>
  <si>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</si>
  <si>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</si>
  <si>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</si>
  <si>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</si>
  <si>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</si>
  <si>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</si>
  <si>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</si>
  <si>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</si>
  <si>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</si>
  <si>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</si>
  <si>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</si>
  <si>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</si>
  <si>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</si>
  <si>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</si>
  <si>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</si>
  <si>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</si>
  <si>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</si>
  <si>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</si>
  <si>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</si>
  <si>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</si>
  <si>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</si>
  <si>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ANDHERI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</si>
  <si>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</si>
  <si>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</si>
  <si>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</si>
  <si>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</si>
  <si>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</si>
  <si>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</si>
  <si>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</si>
  <si>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</si>
  <si>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</si>
  <si>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</si>
  <si>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</si>
  <si>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</si>
  <si>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</si>
  <si>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</si>
  <si>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</si>
  <si>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</si>
  <si>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</si>
  <si>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</si>
  <si>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</si>
  <si>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</si>
  <si>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</si>
  <si>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</si>
  <si>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</si>
  <si>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No</t>
  </si>
  <si>
    <t>Not Available</t>
  </si>
  <si>
    <t>Yes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</si>
  <si>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</si>
  <si>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</si>
  <si>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</si>
  <si>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</si>
  <si>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</si>
  <si>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</si>
  <si>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</si>
  <si>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</si>
  <si>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</si>
  <si>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</si>
  <si>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</si>
  <si>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Good finish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</si>
  <si>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</si>
  <si>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</si>
  <si>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</si>
  <si>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</si>
  <si>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</si>
  <si>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</si>
  <si>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</si>
  <si>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</si>
  <si>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</si>
  <si>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</si>
  <si>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</si>
  <si>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</si>
  <si>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</si>
  <si>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</si>
  <si>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</si>
  <si>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</si>
  <si>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</si>
  <si>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</si>
  <si>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</si>
  <si>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</si>
  <si>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</si>
  <si>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</si>
  <si>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</si>
  <si>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</si>
  <si>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</si>
  <si>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</si>
  <si>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</si>
  <si>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</si>
  <si>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</si>
  <si>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</si>
  <si>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</si>
  <si>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</si>
  <si>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</si>
  <si>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</si>
  <si>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</si>
  <si>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</si>
  <si>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</si>
  <si>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</si>
  <si>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</si>
  <si>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</si>
  <si>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</si>
  <si>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</si>
  <si>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</si>
  <si>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</si>
  <si>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</si>
  <si>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</si>
  <si>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</si>
  <si>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</si>
  <si>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</si>
  <si>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</si>
  <si>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</si>
  <si>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</si>
  <si>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</si>
  <si>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</si>
  <si>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</si>
  <si>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</si>
  <si>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</si>
  <si>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</si>
  <si>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</si>
  <si>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Categorization sticker is missing (Tiles)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</si>
  <si>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</si>
  <si>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</si>
  <si>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</si>
  <si>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</si>
  <si>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</si>
  <si>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</si>
  <si>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</si>
  <si>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</si>
  <si>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</si>
  <si>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</si>
  <si>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</si>
  <si>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</si>
  <si>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</si>
  <si>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</si>
  <si>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</si>
  <si>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</si>
  <si>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</si>
  <si>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</si>
  <si>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</si>
  <si>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</si>
  <si>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</si>
  <si>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Mention Platinum in tiles and Name Sticker to be Changed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</si>
  <si>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</si>
  <si>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</si>
  <si>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</si>
  <si>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</si>
  <si>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</si>
  <si>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</si>
  <si>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</si>
  <si>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</si>
  <si>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</si>
  <si>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</si>
  <si>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</si>
  <si>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</si>
  <si>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</si>
  <si>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</si>
  <si>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</si>
  <si>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</si>
  <si>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</si>
  <si>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</si>
  <si>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</si>
  <si>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</si>
  <si>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</si>
  <si>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</si>
  <si>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</si>
  <si>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</si>
  <si>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</si>
  <si>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</si>
  <si>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</si>
  <si>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</si>
  <si>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</si>
  <si>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</si>
  <si>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Mention Platinum in tiles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</si>
  <si>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</si>
  <si>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</si>
  <si>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</si>
  <si>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</si>
  <si>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</si>
  <si>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</si>
  <si>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</si>
  <si>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Available in small book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</si>
  <si>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</si>
  <si>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</si>
  <si>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</si>
  <si>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</si>
  <si>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</si>
  <si>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</si>
  <si>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</si>
  <si>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</si>
  <si>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</si>
  <si>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</si>
  <si>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</si>
  <si>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</si>
  <si>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</si>
  <si>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</si>
  <si>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</si>
  <si>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</si>
  <si>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</si>
  <si>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</si>
  <si>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</si>
  <si>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</si>
  <si>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</si>
  <si>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</si>
  <si>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</si>
  <si>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</si>
  <si>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</si>
  <si>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</si>
  <si>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</si>
  <si>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</si>
  <si>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</si>
  <si>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</si>
  <si>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</si>
  <si>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</si>
  <si>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</si>
  <si>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</si>
  <si>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</si>
  <si>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</si>
  <si>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</si>
  <si>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</si>
  <si>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</si>
  <si>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</si>
  <si>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</si>
  <si>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</si>
  <si>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Categorization sticker is missing (book)</t>
  </si>
  <si>
    <t>BD-LAM-2023-0280</t>
  </si>
  <si>
    <t>Lam SL AU 1mm 2191 Tiger Skin(Gold)</t>
  </si>
  <si>
    <t>Sticker to be changed (Tiles)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</si>
  <si>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</si>
  <si>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</si>
  <si>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</si>
  <si>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</si>
  <si>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</si>
  <si>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</si>
  <si>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</si>
  <si>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</si>
  <si>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</si>
  <si>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</si>
  <si>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</si>
  <si>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</si>
  <si>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</si>
  <si>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</si>
  <si>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</si>
  <si>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</si>
  <si>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</si>
  <si>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</si>
  <si>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</si>
  <si>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</si>
  <si>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</si>
  <si>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</si>
  <si>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</si>
  <si>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</si>
  <si>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</si>
  <si>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</si>
  <si>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</si>
  <si>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</si>
  <si>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</si>
  <si>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</si>
  <si>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</si>
  <si>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</si>
  <si>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</si>
  <si>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</si>
  <si>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</si>
  <si>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</si>
  <si>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</si>
  <si>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</si>
  <si>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</si>
  <si>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</si>
  <si>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</si>
  <si>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</si>
  <si>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Sticker to be changed (TIles)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</si>
  <si>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</si>
  <si>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</si>
  <si>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</si>
  <si>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</si>
  <si>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</si>
  <si>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</si>
  <si>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</si>
  <si>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</si>
  <si>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</si>
  <si>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</si>
  <si>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</si>
  <si>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</si>
  <si>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</si>
  <si>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</si>
  <si>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</si>
  <si>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</si>
  <si>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</si>
  <si>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</si>
  <si>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</si>
  <si>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</si>
  <si>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</si>
  <si>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</si>
  <si>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</si>
  <si>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</si>
  <si>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</si>
  <si>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</si>
  <si>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</si>
  <si>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</si>
  <si>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</si>
  <si>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</si>
  <si>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</si>
  <si>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</si>
  <si>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</si>
  <si>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</si>
  <si>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</si>
  <si>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</si>
  <si>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</si>
  <si>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</si>
  <si>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</si>
  <si>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</si>
  <si>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</si>
  <si>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</si>
  <si>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</si>
  <si>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</si>
  <si>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</si>
  <si>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</si>
  <si>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</si>
  <si>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</si>
  <si>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</si>
  <si>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</si>
  <si>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</si>
  <si>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</si>
  <si>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Name Sticker to be Changed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</si>
  <si>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</si>
  <si>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</si>
  <si>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</si>
  <si>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</si>
  <si>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</si>
  <si>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</si>
  <si>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</si>
  <si>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</si>
  <si>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</si>
  <si>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</si>
  <si>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</si>
  <si>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</si>
  <si>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</si>
  <si>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</si>
  <si>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</si>
  <si>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</si>
  <si>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</si>
  <si>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</si>
  <si>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</si>
  <si>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</si>
  <si>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</si>
  <si>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</si>
  <si>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</si>
  <si>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</si>
  <si>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</si>
  <si>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</si>
  <si>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Categorization sticker is missing (tiles)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</si>
  <si>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</si>
  <si>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</si>
  <si>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</si>
  <si>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</si>
  <si>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</si>
  <si>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</si>
  <si>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</si>
  <si>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</si>
  <si>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</si>
  <si>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</si>
  <si>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</si>
  <si>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</si>
  <si>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</si>
  <si>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</si>
  <si>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</si>
  <si>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</si>
  <si>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</si>
  <si>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</si>
  <si>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</si>
  <si>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</si>
  <si>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</si>
  <si>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</si>
  <si>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</si>
  <si>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</si>
  <si>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</si>
  <si>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</si>
  <si>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</si>
  <si>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</si>
  <si>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</si>
  <si>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</si>
  <si>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</si>
  <si>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</si>
  <si>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</si>
  <si>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</si>
  <si>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</si>
  <si>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</si>
  <si>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</si>
  <si>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</si>
  <si>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</si>
  <si>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</si>
  <si>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</si>
  <si>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</si>
  <si>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</si>
  <si>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</si>
  <si>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</si>
  <si>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</si>
  <si>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</si>
  <si>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</si>
  <si>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</si>
  <si>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</si>
  <si>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</si>
  <si>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</si>
  <si>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</si>
  <si>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</si>
  <si>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</si>
  <si>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</si>
  <si>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</si>
  <si>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</si>
  <si>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</si>
  <si>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</si>
  <si>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</si>
  <si>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</si>
  <si>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</si>
  <si>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</si>
  <si>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</si>
  <si>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</si>
  <si>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</si>
  <si>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</si>
  <si>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</si>
  <si>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</si>
  <si>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</si>
  <si>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</si>
  <si>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</si>
  <si>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</si>
  <si>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</si>
  <si>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</si>
  <si>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</si>
  <si>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</si>
  <si>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</si>
  <si>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</si>
  <si>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</si>
  <si>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</si>
  <si>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</si>
  <si>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</si>
  <si>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</si>
  <si>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</si>
  <si>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</si>
  <si>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</si>
  <si>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</si>
  <si>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</si>
  <si>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</si>
  <si>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</si>
  <si>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</si>
  <si>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</si>
  <si>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</si>
  <si>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</si>
  <si>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</si>
  <si>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</si>
  <si>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</si>
  <si>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</si>
  <si>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Categorization sticker is missing (Tiles and book)</t>
  </si>
  <si>
    <t>BD-LAM-2023-0244</t>
  </si>
  <si>
    <t>Lam SL SD 1mm 1053 Plum(Gold) [BBP]</t>
  </si>
  <si>
    <t>BD-LAM-2023-0216</t>
  </si>
  <si>
    <t>Lam SL SD 1mm 1056 Navy blue(Gold)</t>
  </si>
  <si>
    <t>Name sticker to be changed (Tiles) and Categorization sticker is missing (Book)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</si>
  <si>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</si>
  <si>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</si>
  <si>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</si>
  <si>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</si>
  <si>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</si>
  <si>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</si>
  <si>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</si>
  <si>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</si>
  <si>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</si>
  <si>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</si>
  <si>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</si>
  <si>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</si>
  <si>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</si>
  <si>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</si>
  <si>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</si>
  <si>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</si>
  <si>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Sticker to be changed (TIles) Categorization sticker is missing (book)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</si>
  <si>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</si>
  <si>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</si>
  <si>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</si>
  <si>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</si>
  <si>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</si>
  <si>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</si>
  <si>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</si>
  <si>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</si>
  <si>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</si>
  <si>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</si>
  <si>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</si>
  <si>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</si>
  <si>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</si>
  <si>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</si>
  <si>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Name sticker to be changed (Tiles) and Categorization sticker is missing (book)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</si>
  <si>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</si>
  <si>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</si>
  <si>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</si>
  <si>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</si>
  <si>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</si>
  <si>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</si>
  <si>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</si>
  <si>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</si>
  <si>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</si>
  <si>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</si>
  <si>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Sticker to be changed (book)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</si>
  <si>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</si>
  <si>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</si>
  <si>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</si>
  <si>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</si>
  <si>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</si>
  <si>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</si>
  <si>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</si>
  <si>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</si>
  <si>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</si>
  <si>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</si>
  <si>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</si>
  <si>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</si>
  <si>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</si>
  <si>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</si>
  <si>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</si>
  <si>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</si>
  <si>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</si>
  <si>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</si>
  <si>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</si>
  <si>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</si>
  <si>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</si>
  <si>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</si>
  <si>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</si>
  <si>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</si>
  <si>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</si>
  <si>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</si>
  <si>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</si>
  <si>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</si>
  <si>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</si>
  <si>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</si>
  <si>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</si>
  <si>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</si>
  <si>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</si>
  <si>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</si>
  <si>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</si>
  <si>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</si>
  <si>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</si>
  <si>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</si>
  <si>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</si>
  <si>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</si>
  <si>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</si>
  <si>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</si>
  <si>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</si>
  <si>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</si>
  <si>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</si>
  <si>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</si>
  <si>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</si>
  <si>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</si>
  <si>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</si>
  <si>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</si>
  <si>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</si>
  <si>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</si>
  <si>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</si>
  <si>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</si>
  <si>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</si>
  <si>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</si>
  <si>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</si>
  <si>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</si>
  <si>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</si>
  <si>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</si>
  <si>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</si>
  <si>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</si>
  <si>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</si>
  <si>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</si>
  <si>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</si>
  <si>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</si>
  <si>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</si>
  <si>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</si>
  <si>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</si>
  <si>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</si>
  <si>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</si>
  <si>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</si>
  <si>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Categorization sticker is missing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</si>
  <si>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</si>
  <si>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</si>
  <si>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</si>
  <si>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</si>
  <si>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</si>
  <si>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</si>
  <si>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</si>
  <si>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</si>
  <si>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</si>
  <si>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</si>
  <si>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</si>
  <si>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</si>
  <si>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</si>
  <si>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</si>
  <si>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</si>
  <si>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</si>
  <si>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</si>
  <si>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</si>
  <si>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</si>
  <si>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</si>
  <si>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</si>
  <si>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</si>
  <si>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</si>
  <si>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</si>
  <si>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</si>
  <si>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</si>
  <si>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</si>
  <si>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</si>
  <si>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</si>
  <si>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</si>
  <si>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</si>
  <si>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</si>
  <si>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</si>
  <si>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</si>
  <si>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</si>
  <si>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</si>
  <si>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</si>
  <si>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</si>
  <si>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</si>
  <si>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</si>
  <si>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</si>
  <si>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</si>
  <si>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</si>
  <si>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</si>
  <si>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</si>
  <si>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</si>
  <si>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</si>
  <si>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</si>
  <si>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</si>
  <si>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</si>
  <si>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</si>
  <si>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</si>
  <si>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</si>
  <si>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</si>
  <si>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</si>
  <si>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</si>
  <si>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</si>
  <si>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</si>
  <si>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</si>
  <si>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</si>
  <si>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</si>
  <si>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</si>
  <si>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ANDHERI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</si>
  <si>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</si>
  <si>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</si>
  <si>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</si>
  <si>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</si>
  <si>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</si>
  <si>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Tejal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</si>
  <si>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</si>
  <si>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</si>
  <si>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</si>
  <si>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</si>
  <si>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</si>
  <si>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</si>
  <si>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</si>
  <si>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</si>
  <si>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</si>
  <si>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</si>
  <si>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</si>
  <si>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</si>
  <si>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</si>
  <si>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</si>
  <si>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</si>
  <si>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</si>
  <si>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</si>
  <si>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</si>
  <si>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</si>
  <si>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</si>
  <si>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</si>
  <si>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</si>
  <si>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</si>
  <si>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</si>
  <si>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</si>
  <si>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</si>
  <si>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</si>
  <si>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</si>
  <si>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</si>
  <si>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</si>
  <si>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</si>
  <si>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</si>
  <si>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</si>
  <si>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</si>
  <si>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</si>
  <si>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</si>
  <si>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</si>
  <si>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</si>
  <si>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</si>
  <si>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</si>
  <si>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</si>
  <si>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</si>
  <si>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</si>
  <si>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</si>
  <si>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</si>
  <si>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</si>
  <si>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</si>
  <si>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</si>
  <si>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</si>
  <si>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</si>
  <si>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</si>
  <si>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</si>
  <si>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</si>
  <si>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</si>
  <si>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</si>
  <si>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</si>
  <si>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</si>
  <si>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</si>
  <si>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</si>
  <si>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Sticker needs to be changed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</si>
  <si>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</si>
  <si>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</si>
  <si>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</si>
  <si>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</si>
  <si>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</si>
  <si>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</si>
  <si>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</si>
  <si>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</si>
  <si>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</si>
  <si>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</si>
  <si>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</si>
  <si>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</si>
  <si>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</si>
  <si>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</si>
  <si>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</si>
  <si>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</si>
  <si>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</si>
  <si>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</si>
  <si>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</si>
  <si>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</si>
  <si>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</si>
  <si>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</si>
  <si>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</si>
  <si>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</si>
  <si>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Sticker is not proper / needs to be changed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</si>
  <si>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</si>
  <si>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</si>
  <si>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</si>
  <si>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</si>
  <si>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</si>
  <si>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</si>
  <si>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</si>
  <si>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</si>
  <si>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</si>
  <si>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</si>
  <si>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</si>
  <si>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</si>
  <si>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</si>
  <si>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</si>
  <si>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</si>
  <si>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</si>
  <si>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</si>
  <si>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</si>
  <si>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</si>
  <si>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</si>
  <si>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</si>
  <si>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</si>
  <si>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</si>
  <si>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</si>
  <si>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</si>
  <si>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</si>
  <si>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</si>
  <si>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</si>
  <si>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</si>
  <si>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</si>
  <si>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</si>
  <si>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</si>
  <si>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</si>
  <si>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</si>
  <si>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</si>
  <si>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</si>
  <si>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</si>
  <si>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</si>
  <si>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</si>
  <si>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</si>
  <si>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ANDHERI EC  —  PU AND MEMBRANE  |  Multi-Round Audit Tracker</t>
  </si>
  <si>
    <t>PU 3014 GL</t>
  </si>
  <si>
    <t>PU - Antique Pink (Gloss) 3014</t>
  </si>
  <si>
    <t>DESIGNORX PRIVATE LIMITED</t>
  </si>
  <si>
    <t>Toshit Pal</t>
  </si>
  <si>
    <t>PJ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</si>
  <si>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</si>
  <si>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</si>
  <si>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</si>
  <si>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</si>
  <si>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</si>
  <si>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</si>
  <si>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</si>
  <si>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</si>
  <si>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</si>
  <si>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</si>
  <si>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P2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</si>
  <si>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</si>
  <si>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</si>
  <si>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</si>
  <si>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</si>
  <si>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</si>
  <si>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</si>
  <si>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</si>
  <si>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</si>
  <si>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</si>
  <si>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</si>
  <si>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</si>
  <si>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</si>
  <si>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</si>
  <si>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</si>
  <si>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</si>
  <si>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</si>
  <si>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</si>
  <si>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</si>
  <si>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</si>
  <si>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</si>
  <si>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</si>
  <si>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</si>
  <si>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</si>
  <si>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</si>
  <si>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</si>
  <si>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</si>
  <si>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</si>
  <si>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</si>
  <si>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</si>
  <si>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</si>
  <si>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</si>
  <si>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</si>
  <si>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</si>
  <si>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</si>
  <si>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</si>
  <si>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</si>
  <si>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</si>
  <si>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</si>
  <si>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</si>
  <si>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P6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</si>
  <si>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</si>
  <si>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</si>
  <si>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</si>
  <si>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</si>
  <si>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</si>
  <si>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</si>
  <si>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</si>
  <si>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</si>
  <si>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</si>
  <si>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</si>
  <si>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</si>
  <si>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</si>
  <si>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</si>
  <si>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</si>
  <si>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</si>
  <si>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</si>
  <si>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</si>
  <si>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</si>
  <si>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</si>
  <si>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</si>
  <si>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</si>
  <si>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</si>
  <si>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</si>
  <si>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</si>
  <si>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</si>
  <si>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</si>
  <si>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</si>
  <si>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</si>
  <si>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</si>
  <si>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</si>
  <si>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</si>
  <si>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</si>
  <si>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</si>
  <si>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</si>
  <si>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</si>
  <si>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</si>
  <si>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</si>
  <si>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</si>
  <si>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</si>
  <si>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</si>
  <si>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</si>
  <si>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</si>
  <si>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</si>
  <si>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</si>
  <si>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</si>
  <si>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</si>
  <si>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</si>
  <si>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</si>
  <si>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</si>
  <si>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</si>
  <si>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</si>
  <si>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</si>
  <si>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</si>
  <si>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</si>
  <si>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</si>
  <si>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</si>
  <si>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</si>
  <si>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</si>
  <si>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</si>
  <si>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</si>
  <si>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</si>
  <si>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</si>
  <si>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</si>
  <si>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</si>
  <si>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</si>
  <si>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</si>
  <si>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</si>
  <si>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</si>
  <si>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</si>
  <si>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</si>
  <si>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</si>
  <si>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</si>
  <si>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</si>
  <si>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</si>
  <si>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</si>
  <si>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</si>
  <si>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</si>
  <si>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</si>
  <si>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</si>
  <si>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</si>
  <si>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</si>
  <si>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</si>
  <si>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</si>
  <si>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</si>
  <si>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</si>
  <si>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</si>
  <si>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</si>
  <si>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</si>
  <si>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</si>
  <si>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</si>
  <si>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</si>
  <si>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</si>
  <si>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</si>
  <si>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</si>
  <si>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</si>
  <si>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</si>
  <si>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</si>
  <si>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</si>
  <si>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</si>
  <si>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</si>
  <si>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</si>
  <si>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</si>
  <si>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</si>
  <si>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</si>
  <si>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</si>
  <si>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</si>
  <si>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</si>
  <si>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</si>
  <si>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</si>
  <si>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</si>
  <si>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ANDHERI EC  —  RAFTERS  |  Multi-Round Audit Tracker</t>
  </si>
  <si>
    <t>BD-VRM-2025-0842</t>
  </si>
  <si>
    <t>Euro Pratik - Pastelite Louvers - 18101 - Paintable</t>
  </si>
  <si>
    <t>Europratik</t>
  </si>
  <si>
    <t>Tejal / Saumya</t>
  </si>
  <si>
    <t>None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</si>
  <si>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</si>
  <si>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</si>
  <si>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</si>
  <si>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</si>
  <si>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</si>
  <si>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</si>
  <si>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</si>
  <si>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</si>
  <si>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</si>
  <si>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</si>
  <si>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</si>
  <si>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</si>
  <si>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</si>
  <si>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</si>
  <si>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</si>
  <si>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</si>
  <si>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</si>
  <si>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</si>
  <si>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</si>
  <si>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</si>
  <si>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</si>
  <si>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</si>
  <si>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</si>
  <si>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</si>
  <si>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</si>
  <si>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</si>
  <si>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</si>
  <si>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</si>
  <si>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</si>
  <si>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</si>
  <si>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</si>
  <si>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</si>
  <si>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</si>
  <si>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</si>
  <si>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</si>
  <si>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</si>
  <si>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</si>
  <si>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</si>
  <si>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</si>
  <si>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</si>
  <si>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</si>
  <si>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</si>
  <si>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</si>
  <si>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</si>
  <si>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</si>
  <si>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</si>
  <si>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</si>
  <si>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</si>
  <si>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</si>
  <si>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</si>
  <si>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</si>
  <si>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</si>
  <si>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</si>
  <si>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</si>
  <si>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</si>
  <si>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</si>
  <si>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</si>
  <si>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</si>
  <si>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</si>
  <si>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</si>
  <si>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</si>
  <si>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</si>
  <si>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</si>
  <si>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</si>
  <si>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</si>
  <si>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</si>
  <si>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</si>
  <si>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</si>
  <si>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</si>
  <si>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</si>
  <si>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</si>
  <si>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</si>
  <si>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</si>
  <si>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</si>
  <si>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</si>
  <si>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</si>
  <si>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</si>
  <si>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</si>
  <si>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</si>
  <si>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</si>
  <si>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</si>
  <si>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</si>
  <si>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</si>
  <si>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</si>
  <si>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</si>
  <si>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</si>
  <si>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</si>
  <si>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</si>
  <si>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</si>
  <si>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</si>
  <si>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</si>
  <si>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</si>
  <si>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</si>
  <si>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</si>
  <si>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</si>
  <si>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</si>
  <si>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</si>
  <si>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</si>
  <si>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</si>
  <si>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</si>
  <si>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</si>
  <si>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</si>
  <si>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</si>
  <si>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Sample not available at EC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</si>
  <si>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</si>
  <si>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</si>
  <si>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</si>
  <si>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</si>
  <si>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</si>
  <si>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</si>
  <si>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</si>
  <si>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</si>
  <si>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</si>
  <si>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</si>
  <si>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</si>
  <si>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</si>
  <si>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</si>
  <si>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</si>
  <si>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Major defect</t>
  </si>
  <si>
    <t>Broken Sample at EC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</si>
  <si>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</si>
  <si>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</si>
  <si>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</si>
  <si>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</si>
  <si>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</si>
  <si>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</si>
  <si>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</si>
  <si>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</si>
  <si>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</si>
  <si>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</si>
  <si>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</si>
  <si>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</si>
  <si>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</si>
  <si>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</si>
  <si>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</si>
  <si>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</si>
  <si>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</si>
  <si>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</si>
  <si>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</si>
  <si>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</si>
  <si>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</si>
  <si>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</si>
  <si>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</si>
  <si>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</si>
  <si>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</si>
  <si>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</si>
  <si>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</si>
  <si>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</si>
  <si>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</si>
  <si>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</si>
  <si>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</si>
  <si>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</si>
  <si>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</si>
  <si>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</si>
  <si>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</si>
  <si>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</si>
  <si>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</si>
  <si>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</si>
  <si>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</si>
  <si>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</si>
  <si>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</si>
  <si>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</si>
  <si>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</si>
  <si>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</si>
  <si>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</si>
  <si>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</si>
  <si>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</si>
  <si>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</si>
  <si>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</si>
  <si>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</si>
  <si>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</si>
  <si>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</si>
  <si>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</si>
  <si>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</si>
  <si>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</si>
  <si>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</si>
  <si>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</si>
  <si>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</si>
  <si>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</si>
  <si>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</si>
  <si>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</si>
  <si>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</si>
  <si>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</si>
  <si>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</si>
  <si>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</si>
  <si>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</si>
  <si>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</si>
  <si>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</si>
  <si>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</si>
  <si>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</si>
  <si>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</si>
  <si>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</si>
  <si>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</si>
  <si>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</si>
  <si>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</si>
  <si>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</si>
  <si>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</si>
  <si>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</si>
  <si>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</si>
  <si>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</si>
  <si>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</si>
  <si>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</si>
  <si>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</si>
  <si>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</si>
  <si>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</si>
  <si>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</si>
  <si>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</si>
  <si>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</si>
  <si>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</si>
  <si>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</si>
  <si>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</si>
  <si>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</si>
  <si>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</si>
  <si>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</si>
  <si>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</si>
  <si>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</si>
  <si>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</si>
  <si>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</si>
  <si>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</si>
  <si>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</si>
  <si>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</si>
  <si>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</si>
  <si>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</si>
  <si>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</si>
  <si>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</si>
  <si>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</si>
  <si>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</si>
  <si>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</si>
  <si>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</si>
  <si>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</si>
  <si>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</si>
  <si>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</si>
  <si>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</si>
  <si>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</si>
  <si>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</si>
  <si>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</si>
  <si>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</si>
  <si>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</si>
  <si>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</si>
  <si>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</si>
  <si>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</si>
  <si>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</si>
  <si>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</si>
  <si>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</si>
  <si>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</si>
  <si>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</si>
  <si>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</si>
  <si>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</si>
  <si>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</si>
  <si>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</si>
  <si>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</si>
  <si>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</si>
  <si>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</si>
  <si>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</si>
  <si>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</si>
  <si>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</si>
  <si>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</si>
  <si>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</si>
  <si>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</si>
  <si>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</si>
  <si>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</si>
  <si>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</si>
  <si>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</si>
  <si>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</si>
  <si>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</si>
  <si>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</si>
  <si>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</si>
  <si>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</si>
  <si>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</si>
  <si>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</si>
  <si>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</si>
  <si>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</si>
  <si>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</si>
  <si>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</si>
  <si>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</si>
  <si>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</si>
  <si>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</si>
  <si>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</si>
  <si>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</si>
  <si>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</si>
  <si>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</si>
  <si>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</si>
  <si>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</si>
  <si>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</si>
  <si>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</si>
  <si>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</si>
  <si>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</si>
  <si>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</si>
  <si>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</si>
  <si>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</si>
  <si>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</si>
  <si>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</si>
  <si>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</si>
  <si>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</si>
  <si>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</si>
  <si>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</si>
  <si>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</si>
  <si>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</si>
  <si>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</si>
  <si>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</si>
  <si>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</si>
  <si>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</si>
  <si>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</si>
  <si>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</si>
  <si>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</si>
  <si>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</si>
  <si>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</si>
  <si>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</si>
  <si>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</si>
  <si>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</si>
  <si>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</si>
  <si>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</si>
  <si>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</si>
  <si>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</si>
  <si>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</si>
  <si>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</si>
  <si>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</si>
  <si>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</si>
  <si>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</si>
  <si>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</si>
  <si>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</si>
  <si>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</si>
  <si>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</si>
  <si>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</si>
  <si>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</si>
  <si>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</si>
  <si>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</si>
  <si>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</si>
  <si>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</si>
  <si>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</si>
  <si>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ANDHERI EC  —  WALLPAPER  |  Multi-Round Audit Tracker</t>
  </si>
  <si>
    <t>BD-VRM-2026-0079</t>
  </si>
  <si>
    <t>Excel  - Essen Wallpaper 71051-1</t>
  </si>
  <si>
    <t>Excel</t>
  </si>
  <si>
    <t>Good Finish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</si>
  <si>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</si>
  <si>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</si>
  <si>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</si>
  <si>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</si>
  <si>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</si>
  <si>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</si>
  <si>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</si>
  <si>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</si>
  <si>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</si>
  <si>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</si>
  <si>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</si>
  <si>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</si>
  <si>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</si>
  <si>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</si>
  <si>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</si>
  <si>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</si>
  <si>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</si>
  <si>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</si>
  <si>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</si>
  <si>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</si>
  <si>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</si>
  <si>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</si>
  <si>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</si>
  <si>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</si>
  <si>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</si>
  <si>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</si>
  <si>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</si>
  <si>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</si>
  <si>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</si>
  <si>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</si>
  <si>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</si>
  <si>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</si>
  <si>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</si>
  <si>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</si>
  <si>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</si>
  <si>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</si>
  <si>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</si>
  <si>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</si>
  <si>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</si>
  <si>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</si>
  <si>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</si>
  <si>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</si>
  <si>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</si>
  <si>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</si>
  <si>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</si>
  <si>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</si>
  <si>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</si>
  <si>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</si>
  <si>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</si>
  <si>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</si>
  <si>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</si>
  <si>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</si>
  <si>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</si>
  <si>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</si>
  <si>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</si>
  <si>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</si>
  <si>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</si>
  <si>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</si>
  <si>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</si>
  <si>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</si>
  <si>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</si>
  <si>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</si>
  <si>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</si>
  <si>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</si>
  <si>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</si>
  <si>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</si>
  <si>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</si>
  <si>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</si>
  <si>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</si>
  <si>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</si>
  <si>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</si>
  <si>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</si>
  <si>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</si>
  <si>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</si>
  <si>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</si>
  <si>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</si>
  <si>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</si>
  <si>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</si>
  <si>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</si>
  <si>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</si>
  <si>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</si>
  <si>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</si>
  <si>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</si>
  <si>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</si>
  <si>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</si>
  <si>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</si>
  <si>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</si>
  <si>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</si>
  <si>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</si>
  <si>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</si>
  <si>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</si>
  <si>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</si>
  <si>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</si>
  <si>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</si>
  <si>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</si>
  <si>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</si>
  <si>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</si>
  <si>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</si>
  <si>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</si>
  <si>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</si>
  <si>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</si>
  <si>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</si>
  <si>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</si>
  <si>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</si>
  <si>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</si>
  <si>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</si>
  <si>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</si>
  <si>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</si>
  <si>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</si>
  <si>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</si>
  <si>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</si>
  <si>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</si>
  <si>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</si>
  <si>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</si>
  <si>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</si>
  <si>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</si>
  <si>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</si>
  <si>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</si>
  <si>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</si>
  <si>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</si>
  <si>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</si>
  <si>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</si>
  <si>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</si>
  <si>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</si>
  <si>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</si>
  <si>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</si>
  <si>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</si>
  <si>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</si>
  <si>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</si>
  <si>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</si>
  <si>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</si>
  <si>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</si>
  <si>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</si>
  <si>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</si>
  <si>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</si>
  <si>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</si>
  <si>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</si>
  <si>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</si>
  <si>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</si>
  <si>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</si>
  <si>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</si>
  <si>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</si>
  <si>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</si>
  <si>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</si>
  <si>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</si>
  <si>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</si>
  <si>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</si>
  <si>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</si>
  <si>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</si>
  <si>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</si>
  <si>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</si>
  <si>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</si>
  <si>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</si>
  <si>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</si>
  <si>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</si>
  <si>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</si>
  <si>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</si>
  <si>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</si>
  <si>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</si>
  <si>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</si>
  <si>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</si>
  <si>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</si>
  <si>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</si>
  <si>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</si>
  <si>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</si>
  <si>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</si>
  <si>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</si>
  <si>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</si>
  <si>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</si>
  <si>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</si>
  <si>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</si>
  <si>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</si>
  <si>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</si>
  <si>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</si>
  <si>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</si>
  <si>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</si>
  <si>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</si>
  <si>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</si>
  <si>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</si>
  <si>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</si>
  <si>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</si>
  <si>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</si>
  <si>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</si>
  <si>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</si>
  <si>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</si>
  <si>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</si>
  <si>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</si>
  <si>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</si>
  <si>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</si>
  <si>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</si>
  <si>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</si>
  <si>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</si>
  <si>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</si>
  <si>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</si>
  <si>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</si>
  <si>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</si>
  <si>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</si>
  <si>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</si>
  <si>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</si>
  <si>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</si>
  <si>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</si>
  <si>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</si>
  <si>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</si>
  <si>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</si>
  <si>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</si>
  <si>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</si>
  <si>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</si>
  <si>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</si>
  <si>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</si>
  <si>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</si>
  <si>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</si>
  <si>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</si>
  <si>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</si>
  <si>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</si>
  <si>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</si>
  <si>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</si>
  <si>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</si>
  <si>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</si>
  <si>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</si>
  <si>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</si>
  <si>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</si>
  <si>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</si>
  <si>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</si>
  <si>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</si>
  <si>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</si>
  <si>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</si>
  <si>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</si>
  <si>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</si>
  <si>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</si>
  <si>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</si>
  <si>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</si>
  <si>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</si>
  <si>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</si>
  <si>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</si>
  <si>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</si>
  <si>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</si>
  <si>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</si>
  <si>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</si>
  <si>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</si>
  <si>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</si>
  <si>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</si>
  <si>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</si>
  <si>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</si>
  <si>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</si>
  <si>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</si>
  <si>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</si>
  <si>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</si>
  <si>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</si>
  <si>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</si>
  <si>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</si>
  <si>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</si>
  <si>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</si>
  <si>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</si>
  <si>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</si>
  <si>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</si>
  <si>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</si>
  <si>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</si>
  <si>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</si>
  <si>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</si>
  <si>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</si>
  <si>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</si>
  <si>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</si>
  <si>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</si>
  <si>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</si>
  <si>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</si>
  <si>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</si>
  <si>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</si>
  <si>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</si>
  <si>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</si>
  <si>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</si>
  <si>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</si>
  <si>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</si>
  <si>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</si>
  <si>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</si>
  <si>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</si>
  <si>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</si>
  <si>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</si>
  <si>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</si>
  <si>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</si>
  <si>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</si>
  <si>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</si>
  <si>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</si>
  <si>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</si>
  <si>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</si>
  <si>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</si>
  <si>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</si>
  <si>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</si>
  <si>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</si>
  <si>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</si>
  <si>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</si>
  <si>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</si>
  <si>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</si>
  <si>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</si>
  <si>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</si>
  <si>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</si>
  <si>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</si>
  <si>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</si>
  <si>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</si>
  <si>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</si>
  <si>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</si>
  <si>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</si>
  <si>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</si>
  <si>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</si>
  <si>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</si>
  <si>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</si>
  <si>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</si>
  <si>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</si>
  <si>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</si>
  <si>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</si>
  <si>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</si>
  <si>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</si>
  <si>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</si>
  <si>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</si>
  <si>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</si>
  <si>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</si>
  <si>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</si>
  <si>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</si>
  <si>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</si>
  <si>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</si>
  <si>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</si>
  <si>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</si>
  <si>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</si>
  <si>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</si>
  <si>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</si>
  <si>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</si>
  <si>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</si>
  <si>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</si>
  <si>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</si>
  <si>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</si>
  <si>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</si>
  <si>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</si>
  <si>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</si>
  <si>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</si>
  <si>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</si>
  <si>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</si>
  <si>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</si>
  <si>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</si>
  <si>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</si>
  <si>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</si>
  <si>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</si>
  <si>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</si>
  <si>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</si>
  <si>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</si>
  <si>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</si>
  <si>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</si>
  <si>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</si>
  <si>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</si>
  <si>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</si>
  <si>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</si>
  <si>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</si>
  <si>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</si>
  <si>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</si>
  <si>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</si>
  <si>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</si>
  <si>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</si>
  <si>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</si>
  <si>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</si>
  <si>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</si>
  <si>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</si>
  <si>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</si>
  <si>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</si>
  <si>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</si>
  <si>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</si>
  <si>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</si>
  <si>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</si>
  <si>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</si>
  <si>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</si>
  <si>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</si>
  <si>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</si>
  <si>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</si>
  <si>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</si>
  <si>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</si>
  <si>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</si>
  <si>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</si>
  <si>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</si>
  <si>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</si>
  <si>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</si>
  <si>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</si>
  <si>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</si>
  <si>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</si>
  <si>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</si>
  <si>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</si>
  <si>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</si>
  <si>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</si>
  <si>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</si>
  <si>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</si>
  <si>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</si>
  <si>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</si>
  <si>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</si>
  <si>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</si>
  <si>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</si>
  <si>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</si>
  <si>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</si>
  <si>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</si>
  <si>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</si>
  <si>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</si>
  <si>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</si>
  <si>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</si>
  <si>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</si>
  <si>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</si>
  <si>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</si>
  <si>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</si>
  <si>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</si>
  <si>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</si>
  <si>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</si>
  <si>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</si>
  <si>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</si>
  <si>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</si>
  <si>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</si>
  <si>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</si>
  <si>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</si>
  <si>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</si>
  <si>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</si>
  <si>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</si>
  <si>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</si>
  <si>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</si>
  <si>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</si>
  <si>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</si>
  <si>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</si>
  <si>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</si>
  <si>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</si>
  <si>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</si>
  <si>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</si>
  <si>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</si>
  <si>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</si>
  <si>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</si>
  <si>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</si>
  <si>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</si>
  <si>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</si>
  <si>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</si>
  <si>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</si>
  <si>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</si>
  <si>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</si>
  <si>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</si>
  <si>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</si>
  <si>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</si>
  <si>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</si>
  <si>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</si>
  <si>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</si>
  <si>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</si>
  <si>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</si>
  <si>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</si>
  <si>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</si>
  <si>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</si>
  <si>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</si>
  <si>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</si>
  <si>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</si>
  <si>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</si>
  <si>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</si>
  <si>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</si>
  <si>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</si>
  <si>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</si>
  <si>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</si>
  <si>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</si>
  <si>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</si>
  <si>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</si>
  <si>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</si>
  <si>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</si>
  <si>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</si>
  <si>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</si>
  <si>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</si>
  <si>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</si>
  <si>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</si>
  <si>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</si>
  <si>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</si>
  <si>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</si>
  <si>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</si>
  <si>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</si>
  <si>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</si>
  <si>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</si>
  <si>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</si>
  <si>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</si>
  <si>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</si>
  <si>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</si>
  <si>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</si>
  <si>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</si>
  <si>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</si>
  <si>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</si>
  <si>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</si>
  <si>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</si>
  <si>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</si>
  <si>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</si>
  <si>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</si>
  <si>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</si>
  <si>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</si>
  <si>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</si>
  <si>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</si>
  <si>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</si>
  <si>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</si>
  <si>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</si>
  <si>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</si>
  <si>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</si>
  <si>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</si>
  <si>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</si>
  <si>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</si>
  <si>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</si>
  <si>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</si>
  <si>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</si>
  <si>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</si>
  <si>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</si>
  <si>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</si>
  <si>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</si>
  <si>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</si>
  <si>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</si>
  <si>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</si>
  <si>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</si>
  <si>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</si>
  <si>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</si>
  <si>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</si>
  <si>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</si>
  <si>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</si>
  <si>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</si>
  <si>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</si>
  <si>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</si>
  <si>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</si>
  <si>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</si>
  <si>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</si>
  <si>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</si>
  <si>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</si>
  <si>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</si>
  <si>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</si>
  <si>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</si>
  <si>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</si>
  <si>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</si>
  <si>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</si>
  <si>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</si>
  <si>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</si>
  <si>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</si>
  <si>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</si>
  <si>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</si>
  <si>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</si>
  <si>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</si>
  <si>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</si>
  <si>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</si>
  <si>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</si>
  <si>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</si>
  <si>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</si>
  <si>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</si>
  <si>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</si>
  <si>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</si>
  <si>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</si>
  <si>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</si>
  <si>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</si>
  <si>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</si>
  <si>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</si>
  <si>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</si>
  <si>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</si>
  <si>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</si>
  <si>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</si>
  <si>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</si>
  <si>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</si>
  <si>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</si>
  <si>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</si>
  <si>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</si>
  <si>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</si>
  <si>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</si>
  <si>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</si>
  <si>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</si>
  <si>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</si>
  <si>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</si>
  <si>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</si>
  <si>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</si>
  <si>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</si>
  <si>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</si>
  <si>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</si>
  <si>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</si>
  <si>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</si>
  <si>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</si>
  <si>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</si>
  <si>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</si>
  <si>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</si>
  <si>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</si>
  <si>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</si>
  <si>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</si>
  <si>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</si>
  <si>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</si>
  <si>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</si>
  <si>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</si>
  <si>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</si>
  <si>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</si>
  <si>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</si>
  <si>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</si>
  <si>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</si>
  <si>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</si>
  <si>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</si>
  <si>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</si>
  <si>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</si>
  <si>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</si>
  <si>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</si>
  <si>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</si>
  <si>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</si>
  <si>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</si>
  <si>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</si>
  <si>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</si>
  <si>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</si>
  <si>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</si>
  <si>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</si>
  <si>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</si>
  <si>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</si>
  <si>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</si>
  <si>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</si>
  <si>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</si>
  <si>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</si>
  <si>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</si>
  <si>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</si>
  <si>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</si>
  <si>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</si>
  <si>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</si>
  <si>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</si>
  <si>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</si>
  <si>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</si>
  <si>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</si>
  <si>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</si>
  <si>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</si>
  <si>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</si>
  <si>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</si>
  <si>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</si>
  <si>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</si>
  <si>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</si>
  <si>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</si>
  <si>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</si>
  <si>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</si>
  <si>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</si>
  <si>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</si>
  <si>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</si>
  <si>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</si>
  <si>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</si>
  <si>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</si>
  <si>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</si>
  <si>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</si>
  <si>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</si>
  <si>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</si>
  <si>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</si>
  <si>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</si>
  <si>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</si>
  <si>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</si>
  <si>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</si>
  <si>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</si>
  <si>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</si>
  <si>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</si>
  <si>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</si>
  <si>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</si>
  <si>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</si>
  <si>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</si>
  <si>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</si>
  <si>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</si>
  <si>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</si>
  <si>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</si>
  <si>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</si>
  <si>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</si>
  <si>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</si>
  <si>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</si>
  <si>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</si>
  <si>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</si>
  <si>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</si>
  <si>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</si>
  <si>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</si>
  <si>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</si>
  <si>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</si>
  <si>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</si>
  <si>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</si>
  <si>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</si>
  <si>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</si>
  <si>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</si>
  <si>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</si>
  <si>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</si>
  <si>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</si>
  <si>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</si>
  <si>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</si>
  <si>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</si>
  <si>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</si>
  <si>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</si>
  <si>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</si>
  <si>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</si>
  <si>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</si>
  <si>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</si>
  <si>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</si>
  <si>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</si>
  <si>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</si>
  <si>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</si>
  <si>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</si>
  <si>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</si>
  <si>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</si>
  <si>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</si>
  <si>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</si>
  <si>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</si>
  <si>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</si>
  <si>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</si>
  <si>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</si>
  <si>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</si>
  <si>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</si>
  <si>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</si>
  <si>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</si>
  <si>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</si>
  <si>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</si>
  <si>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</si>
  <si>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</si>
  <si>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</si>
  <si>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</si>
  <si>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</si>
  <si>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</si>
  <si>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</si>
  <si>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</si>
  <si>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</si>
  <si>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</si>
  <si>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</si>
  <si>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</si>
  <si>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</si>
  <si>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</si>
  <si>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</si>
  <si>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</si>
  <si>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</si>
  <si>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</si>
  <si>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</si>
  <si>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</si>
  <si>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</si>
  <si>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</si>
  <si>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</si>
  <si>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</si>
  <si>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</si>
  <si>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</si>
  <si>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</si>
  <si>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</si>
  <si>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</si>
  <si>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</si>
  <si>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</si>
  <si>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</si>
  <si>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</si>
  <si>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</si>
  <si>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</si>
  <si>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</si>
  <si>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</si>
  <si>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</si>
  <si>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</si>
  <si>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</si>
  <si>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</si>
  <si>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</si>
  <si>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</si>
  <si>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</si>
  <si>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</si>
  <si>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</si>
  <si>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</si>
  <si>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</si>
  <si>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</si>
  <si>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</si>
  <si>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</si>
  <si>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</si>
  <si>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</si>
  <si>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</si>
  <si>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</si>
  <si>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</si>
  <si>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</si>
  <si>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</si>
  <si>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</si>
  <si>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</si>
  <si>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</si>
  <si>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</si>
  <si>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</si>
  <si>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</si>
  <si>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</si>
  <si>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</si>
  <si>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</si>
  <si>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</si>
  <si>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</si>
  <si>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</si>
  <si>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</si>
  <si>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</si>
  <si>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</si>
  <si>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</si>
  <si>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</si>
  <si>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</si>
  <si>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</si>
  <si>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</si>
  <si>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</si>
  <si>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</si>
  <si>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</si>
  <si>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</si>
  <si>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</si>
  <si>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</si>
  <si>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</si>
  <si>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</si>
  <si>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</si>
  <si>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</si>
  <si>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</si>
  <si>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</si>
  <si>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</si>
  <si>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</si>
  <si>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</si>
  <si>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</si>
  <si>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</si>
  <si>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</si>
  <si>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</si>
  <si>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</si>
  <si>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</si>
  <si>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</si>
  <si>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</si>
  <si>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</si>
  <si>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</si>
  <si>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</si>
  <si>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</si>
  <si>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</si>
  <si>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</si>
  <si>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</si>
  <si>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</si>
  <si>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</si>
  <si>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</si>
  <si>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</si>
  <si>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</si>
  <si>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</si>
  <si>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</si>
  <si>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</si>
  <si>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</si>
  <si>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</si>
  <si>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</si>
  <si>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</si>
  <si>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</si>
  <si>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</si>
  <si>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</si>
  <si>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</si>
  <si>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</si>
  <si>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</si>
  <si>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</si>
  <si>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</si>
  <si>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</si>
  <si>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</si>
  <si>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</si>
  <si>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</si>
  <si>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</si>
  <si>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</si>
  <si>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</si>
  <si>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</si>
  <si>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</si>
  <si>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</si>
  <si>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</si>
  <si>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</si>
  <si>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</si>
  <si>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</si>
  <si>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</si>
  <si>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</si>
  <si>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</si>
  <si>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</si>
  <si>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</si>
  <si>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</si>
  <si>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</si>
  <si>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</si>
  <si>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</si>
  <si>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</si>
  <si>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</si>
  <si>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</si>
  <si>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</si>
  <si>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</si>
  <si>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</si>
  <si>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</si>
  <si>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</si>
  <si>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</si>
  <si>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</si>
  <si>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</si>
  <si>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</si>
  <si>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</si>
  <si>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</si>
  <si>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</si>
  <si>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</si>
  <si>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</si>
  <si>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</si>
  <si>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</si>
  <si>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</si>
  <si>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</si>
  <si>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</si>
  <si>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</si>
  <si>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</si>
  <si>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</si>
  <si>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</si>
  <si>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</si>
  <si>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</si>
  <si>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</si>
  <si>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</si>
  <si>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</si>
  <si>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</si>
  <si>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</si>
  <si>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</si>
  <si>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</si>
  <si>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</si>
  <si>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</si>
  <si>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</si>
  <si>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</si>
  <si>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</si>
  <si>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</si>
  <si>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</si>
  <si>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</si>
  <si>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</si>
  <si>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</si>
  <si>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</si>
  <si>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</si>
  <si>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</si>
  <si>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</si>
  <si>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</si>
  <si>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</si>
  <si>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</si>
  <si>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</si>
  <si>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</si>
  <si>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</si>
  <si>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</si>
  <si>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</si>
  <si>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</si>
  <si>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</si>
  <si>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</si>
  <si>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</si>
  <si>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</si>
  <si>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</si>
  <si>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</si>
  <si>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</si>
  <si>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</si>
  <si>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</si>
  <si>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</si>
  <si>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</si>
  <si>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</si>
  <si>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</si>
  <si>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</si>
  <si>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</si>
  <si>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</si>
  <si>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</si>
  <si>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</si>
  <si>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</si>
  <si>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</si>
  <si>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</si>
  <si>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</si>
  <si>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</si>
  <si>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</si>
  <si>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</si>
  <si>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</si>
  <si>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</si>
  <si>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</si>
  <si>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</si>
  <si>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</si>
  <si>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</si>
  <si>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</si>
  <si>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</si>
  <si>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</si>
  <si>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</si>
  <si>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</si>
  <si>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</si>
  <si>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</si>
  <si>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</si>
  <si>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</si>
  <si>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</si>
  <si>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</si>
  <si>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</si>
  <si>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</si>
  <si>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</si>
  <si>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</si>
  <si>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</si>
  <si>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</si>
  <si>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</si>
  <si>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</si>
  <si>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</si>
  <si>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</si>
  <si>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</si>
  <si>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</si>
  <si>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</si>
  <si>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</si>
  <si>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</si>
  <si>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</si>
  <si>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</si>
  <si>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</si>
  <si>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</si>
  <si>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</si>
  <si>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</si>
  <si>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</si>
  <si>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</si>
  <si>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</si>
  <si>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</si>
  <si>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</si>
  <si>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</si>
  <si>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</si>
  <si>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</si>
  <si>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</si>
  <si>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</si>
  <si>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</si>
  <si>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</si>
  <si>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</si>
  <si>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</si>
  <si>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</si>
  <si>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</si>
  <si>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</si>
  <si>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</si>
  <si>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</si>
  <si>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</si>
  <si>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</si>
  <si>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</si>
  <si>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</si>
  <si>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</si>
  <si>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</si>
  <si>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</si>
  <si>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</si>
  <si>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</si>
  <si>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</si>
  <si>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</si>
  <si>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</si>
  <si>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</si>
  <si>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</si>
  <si>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</si>
  <si>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</si>
  <si>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</si>
  <si>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</si>
  <si>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</si>
  <si>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</si>
  <si>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</si>
  <si>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</si>
  <si>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</si>
  <si>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</si>
  <si>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</si>
  <si>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</si>
  <si>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</si>
  <si>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</si>
  <si>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</si>
  <si>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</si>
  <si>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</si>
  <si>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</si>
  <si>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</si>
  <si>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</si>
  <si>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</si>
  <si>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</si>
  <si>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</si>
  <si>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</si>
  <si>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</si>
  <si>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</si>
  <si>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</si>
  <si>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</si>
  <si>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</si>
  <si>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</si>
  <si>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</si>
  <si>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</si>
  <si>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</si>
  <si>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</si>
  <si>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</si>
  <si>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</si>
  <si>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</si>
  <si>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</si>
  <si>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</si>
  <si>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</si>
  <si>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</si>
  <si>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</si>
  <si>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</si>
  <si>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</si>
  <si>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</si>
  <si>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</si>
  <si>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</si>
  <si>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</si>
  <si>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</si>
  <si>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</si>
  <si>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</si>
  <si>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</si>
  <si>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</si>
  <si>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</si>
  <si>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</si>
  <si>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</si>
  <si>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</si>
  <si>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</si>
  <si>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</si>
  <si>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</si>
  <si>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</si>
  <si>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</si>
  <si>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</si>
  <si>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</si>
  <si>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</si>
  <si>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</si>
  <si>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</si>
  <si>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</si>
  <si>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</si>
  <si>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</si>
  <si>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</si>
  <si>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</si>
  <si>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</si>
  <si>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</si>
  <si>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</si>
  <si>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</si>
  <si>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</si>
  <si>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</si>
  <si>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</si>
  <si>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</si>
  <si>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</si>
  <si>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</si>
  <si>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</si>
  <si>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</si>
  <si>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</si>
  <si>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</si>
  <si>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</si>
  <si>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</si>
  <si>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</si>
  <si>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</si>
  <si>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</si>
  <si>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</si>
  <si>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</si>
  <si>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</si>
  <si>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</si>
  <si>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</si>
  <si>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</si>
  <si>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</si>
  <si>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</si>
  <si>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</si>
  <si>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</si>
  <si>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</si>
  <si>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</si>
  <si>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</si>
  <si>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</si>
  <si>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</si>
  <si>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</si>
  <si>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</si>
  <si>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</si>
  <si>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</si>
  <si>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</si>
  <si>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</si>
  <si>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</si>
  <si>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</si>
  <si>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</si>
  <si>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</si>
  <si>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</si>
  <si>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</si>
  <si>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</si>
  <si>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</si>
  <si>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</si>
  <si>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</si>
  <si>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</si>
  <si>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</si>
  <si>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</si>
  <si>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</si>
  <si>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</si>
  <si>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</si>
  <si>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</si>
  <si>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</si>
  <si>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</si>
  <si>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</si>
  <si>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</si>
  <si>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</si>
  <si>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</si>
  <si>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</si>
  <si>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</si>
  <si>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</si>
  <si>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</si>
  <si>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</si>
  <si>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</si>
  <si>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</si>
  <si>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</si>
  <si>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</si>
  <si>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</si>
  <si>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</si>
  <si>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</si>
  <si>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</si>
  <si>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</si>
  <si>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</si>
  <si>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</si>
  <si>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</si>
  <si>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</si>
  <si>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</si>
  <si>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</si>
  <si>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</si>
  <si>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</si>
  <si>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</si>
  <si>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</si>
  <si>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</si>
  <si>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</si>
  <si>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</si>
  <si>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</si>
  <si>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</si>
  <si>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</si>
  <si>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</si>
  <si>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</si>
  <si>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</si>
  <si>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</si>
  <si>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</si>
  <si>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</si>
  <si>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</si>
  <si>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</si>
  <si>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</si>
  <si>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</si>
  <si>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</si>
  <si>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</si>
  <si>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</si>
  <si>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</si>
  <si>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</si>
  <si>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</si>
  <si>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</si>
  <si>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</si>
  <si>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</si>
  <si>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</si>
  <si>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</si>
  <si>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</si>
  <si>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</si>
  <si>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</si>
  <si>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</si>
  <si>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</si>
  <si>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</si>
  <si>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</si>
  <si>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</si>
  <si>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</si>
  <si>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</si>
  <si>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</si>
  <si>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</si>
  <si>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</si>
  <si>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</si>
  <si>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</si>
  <si>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</si>
  <si>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</si>
  <si>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</si>
  <si>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</si>
  <si>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</si>
  <si>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</si>
  <si>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</si>
  <si>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</si>
  <si>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</si>
  <si>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</si>
  <si>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</si>
  <si>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</si>
  <si>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</si>
  <si>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</si>
  <si>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</si>
  <si>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</si>
  <si>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</si>
  <si>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</si>
  <si>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</si>
  <si>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</si>
  <si>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</si>
  <si>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</si>
  <si>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</si>
  <si>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</si>
  <si>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</si>
  <si>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</si>
  <si>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</si>
  <si>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</si>
  <si>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</si>
  <si>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</si>
  <si>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</si>
  <si>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</si>
  <si>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</si>
  <si>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</si>
  <si>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</si>
  <si>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</si>
  <si>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</si>
  <si>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</si>
  <si>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</si>
  <si>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</si>
  <si>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</si>
  <si>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</si>
  <si>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</si>
  <si>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</si>
  <si>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</si>
  <si>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</si>
  <si>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</si>
  <si>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</si>
  <si>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</si>
  <si>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</si>
  <si>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</si>
  <si>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</si>
  <si>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</si>
  <si>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</si>
  <si>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</si>
  <si>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</si>
  <si>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</si>
  <si>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</si>
  <si>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</si>
  <si>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</si>
  <si>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</si>
  <si>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</si>
  <si>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</si>
  <si>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</si>
  <si>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</si>
  <si>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</si>
  <si>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</si>
  <si>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</si>
  <si>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</si>
  <si>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</si>
  <si>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</si>
  <si>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</si>
  <si>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</si>
  <si>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</si>
  <si>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</si>
  <si>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</si>
  <si>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</si>
  <si>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</si>
  <si>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</si>
  <si>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</si>
  <si>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</si>
  <si>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</si>
  <si>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</si>
  <si>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</si>
  <si>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</si>
  <si>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</si>
  <si>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</si>
  <si>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</si>
  <si>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</si>
  <si>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</si>
  <si>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</si>
  <si>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</si>
  <si>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</si>
  <si>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</si>
  <si>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</si>
  <si>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</si>
  <si>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</si>
  <si>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</si>
  <si>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</si>
  <si>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</si>
  <si>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</si>
  <si>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</si>
  <si>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</si>
  <si>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</si>
  <si>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</si>
  <si>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</si>
  <si>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</si>
  <si>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</si>
  <si>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</si>
  <si>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</si>
  <si>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</si>
  <si>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</si>
  <si>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</si>
  <si>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</si>
  <si>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</si>
  <si>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</si>
  <si>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</si>
  <si>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</si>
  <si>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</si>
  <si>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</si>
  <si>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</si>
  <si>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</si>
  <si>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</si>
  <si>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</si>
  <si>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</si>
  <si>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</si>
  <si>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</si>
  <si>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</si>
  <si>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</si>
  <si>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</si>
  <si>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</si>
  <si>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</si>
  <si>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</si>
  <si>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</si>
  <si>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</si>
  <si>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</si>
  <si>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</si>
  <si>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</si>
  <si>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</si>
  <si>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</si>
  <si>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</si>
  <si>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</si>
  <si>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</si>
  <si>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</si>
  <si>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</si>
  <si>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</si>
  <si>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</si>
  <si>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</si>
  <si>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</si>
  <si>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</si>
  <si>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</si>
  <si>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</si>
  <si>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</si>
  <si>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</si>
  <si>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</si>
  <si>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</si>
  <si>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</si>
  <si>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</si>
  <si>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</si>
  <si>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</si>
  <si>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</si>
  <si>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</si>
  <si>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</si>
  <si>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</si>
  <si>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</si>
  <si>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</si>
  <si>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</si>
  <si>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</si>
  <si>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</si>
  <si>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</si>
  <si>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</si>
  <si>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</si>
  <si>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</si>
  <si>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</si>
  <si>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</si>
  <si>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</si>
  <si>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</si>
  <si>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</si>
  <si>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</si>
  <si>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</si>
  <si>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</si>
  <si>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</si>
  <si>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</si>
  <si>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</si>
  <si>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</si>
  <si>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</si>
  <si>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</si>
  <si>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</si>
  <si>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</si>
  <si>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</si>
  <si>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</si>
  <si>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</si>
  <si>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</si>
  <si>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</si>
  <si>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</si>
  <si>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</si>
  <si>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</si>
  <si>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</si>
  <si>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</si>
  <si>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</si>
  <si>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</si>
  <si>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</si>
  <si>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</si>
  <si>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</si>
  <si>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</si>
  <si>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</si>
  <si>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</si>
  <si>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</si>
  <si>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</si>
  <si>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</si>
  <si>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</si>
  <si>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</si>
  <si>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</si>
  <si>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</si>
  <si>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</si>
  <si>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</si>
  <si>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</si>
  <si>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</si>
  <si>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</si>
  <si>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</si>
  <si>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</si>
  <si>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</si>
  <si>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</si>
  <si>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</si>
  <si>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</si>
  <si>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</si>
  <si>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</si>
  <si>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</si>
  <si>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</si>
  <si>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</si>
  <si>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</si>
  <si>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</si>
  <si>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</si>
  <si>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</si>
  <si>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</si>
  <si>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</si>
  <si>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</si>
  <si>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</si>
  <si>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</si>
  <si>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</si>
  <si>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</si>
  <si>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</si>
  <si>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</si>
  <si>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</si>
  <si>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</si>
  <si>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</si>
  <si>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</si>
  <si>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</si>
  <si>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</si>
  <si>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</si>
  <si>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</si>
  <si>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</si>
  <si>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</si>
  <si>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</si>
  <si>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</si>
  <si>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</si>
  <si>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</si>
  <si>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</si>
  <si>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</si>
  <si>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</si>
  <si>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</si>
  <si>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</si>
  <si>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</si>
  <si>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</si>
  <si>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</si>
  <si>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</si>
  <si>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</si>
  <si>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</si>
  <si>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</si>
  <si>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</si>
  <si>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</si>
  <si>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</si>
  <si>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</si>
  <si>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</si>
  <si>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</si>
  <si>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</si>
  <si>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</si>
  <si>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</si>
  <si>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</si>
  <si>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</si>
  <si>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</si>
  <si>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</si>
  <si>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</si>
  <si>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</si>
  <si>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</si>
  <si>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</si>
  <si>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</si>
  <si>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</si>
  <si>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</si>
  <si>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</si>
  <si>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</si>
  <si>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</si>
  <si>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</si>
  <si>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</si>
  <si>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</si>
  <si>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</si>
  <si>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</si>
  <si>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</si>
  <si>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</si>
  <si>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</si>
  <si>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</si>
  <si>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</si>
  <si>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</si>
  <si>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</si>
  <si>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</si>
  <si>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</si>
  <si>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</si>
  <si>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</si>
  <si>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</si>
  <si>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</si>
  <si>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</si>
  <si>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</si>
  <si>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</si>
  <si>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</si>
  <si>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</si>
  <si>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</si>
  <si>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</si>
  <si>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</si>
  <si>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</si>
  <si>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</si>
  <si>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</si>
  <si>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</si>
  <si>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</si>
  <si>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</si>
  <si>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</si>
  <si>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</si>
  <si>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</si>
  <si>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</si>
  <si>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</si>
  <si>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</si>
  <si>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</si>
  <si>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</si>
  <si>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</si>
  <si>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</si>
  <si>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</si>
  <si>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</si>
  <si>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</si>
  <si>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</si>
  <si>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</si>
  <si>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</si>
  <si>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</si>
  <si>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</si>
  <si>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</si>
  <si>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</si>
  <si>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</si>
  <si>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</si>
  <si>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</si>
  <si>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</si>
  <si>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</si>
  <si>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</si>
  <si>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</si>
  <si>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</si>
  <si>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</si>
  <si>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</si>
  <si>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</si>
  <si>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</si>
  <si>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</si>
  <si>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</si>
  <si>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</si>
  <si>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</si>
  <si>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</si>
  <si>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</si>
  <si>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</si>
  <si>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</si>
  <si>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</si>
  <si>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</si>
  <si>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</si>
  <si>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</si>
  <si>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</si>
  <si>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</si>
  <si>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</si>
  <si>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</si>
  <si>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</si>
  <si>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</si>
  <si>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</si>
  <si>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</si>
  <si>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</si>
  <si>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</si>
  <si>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</si>
  <si>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</si>
  <si>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</si>
  <si>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</si>
  <si>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</si>
  <si>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</si>
  <si>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</si>
  <si>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</si>
  <si>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</si>
  <si>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</si>
  <si>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</si>
  <si>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</si>
  <si>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</si>
  <si>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</si>
  <si>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</si>
  <si>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</si>
  <si>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</si>
  <si>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</si>
  <si>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</si>
  <si>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</si>
  <si>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</si>
  <si>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</si>
  <si>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</si>
  <si>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</si>
  <si>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</si>
  <si>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</si>
  <si>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</si>
  <si>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</si>
  <si>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</si>
  <si>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</si>
  <si>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</si>
  <si>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</si>
  <si>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</si>
  <si>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</si>
  <si>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</si>
  <si>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</si>
  <si>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</si>
  <si>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</si>
  <si>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</si>
  <si>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</si>
  <si>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</si>
  <si>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</si>
  <si>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</si>
  <si>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</si>
  <si>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</si>
  <si>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</si>
  <si>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</si>
  <si>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</si>
  <si>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</si>
  <si>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</si>
  <si>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</si>
  <si>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</si>
  <si>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</si>
  <si>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</si>
  <si>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</si>
  <si>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</si>
  <si>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</si>
  <si>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</si>
  <si>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</si>
  <si>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</si>
  <si>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</si>
  <si>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</si>
  <si>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</si>
  <si>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</si>
  <si>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</si>
  <si>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</si>
  <si>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</si>
  <si>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</si>
  <si>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</si>
  <si>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</si>
  <si>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</si>
  <si>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</si>
  <si>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</si>
  <si>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</si>
  <si>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</si>
  <si>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</si>
  <si>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</si>
  <si>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</si>
  <si>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</si>
  <si>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</si>
  <si>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</si>
  <si>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</si>
  <si>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</si>
  <si>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</si>
  <si>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</si>
  <si>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</si>
  <si>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</si>
  <si>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</si>
  <si>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</si>
  <si>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</si>
  <si>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</si>
  <si>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</si>
  <si>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</si>
  <si>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</si>
  <si>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</si>
  <si>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</si>
  <si>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</si>
  <si>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</si>
  <si>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</si>
  <si>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</si>
  <si>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</si>
  <si>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</si>
  <si>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</si>
  <si>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</si>
  <si>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</si>
  <si>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</si>
  <si>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</si>
  <si>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</si>
  <si>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</si>
  <si>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</si>
  <si>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</si>
  <si>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</si>
  <si>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</si>
  <si>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</si>
  <si>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</si>
  <si>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</si>
  <si>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</si>
  <si>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</si>
  <si>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</si>
  <si>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</si>
  <si>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</si>
  <si>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</si>
  <si>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</si>
  <si>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</si>
  <si>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</si>
  <si>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</si>
  <si>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</si>
  <si>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</si>
  <si>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</si>
  <si>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</si>
  <si>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</si>
  <si>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</si>
  <si>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</si>
  <si>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</si>
  <si>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</si>
  <si>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</si>
  <si>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</si>
  <si>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</si>
  <si>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</si>
  <si>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</si>
  <si>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</si>
  <si>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</si>
  <si>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</si>
  <si>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</si>
  <si>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</si>
  <si>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</si>
  <si>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</si>
  <si>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</si>
  <si>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</si>
  <si>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</si>
  <si>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</si>
  <si>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</si>
  <si>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</si>
  <si>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</si>
  <si>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</si>
  <si>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</si>
  <si>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</si>
  <si>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</si>
  <si>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</si>
  <si>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</si>
  <si>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</si>
  <si>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</si>
  <si>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</si>
  <si>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</si>
  <si>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</si>
  <si>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</si>
  <si>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</si>
  <si>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</si>
  <si>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</si>
  <si>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</si>
  <si>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</si>
  <si>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</si>
  <si>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</si>
  <si>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</si>
  <si>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</si>
  <si>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</si>
  <si>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</si>
  <si>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</si>
  <si>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</si>
  <si>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</si>
  <si>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</si>
  <si>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</si>
  <si>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</si>
  <si>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</si>
  <si>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</si>
  <si>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</si>
  <si>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</si>
  <si>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</si>
  <si>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</si>
  <si>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</si>
  <si>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</si>
  <si>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</si>
  <si>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</si>
  <si>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</si>
  <si>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</si>
  <si>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</si>
  <si>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</si>
  <si>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</si>
  <si>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</si>
  <si>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</si>
  <si>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</si>
  <si>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</si>
  <si>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</si>
  <si>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</si>
  <si>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</si>
  <si>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</si>
  <si>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</si>
  <si>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</si>
  <si>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</si>
  <si>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</si>
  <si>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</si>
  <si>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</si>
  <si>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</si>
  <si>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</si>
  <si>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</si>
  <si>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</si>
  <si>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</si>
  <si>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</si>
  <si>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</si>
  <si>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</si>
  <si>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</si>
  <si>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</si>
  <si>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</si>
  <si>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</si>
  <si>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</si>
  <si>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</si>
  <si>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</si>
  <si>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</si>
  <si>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</si>
  <si>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</si>
  <si>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</si>
  <si>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</si>
  <si>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</si>
  <si>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</si>
  <si>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</si>
  <si>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</si>
  <si>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</si>
  <si>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</si>
  <si>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</si>
  <si>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</si>
  <si>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</si>
  <si>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</si>
  <si>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</si>
  <si>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</si>
  <si>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</si>
  <si>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</si>
  <si>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</si>
  <si>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</si>
  <si>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</si>
  <si>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</si>
  <si>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</si>
  <si>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</si>
  <si>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</si>
  <si>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</si>
  <si>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</si>
  <si>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</si>
  <si>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</si>
  <si>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</si>
  <si>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</si>
  <si>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</si>
  <si>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</si>
  <si>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</si>
  <si>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</si>
  <si>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</si>
  <si>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</si>
  <si>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</si>
  <si>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</si>
  <si>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</si>
  <si>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</si>
  <si>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</si>
  <si>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</si>
  <si>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</si>
  <si>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</si>
  <si>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</si>
  <si>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</si>
  <si>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</si>
  <si>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</si>
  <si>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</si>
  <si>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</si>
  <si>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</si>
  <si>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</si>
  <si>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</si>
  <si>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</si>
  <si>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</si>
  <si>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</si>
  <si>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</si>
  <si>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</si>
  <si>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</si>
  <si>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</si>
  <si>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</si>
  <si>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</si>
  <si>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</si>
  <si>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</si>
  <si>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</si>
  <si>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</si>
  <si>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</si>
  <si>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</si>
  <si>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</si>
  <si>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</si>
  <si>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</si>
  <si>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</si>
  <si>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</si>
  <si>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</si>
  <si>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</si>
  <si>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</si>
  <si>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</si>
  <si>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</si>
  <si>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</si>
  <si>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</si>
  <si>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</si>
  <si>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</si>
  <si>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</si>
  <si>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</si>
  <si>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</si>
  <si>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</si>
  <si>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</si>
  <si>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</si>
  <si>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</si>
  <si>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</si>
  <si>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</si>
  <si>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</si>
  <si>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</si>
  <si>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</si>
  <si>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</si>
  <si>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</si>
  <si>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</si>
  <si>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</si>
  <si>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</si>
  <si>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</si>
  <si>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</si>
  <si>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</si>
  <si>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</si>
  <si>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</si>
  <si>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</si>
  <si>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</si>
  <si>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</si>
  <si>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</si>
  <si>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</si>
  <si>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</si>
  <si>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</si>
  <si>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</si>
  <si>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</si>
  <si>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</si>
  <si>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</si>
  <si>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</si>
  <si>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</si>
  <si>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</si>
  <si>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</si>
  <si>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</si>
  <si>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</si>
  <si>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</si>
  <si>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</si>
  <si>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</si>
  <si>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</si>
  <si>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</si>
  <si>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</si>
  <si>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</si>
  <si>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</si>
  <si>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</si>
  <si>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</si>
  <si>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</si>
  <si>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</si>
  <si>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</si>
  <si>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</si>
  <si>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</si>
  <si>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</si>
  <si>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</si>
  <si>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</si>
  <si>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</si>
  <si>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</si>
  <si>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</si>
  <si>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</si>
  <si>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</si>
  <si>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</si>
  <si>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</si>
  <si>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</si>
  <si>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</si>
  <si>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</si>
  <si>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</si>
  <si>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</si>
  <si>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</si>
  <si>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</si>
  <si>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</si>
  <si>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</si>
  <si>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</si>
  <si>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</si>
  <si>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</si>
  <si>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</si>
  <si>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</si>
  <si>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</si>
  <si>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</si>
  <si>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</si>
  <si>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</si>
  <si>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</si>
  <si>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</si>
  <si>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</si>
  <si>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</si>
  <si>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</si>
  <si>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</si>
  <si>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</si>
  <si>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</si>
  <si>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</si>
  <si>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</si>
  <si>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</si>
  <si>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</si>
  <si>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</si>
  <si>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</si>
  <si>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</si>
  <si>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</si>
  <si>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</si>
  <si>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</si>
  <si>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</si>
  <si>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</si>
  <si>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</si>
  <si>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</si>
  <si>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</si>
  <si>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</si>
  <si>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</si>
  <si>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</si>
  <si>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</si>
  <si>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</si>
  <si>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</si>
  <si>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</si>
  <si>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</si>
  <si>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</si>
  <si>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</si>
  <si>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</si>
  <si>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</si>
  <si>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</si>
  <si>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</si>
  <si>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</si>
  <si>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</si>
  <si>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</si>
  <si>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</si>
  <si>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</si>
  <si>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</si>
  <si>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</si>
  <si>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</si>
  <si>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</si>
  <si>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</si>
  <si>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</si>
  <si>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</si>
  <si>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</si>
  <si>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</si>
  <si>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</si>
  <si>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</si>
  <si>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</si>
  <si>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</si>
  <si>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</si>
  <si>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</si>
  <si>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</si>
  <si>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</si>
  <si>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</si>
  <si>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</si>
  <si>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</si>
  <si>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</si>
  <si>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</si>
  <si>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</si>
  <si>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</si>
  <si>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</si>
  <si>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</si>
  <si>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</si>
  <si>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</si>
  <si>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</si>
  <si>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</si>
  <si>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</si>
  <si>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</si>
  <si>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</si>
  <si>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</si>
  <si>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</si>
  <si>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</si>
  <si>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</si>
  <si>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</si>
  <si>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</si>
  <si>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</si>
  <si>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</si>
  <si>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</si>
  <si>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</si>
  <si>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</si>
  <si>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</si>
  <si>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</si>
  <si>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</si>
  <si>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</si>
  <si>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</si>
  <si>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</si>
  <si>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</si>
  <si>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</si>
  <si>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</si>
  <si>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</si>
  <si>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</si>
  <si>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</si>
  <si>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</si>
  <si>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</si>
  <si>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</si>
  <si>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</si>
  <si>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</si>
  <si>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</si>
  <si>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</si>
  <si>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</si>
  <si>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</si>
  <si>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</si>
  <si>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</si>
  <si>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</si>
  <si>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</si>
  <si>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</si>
  <si>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</si>
  <si>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</si>
  <si>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</si>
  <si>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</si>
  <si>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</si>
  <si>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</si>
  <si>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</si>
  <si>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</si>
  <si>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</si>
  <si>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</si>
  <si>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</si>
  <si>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</si>
  <si>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</si>
  <si>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</si>
  <si>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</si>
  <si>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</si>
  <si>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</si>
  <si>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</si>
  <si>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</si>
  <si>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</si>
  <si>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</si>
  <si>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</si>
  <si>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</si>
  <si>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</si>
  <si>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</si>
  <si>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</si>
  <si>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</si>
  <si>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</si>
  <si>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</si>
  <si>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</si>
  <si>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</si>
  <si>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</si>
  <si>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</si>
  <si>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</si>
  <si>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</si>
  <si>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</si>
  <si>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</si>
  <si>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</si>
  <si>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</si>
  <si>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</si>
  <si>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</si>
  <si>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</si>
  <si>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</si>
  <si>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</si>
  <si>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</si>
  <si>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</si>
  <si>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</si>
  <si>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</si>
  <si>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</si>
  <si>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</si>
  <si>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</si>
  <si>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</si>
  <si>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</si>
  <si>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</si>
  <si>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</si>
  <si>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</si>
  <si>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</si>
  <si>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</si>
  <si>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</si>
  <si>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</si>
  <si>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</si>
  <si>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</si>
  <si>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</si>
  <si>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</si>
  <si>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</si>
  <si>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</si>
  <si>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</si>
  <si>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</si>
  <si>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</si>
  <si>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</si>
  <si>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</si>
  <si>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</si>
  <si>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</si>
  <si>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</si>
  <si>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</si>
  <si>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</si>
  <si>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</si>
  <si>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</si>
  <si>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</si>
  <si>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</si>
  <si>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</si>
  <si>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</si>
  <si>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</si>
  <si>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</si>
  <si>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</si>
  <si>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</si>
  <si>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</si>
  <si>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</si>
  <si>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</si>
  <si>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</si>
  <si>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</si>
  <si>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</si>
  <si>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</si>
  <si>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</si>
  <si>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</si>
  <si>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</si>
  <si>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</si>
  <si>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</si>
  <si>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</si>
  <si>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</si>
  <si>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</si>
  <si>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</si>
  <si>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</si>
  <si>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</si>
  <si>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</si>
  <si>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</si>
  <si>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</si>
  <si>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</si>
  <si>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</si>
  <si>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</si>
  <si>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</si>
  <si>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</si>
  <si>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</si>
  <si>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</si>
  <si>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</si>
  <si>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</si>
  <si>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</si>
  <si>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</si>
  <si>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</si>
  <si>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</si>
  <si>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</si>
  <si>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</si>
  <si>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</si>
  <si>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</si>
  <si>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</si>
  <si>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</si>
  <si>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</si>
  <si>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</si>
  <si>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</si>
  <si>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</si>
  <si>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</si>
  <si>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</si>
  <si>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</si>
  <si>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</si>
  <si>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</si>
  <si>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</si>
  <si>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</si>
  <si>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</si>
  <si>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</si>
  <si>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</si>
  <si>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</si>
  <si>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</si>
  <si>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</si>
  <si>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</si>
  <si>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</si>
  <si>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</si>
  <si>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</si>
  <si>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</si>
  <si>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</si>
  <si>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</si>
  <si>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</si>
  <si>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</si>
  <si>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</si>
  <si>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</si>
  <si>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</si>
  <si>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</si>
  <si>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</si>
  <si>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</si>
  <si>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</si>
  <si>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</si>
  <si>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</si>
  <si>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</si>
  <si>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</si>
  <si>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</si>
  <si>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</si>
  <si>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</si>
  <si>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</si>
  <si>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</si>
  <si>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</si>
  <si>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</si>
  <si>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</si>
  <si>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</si>
  <si>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</si>
  <si>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</si>
  <si>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</si>
  <si>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</si>
  <si>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</si>
  <si>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</si>
  <si>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</si>
  <si>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</si>
  <si>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</si>
  <si>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</si>
  <si>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</si>
  <si>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</si>
  <si>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</si>
  <si>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</si>
  <si>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</si>
  <si>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</si>
  <si>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</si>
  <si>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</si>
  <si>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</si>
  <si>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</si>
  <si>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</si>
  <si>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</si>
  <si>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</si>
  <si>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</si>
  <si>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</si>
  <si>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</si>
  <si>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</si>
  <si>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</si>
  <si>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</si>
  <si>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</si>
  <si>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</si>
  <si>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</si>
  <si>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</si>
  <si>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</si>
  <si>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</si>
  <si>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</si>
  <si>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</si>
  <si>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</si>
  <si>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</si>
  <si>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</si>
  <si>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</si>
  <si>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</si>
  <si>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</si>
  <si>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</si>
  <si>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</si>
  <si>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</si>
  <si>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</si>
  <si>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</si>
  <si>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</si>
  <si>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</si>
  <si>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</si>
  <si>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</si>
  <si>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</si>
  <si>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</si>
  <si>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</si>
  <si>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</si>
  <si>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</si>
  <si>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</si>
  <si>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</si>
  <si>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</si>
  <si>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</si>
  <si>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</si>
  <si>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</si>
  <si>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</si>
  <si>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</si>
  <si>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</si>
  <si>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</si>
  <si>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</si>
  <si>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</si>
  <si>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</si>
  <si>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</si>
  <si>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</si>
  <si>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</si>
  <si>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</si>
  <si>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</si>
  <si>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</si>
  <si>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</si>
  <si>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</si>
  <si>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</si>
  <si>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</si>
  <si>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</si>
  <si>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</si>
  <si>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</si>
  <si>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</si>
  <si>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</si>
  <si>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</si>
  <si>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</si>
  <si>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</si>
  <si>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</si>
  <si>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</si>
  <si>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</si>
  <si>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</si>
  <si>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</si>
  <si>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</si>
  <si>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</si>
  <si>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</si>
  <si>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</si>
  <si>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</si>
  <si>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</si>
  <si>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</si>
  <si>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</si>
  <si>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</si>
  <si>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</si>
  <si>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</si>
  <si>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</si>
  <si>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</si>
  <si>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</si>
  <si>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</si>
  <si>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</si>
  <si>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</si>
  <si>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</si>
  <si>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</si>
  <si>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</si>
  <si>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</si>
  <si>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</si>
  <si>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</si>
  <si>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</si>
  <si>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</si>
  <si>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</si>
  <si>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</si>
  <si>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</si>
  <si>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</si>
  <si>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</si>
  <si>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</si>
  <si>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</si>
  <si>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</si>
  <si>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</si>
  <si>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</si>
  <si>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</si>
  <si>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</si>
  <si>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</si>
  <si>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</si>
  <si>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</si>
  <si>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</si>
  <si>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</si>
  <si>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</si>
  <si>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</si>
  <si>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</si>
  <si>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</si>
  <si>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</si>
  <si>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</si>
  <si>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</si>
  <si>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</si>
  <si>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</si>
  <si>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</si>
  <si>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</si>
  <si>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</si>
  <si>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</si>
  <si>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</si>
  <si>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</si>
  <si>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</si>
  <si>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</si>
  <si>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</si>
  <si>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</si>
  <si>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</si>
  <si>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</si>
  <si>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</si>
  <si>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</si>
  <si>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</si>
  <si>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</si>
  <si>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</si>
  <si>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</si>
  <si>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</si>
  <si>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</si>
  <si>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</si>
  <si>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</si>
  <si>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</si>
  <si>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</si>
  <si>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</si>
  <si>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</si>
  <si>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</si>
  <si>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</si>
  <si>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</si>
  <si>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</si>
  <si>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</si>
  <si>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</si>
  <si>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</si>
  <si>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</si>
  <si>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</si>
  <si>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</si>
  <si>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</si>
  <si>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</si>
  <si>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</si>
  <si>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</si>
  <si>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</si>
  <si>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</si>
  <si>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</si>
  <si>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</si>
  <si>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</si>
  <si>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</si>
  <si>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</si>
  <si>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</si>
  <si>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</si>
  <si>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</si>
  <si>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</si>
  <si>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</si>
  <si>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</si>
  <si>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</si>
  <si>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</si>
  <si>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</si>
  <si>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</si>
  <si>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</si>
  <si>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</si>
  <si>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</si>
  <si>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</si>
  <si>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</si>
  <si>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</si>
  <si>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</si>
  <si>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</si>
  <si>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</si>
  <si>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</si>
  <si>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</si>
  <si>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</si>
  <si>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</si>
  <si>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</si>
  <si>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</si>
  <si>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</si>
  <si>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</si>
  <si>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</si>
  <si>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</si>
  <si>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</si>
  <si>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</si>
  <si>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</si>
  <si>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</si>
  <si>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</si>
  <si>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</si>
  <si>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</si>
  <si>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</si>
  <si>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</si>
  <si>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</si>
  <si>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</si>
  <si>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</si>
  <si>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</si>
  <si>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</si>
  <si>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</si>
  <si>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</si>
  <si>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</si>
  <si>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</si>
  <si>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</si>
  <si>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</si>
  <si>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</si>
  <si>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</si>
  <si>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</si>
  <si>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</si>
  <si>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</si>
  <si>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</si>
  <si>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</si>
  <si>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</si>
  <si>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</si>
  <si>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</si>
  <si>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</si>
  <si>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</si>
  <si>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</si>
  <si>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</si>
  <si>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</si>
  <si>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</si>
  <si>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</si>
  <si>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</si>
  <si>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</si>
  <si>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</si>
  <si>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</si>
  <si>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</si>
  <si>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</si>
  <si>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</si>
  <si>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</si>
  <si>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</si>
  <si>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</si>
  <si>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</si>
  <si>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</si>
  <si>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</si>
  <si>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</si>
  <si>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</si>
  <si>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</si>
  <si>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</si>
  <si>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</si>
  <si>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</si>
  <si>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</si>
  <si>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</si>
  <si>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</si>
  <si>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</si>
  <si>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</si>
  <si>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</si>
  <si>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</si>
  <si>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</si>
  <si>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</si>
  <si>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</si>
  <si>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</si>
  <si>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</si>
  <si>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</si>
  <si>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</si>
  <si>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</si>
  <si>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</si>
  <si>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</si>
  <si>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</si>
  <si>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</si>
  <si>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</si>
  <si>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</si>
  <si>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</si>
  <si>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</si>
  <si>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</si>
  <si>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</si>
  <si>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</si>
  <si>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</si>
  <si>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</si>
  <si>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</si>
  <si>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</si>
  <si>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</si>
  <si>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</si>
  <si>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</si>
  <si>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</si>
  <si>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</si>
  <si>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</si>
  <si>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</si>
  <si>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</si>
  <si>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</si>
  <si>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</si>
  <si>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</si>
  <si>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</si>
  <si>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</si>
  <si>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</si>
  <si>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</si>
  <si>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</si>
  <si>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</si>
  <si>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</si>
  <si>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</si>
  <si>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</si>
  <si>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</si>
  <si>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</si>
  <si>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</si>
  <si>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</si>
  <si>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</si>
  <si>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</si>
  <si>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</si>
  <si>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</si>
  <si>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</si>
  <si>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</si>
  <si>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</si>
  <si>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</si>
  <si>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</si>
  <si>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</si>
  <si>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</si>
  <si>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</si>
  <si>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</si>
  <si>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</si>
  <si>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</si>
  <si>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</si>
  <si>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</si>
  <si>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</si>
  <si>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</si>
  <si>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</si>
  <si>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</si>
  <si>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</si>
  <si>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</si>
  <si>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</si>
  <si>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</si>
  <si>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</si>
  <si>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</si>
  <si>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</si>
  <si>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</si>
  <si>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</si>
  <si>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</si>
  <si>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</si>
  <si>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</si>
  <si>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</si>
  <si>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</si>
  <si>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</si>
  <si>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</si>
  <si>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</si>
  <si>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</si>
  <si>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</si>
  <si>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</si>
  <si>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</si>
  <si>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</si>
  <si>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</si>
  <si>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</si>
  <si>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</si>
  <si>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</si>
  <si>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</si>
  <si>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</si>
  <si>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</si>
  <si>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</si>
  <si>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</si>
  <si>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</si>
  <si>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</si>
  <si>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</si>
  <si>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</si>
  <si>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</si>
  <si>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</si>
  <si>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</si>
  <si>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</si>
  <si>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</si>
  <si>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</si>
  <si>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</si>
  <si>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</si>
  <si>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</si>
  <si>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</si>
  <si>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</si>
  <si>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</si>
  <si>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</si>
  <si>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</si>
  <si>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</si>
  <si>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</si>
  <si>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</si>
  <si>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</si>
  <si>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</si>
  <si>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</si>
  <si>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</si>
  <si>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</si>
  <si>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</si>
  <si>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</si>
  <si>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</si>
  <si>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</si>
  <si>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</si>
  <si>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</si>
  <si>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</si>
  <si>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</si>
  <si>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</si>
  <si>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</si>
  <si>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</si>
  <si>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</si>
  <si>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</si>
  <si>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</si>
  <si>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</si>
  <si>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</si>
  <si>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</si>
  <si>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</si>
  <si>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</si>
  <si>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</si>
  <si>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</si>
  <si>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</si>
  <si>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</si>
  <si>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</si>
  <si>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</si>
  <si>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</si>
  <si>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</si>
  <si>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</si>
  <si>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</si>
  <si>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</si>
  <si>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</si>
  <si>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</si>
  <si>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</si>
  <si>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</si>
  <si>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</si>
  <si>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</si>
  <si>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</si>
  <si>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</si>
  <si>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</si>
  <si>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</si>
  <si>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</si>
  <si>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</si>
  <si>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</si>
  <si>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</si>
  <si>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</si>
  <si>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</si>
  <si>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</si>
  <si>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</si>
  <si>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</si>
  <si>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</si>
  <si>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</si>
  <si>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</si>
  <si>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</si>
  <si>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</si>
  <si>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</si>
  <si>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</si>
  <si>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</si>
  <si>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</si>
  <si>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</si>
  <si>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</si>
  <si>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</si>
  <si>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</si>
  <si>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</si>
  <si>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</si>
  <si>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</si>
  <si>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</si>
  <si>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</si>
  <si>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</si>
  <si>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</si>
  <si>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</si>
  <si>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</si>
  <si>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</si>
  <si>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</si>
  <si>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</si>
  <si>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</si>
  <si>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</si>
  <si>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</si>
  <si>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</si>
  <si>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</si>
  <si>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</si>
  <si>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</si>
  <si>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</si>
  <si>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</si>
  <si>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</si>
  <si>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</si>
  <si>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</si>
  <si>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</si>
  <si>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</si>
  <si>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</si>
  <si>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</si>
  <si>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</si>
  <si>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</si>
  <si>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</si>
  <si>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</si>
  <si>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</si>
  <si>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</si>
  <si>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</si>
  <si>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</si>
  <si>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</si>
  <si>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</si>
  <si>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</si>
  <si>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</si>
  <si>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</si>
  <si>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</si>
  <si>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</si>
  <si>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</si>
  <si>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</si>
  <si>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</si>
  <si>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</si>
  <si>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</si>
  <si>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</si>
  <si>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</si>
  <si>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</si>
  <si>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</si>
  <si>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</si>
  <si>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</si>
  <si>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</si>
  <si>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</si>
  <si>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</si>
  <si>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</si>
  <si>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</si>
  <si>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</si>
  <si>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</si>
  <si>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</si>
  <si>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</si>
  <si>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</si>
  <si>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</si>
  <si>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</si>
  <si>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</si>
  <si>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</si>
  <si>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</si>
  <si>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</si>
  <si>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</si>
  <si>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</si>
  <si>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</si>
  <si>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</si>
  <si>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</si>
  <si>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</si>
  <si>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</si>
  <si>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</si>
  <si>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</si>
  <si>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</si>
  <si>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</si>
  <si>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</si>
  <si>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</si>
  <si>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</si>
  <si>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</si>
  <si>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</si>
  <si>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</si>
  <si>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</si>
  <si>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</si>
  <si>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</si>
  <si>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</si>
  <si>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</si>
  <si>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ANDHERI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</si>
  <si>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</si>
  <si>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</si>
  <si>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</si>
  <si>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</si>
  <si>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</si>
  <si>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</si>
  <si>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</si>
  <si>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</si>
  <si>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</si>
  <si>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</si>
  <si>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</si>
  <si>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</si>
  <si>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</si>
  <si>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</si>
  <si>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</si>
  <si>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</si>
  <si>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</si>
  <si>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</si>
  <si>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</si>
  <si>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</si>
  <si>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</si>
  <si>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</si>
  <si>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</si>
  <si>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</si>
  <si>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</si>
  <si>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</si>
  <si>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</si>
  <si>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</si>
  <si>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</si>
  <si>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</si>
  <si>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</si>
  <si>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</si>
  <si>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</si>
  <si>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</si>
  <si>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</si>
  <si>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</si>
  <si>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</si>
  <si>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</si>
  <si>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</si>
  <si>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</si>
  <si>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</si>
  <si>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</si>
  <si>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</si>
  <si>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</si>
  <si>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</si>
  <si>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</si>
  <si>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</si>
  <si>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</si>
  <si>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</si>
  <si>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</si>
  <si>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</si>
  <si>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</si>
  <si>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</si>
  <si>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</si>
  <si>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</si>
  <si>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</si>
  <si>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</si>
  <si>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</si>
  <si>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</si>
  <si>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</si>
  <si>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</si>
  <si>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</si>
  <si>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</si>
  <si>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</si>
  <si>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</si>
  <si>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</si>
  <si>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</si>
  <si>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</si>
  <si>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</si>
  <si>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</si>
  <si>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</si>
  <si>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</si>
  <si>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</si>
  <si>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</si>
  <si>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</si>
  <si>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</si>
  <si>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</si>
  <si>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</si>
  <si>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</si>
  <si>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</si>
  <si>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</si>
  <si>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</si>
  <si>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</si>
  <si>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</si>
  <si>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</si>
  <si>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</si>
  <si>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</si>
  <si>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</si>
  <si>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</si>
  <si>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</si>
  <si>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No sticker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</si>
  <si>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</si>
  <si>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</si>
  <si>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</si>
  <si>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</si>
  <si>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</si>
  <si>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</si>
  <si>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</si>
  <si>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</si>
  <si>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</si>
  <si>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</si>
  <si>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</si>
  <si>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</si>
  <si>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</si>
  <si>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</si>
  <si>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</si>
  <si>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</si>
  <si>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</si>
  <si>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</si>
  <si>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</si>
  <si>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</si>
  <si>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</si>
  <si>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</si>
  <si>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</si>
  <si>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</si>
  <si>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</si>
  <si>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</si>
  <si>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</si>
  <si>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</si>
  <si>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</si>
  <si>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</si>
  <si>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</si>
  <si>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</si>
  <si>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</si>
  <si>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</si>
  <si>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</si>
  <si>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</si>
  <si>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</si>
  <si>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</si>
  <si>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</si>
  <si>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</si>
  <si>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</si>
  <si>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</si>
  <si>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</si>
  <si>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</si>
  <si>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</si>
  <si>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</si>
  <si>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</si>
  <si>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</si>
  <si>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</si>
  <si>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</si>
  <si>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</si>
  <si>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</si>
  <si>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</si>
  <si>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</si>
  <si>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</si>
  <si>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</si>
  <si>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</si>
  <si>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</si>
  <si>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</si>
  <si>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ANDHERI EC  —  WOODEN FLOORING  |  Multi-Round Audit Tracker</t>
  </si>
  <si>
    <t>WF GP FL014</t>
  </si>
  <si>
    <t>AMAZON WALNUT</t>
  </si>
  <si>
    <t>Greenpanel</t>
  </si>
  <si>
    <t>Sample not available in EC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</si>
  <si>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</si>
  <si>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</si>
  <si>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</si>
  <si>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</si>
  <si>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</si>
  <si>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</si>
  <si>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</si>
  <si>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</si>
  <si>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</si>
  <si>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</si>
  <si>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</si>
  <si>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</si>
  <si>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</si>
  <si>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</si>
  <si>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</si>
  <si>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</si>
  <si>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</si>
  <si>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</si>
  <si>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</si>
  <si>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</si>
  <si>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</si>
  <si>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</si>
  <si>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</si>
  <si>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</si>
  <si>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</si>
  <si>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</si>
  <si>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</si>
  <si>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</si>
  <si>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</si>
  <si>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</si>
  <si>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</si>
  <si>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</si>
  <si>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</si>
  <si>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</si>
  <si>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</si>
  <si>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</si>
  <si>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</si>
  <si>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</si>
  <si>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</si>
  <si>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</si>
  <si>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</si>
  <si>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</si>
  <si>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</si>
  <si>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ANDHERI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</si>
  <si>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</si>
  <si>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</si>
  <si>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</si>
  <si>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</si>
  <si>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</si>
  <si>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</si>
  <si>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</si>
  <si>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</si>
  <si>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</si>
  <si>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</si>
  <si>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</si>
  <si>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</si>
  <si>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</si>
  <si>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</si>
  <si>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</si>
  <si>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</si>
  <si>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</si>
  <si>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</si>
  <si>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</si>
  <si>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</si>
  <si>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</si>
  <si>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</si>
  <si>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</si>
  <si>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ANDHERI EC  —  BEADING  |  Multi-Round Audit Tracker</t>
  </si>
  <si>
    <t>BD-VRM-2024-0661</t>
  </si>
  <si>
    <t>Charcoal Beading - VA-22</t>
  </si>
  <si>
    <t>Amruta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</si>
  <si>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</si>
  <si>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</si>
  <si>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</si>
  <si>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</si>
  <si>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</si>
  <si>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</si>
  <si>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</si>
  <si>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</si>
  <si>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</si>
  <si>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</si>
  <si>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</si>
  <si>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</si>
  <si>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</si>
  <si>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</si>
  <si>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</si>
  <si>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</si>
  <si>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</si>
  <si>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</si>
  <si>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</si>
  <si>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</si>
  <si>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</si>
  <si>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</si>
  <si>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</si>
  <si>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</si>
  <si>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</si>
  <si>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</si>
  <si>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</si>
  <si>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</si>
  <si>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</si>
  <si>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</si>
  <si>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</si>
  <si>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</si>
  <si>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</si>
  <si>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</si>
  <si>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</si>
  <si>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</si>
  <si>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</si>
  <si>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</si>
  <si>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</si>
  <si>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</si>
  <si>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</si>
  <si>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</si>
  <si>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</si>
  <si>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</si>
  <si>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</si>
  <si>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</si>
  <si>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</si>
  <si>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</si>
  <si>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</si>
  <si>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</si>
  <si>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</si>
  <si>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</si>
  <si>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</si>
  <si>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</si>
  <si>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</si>
  <si>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</si>
  <si>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</si>
  <si>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</si>
  <si>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</si>
  <si>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</si>
  <si>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</si>
  <si>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</si>
  <si>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</si>
  <si>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</si>
  <si>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</si>
  <si>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</si>
  <si>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</si>
  <si>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</si>
  <si>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ANDHERI EC  —  BONITO LEGS  |  Multi-Round Audit Tracker</t>
  </si>
  <si>
    <t>BD-HNA-2025-0015</t>
  </si>
  <si>
    <t>Bonito Legs - 10" 298(V.H) Black Metal Leg</t>
  </si>
  <si>
    <t>Represented by Sample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</si>
  <si>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</si>
  <si>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</si>
  <si>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</si>
  <si>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</si>
  <si>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</si>
  <si>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</si>
  <si>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</si>
  <si>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</si>
  <si>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</si>
  <si>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</si>
  <si>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</si>
  <si>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</si>
  <si>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</si>
  <si>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</si>
  <si>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</si>
  <si>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</si>
  <si>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</si>
  <si>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</si>
  <si>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</si>
  <si>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</si>
  <si>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</si>
  <si>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</si>
  <si>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</si>
  <si>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</si>
  <si>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</si>
  <si>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</si>
  <si>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</si>
  <si>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</si>
  <si>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</si>
  <si>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</si>
  <si>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</si>
  <si>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</si>
  <si>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</si>
  <si>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</si>
  <si>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</si>
  <si>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</si>
  <si>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</si>
  <si>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</si>
  <si>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</si>
  <si>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</si>
  <si>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</si>
  <si>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</si>
  <si>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</si>
  <si>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</si>
  <si>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</si>
  <si>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</si>
  <si>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</si>
  <si>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</si>
  <si>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</si>
  <si>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</si>
  <si>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</si>
  <si>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</si>
  <si>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</si>
  <si>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</si>
  <si>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</si>
  <si>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</si>
  <si>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</si>
  <si>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</si>
  <si>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</si>
  <si>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</si>
  <si>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</si>
  <si>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</si>
  <si>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</si>
  <si>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</si>
  <si>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</si>
  <si>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</si>
  <si>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</si>
  <si>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</si>
  <si>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</si>
  <si>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</si>
  <si>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</si>
  <si>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</si>
  <si>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</si>
  <si>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</si>
  <si>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</si>
  <si>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</si>
  <si>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</si>
  <si>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</si>
  <si>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</si>
  <si>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</si>
  <si>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</si>
  <si>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</si>
  <si>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</si>
  <si>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</si>
  <si>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</si>
  <si>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</si>
  <si>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</si>
  <si>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</si>
  <si>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</si>
  <si>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</si>
  <si>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</si>
  <si>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</si>
  <si>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</si>
  <si>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</si>
  <si>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</si>
  <si>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</si>
  <si>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</si>
  <si>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</si>
  <si>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</si>
  <si>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</si>
  <si>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</si>
  <si>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</si>
  <si>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</si>
  <si>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</si>
  <si>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</si>
  <si>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</si>
  <si>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</si>
  <si>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</si>
  <si>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</si>
  <si>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</si>
  <si>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</si>
  <si>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</si>
  <si>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</si>
  <si>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</si>
  <si>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</si>
  <si>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</si>
  <si>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</si>
  <si>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</si>
  <si>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</si>
  <si>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</si>
  <si>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</si>
  <si>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</si>
  <si>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</si>
  <si>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</si>
  <si>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</si>
  <si>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</si>
  <si>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</si>
  <si>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</si>
  <si>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</si>
  <si>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</si>
  <si>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</si>
  <si>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</si>
  <si>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</si>
  <si>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</si>
  <si>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</si>
  <si>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</si>
  <si>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</si>
  <si>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</si>
  <si>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</si>
  <si>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</si>
  <si>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</si>
  <si>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</si>
  <si>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</si>
  <si>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</si>
  <si>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</si>
  <si>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</si>
  <si>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</si>
  <si>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</si>
  <si>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</si>
  <si>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</si>
  <si>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ANDHERI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</si>
  <si>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</si>
  <si>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</si>
  <si>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</si>
  <si>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</si>
  <si>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</si>
  <si>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</si>
  <si>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</si>
  <si>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</si>
  <si>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</si>
  <si>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</si>
  <si>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</si>
  <si>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</si>
  <si>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</si>
  <si>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</si>
  <si>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</si>
  <si>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</si>
  <si>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</si>
  <si>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</si>
  <si>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</si>
  <si>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</si>
  <si>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</si>
  <si>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</si>
  <si>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</si>
  <si>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</si>
  <si>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</si>
  <si>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</si>
  <si>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</si>
  <si>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</si>
  <si>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</si>
  <si>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</si>
  <si>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</si>
  <si>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</si>
  <si>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</si>
  <si>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</si>
  <si>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</si>
  <si>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</si>
  <si>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</si>
  <si>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</si>
  <si>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</si>
  <si>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</si>
  <si>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</si>
  <si>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</si>
  <si>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</si>
  <si>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</si>
  <si>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</si>
  <si>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</si>
  <si>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</si>
  <si>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</si>
  <si>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</si>
  <si>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</si>
  <si>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</si>
  <si>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</si>
  <si>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</si>
  <si>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</si>
  <si>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</si>
  <si>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</si>
  <si>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</si>
  <si>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</si>
  <si>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</si>
  <si>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</si>
  <si>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</si>
  <si>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</si>
  <si>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</si>
  <si>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</si>
  <si>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</si>
  <si>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</si>
  <si>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</si>
  <si>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</si>
  <si>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</si>
  <si>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</si>
  <si>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</si>
  <si>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</si>
  <si>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</si>
  <si>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</si>
  <si>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</si>
  <si>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</si>
  <si>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</si>
  <si>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</si>
  <si>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</si>
  <si>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</si>
  <si>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</si>
  <si>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</si>
  <si>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</si>
  <si>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</si>
  <si>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</si>
  <si>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</si>
  <si>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</si>
  <si>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</si>
  <si>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</si>
  <si>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</si>
  <si>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</si>
  <si>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</si>
  <si>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</si>
  <si>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</si>
  <si>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</si>
  <si>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</si>
  <si>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</si>
  <si>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</si>
  <si>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</si>
  <si>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</si>
  <si>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</si>
  <si>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</si>
  <si>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</si>
  <si>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</si>
  <si>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</si>
  <si>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</si>
  <si>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</si>
  <si>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</si>
  <si>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</si>
  <si>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</si>
  <si>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</si>
  <si>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</si>
  <si>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</si>
  <si>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</si>
  <si>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</si>
  <si>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</si>
  <si>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</si>
  <si>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</si>
  <si>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</si>
  <si>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</si>
  <si>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</si>
  <si>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</si>
  <si>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</si>
  <si>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</si>
  <si>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</si>
  <si>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</si>
  <si>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</si>
  <si>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</si>
  <si>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</si>
  <si>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</si>
  <si>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</si>
  <si>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</si>
  <si>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</si>
  <si>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</si>
  <si>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</si>
  <si>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</si>
  <si>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</si>
  <si>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</si>
  <si>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</si>
  <si>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</si>
  <si>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</si>
  <si>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</si>
  <si>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</si>
  <si>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</si>
  <si>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</si>
  <si>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</si>
  <si>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</si>
  <si>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</si>
  <si>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</si>
  <si>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</si>
  <si>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</si>
  <si>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</si>
  <si>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</si>
  <si>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</si>
  <si>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</si>
  <si>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</si>
  <si>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</si>
  <si>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</si>
  <si>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</si>
  <si>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</si>
  <si>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</si>
  <si>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</si>
  <si>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</si>
  <si>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</si>
  <si>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</si>
  <si>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</si>
  <si>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</si>
  <si>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</si>
  <si>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</si>
  <si>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</si>
  <si>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</si>
  <si>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</si>
  <si>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</si>
  <si>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</si>
  <si>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</si>
  <si>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</si>
  <si>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</si>
  <si>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</si>
  <si>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</si>
  <si>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</si>
  <si>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</si>
  <si>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</si>
  <si>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</si>
  <si>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</si>
  <si>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</si>
  <si>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</si>
  <si>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</si>
  <si>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</si>
  <si>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</si>
  <si>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</si>
  <si>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</si>
  <si>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</si>
  <si>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</si>
  <si>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</si>
  <si>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</si>
  <si>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</si>
  <si>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</si>
  <si>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</si>
  <si>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</si>
  <si>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</si>
  <si>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</si>
  <si>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</si>
  <si>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</si>
  <si>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</si>
  <si>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</si>
  <si>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</si>
  <si>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</si>
  <si>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</si>
  <si>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</si>
  <si>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</si>
  <si>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</si>
  <si>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</si>
  <si>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</si>
  <si>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</si>
  <si>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</si>
  <si>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</si>
  <si>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</si>
  <si>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</si>
  <si>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</si>
  <si>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</si>
  <si>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</si>
  <si>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</si>
  <si>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</si>
  <si>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</si>
  <si>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</si>
  <si>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</si>
  <si>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</si>
  <si>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</si>
  <si>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</si>
  <si>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</si>
  <si>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</si>
  <si>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</si>
  <si>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</si>
  <si>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</si>
  <si>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</si>
  <si>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</si>
  <si>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</si>
  <si>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</si>
  <si>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</si>
  <si>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</si>
  <si>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</si>
  <si>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</si>
  <si>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</si>
  <si>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</si>
  <si>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</si>
  <si>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</si>
  <si>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</si>
  <si>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</si>
  <si>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</si>
  <si>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</si>
  <si>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</si>
  <si>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</si>
  <si>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</si>
  <si>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</si>
  <si>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</si>
  <si>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</si>
  <si>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</si>
  <si>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</si>
  <si>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</si>
  <si>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</si>
  <si>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</si>
  <si>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</si>
  <si>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</si>
  <si>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</si>
  <si>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</si>
  <si>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</si>
  <si>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</si>
  <si>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</si>
  <si>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</si>
  <si>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</si>
  <si>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</si>
  <si>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</si>
  <si>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</si>
  <si>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</si>
  <si>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</si>
  <si>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</si>
  <si>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</si>
  <si>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</si>
  <si>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</si>
  <si>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</si>
  <si>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</si>
  <si>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</si>
  <si>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</si>
  <si>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</si>
  <si>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</si>
  <si>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</si>
  <si>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</si>
  <si>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</si>
  <si>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</si>
  <si>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</si>
  <si>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</si>
  <si>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</si>
  <si>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</si>
  <si>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</si>
  <si>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</si>
  <si>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</si>
  <si>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</si>
  <si>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</si>
  <si>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</si>
  <si>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</si>
  <si>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</si>
  <si>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</si>
  <si>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</si>
  <si>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</si>
  <si>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</si>
  <si>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</si>
  <si>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</si>
  <si>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</si>
  <si>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</si>
  <si>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</si>
  <si>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</si>
  <si>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</si>
  <si>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</si>
  <si>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</si>
  <si>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</si>
  <si>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</si>
  <si>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</si>
  <si>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</si>
  <si>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</si>
  <si>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</si>
  <si>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</si>
  <si>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</si>
  <si>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</si>
  <si>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</si>
  <si>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</si>
  <si>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</si>
  <si>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</si>
  <si>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</si>
  <si>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</si>
  <si>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</si>
  <si>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</si>
  <si>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</si>
  <si>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</si>
  <si>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</si>
  <si>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</si>
  <si>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</si>
  <si>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</si>
  <si>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</si>
  <si>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</si>
  <si>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</si>
  <si>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</si>
  <si>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</si>
  <si>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</si>
  <si>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</si>
  <si>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</si>
  <si>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</si>
  <si>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</si>
  <si>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</si>
  <si>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</si>
  <si>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</si>
  <si>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</si>
  <si>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</si>
  <si>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</si>
  <si>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</si>
  <si>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</si>
  <si>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</si>
  <si>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</si>
  <si>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</si>
  <si>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</si>
  <si>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</si>
  <si>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</si>
  <si>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</si>
  <si>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</si>
  <si>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</si>
  <si>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</si>
  <si>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</si>
  <si>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</si>
  <si>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</si>
  <si>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</si>
  <si>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</si>
  <si>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</si>
  <si>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</si>
  <si>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</si>
  <si>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</si>
  <si>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</si>
  <si>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</si>
  <si>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</si>
  <si>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</si>
  <si>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</si>
  <si>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</si>
  <si>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</si>
  <si>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</si>
  <si>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</si>
  <si>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</si>
  <si>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</si>
  <si>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</si>
  <si>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</si>
  <si>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</si>
  <si>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</si>
  <si>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</si>
  <si>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</si>
  <si>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</si>
  <si>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</si>
  <si>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</si>
  <si>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</si>
  <si>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</si>
  <si>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</si>
  <si>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</si>
  <si>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</si>
  <si>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</si>
  <si>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</si>
  <si>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</si>
  <si>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</si>
  <si>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</si>
  <si>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</si>
  <si>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</si>
  <si>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</si>
  <si>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</si>
  <si>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</si>
  <si>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</si>
  <si>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</si>
  <si>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</si>
  <si>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</si>
  <si>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</si>
  <si>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</si>
  <si>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</si>
  <si>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</si>
  <si>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Minor defect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</si>
  <si>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</si>
  <si>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</si>
  <si>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</si>
  <si>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</si>
  <si>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</si>
  <si>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</si>
  <si>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</si>
  <si>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</si>
  <si>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</si>
  <si>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</si>
  <si>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</si>
  <si>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</si>
  <si>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</si>
  <si>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</si>
  <si>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</si>
  <si>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</si>
  <si>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</si>
  <si>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</si>
  <si>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</si>
  <si>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</si>
  <si>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</si>
  <si>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</si>
  <si>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</si>
  <si>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</si>
  <si>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</si>
  <si>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</si>
  <si>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</si>
  <si>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</si>
  <si>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</si>
  <si>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</si>
  <si>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</si>
  <si>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</si>
  <si>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</si>
  <si>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</si>
  <si>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</si>
  <si>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</si>
  <si>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</si>
  <si>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</si>
  <si>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</si>
  <si>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</si>
  <si>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</si>
  <si>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</si>
  <si>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</si>
  <si>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</si>
  <si>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</si>
  <si>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</si>
  <si>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</si>
  <si>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</si>
  <si>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</si>
  <si>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</si>
  <si>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</si>
  <si>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</si>
  <si>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</si>
  <si>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</si>
  <si>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</si>
  <si>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</si>
  <si>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</si>
  <si>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</si>
  <si>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</si>
  <si>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</si>
  <si>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</si>
  <si>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</si>
  <si>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</si>
  <si>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</si>
  <si>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</si>
  <si>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</si>
  <si>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</si>
  <si>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</si>
  <si>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</si>
  <si>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</si>
  <si>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</si>
  <si>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</si>
  <si>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</si>
  <si>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</si>
  <si>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</si>
  <si>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</si>
  <si>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</si>
  <si>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</si>
  <si>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</si>
  <si>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</si>
  <si>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</si>
  <si>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</si>
  <si>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</si>
  <si>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</si>
  <si>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</si>
  <si>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</si>
  <si>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</si>
  <si>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</si>
  <si>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</si>
  <si>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</si>
  <si>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</si>
  <si>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</si>
  <si>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</si>
  <si>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</si>
  <si>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</si>
  <si>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</si>
  <si>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</si>
  <si>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</si>
  <si>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</si>
  <si>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</si>
  <si>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</si>
  <si>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</si>
  <si>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</si>
  <si>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</si>
  <si>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</si>
  <si>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</si>
  <si>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</si>
  <si>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</si>
  <si>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</si>
  <si>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</si>
  <si>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</si>
  <si>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</si>
  <si>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</si>
  <si>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</si>
  <si>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</si>
  <si>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</si>
  <si>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</si>
  <si>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</si>
  <si>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</si>
  <si>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</si>
  <si>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</si>
  <si>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</si>
  <si>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</si>
  <si>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</si>
  <si>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</si>
  <si>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</si>
  <si>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</si>
  <si>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</si>
  <si>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</si>
  <si>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</si>
  <si>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</si>
  <si>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</si>
  <si>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</si>
  <si>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</si>
  <si>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</si>
  <si>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</si>
  <si>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</si>
  <si>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</si>
  <si>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</si>
  <si>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</si>
  <si>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</si>
  <si>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</si>
  <si>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</si>
  <si>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</si>
  <si>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</si>
  <si>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</si>
  <si>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</si>
  <si>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</si>
  <si>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</si>
  <si>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</si>
  <si>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</si>
  <si>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</si>
  <si>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</si>
  <si>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</si>
  <si>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</si>
  <si>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</si>
  <si>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</si>
  <si>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</si>
  <si>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</si>
  <si>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</si>
  <si>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</si>
  <si>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</si>
  <si>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</si>
  <si>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</si>
  <si>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</si>
  <si>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</si>
  <si>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</si>
  <si>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</si>
  <si>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</si>
  <si>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</si>
  <si>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</si>
  <si>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</si>
  <si>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</si>
  <si>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</si>
  <si>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</si>
  <si>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</si>
  <si>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</si>
  <si>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</si>
  <si>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</si>
  <si>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</si>
  <si>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</si>
  <si>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</si>
  <si>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</si>
  <si>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</si>
  <si>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</si>
  <si>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</si>
  <si>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</si>
  <si>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</si>
  <si>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</si>
  <si>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</si>
  <si>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</si>
  <si>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</si>
  <si>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</si>
  <si>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</si>
  <si>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</si>
  <si>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</si>
  <si>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</si>
  <si>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</si>
  <si>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</si>
  <si>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</si>
  <si>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</si>
  <si>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</si>
  <si>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</si>
  <si>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</si>
  <si>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</si>
  <si>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</si>
  <si>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</si>
  <si>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</si>
  <si>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</si>
  <si>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</si>
  <si>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</si>
  <si>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</si>
  <si>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</si>
  <si>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</si>
  <si>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</si>
  <si>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</si>
  <si>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</si>
  <si>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</si>
  <si>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</si>
  <si>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</si>
  <si>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</si>
  <si>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</si>
  <si>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</si>
  <si>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</si>
  <si>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</si>
  <si>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</si>
  <si>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</si>
  <si>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</si>
  <si>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</si>
  <si>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</si>
  <si>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</si>
  <si>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</si>
  <si>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</si>
  <si>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</si>
  <si>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</si>
  <si>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</si>
  <si>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</si>
  <si>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</si>
  <si>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</si>
  <si>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</si>
  <si>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</si>
  <si>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</si>
  <si>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</si>
  <si>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</si>
  <si>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</si>
  <si>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</si>
  <si>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</si>
  <si>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</si>
  <si>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</si>
  <si>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</si>
  <si>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</si>
  <si>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</si>
  <si>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</si>
  <si>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</si>
  <si>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</si>
  <si>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</si>
  <si>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</si>
  <si>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</si>
  <si>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</si>
  <si>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</si>
  <si>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</si>
  <si>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</si>
  <si>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</si>
  <si>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</si>
  <si>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</si>
  <si>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</si>
  <si>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</si>
  <si>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</si>
  <si>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</si>
  <si>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</si>
  <si>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</si>
  <si>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</si>
  <si>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</si>
  <si>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</si>
  <si>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</si>
  <si>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</si>
  <si>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</si>
  <si>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</si>
  <si>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</si>
  <si>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</si>
  <si>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</si>
  <si>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</si>
  <si>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</si>
  <si>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</si>
  <si>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</si>
  <si>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</si>
  <si>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</si>
  <si>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</si>
  <si>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</si>
  <si>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</si>
  <si>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</si>
  <si>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</si>
  <si>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</si>
  <si>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</si>
  <si>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</si>
  <si>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</si>
  <si>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</si>
  <si>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</si>
  <si>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</si>
  <si>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</si>
  <si>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</si>
  <si>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</si>
  <si>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</si>
  <si>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</si>
  <si>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</si>
  <si>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</si>
  <si>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</si>
  <si>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</si>
  <si>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</si>
  <si>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</si>
  <si>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</si>
  <si>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</si>
  <si>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</si>
  <si>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</si>
  <si>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</si>
  <si>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</si>
  <si>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</si>
  <si>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</si>
  <si>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</si>
  <si>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</si>
  <si>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</si>
  <si>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</si>
  <si>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</si>
  <si>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</si>
  <si>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</si>
  <si>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</si>
  <si>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</si>
  <si>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</si>
  <si>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</si>
  <si>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</si>
  <si>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</si>
  <si>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</si>
  <si>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</si>
  <si>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</si>
  <si>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</si>
  <si>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</si>
  <si>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</si>
  <si>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</si>
  <si>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</si>
  <si>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</si>
  <si>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</si>
  <si>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</si>
  <si>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</si>
  <si>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</si>
  <si>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</si>
  <si>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</si>
  <si>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</si>
  <si>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</si>
  <si>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</si>
  <si>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</si>
  <si>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</si>
  <si>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</si>
  <si>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</si>
  <si>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</si>
  <si>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</si>
  <si>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</si>
  <si>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</si>
  <si>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</si>
  <si>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</si>
  <si>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</si>
  <si>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</si>
  <si>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</si>
  <si>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</si>
  <si>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</si>
  <si>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</si>
  <si>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</si>
  <si>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</si>
  <si>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</si>
  <si>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</si>
  <si>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</si>
  <si>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</si>
  <si>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</si>
  <si>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</si>
  <si>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</si>
  <si>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</si>
  <si>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</si>
  <si>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</si>
  <si>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</si>
  <si>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</si>
  <si>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</si>
  <si>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</si>
  <si>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</si>
  <si>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</si>
  <si>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</si>
  <si>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</si>
  <si>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</si>
  <si>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</si>
  <si>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</si>
  <si>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</si>
  <si>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</si>
  <si>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</si>
  <si>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</si>
  <si>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</si>
  <si>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</si>
  <si>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</si>
  <si>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</si>
  <si>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</si>
  <si>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</si>
  <si>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</si>
  <si>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</si>
  <si>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</si>
  <si>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</si>
  <si>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</si>
  <si>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</si>
  <si>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</si>
  <si>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</si>
  <si>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</si>
  <si>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</si>
  <si>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</si>
  <si>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</si>
  <si>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</si>
  <si>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</si>
  <si>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</si>
  <si>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</si>
  <si>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</si>
  <si>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</si>
  <si>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</si>
  <si>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</si>
  <si>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</si>
  <si>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</si>
  <si>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</si>
  <si>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</si>
  <si>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</si>
  <si>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</si>
  <si>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</si>
  <si>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</si>
  <si>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</si>
  <si>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</si>
  <si>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</si>
  <si>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</si>
  <si>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</si>
  <si>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</si>
  <si>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</si>
  <si>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</si>
  <si>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</si>
  <si>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</si>
  <si>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</si>
  <si>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</si>
  <si>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</si>
  <si>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</si>
  <si>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</si>
  <si>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</si>
  <si>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</si>
  <si>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</si>
  <si>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</si>
  <si>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</si>
  <si>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</si>
  <si>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</si>
  <si>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</si>
  <si>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</si>
  <si>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</si>
  <si>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</si>
  <si>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</si>
  <si>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</si>
  <si>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</si>
  <si>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</si>
  <si>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</si>
  <si>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</si>
  <si>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</si>
  <si>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</si>
  <si>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</si>
  <si>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</si>
  <si>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</si>
  <si>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</si>
  <si>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</si>
  <si>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</si>
  <si>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</si>
  <si>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</si>
  <si>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</si>
  <si>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</si>
  <si>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</si>
  <si>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</si>
  <si>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</si>
  <si>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</si>
  <si>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</si>
  <si>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</si>
  <si>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</si>
  <si>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</si>
  <si>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</si>
  <si>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</si>
  <si>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</si>
  <si>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</si>
  <si>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</si>
  <si>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</si>
  <si>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</si>
  <si>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</si>
  <si>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</si>
  <si>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</si>
  <si>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</si>
  <si>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</si>
  <si>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</si>
  <si>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</si>
  <si>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</si>
  <si>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</si>
  <si>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</si>
  <si>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</si>
  <si>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</si>
  <si>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</si>
  <si>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</si>
  <si>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</si>
  <si>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</si>
  <si>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</si>
  <si>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</si>
  <si>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</si>
  <si>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</si>
  <si>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</si>
  <si>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</si>
  <si>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</si>
  <si>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</si>
  <si>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</si>
  <si>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</si>
  <si>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</si>
  <si>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</si>
  <si>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</si>
  <si>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</si>
  <si>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</si>
  <si>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</si>
  <si>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</si>
  <si>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</si>
  <si>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</si>
  <si>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</si>
  <si>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</si>
  <si>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</si>
  <si>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</si>
  <si>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</si>
  <si>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</si>
  <si>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</si>
  <si>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</si>
  <si>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</si>
  <si>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</si>
  <si>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</si>
  <si>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</si>
  <si>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</si>
  <si>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</si>
  <si>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</si>
  <si>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</si>
  <si>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</si>
  <si>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</si>
  <si>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</si>
  <si>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</si>
  <si>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</si>
  <si>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</si>
  <si>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</si>
  <si>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</si>
  <si>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</si>
  <si>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</si>
  <si>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</si>
  <si>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</si>
  <si>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</si>
  <si>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</si>
  <si>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</si>
  <si>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</si>
  <si>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</si>
  <si>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</si>
  <si>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</si>
  <si>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</si>
  <si>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</si>
  <si>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</si>
  <si>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</si>
  <si>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</si>
  <si>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</si>
  <si>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</si>
  <si>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</si>
  <si>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</si>
  <si>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</si>
  <si>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</si>
  <si>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</si>
  <si>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</si>
  <si>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</si>
  <si>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</si>
  <si>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</si>
  <si>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</si>
  <si>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</si>
  <si>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</si>
  <si>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</si>
  <si>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</si>
  <si>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</si>
  <si>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</si>
  <si>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</si>
  <si>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</si>
  <si>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</si>
  <si>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</si>
  <si>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</si>
  <si>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</si>
  <si>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</si>
  <si>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</si>
  <si>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</si>
  <si>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</si>
  <si>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</si>
  <si>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</si>
  <si>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</si>
  <si>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</si>
  <si>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</si>
  <si>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</si>
  <si>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</si>
  <si>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</si>
  <si>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</si>
  <si>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</si>
  <si>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</si>
  <si>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</si>
  <si>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</si>
  <si>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</si>
  <si>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</si>
  <si>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</si>
  <si>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</si>
  <si>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</si>
  <si>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</si>
  <si>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</si>
  <si>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</si>
  <si>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</si>
  <si>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</si>
  <si>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</si>
  <si>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ANDHERI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</si>
  <si>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</si>
  <si>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</si>
  <si>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</si>
  <si>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</si>
  <si>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</si>
  <si>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</si>
  <si>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</si>
  <si>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</si>
  <si>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</si>
  <si>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</si>
  <si>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</si>
  <si>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</si>
  <si>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</si>
  <si>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</si>
  <si>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</si>
  <si>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</si>
  <si>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</si>
  <si>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</si>
  <si>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</si>
  <si>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</si>
  <si>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</si>
  <si>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</si>
  <si>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</si>
  <si>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</si>
  <si>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</si>
  <si>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</si>
  <si>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</si>
  <si>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</si>
  <si>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</si>
  <si>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</si>
  <si>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</si>
  <si>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</si>
  <si>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</si>
  <si>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</si>
  <si>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</si>
  <si>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</si>
  <si>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</si>
  <si>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</si>
  <si>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</si>
  <si>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</si>
  <si>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</si>
  <si>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</si>
  <si>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</si>
  <si>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</si>
  <si>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</si>
  <si>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</si>
  <si>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</si>
  <si>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</si>
  <si>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</si>
  <si>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</si>
  <si>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</si>
  <si>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</si>
  <si>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</si>
  <si>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</si>
  <si>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</si>
  <si>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</si>
  <si>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</si>
  <si>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</si>
  <si>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</si>
  <si>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</si>
  <si>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</si>
  <si>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</si>
  <si>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</si>
  <si>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</si>
  <si>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</si>
  <si>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</si>
  <si>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</si>
  <si>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</si>
  <si>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</si>
  <si>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</si>
  <si>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</si>
  <si>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</si>
  <si>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</si>
  <si>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</si>
  <si>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</si>
  <si>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</si>
  <si>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</si>
  <si>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</si>
  <si>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</si>
  <si>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</si>
  <si>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</si>
  <si>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</si>
  <si>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</si>
  <si>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</si>
  <si>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</si>
  <si>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</si>
  <si>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</si>
  <si>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</si>
  <si>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</si>
  <si>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</si>
  <si>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</si>
  <si>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</si>
  <si>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</si>
  <si>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</si>
  <si>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</si>
  <si>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</si>
  <si>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</si>
  <si>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</si>
  <si>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</si>
  <si>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</si>
  <si>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</si>
  <si>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</si>
  <si>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</si>
  <si>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</si>
  <si>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</si>
  <si>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</si>
  <si>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</si>
  <si>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</si>
  <si>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</si>
  <si>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</si>
  <si>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</si>
  <si>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</si>
  <si>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</si>
  <si>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</si>
  <si>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</si>
  <si>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</si>
  <si>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</si>
  <si>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</si>
  <si>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</si>
  <si>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</si>
  <si>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</si>
  <si>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</si>
  <si>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</si>
  <si>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</si>
  <si>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</si>
  <si>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</si>
  <si>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</si>
  <si>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</si>
  <si>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</si>
  <si>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</si>
  <si>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</si>
  <si>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</si>
  <si>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</si>
  <si>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</si>
  <si>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</si>
  <si>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</si>
  <si>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</si>
  <si>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</si>
  <si>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</si>
  <si>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</si>
  <si>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</si>
  <si>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</si>
  <si>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</si>
  <si>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</si>
  <si>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</si>
  <si>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</si>
  <si>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</si>
  <si>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</si>
  <si>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</si>
  <si>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</si>
  <si>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</si>
  <si>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</si>
  <si>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</si>
  <si>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</si>
  <si>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</si>
  <si>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</si>
  <si>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</si>
  <si>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</si>
  <si>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</si>
  <si>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</si>
  <si>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</si>
  <si>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</si>
  <si>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</si>
  <si>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</si>
  <si>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</si>
  <si>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</si>
  <si>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</si>
  <si>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</si>
  <si>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</si>
  <si>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</si>
  <si>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</si>
  <si>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</si>
  <si>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</si>
  <si>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</si>
  <si>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</si>
  <si>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</si>
  <si>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</si>
  <si>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</si>
  <si>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</si>
  <si>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</si>
  <si>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</si>
  <si>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</si>
  <si>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</si>
  <si>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</si>
  <si>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</si>
  <si>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</si>
  <si>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</si>
  <si>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</si>
  <si>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</si>
  <si>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</si>
  <si>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</si>
  <si>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</si>
  <si>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</si>
  <si>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</si>
  <si>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</si>
  <si>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</si>
  <si>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</si>
  <si>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</si>
  <si>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</si>
  <si>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</si>
  <si>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</si>
  <si>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</si>
  <si>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</si>
  <si>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</si>
  <si>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</si>
  <si>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</si>
  <si>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</si>
  <si>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</si>
  <si>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</si>
  <si>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</si>
  <si>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</si>
  <si>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</si>
  <si>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</si>
  <si>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</si>
  <si>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</si>
  <si>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</si>
  <si>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</si>
  <si>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</si>
  <si>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</si>
  <si>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</si>
  <si>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</si>
  <si>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</si>
  <si>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</si>
  <si>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</si>
  <si>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</si>
  <si>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</si>
  <si>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</si>
  <si>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</si>
  <si>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</si>
  <si>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</si>
  <si>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</si>
  <si>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</si>
  <si>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</si>
  <si>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</si>
  <si>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</si>
  <si>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</si>
  <si>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</si>
  <si>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</si>
  <si>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</si>
  <si>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</si>
  <si>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</si>
  <si>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</si>
  <si>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</si>
  <si>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</si>
  <si>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</si>
  <si>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</si>
  <si>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</si>
  <si>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</si>
  <si>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</si>
  <si>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</si>
  <si>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</si>
  <si>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</si>
  <si>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</si>
  <si>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</si>
  <si>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</si>
  <si>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</si>
  <si>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</si>
  <si>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</si>
  <si>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</si>
  <si>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</si>
  <si>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</si>
  <si>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</si>
  <si>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</si>
  <si>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</si>
  <si>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</si>
  <si>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</si>
  <si>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</si>
  <si>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</si>
  <si>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</si>
  <si>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</si>
  <si>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</si>
  <si>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</si>
  <si>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</si>
  <si>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</si>
  <si>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</si>
  <si>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</si>
  <si>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</si>
  <si>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</si>
  <si>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</si>
  <si>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</si>
  <si>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</si>
  <si>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</si>
  <si>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</si>
  <si>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</si>
  <si>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</si>
  <si>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</si>
  <si>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</si>
  <si>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</si>
  <si>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</si>
  <si>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</si>
  <si>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</si>
  <si>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</si>
  <si>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</si>
  <si>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</si>
  <si>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</si>
  <si>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</si>
  <si>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</si>
  <si>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</si>
  <si>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</si>
  <si>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</si>
  <si>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</si>
  <si>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</si>
  <si>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</si>
  <si>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</si>
  <si>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</si>
  <si>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</si>
  <si>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</si>
  <si>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</si>
  <si>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</si>
  <si>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</si>
  <si>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</si>
  <si>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</si>
  <si>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</si>
  <si>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</si>
  <si>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</si>
  <si>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</si>
  <si>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</si>
  <si>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</si>
  <si>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</si>
  <si>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</si>
  <si>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</si>
  <si>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</si>
  <si>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</si>
  <si>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</si>
  <si>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</si>
  <si>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</si>
  <si>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</si>
  <si>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</si>
  <si>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</si>
  <si>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</si>
  <si>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</si>
  <si>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</si>
  <si>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</si>
  <si>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</si>
  <si>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</si>
  <si>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</si>
  <si>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</si>
  <si>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</si>
  <si>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</si>
  <si>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</si>
  <si>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</si>
  <si>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</si>
  <si>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</si>
  <si>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</si>
  <si>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</si>
  <si>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</si>
  <si>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</si>
  <si>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</si>
  <si>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</si>
  <si>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</si>
  <si>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</si>
  <si>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</si>
  <si>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</si>
  <si>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</si>
  <si>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</si>
  <si>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</si>
  <si>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</si>
  <si>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</si>
  <si>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</si>
  <si>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</si>
  <si>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</si>
  <si>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</si>
  <si>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</si>
  <si>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</si>
  <si>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</si>
  <si>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</si>
  <si>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</si>
  <si>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</si>
  <si>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</si>
  <si>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</si>
  <si>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</si>
  <si>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</si>
  <si>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</si>
  <si>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</si>
  <si>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</si>
  <si>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</si>
  <si>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</si>
  <si>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</si>
  <si>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</si>
  <si>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</si>
  <si>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</si>
  <si>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</si>
  <si>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</si>
  <si>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</si>
  <si>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</si>
  <si>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</si>
  <si>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</si>
  <si>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</si>
  <si>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</si>
  <si>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</si>
  <si>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</si>
  <si>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</si>
  <si>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</si>
  <si>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</si>
  <si>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</si>
  <si>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</si>
  <si>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</si>
  <si>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</si>
  <si>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</si>
  <si>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</si>
  <si>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</si>
  <si>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</si>
  <si>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</si>
  <si>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</si>
  <si>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</si>
  <si>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</si>
  <si>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</si>
  <si>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</si>
  <si>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</si>
  <si>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</si>
  <si>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</si>
  <si>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</si>
  <si>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</si>
  <si>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</si>
  <si>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</si>
  <si>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</si>
  <si>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</si>
  <si>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</si>
  <si>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</si>
  <si>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</si>
  <si>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</si>
  <si>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</si>
  <si>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</si>
  <si>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</si>
  <si>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</si>
  <si>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</si>
  <si>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</si>
  <si>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</si>
  <si>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</si>
  <si>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</si>
  <si>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</si>
  <si>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</si>
  <si>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</si>
  <si>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</si>
  <si>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</si>
  <si>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</si>
  <si>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</si>
  <si>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</si>
  <si>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</si>
  <si>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</si>
  <si>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</si>
  <si>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</si>
  <si>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</si>
  <si>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</si>
  <si>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</si>
  <si>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</si>
  <si>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</si>
  <si>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</si>
  <si>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</si>
  <si>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</si>
  <si>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</si>
  <si>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</si>
  <si>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</si>
  <si>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</si>
  <si>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</si>
  <si>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</si>
  <si>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</si>
  <si>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</si>
  <si>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</si>
  <si>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</si>
  <si>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</si>
  <si>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</si>
  <si>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</si>
  <si>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</si>
  <si>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</si>
  <si>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</si>
  <si>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</si>
  <si>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</si>
  <si>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</si>
  <si>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</si>
  <si>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</si>
  <si>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</si>
  <si>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</si>
  <si>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</si>
  <si>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</si>
  <si>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</si>
  <si>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</si>
  <si>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</si>
  <si>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</si>
  <si>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</si>
  <si>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</si>
  <si>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</si>
  <si>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</si>
  <si>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</si>
  <si>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</si>
  <si>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</si>
  <si>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</si>
  <si>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</si>
  <si>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</si>
  <si>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</si>
  <si>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</si>
  <si>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</si>
  <si>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</si>
  <si>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</si>
  <si>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</si>
  <si>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</si>
  <si>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</si>
  <si>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</si>
  <si>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</si>
  <si>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</si>
  <si>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</si>
  <si>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</si>
  <si>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</si>
  <si>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</si>
  <si>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</si>
  <si>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</si>
  <si>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</si>
  <si>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</si>
  <si>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</si>
  <si>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</si>
  <si>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</si>
  <si>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</si>
  <si>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</si>
  <si>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</si>
  <si>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</si>
  <si>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</si>
  <si>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</si>
  <si>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</si>
  <si>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</si>
  <si>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</si>
  <si>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</si>
  <si>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</si>
  <si>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</si>
  <si>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</si>
  <si>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</si>
  <si>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</si>
  <si>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</si>
  <si>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</si>
  <si>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</si>
  <si>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</si>
  <si>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</si>
  <si>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</si>
  <si>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</si>
  <si>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</si>
  <si>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</si>
  <si>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</si>
  <si>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</si>
  <si>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</si>
  <si>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</si>
  <si>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</si>
  <si>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</si>
  <si>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</si>
  <si>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</si>
  <si>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</si>
  <si>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</si>
  <si>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</si>
  <si>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</si>
  <si>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</si>
  <si>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</si>
  <si>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</si>
  <si>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</si>
  <si>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</si>
  <si>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</si>
  <si>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</si>
  <si>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</si>
  <si>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</si>
  <si>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</si>
  <si>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</si>
  <si>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</si>
  <si>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</si>
  <si>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</si>
  <si>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</si>
  <si>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</si>
  <si>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</si>
  <si>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</si>
  <si>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</si>
  <si>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</si>
  <si>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</si>
  <si>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</si>
  <si>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</si>
  <si>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</si>
  <si>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</si>
  <si>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</si>
  <si>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</si>
  <si>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</si>
  <si>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</si>
  <si>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</si>
  <si>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</si>
  <si>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</si>
  <si>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</si>
  <si>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</si>
  <si>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</si>
  <si>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</si>
  <si>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</si>
  <si>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</si>
  <si>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</si>
  <si>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</si>
  <si>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</si>
  <si>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</si>
  <si>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</si>
  <si>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</si>
  <si>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</si>
  <si>
    <t>Available in Swatch Catalog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</si>
</sst>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1F3864"/>
      <name val="Arial"/>
      <family val="2"/>
      <charset val="1"/>
    </font>
    <font>
      <sz val="9"/>
      <name val="Arial"/>
      <family val="2"/>
      <charset val="1"/>
    </font>
    <font>
      <sz val="8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i/>
      <sz val="8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/>
      <sz val="8"/>
      <name val="Arial"/>
      <family val="2"/>
      <charset val="1"/>
    </font>
    <font>
      <b/>
      <sz val="10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8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AE3F3"/>
        <bgColor rgb="FFD9F0EF"/>
      </patternFill>
    </fill>
    <fill>
      <patternFill patternType="solid">
        <fgColor rgb="FF375623"/>
        <bgColor rgb="FF276221"/>
      </patternFill>
    </fill>
    <fill>
      <patternFill patternType="solid">
        <fgColor rgb="FF833C00"/>
        <bgColor rgb="FF9C6500"/>
      </patternFill>
    </fill>
    <fill>
      <patternFill patternType="solid">
        <fgColor rgb="FF5C2751"/>
        <bgColor rgb="FF660066"/>
      </patternFill>
    </fill>
    <fill>
      <patternFill patternType="solid">
        <fgColor rgb="FF1D6160"/>
        <bgColor rgb="FF276221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D9F0EF"/>
      </patternFill>
    </fill>
    <fill>
      <patternFill patternType="solid">
        <fgColor rgb="FFFCE4D6"/>
        <bgColor rgb="FFFFF2CC"/>
      </patternFill>
    </fill>
    <fill>
      <patternFill patternType="solid">
        <fgColor rgb="FFE8D0F0"/>
        <bgColor rgb="FFDAE3F3"/>
      </patternFill>
    </fill>
    <fill>
      <patternFill patternType="solid">
        <fgColor rgb="FFD9F0EF"/>
        <bgColor rgb="FFE2EFDA"/>
      </patternFill>
    </fill>
    <fill>
      <patternFill patternType="solid">
        <fgColor rgb="FFF5F5F5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5F5F5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9" fontId="7" fillId="3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9" fontId="7" fillId="10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9" fontId="7" fillId="11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9" fontId="7" fillId="12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9" fontId="7" fillId="13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left" vertical="center"/>
    </xf>
    <xf numFmtId="0" fontId="13" fillId="1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15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15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5" fillId="7" borderId="1" xfId="0" applyFont="1" applyFill="1" applyBorder="1" applyAlignment="1">
      <alignment horizontal="left" vertical="center"/>
    </xf>
    <xf numFmtId="0" fontId="0" fillId="7" borderId="1" xfId="0" applyFill="1" applyBorder="1"/>
    <xf numFmtId="14" fontId="12" fillId="3" borderId="1" xfId="0" applyNumberFormat="1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left" vertical="center"/>
    </xf>
    <xf numFmtId="0" fontId="17" fillId="17" borderId="1" xfId="0" applyFont="1" applyFill="1" applyBorder="1" applyAlignment="1">
      <alignment horizontal="left" vertical="center"/>
    </xf>
    <xf numFmtId="14" fontId="16" fillId="18" borderId="1" xfId="0" applyNumberFormat="1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7" fillId="19" borderId="2" xfId="0" applyFont="1" applyFill="1" applyBorder="1" applyAlignment="1">
      <alignment horizontal="left" vertical="center"/>
    </xf>
    <xf numFmtId="0" fontId="16" fillId="18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left" vertical="center"/>
    </xf>
    <xf numFmtId="0" fontId="18" fillId="20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left" vertical="center"/>
    </xf>
    <xf numFmtId="0" fontId="18" fillId="21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left" vertical="center"/>
    </xf>
    <xf numFmtId="0" fontId="18" fillId="22" borderId="1" xfId="0" applyFont="1" applyFill="1" applyBorder="1" applyAlignment="1">
      <alignment horizontal="center" vertical="center"/>
    </xf>
    <xf numFmtId="0" fontId="16" fillId="23" borderId="1" xfId="0" applyFont="1" applyFill="1" applyBorder="1" applyAlignment="1">
      <alignment horizontal="center" vertical="center"/>
    </xf>
    <xf numFmtId="0" fontId="16" fillId="23" borderId="1" xfId="0" applyFont="1" applyFill="1" applyBorder="1" applyAlignment="1">
      <alignment horizontal="left" vertical="center"/>
    </xf>
    <xf numFmtId="0" fontId="18" fillId="23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left" vertical="center"/>
    </xf>
    <xf numFmtId="0" fontId="17" fillId="16" borderId="1" xfId="0" applyFont="1" applyFill="1" applyBorder="1" applyAlignment="1">
      <alignment horizontal="left" vertical="center"/>
    </xf>
    <xf numFmtId="0" fontId="13" fillId="14" borderId="2" xfId="0" applyFont="1" applyFill="1" applyBorder="1" applyAlignment="1">
      <alignment horizontal="left" vertical="center" wrapText="1"/>
    </xf>
    <xf numFmtId="0" fontId="17" fillId="14" borderId="2" xfId="0" applyFont="1" applyFill="1" applyBorder="1" applyAlignment="1">
      <alignment horizontal="left" vertical="center"/>
    </xf>
    <xf numFmtId="0" fontId="16" fillId="9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left" vertical="center"/>
    </xf>
    <xf numFmtId="0" fontId="19" fillId="3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left" vertical="center" indent="1"/>
    </xf>
    <xf numFmtId="0" fontId="8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</cellXfs>
  <cellStyles count="1">
    <cellStyle name="Normal" xfId="0" builtinId="0"/>
  </cellStyles>
  <dxfs count="636"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1D6160"/>
      <rgbColor rgb="FFCCCCCC"/>
      <rgbColor rgb="FF808080"/>
      <rgbColor rgb="FF9999FF"/>
      <rgbColor rgb="FF993366"/>
      <rgbColor rgb="FFFFF2CC"/>
      <rgbColor rgb="FFD9F0EF"/>
      <rgbColor rgb="FF660066"/>
      <rgbColor rgb="FFFF8080"/>
      <rgbColor rgb="FF0066CC"/>
      <rgbColor rgb="FFE8D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DAE3F3"/>
      <rgbColor rgb="FFF2F2F2"/>
      <rgbColor rgb="FFF5F5F5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33C00"/>
      <rgbColor rgb="FF993366"/>
      <rgbColor rgb="FF333399"/>
      <rgbColor rgb="FF5C27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5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7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3.xml"/></Relationships>
</file>

<file path=xl/worksheets/_rels/sheet8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4.xml"/></Relationships>
</file>

<file path=xl/worksheets/_rels/sheet10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V27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B3" sqref="B3"/>
    </sheetView>
  </sheetViews>
  <sheetFormatPr defaultColWidth="8.6640625" defaultRowHeight="14.4" x14ac:dyDescent="0.3"/>
  <cols>
    <col min="1" max="1" width="3" customWidth="1"/>
    <col min="2" max="2" width="30" customWidth="1"/>
    <col min="3" max="23" width="13" customWidth="1"/>
  </cols>
  <sheetData>
    <row r="1" spans="2:22" ht="33.75" customHeight="1" x14ac:dyDescent="0.3">
      <c r="B1" s="91" t="s">
        <v>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</row>
    <row r="2" spans="2:22" ht="15" customHeight="1" x14ac:dyDescent="0.3">
      <c r="B2" s="92" t="s">
        <v>1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</row>
    <row r="3" spans="2:22" ht="7.5" customHeight="1" x14ac:dyDescent="0.3"/>
    <row r="4" spans="2:22" ht="18" customHeight="1" x14ac:dyDescent="0.3">
      <c r="B4" s="1"/>
      <c r="C4" s="93" t="s">
        <v>2</v>
      </c>
      <c r="D4" s="93"/>
      <c r="E4" s="93"/>
      <c r="F4" s="93"/>
      <c r="G4" s="94" t="s">
        <v>3</v>
      </c>
      <c r="H4" s="94"/>
      <c r="I4" s="94"/>
      <c r="J4" s="94"/>
      <c r="K4" s="95" t="s">
        <v>4</v>
      </c>
      <c r="L4" s="95"/>
      <c r="M4" s="95"/>
      <c r="N4" s="95"/>
      <c r="O4" s="96" t="s">
        <v>5</v>
      </c>
      <c r="P4" s="96"/>
      <c r="Q4" s="96"/>
      <c r="R4" s="96"/>
      <c r="S4" s="97" t="s">
        <v>6</v>
      </c>
      <c r="T4" s="97"/>
      <c r="U4" s="97"/>
      <c r="V4" s="97"/>
    </row>
    <row r="5" spans="2:22" ht="31.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5" customHeight="1" x14ac:dyDescent="0.3">
      <c r="B6" s="8" t="s">
        <v>12</v>
      </c>
      <c r="C6" s="9">
        <v>292</v>
      </c>
      <c r="D6" s="9">
        <f>COUNTIF(Laminates!M5:M288,"✓ OK")</f>
        <v>194</v>
      </c>
      <c r="E6" s="9">
        <f>COUNTIF(Laminates!M5:M288,"⚠ Check")+COUNTIF(Laminates!M5:M288,"⚠ Missing")+COUNTIF(Laminates!M5:M288,"❌ Disc")</f>
        <v>90</v>
      </c>
      <c r="F6" s="10">
        <f>IFERROR(COUNTIF(Laminates!E5:E288,"&lt;&gt;""")/292,"—")</f>
        <v>0.9726027397260274</v>
      </c>
      <c r="G6" s="11">
        <v>292</v>
      </c>
      <c r="H6" s="11">
        <f>COUNTIF(Laminates!V5:V288,"✓ OK")</f>
        <v>0</v>
      </c>
      <c r="I6" s="11">
        <f>COUNTIF(Laminates!V5:V288,"⚠ Check")+COUNTIF(Laminates!V5:V288,"⚠ Missing")+COUNTIF(Laminates!V5:V288,"❌ Disc")</f>
        <v>0</v>
      </c>
      <c r="J6" s="12">
        <f>IFERROR(COUNTIF(Laminates!N5:N288,"&lt;&gt;""")/292,"—")</f>
        <v>0.9726027397260274</v>
      </c>
      <c r="K6" s="13">
        <v>292</v>
      </c>
      <c r="L6" s="13">
        <f>COUNTIF(Laminates!AE5:AE288,"✓ OK")</f>
        <v>0</v>
      </c>
      <c r="M6" s="13">
        <f>COUNTIF(Laminates!AE5:AE288,"⚠ Check")+COUNTIF(Laminates!AE5:AE288,"⚠ Missing")+COUNTIF(Laminates!AE5:AE288,"❌ Disc")</f>
        <v>0</v>
      </c>
      <c r="N6" s="14">
        <f>IFERROR(COUNTIF(Laminates!W5:W288,"&lt;&gt;""")/292,"—")</f>
        <v>0.9726027397260274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IFERROR(COUNTIF(Laminates!AF5:AF288,"&lt;&gt;""")/292,"—")</f>
        <v>0.9726027397260274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IFERROR(COUNTIF(Laminates!AO5:AO288,"&lt;&gt;""")/292,"—")</f>
        <v>0.9726027397260274</v>
      </c>
    </row>
    <row r="7" spans="2:22" ht="19.5" customHeight="1" x14ac:dyDescent="0.3">
      <c r="B7" s="19" t="s">
        <v>13</v>
      </c>
      <c r="C7" s="20">
        <v>63</v>
      </c>
      <c r="D7" s="20">
        <f>COUNTIF('Acrylic n Crystal Acrylic'!M5:M67,"✓ OK")</f>
        <v>60</v>
      </c>
      <c r="E7" s="20">
        <f>COUNTIF('Acrylic n Crystal Acrylic'!M5:M67,"⚠ Check")+COUNTIF('Acrylic n Crystal Acrylic'!M5:M67,"⚠ Missing")+COUNTIF('Acrylic n Crystal Acrylic'!M5:M67,"❌ Disc")</f>
        <v>3</v>
      </c>
      <c r="F7" s="21">
        <f>IFERROR(COUNTIF('Acrylic n Crystal Acrylic'!E5:E67,"&lt;&gt;""")/63,"—")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Acrylic'!N5:N67,"&lt;&gt;""")/63,"—")</f>
        <v>1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Acrylic'!AF5:AF67,"&lt;&gt;""")/63,"—")</f>
        <v>1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Acrylic'!AO5:AO67,"&lt;&gt;""")/63,"—")</f>
        <v>1</v>
      </c>
    </row>
    <row r="8" spans="2:22" ht="19.5" customHeight="1" x14ac:dyDescent="0.3">
      <c r="B8" s="8" t="s">
        <v>14</v>
      </c>
      <c r="C8" s="9">
        <v>81</v>
      </c>
      <c r="D8" s="9">
        <f>COUNTIF('PU and Membrane'!M5:M85,"✓ OK")</f>
        <v>73</v>
      </c>
      <c r="E8" s="9">
        <f>COUNTIF('PU and Membrane'!M5:M85,"⚠ Check")+COUNTIF('PU and Membrane'!M5:M85,"⚠ Missing")+COUNTIF('PU and Membrane'!M5:M85,"❌ Disc")</f>
        <v>8</v>
      </c>
      <c r="F8" s="10">
        <f>IFERROR(COUNTIF('PU and Membrane'!E5:E85,"&lt;&gt;""")/81,"—")</f>
        <v>1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Membrane'!N5:N85,"&lt;&gt;""")/81,"—")</f>
        <v>1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Membrane'!AF5:AF85,"&lt;&gt;""")/81,"—")</f>
        <v>1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Membrane'!AO5:AO85,"&lt;&gt;""")/81,"—")</f>
        <v>1</v>
      </c>
    </row>
    <row r="9" spans="2:22" ht="19.5" customHeight="1" x14ac:dyDescent="0.3">
      <c r="B9" s="19" t="s">
        <v>15</v>
      </c>
      <c r="C9" s="20">
        <v>164</v>
      </c>
      <c r="D9" s="20">
        <f>COUNTIF(Rafters!M5:M168,"✓ OK")</f>
        <v>135</v>
      </c>
      <c r="E9" s="20">
        <f>COUNTIF(Rafters!M5:M168,"⚠ Check")+COUNTIF(Rafters!M5:M168,"⚠ Missing")+COUNTIF(Rafters!M5:M168,"❌ Disc")</f>
        <v>29</v>
      </c>
      <c r="F9" s="21">
        <f>IFERROR(COUNTIF(Rafters!E5:E168,"&lt;&gt;""")/164,"—")</f>
        <v>1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IFERROR(COUNTIF(Rafters!N5:N168,"&lt;&gt;""")/164,"—")</f>
        <v>1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IFERROR(COUNTIF(Rafters!AF5:AF168,"&lt;&gt;""")/164,"—")</f>
        <v>1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IFERROR(COUNTIF(Rafters!AO5:AO168,"&lt;&gt;""")/164,"—")</f>
        <v>1</v>
      </c>
    </row>
    <row r="10" spans="2:22" ht="19.5" customHeight="1" x14ac:dyDescent="0.3">
      <c r="B10" s="8" t="s">
        <v>16</v>
      </c>
      <c r="C10" s="9">
        <v>1409</v>
      </c>
      <c r="D10" s="9">
        <f>COUNTIF(Wallpaper!M5:M1413,"✓ OK")</f>
        <v>1409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IFERROR(COUNTIF(Wallpaper!E5:E1413,"&lt;&gt;""")/1409,"—")</f>
        <v>1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IFERROR(COUNTIF(Wallpaper!N5:N1413,"&lt;&gt;""")/1409,"—")</f>
        <v>1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IFERROR(COUNTIF(Wallpaper!AF5:AF1413,"&lt;&gt;""")/1409,"—")</f>
        <v>1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IFERROR(COUNTIF(Wallpaper!AO5:AO1413,"&lt;&gt;""")/1409,"—")</f>
        <v>1</v>
      </c>
    </row>
    <row r="11" spans="2:22" ht="19.5" customHeight="1" x14ac:dyDescent="0.3">
      <c r="B11" s="19" t="s">
        <v>17</v>
      </c>
      <c r="C11" s="20">
        <v>73</v>
      </c>
      <c r="D11" s="20">
        <f>COUNTIF(Quartz!M5:M77,"✓ OK")</f>
        <v>59</v>
      </c>
      <c r="E11" s="20">
        <f>COUNTIF(Quartz!M5:M77,"⚠ Check")+COUNTIF(Quartz!M5:M77,"⚠ Missing")+COUNTIF(Quartz!M5:M77,"❌ Disc")</f>
        <v>14</v>
      </c>
      <c r="F11" s="21">
        <f>IFERROR(COUNTIF(Quartz!E5:E77,"&lt;&gt;""")/73,"—")</f>
        <v>1</v>
      </c>
      <c r="G11" s="20">
        <v>73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IFERROR(COUNTIF(Quartz!N5:N77,"&lt;&gt;""")/73,"—")</f>
        <v>1</v>
      </c>
      <c r="K11" s="20">
        <v>73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IFERROR(COUNTIF(Quartz!AF5:AF77,"&lt;&gt;""")/73,"—")</f>
        <v>1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IFERROR(COUNTIF(Quartz!AO5:AO77,"&lt;&gt;""")/73,"—")</f>
        <v>1</v>
      </c>
    </row>
    <row r="12" spans="2:22" ht="19.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IFERROR(COUNTIF(Granite!E5:E15,"&lt;&gt;""")/11,"—")</f>
        <v>1</v>
      </c>
      <c r="G12" s="11">
        <v>11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IFERROR(COUNTIF(Granite!N5:N15,"&lt;&gt;""")/11,"—")</f>
        <v>1</v>
      </c>
      <c r="K12" s="13">
        <v>11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IFERROR(COUNTIF(Granite!AF5:AF15,"&lt;&gt;""")/11,"—")</f>
        <v>1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IFERROR(COUNTIF(Granite!AO5:AO15,"&lt;&gt;""")/11,"—")</f>
        <v>1</v>
      </c>
    </row>
    <row r="13" spans="2:22" ht="19.5" customHeight="1" x14ac:dyDescent="0.3">
      <c r="B13" s="19" t="s">
        <v>19</v>
      </c>
      <c r="C13" s="20">
        <v>22</v>
      </c>
      <c r="D13" s="20">
        <f>COUNTIF('Wooden Flooring'!M5:M26,"✓ OK")</f>
        <v>3</v>
      </c>
      <c r="E13" s="20">
        <f>COUNTIF('Wooden Flooring'!M5:M26,"⚠ Check")+COUNTIF('Wooden Flooring'!M5:M26,"⚠ Missing")+COUNTIF('Wooden Flooring'!M5:M26,"❌ Disc")</f>
        <v>19</v>
      </c>
      <c r="F13" s="21">
        <f>IFERROR(COUNTIF('Wooden Flooring'!E5:E26,"&lt;&gt;""")/22,"—")</f>
        <v>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Flooring'!N5:N26,"&lt;&gt;""")/22,"—")</f>
        <v>1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Flooring'!AF5:AF26,"&lt;&gt;""")/22,"—")</f>
        <v>1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Flooring'!AO5:AO26,"&lt;&gt;""")/22,"—")</f>
        <v>1</v>
      </c>
    </row>
    <row r="14" spans="2:22" ht="19.5" customHeight="1" x14ac:dyDescent="0.3">
      <c r="B14" s="8" t="s">
        <v>20</v>
      </c>
      <c r="C14" s="9">
        <v>35</v>
      </c>
      <c r="D14" s="9">
        <f>COUNTIF(Beading!M5:M39,"✓ OK")</f>
        <v>17</v>
      </c>
      <c r="E14" s="9">
        <f>COUNTIF(Beading!M5:M39,"⚠ Check")+COUNTIF(Beading!M5:M39,"⚠ Missing")+COUNTIF(Beading!M5:M39,"❌ Disc")</f>
        <v>18</v>
      </c>
      <c r="F14" s="10">
        <f>IFERROR(COUNTIF(Beading!E5:E39,"&lt;&gt;""")/35,"—")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IFERROR(COUNTIF(Beading!N5:N39,"&lt;&gt;""")/35,"—")</f>
        <v>1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IFERROR(COUNTIF(Beading!AF5:AF39,"&lt;&gt;""")/35,"—")</f>
        <v>1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IFERROR(COUNTIF(Beading!AO5:AO39,"&lt;&gt;""")/35,"—")</f>
        <v>1</v>
      </c>
    </row>
    <row r="15" spans="2:22" ht="19.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Legs'!N5:N80,"&lt;&gt;""")/76,"—")</f>
        <v>1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Legs'!AF5:AF80,"&lt;&gt;""")/76,"—")</f>
        <v>1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Legs'!AO5:AO80,"&lt;&gt;""")/76,"—")</f>
        <v>1</v>
      </c>
    </row>
    <row r="16" spans="2:22" ht="19.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IFERROR(COUNTIF(Handles!N5:N516,"&lt;&gt;""")/512,"—")</f>
        <v>1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IFERROR(COUNTIF(Handles!AF5:AF516,"&lt;&gt;""")/512,"—")</f>
        <v>1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IFERROR(COUNTIF(Handles!AO5:AO516,"&lt;&gt;""")/512,"—")</f>
        <v>1</v>
      </c>
    </row>
    <row r="17" spans="2:22" ht="19.5" customHeight="1" x14ac:dyDescent="0.3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IFERROR(COUNTIF(Fabric!E5:E298,"&lt;&gt;""")/294,"—")</f>
        <v>1</v>
      </c>
      <c r="G17" s="20">
        <v>294</v>
      </c>
      <c r="H17" s="20">
        <f>COUNTIF(Fabric!V5:V298,"✓ OK")</f>
        <v>0</v>
      </c>
      <c r="I17" s="20">
        <f>COUNTIF(Fabric!V5:V298,"⚠ Check")+COUNTIF(Fabric!V5:V298,"⚠ Missing")+COUNTIF(Fabric!V5:V298,"❌ Disc")</f>
        <v>0</v>
      </c>
      <c r="J17" s="21">
        <f>IFERROR(COUNTIF(Fabric!N5:N298,"&lt;&gt;""")/294,"—")</f>
        <v>1</v>
      </c>
      <c r="K17" s="20">
        <v>294</v>
      </c>
      <c r="L17" s="20">
        <f>COUNTIF(Fabric!AE5:AE298,"✓ OK")</f>
        <v>0</v>
      </c>
      <c r="M17" s="20">
        <f>COUNTIF(Fabric!AE5:AE298,"⚠ Check")+COUNTIF(Fabric!AE5:AE298,"⚠ Missing")+COUNTIF(Fabric!AE5:AE298,"❌ Disc")</f>
        <v>0</v>
      </c>
      <c r="N17" s="21">
        <f>IFERROR(COUNTIF(Fabric!W5:W298,"&lt;&gt;""")/294,"—")</f>
        <v>1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IFERROR(COUNTIF(Fabric!AF5:AF298,"&lt;&gt;""")/294,"—")</f>
        <v>1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IFERROR(COUNTIF(Fabric!AO5:AO298,"&lt;&gt;""")/294,"—")</f>
        <v>1</v>
      </c>
    </row>
    <row r="18" spans="2:22" ht="19.5" customHeight="1" x14ac:dyDescent="0.3">
      <c r="B18" s="100" t="s">
        <v>24</v>
      </c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</row>
    <row r="20" spans="2:22" ht="14.25" hidden="1" customHeight="1" x14ac:dyDescent="0.3">
      <c r="B20" s="93" t="s">
        <v>25</v>
      </c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</row>
    <row r="21" spans="2:22" ht="15.75" hidden="1" customHeight="1" x14ac:dyDescent="0.3">
      <c r="B21" s="99" t="s">
        <v>26</v>
      </c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</row>
    <row r="22" spans="2:22" ht="15.75" hidden="1" customHeight="1" x14ac:dyDescent="0.3">
      <c r="B22" s="98" t="s">
        <v>27</v>
      </c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</row>
    <row r="23" spans="2:22" ht="15.75" hidden="1" customHeight="1" x14ac:dyDescent="0.3">
      <c r="B23" s="99" t="s">
        <v>28</v>
      </c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</row>
    <row r="24" spans="2:22" ht="15.75" hidden="1" customHeight="1" x14ac:dyDescent="0.3">
      <c r="B24" s="98" t="s">
        <v>29</v>
      </c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</row>
    <row r="25" spans="2:22" ht="15.75" hidden="1" customHeight="1" x14ac:dyDescent="0.3">
      <c r="B25" s="99" t="s">
        <v>30</v>
      </c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</row>
    <row r="26" spans="2:22" ht="15.75" hidden="1" customHeight="1" x14ac:dyDescent="0.3">
      <c r="B26" s="98" t="s">
        <v>31</v>
      </c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</row>
    <row r="27" spans="2:22" ht="14.25" hidden="1" customHeight="1" x14ac:dyDescent="0.3"/>
  </sheetData>
  <mergeCells count="15">
    <mergeCell ref="B24:V24"/>
    <mergeCell ref="B25:V25"/>
    <mergeCell ref="B26:V26"/>
    <mergeCell ref="B18:V18"/>
    <mergeCell ref="B20:V20"/>
    <mergeCell ref="B21:V21"/>
    <mergeCell ref="B22:V22"/>
    <mergeCell ref="B23:V23"/>
    <mergeCell ref="B1:V1"/>
    <mergeCell ref="B2:V2"/>
    <mergeCell ref="C4:F4"/>
    <mergeCell ref="G4:J4"/>
    <mergeCell ref="K4:N4"/>
    <mergeCell ref="O4:R4"/>
    <mergeCell ref="S4:V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</sheetPr>
  <dimension ref="A1:AW288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4" t="s">
        <v>32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</row>
    <row r="2" spans="1:49" ht="15" customHeight="1" x14ac:dyDescent="0.3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85"/>
      <c r="AT2" s="85"/>
      <c r="AU2" s="85"/>
      <c r="AV2" s="85"/>
      <c r="AW2" s="85"/>
    </row>
    <row r="3" spans="1:49" ht="19.5" customHeight="1" x14ac:dyDescent="0.3">
      <c r="A3" s="22"/>
      <c r="B3" s="22"/>
      <c r="C3" s="22"/>
      <c r="D3" s="22"/>
      <c r="E3" s="86" t="s">
        <v>34</v>
      </c>
      <c r="F3" s="86"/>
      <c r="G3" s="86"/>
      <c r="H3" s="86"/>
      <c r="I3" s="86"/>
      <c r="J3" s="86"/>
      <c r="K3" s="86"/>
      <c r="L3" s="86"/>
      <c r="M3" s="86"/>
      <c r="N3" s="87" t="s">
        <v>35</v>
      </c>
      <c r="O3" s="87"/>
      <c r="P3" s="87"/>
      <c r="Q3" s="87"/>
      <c r="R3" s="87"/>
      <c r="S3" s="87"/>
      <c r="T3" s="87"/>
      <c r="U3" s="87"/>
      <c r="V3" s="87"/>
      <c r="W3" s="88" t="s">
        <v>36</v>
      </c>
      <c r="X3" s="88"/>
      <c r="Y3" s="88"/>
      <c r="Z3" s="88"/>
      <c r="AA3" s="88"/>
      <c r="AB3" s="88"/>
      <c r="AC3" s="88"/>
      <c r="AD3" s="88"/>
      <c r="AE3" s="88"/>
      <c r="AF3" s="89" t="s">
        <v>37</v>
      </c>
      <c r="AG3" s="89"/>
      <c r="AH3" s="89"/>
      <c r="AI3" s="89"/>
      <c r="AJ3" s="89"/>
      <c r="AK3" s="89"/>
      <c r="AL3" s="89"/>
      <c r="AM3" s="89"/>
      <c r="AN3" s="89"/>
      <c r="AO3" s="90" t="s">
        <v>38</v>
      </c>
      <c r="AP3" s="90"/>
      <c r="AQ3" s="90"/>
      <c r="AR3" s="90"/>
      <c r="AS3" s="90"/>
      <c r="AT3" s="90"/>
      <c r="AU3" s="90"/>
      <c r="AV3" s="90"/>
      <c r="AW3" s="90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55">
        <v>46126</v>
      </c>
      <c r="F5" s="26" t="s">
        <v>55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0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0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0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0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59</v>
      </c>
      <c r="C6" s="44" t="s">
        <v>60</v>
      </c>
      <c r="D6" s="42" t="s">
        <v>54</v>
      </c>
      <c r="E6" s="55">
        <v>46126</v>
      </c>
      <c r="F6" s="26" t="s">
        <v>55</v>
      </c>
      <c r="G6" s="26" t="s">
        <v>56</v>
      </c>
      <c r="H6" s="26" t="s">
        <v>56</v>
      </c>
      <c r="I6" s="26" t="s">
        <v>57</v>
      </c>
      <c r="J6" s="26" t="s">
        <v>56</v>
      </c>
      <c r="K6" s="27"/>
      <c r="L6" s="28" t="s">
        <v>58</v>
      </c>
      <c r="M6" s="29" t="str">
        <f t="shared" ref="M6:M69" si="5">IF(E6="","",IF(H6="Yes","❌ Disc",IF(G6="No","⚠ Missing",IF(J6="Yes","✓ OK","⚠ Check"))))</f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61</v>
      </c>
      <c r="C7" s="25" t="s">
        <v>62</v>
      </c>
      <c r="D7" s="23" t="s">
        <v>54</v>
      </c>
      <c r="E7" s="55">
        <v>46126</v>
      </c>
      <c r="F7" s="26" t="s">
        <v>55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5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63</v>
      </c>
      <c r="C8" s="44" t="s">
        <v>64</v>
      </c>
      <c r="D8" s="42" t="s">
        <v>54</v>
      </c>
      <c r="E8" s="55">
        <v>46126</v>
      </c>
      <c r="F8" s="26" t="s">
        <v>55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5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65</v>
      </c>
      <c r="C9" s="25" t="s">
        <v>66</v>
      </c>
      <c r="D9" s="23" t="s">
        <v>54</v>
      </c>
      <c r="E9" s="55">
        <v>46126</v>
      </c>
      <c r="F9" s="26" t="s">
        <v>55</v>
      </c>
      <c r="G9" s="26" t="s">
        <v>56</v>
      </c>
      <c r="H9" s="26" t="s">
        <v>56</v>
      </c>
      <c r="I9" s="26" t="s">
        <v>57</v>
      </c>
      <c r="J9" s="26" t="s">
        <v>56</v>
      </c>
      <c r="K9" s="27"/>
      <c r="L9" s="28" t="s">
        <v>58</v>
      </c>
      <c r="M9" s="29" t="str">
        <f t="shared" si="5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67</v>
      </c>
      <c r="C10" s="44" t="s">
        <v>68</v>
      </c>
      <c r="D10" s="42" t="s">
        <v>69</v>
      </c>
      <c r="E10" s="55">
        <v>46125</v>
      </c>
      <c r="F10" s="26" t="s">
        <v>55</v>
      </c>
      <c r="G10" s="26" t="s">
        <v>58</v>
      </c>
      <c r="H10" s="26" t="s">
        <v>56</v>
      </c>
      <c r="I10" s="26" t="s">
        <v>70</v>
      </c>
      <c r="J10" s="26" t="s">
        <v>58</v>
      </c>
      <c r="K10" s="27"/>
      <c r="L10" s="28" t="s">
        <v>56</v>
      </c>
      <c r="M10" s="29" t="str">
        <f t="shared" si="5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71</v>
      </c>
      <c r="C11" s="25" t="s">
        <v>72</v>
      </c>
      <c r="D11" s="23" t="s">
        <v>69</v>
      </c>
      <c r="E11" s="55">
        <v>46125</v>
      </c>
      <c r="F11" s="26" t="s">
        <v>55</v>
      </c>
      <c r="G11" s="26" t="s">
        <v>58</v>
      </c>
      <c r="H11" s="26" t="s">
        <v>56</v>
      </c>
      <c r="I11" s="26" t="s">
        <v>70</v>
      </c>
      <c r="J11" s="26" t="s">
        <v>56</v>
      </c>
      <c r="K11" s="27" t="s">
        <v>73</v>
      </c>
      <c r="L11" s="28" t="s">
        <v>58</v>
      </c>
      <c r="M11" s="29" t="str">
        <f t="shared" si="5"/>
        <v>⚠ Check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74</v>
      </c>
      <c r="C12" s="44" t="s">
        <v>75</v>
      </c>
      <c r="D12" s="42" t="s">
        <v>69</v>
      </c>
      <c r="E12" s="55">
        <v>46125</v>
      </c>
      <c r="F12" s="26" t="s">
        <v>55</v>
      </c>
      <c r="G12" s="26" t="s">
        <v>58</v>
      </c>
      <c r="H12" s="26" t="s">
        <v>56</v>
      </c>
      <c r="I12" s="26" t="s">
        <v>70</v>
      </c>
      <c r="J12" s="26" t="s">
        <v>58</v>
      </c>
      <c r="K12" s="27"/>
      <c r="L12" s="28" t="s">
        <v>56</v>
      </c>
      <c r="M12" s="29" t="str">
        <f t="shared" si="5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76</v>
      </c>
      <c r="C13" s="25" t="s">
        <v>77</v>
      </c>
      <c r="D13" s="23" t="s">
        <v>69</v>
      </c>
      <c r="E13" s="55">
        <v>46125</v>
      </c>
      <c r="F13" s="26" t="s">
        <v>55</v>
      </c>
      <c r="G13" s="26" t="s">
        <v>58</v>
      </c>
      <c r="H13" s="26" t="s">
        <v>56</v>
      </c>
      <c r="I13" s="26" t="s">
        <v>70</v>
      </c>
      <c r="J13" s="26" t="s">
        <v>58</v>
      </c>
      <c r="K13" s="27"/>
      <c r="L13" s="28" t="s">
        <v>56</v>
      </c>
      <c r="M13" s="29" t="str">
        <f t="shared" si="5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78</v>
      </c>
      <c r="C14" s="44" t="s">
        <v>79</v>
      </c>
      <c r="D14" s="42" t="s">
        <v>69</v>
      </c>
      <c r="E14" s="55">
        <v>46125</v>
      </c>
      <c r="F14" s="26" t="s">
        <v>55</v>
      </c>
      <c r="G14" s="26" t="s">
        <v>58</v>
      </c>
      <c r="H14" s="26" t="s">
        <v>56</v>
      </c>
      <c r="I14" s="26" t="s">
        <v>70</v>
      </c>
      <c r="J14" s="26" t="s">
        <v>58</v>
      </c>
      <c r="K14" s="27"/>
      <c r="L14" s="28" t="s">
        <v>56</v>
      </c>
      <c r="M14" s="29" t="str">
        <f t="shared" si="5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80</v>
      </c>
      <c r="C15" s="25" t="s">
        <v>81</v>
      </c>
      <c r="D15" s="23" t="s">
        <v>69</v>
      </c>
      <c r="E15" s="55">
        <v>46125</v>
      </c>
      <c r="F15" s="26" t="s">
        <v>55</v>
      </c>
      <c r="G15" s="26" t="s">
        <v>58</v>
      </c>
      <c r="H15" s="26" t="s">
        <v>56</v>
      </c>
      <c r="I15" s="26" t="s">
        <v>70</v>
      </c>
      <c r="J15" s="26" t="s">
        <v>58</v>
      </c>
      <c r="K15" s="27"/>
      <c r="L15" s="28" t="s">
        <v>56</v>
      </c>
      <c r="M15" s="29" t="str">
        <f t="shared" si="5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82</v>
      </c>
      <c r="C16" s="44" t="s">
        <v>83</v>
      </c>
      <c r="D16" s="42" t="s">
        <v>69</v>
      </c>
      <c r="E16" s="55">
        <v>46125</v>
      </c>
      <c r="F16" s="26" t="s">
        <v>55</v>
      </c>
      <c r="G16" s="26" t="s">
        <v>58</v>
      </c>
      <c r="H16" s="26" t="s">
        <v>56</v>
      </c>
      <c r="I16" s="26" t="s">
        <v>70</v>
      </c>
      <c r="J16" s="26" t="s">
        <v>58</v>
      </c>
      <c r="K16" s="27"/>
      <c r="L16" s="28" t="s">
        <v>56</v>
      </c>
      <c r="M16" s="29" t="str">
        <f t="shared" si="5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84</v>
      </c>
      <c r="C17" s="25" t="s">
        <v>85</v>
      </c>
      <c r="D17" s="23" t="s">
        <v>69</v>
      </c>
      <c r="E17" s="55">
        <v>46125</v>
      </c>
      <c r="F17" s="26" t="s">
        <v>55</v>
      </c>
      <c r="G17" s="26" t="s">
        <v>58</v>
      </c>
      <c r="H17" s="26" t="s">
        <v>56</v>
      </c>
      <c r="I17" s="26" t="s">
        <v>70</v>
      </c>
      <c r="J17" s="26" t="s">
        <v>58</v>
      </c>
      <c r="K17" s="27"/>
      <c r="L17" s="28" t="s">
        <v>56</v>
      </c>
      <c r="M17" s="29" t="str">
        <f t="shared" si="5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86</v>
      </c>
      <c r="C18" s="44" t="s">
        <v>87</v>
      </c>
      <c r="D18" s="42" t="s">
        <v>69</v>
      </c>
      <c r="E18" s="55">
        <v>46126</v>
      </c>
      <c r="F18" s="26" t="s">
        <v>55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5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88</v>
      </c>
      <c r="C19" s="25" t="s">
        <v>89</v>
      </c>
      <c r="D19" s="23" t="s">
        <v>69</v>
      </c>
      <c r="E19" s="55">
        <v>46125</v>
      </c>
      <c r="F19" s="26" t="s">
        <v>55</v>
      </c>
      <c r="G19" s="26" t="s">
        <v>58</v>
      </c>
      <c r="H19" s="26" t="s">
        <v>56</v>
      </c>
      <c r="I19" s="26" t="s">
        <v>70</v>
      </c>
      <c r="J19" s="26" t="s">
        <v>58</v>
      </c>
      <c r="K19" s="27"/>
      <c r="L19" s="28" t="s">
        <v>56</v>
      </c>
      <c r="M19" s="29" t="str">
        <f t="shared" si="5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90</v>
      </c>
      <c r="C20" s="44" t="s">
        <v>91</v>
      </c>
      <c r="D20" s="42" t="s">
        <v>69</v>
      </c>
      <c r="E20" s="55">
        <v>46125</v>
      </c>
      <c r="F20" s="26" t="s">
        <v>55</v>
      </c>
      <c r="G20" s="26" t="s">
        <v>58</v>
      </c>
      <c r="H20" s="26" t="s">
        <v>56</v>
      </c>
      <c r="I20" s="26" t="s">
        <v>70</v>
      </c>
      <c r="J20" s="26" t="s">
        <v>58</v>
      </c>
      <c r="K20" s="27"/>
      <c r="L20" s="28" t="s">
        <v>56</v>
      </c>
      <c r="M20" s="29" t="str">
        <f t="shared" si="5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92</v>
      </c>
      <c r="C21" s="25" t="s">
        <v>93</v>
      </c>
      <c r="D21" s="23" t="s">
        <v>69</v>
      </c>
      <c r="E21" s="55">
        <v>46125</v>
      </c>
      <c r="F21" s="26" t="s">
        <v>55</v>
      </c>
      <c r="G21" s="26" t="s">
        <v>58</v>
      </c>
      <c r="H21" s="26" t="s">
        <v>56</v>
      </c>
      <c r="I21" s="26" t="s">
        <v>70</v>
      </c>
      <c r="J21" s="26" t="s">
        <v>58</v>
      </c>
      <c r="K21" s="27"/>
      <c r="L21" s="28" t="s">
        <v>56</v>
      </c>
      <c r="M21" s="29" t="str">
        <f t="shared" si="5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94</v>
      </c>
      <c r="C22" s="44" t="s">
        <v>95</v>
      </c>
      <c r="D22" s="42" t="s">
        <v>69</v>
      </c>
      <c r="E22" s="55">
        <v>46125</v>
      </c>
      <c r="F22" s="26" t="s">
        <v>55</v>
      </c>
      <c r="G22" s="26" t="s">
        <v>58</v>
      </c>
      <c r="H22" s="26" t="s">
        <v>56</v>
      </c>
      <c r="I22" s="26" t="s">
        <v>70</v>
      </c>
      <c r="J22" s="26" t="s">
        <v>58</v>
      </c>
      <c r="K22" s="27"/>
      <c r="L22" s="28" t="s">
        <v>56</v>
      </c>
      <c r="M22" s="29" t="str">
        <f t="shared" si="5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96</v>
      </c>
      <c r="C23" s="25" t="s">
        <v>97</v>
      </c>
      <c r="D23" s="23" t="s">
        <v>69</v>
      </c>
      <c r="E23" s="55">
        <v>46125</v>
      </c>
      <c r="F23" s="26" t="s">
        <v>55</v>
      </c>
      <c r="G23" s="26" t="s">
        <v>58</v>
      </c>
      <c r="H23" s="26" t="s">
        <v>56</v>
      </c>
      <c r="I23" s="26" t="s">
        <v>70</v>
      </c>
      <c r="J23" s="26" t="s">
        <v>58</v>
      </c>
      <c r="K23" s="27"/>
      <c r="L23" s="28" t="s">
        <v>56</v>
      </c>
      <c r="M23" s="29" t="str">
        <f t="shared" si="5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98</v>
      </c>
      <c r="C24" s="44" t="s">
        <v>99</v>
      </c>
      <c r="D24" s="42" t="s">
        <v>69</v>
      </c>
      <c r="E24" s="55">
        <v>46125</v>
      </c>
      <c r="F24" s="26" t="s">
        <v>55</v>
      </c>
      <c r="G24" s="26" t="s">
        <v>58</v>
      </c>
      <c r="H24" s="26" t="s">
        <v>56</v>
      </c>
      <c r="I24" s="26" t="s">
        <v>70</v>
      </c>
      <c r="J24" s="26" t="s">
        <v>58</v>
      </c>
      <c r="K24" s="27"/>
      <c r="L24" s="28" t="s">
        <v>56</v>
      </c>
      <c r="M24" s="29" t="str">
        <f t="shared" si="5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100</v>
      </c>
      <c r="C25" s="25" t="s">
        <v>101</v>
      </c>
      <c r="D25" s="23" t="s">
        <v>69</v>
      </c>
      <c r="E25" s="55">
        <v>46125</v>
      </c>
      <c r="F25" s="26" t="s">
        <v>55</v>
      </c>
      <c r="G25" s="26" t="s">
        <v>58</v>
      </c>
      <c r="H25" s="26" t="s">
        <v>56</v>
      </c>
      <c r="I25" s="26" t="s">
        <v>70</v>
      </c>
      <c r="J25" s="26" t="s">
        <v>58</v>
      </c>
      <c r="K25" s="27"/>
      <c r="L25" s="28" t="s">
        <v>56</v>
      </c>
      <c r="M25" s="29" t="str">
        <f t="shared" si="5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102</v>
      </c>
      <c r="C26" s="44" t="s">
        <v>103</v>
      </c>
      <c r="D26" s="42" t="s">
        <v>69</v>
      </c>
      <c r="E26" s="55">
        <v>46125</v>
      </c>
      <c r="F26" s="26" t="s">
        <v>55</v>
      </c>
      <c r="G26" s="26" t="s">
        <v>58</v>
      </c>
      <c r="H26" s="26" t="s">
        <v>56</v>
      </c>
      <c r="I26" s="26" t="s">
        <v>70</v>
      </c>
      <c r="J26" s="26" t="s">
        <v>58</v>
      </c>
      <c r="K26" s="27"/>
      <c r="L26" s="28" t="s">
        <v>56</v>
      </c>
      <c r="M26" s="29" t="str">
        <f t="shared" si="5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104</v>
      </c>
      <c r="C27" s="25" t="s">
        <v>105</v>
      </c>
      <c r="D27" s="23" t="s">
        <v>69</v>
      </c>
      <c r="E27" s="55">
        <v>46125</v>
      </c>
      <c r="F27" s="26" t="s">
        <v>55</v>
      </c>
      <c r="G27" s="26" t="s">
        <v>58</v>
      </c>
      <c r="H27" s="26" t="s">
        <v>56</v>
      </c>
      <c r="I27" s="26" t="s">
        <v>70</v>
      </c>
      <c r="J27" s="26" t="s">
        <v>58</v>
      </c>
      <c r="K27" s="27"/>
      <c r="L27" s="28" t="s">
        <v>56</v>
      </c>
      <c r="M27" s="29" t="str">
        <f t="shared" si="5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106</v>
      </c>
      <c r="C28" s="44" t="s">
        <v>107</v>
      </c>
      <c r="D28" s="42" t="s">
        <v>69</v>
      </c>
      <c r="E28" s="55">
        <v>46125</v>
      </c>
      <c r="F28" s="26" t="s">
        <v>55</v>
      </c>
      <c r="G28" s="26" t="s">
        <v>58</v>
      </c>
      <c r="H28" s="26" t="s">
        <v>56</v>
      </c>
      <c r="I28" s="26" t="s">
        <v>70</v>
      </c>
      <c r="J28" s="26" t="s">
        <v>58</v>
      </c>
      <c r="K28" s="27"/>
      <c r="L28" s="28" t="s">
        <v>56</v>
      </c>
      <c r="M28" s="29" t="str">
        <f t="shared" si="5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108</v>
      </c>
      <c r="C29" s="25" t="s">
        <v>109</v>
      </c>
      <c r="D29" s="23" t="s">
        <v>69</v>
      </c>
      <c r="E29" s="55">
        <v>46125</v>
      </c>
      <c r="F29" s="26" t="s">
        <v>55</v>
      </c>
      <c r="G29" s="26" t="s">
        <v>58</v>
      </c>
      <c r="H29" s="26" t="s">
        <v>56</v>
      </c>
      <c r="I29" s="26" t="s">
        <v>70</v>
      </c>
      <c r="J29" s="26" t="s">
        <v>58</v>
      </c>
      <c r="K29" s="27"/>
      <c r="L29" s="28" t="s">
        <v>56</v>
      </c>
      <c r="M29" s="29" t="str">
        <f t="shared" si="5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110</v>
      </c>
      <c r="C30" s="44" t="s">
        <v>111</v>
      </c>
      <c r="D30" s="42" t="s">
        <v>69</v>
      </c>
      <c r="E30" s="55">
        <v>46125</v>
      </c>
      <c r="F30" s="26" t="s">
        <v>55</v>
      </c>
      <c r="G30" s="26" t="s">
        <v>58</v>
      </c>
      <c r="H30" s="26" t="s">
        <v>56</v>
      </c>
      <c r="I30" s="26" t="s">
        <v>70</v>
      </c>
      <c r="J30" s="26" t="s">
        <v>58</v>
      </c>
      <c r="K30" s="27"/>
      <c r="L30" s="28" t="s">
        <v>56</v>
      </c>
      <c r="M30" s="29" t="str">
        <f t="shared" si="5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112</v>
      </c>
      <c r="C31" s="25" t="s">
        <v>113</v>
      </c>
      <c r="D31" s="23" t="s">
        <v>69</v>
      </c>
      <c r="E31" s="55">
        <v>46125</v>
      </c>
      <c r="F31" s="26" t="s">
        <v>55</v>
      </c>
      <c r="G31" s="26" t="s">
        <v>58</v>
      </c>
      <c r="H31" s="26" t="s">
        <v>56</v>
      </c>
      <c r="I31" s="26" t="s">
        <v>70</v>
      </c>
      <c r="J31" s="26" t="s">
        <v>58</v>
      </c>
      <c r="K31" s="27"/>
      <c r="L31" s="28" t="s">
        <v>56</v>
      </c>
      <c r="M31" s="29" t="str">
        <f t="shared" si="5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114</v>
      </c>
      <c r="C32" s="44" t="s">
        <v>115</v>
      </c>
      <c r="D32" s="42" t="s">
        <v>69</v>
      </c>
      <c r="E32" s="55">
        <v>46125</v>
      </c>
      <c r="F32" s="26" t="s">
        <v>55</v>
      </c>
      <c r="G32" s="26" t="s">
        <v>58</v>
      </c>
      <c r="H32" s="26" t="s">
        <v>56</v>
      </c>
      <c r="I32" s="26" t="s">
        <v>70</v>
      </c>
      <c r="J32" s="26" t="s">
        <v>58</v>
      </c>
      <c r="K32" s="27"/>
      <c r="L32" s="28" t="s">
        <v>56</v>
      </c>
      <c r="M32" s="29" t="str">
        <f t="shared" si="5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116</v>
      </c>
      <c r="C33" s="25" t="s">
        <v>117</v>
      </c>
      <c r="D33" s="23" t="s">
        <v>69</v>
      </c>
      <c r="E33" s="55">
        <v>46125</v>
      </c>
      <c r="F33" s="26" t="s">
        <v>55</v>
      </c>
      <c r="G33" s="26" t="s">
        <v>58</v>
      </c>
      <c r="H33" s="26" t="s">
        <v>56</v>
      </c>
      <c r="I33" s="26" t="s">
        <v>70</v>
      </c>
      <c r="J33" s="26" t="s">
        <v>58</v>
      </c>
      <c r="K33" s="27"/>
      <c r="L33" s="28" t="s">
        <v>56</v>
      </c>
      <c r="M33" s="29" t="str">
        <f t="shared" si="5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118</v>
      </c>
      <c r="C34" s="44" t="s">
        <v>119</v>
      </c>
      <c r="D34" s="42" t="s">
        <v>69</v>
      </c>
      <c r="E34" s="55">
        <v>46125</v>
      </c>
      <c r="F34" s="26" t="s">
        <v>55</v>
      </c>
      <c r="G34" s="26" t="s">
        <v>58</v>
      </c>
      <c r="H34" s="26" t="s">
        <v>56</v>
      </c>
      <c r="I34" s="26" t="s">
        <v>70</v>
      </c>
      <c r="J34" s="26" t="s">
        <v>58</v>
      </c>
      <c r="K34" s="27"/>
      <c r="L34" s="28" t="s">
        <v>56</v>
      </c>
      <c r="M34" s="29" t="str">
        <f t="shared" si="5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120</v>
      </c>
      <c r="C35" s="25" t="s">
        <v>121</v>
      </c>
      <c r="D35" s="23" t="s">
        <v>69</v>
      </c>
      <c r="E35" s="55">
        <v>46125</v>
      </c>
      <c r="F35" s="26" t="s">
        <v>55</v>
      </c>
      <c r="G35" s="26" t="s">
        <v>58</v>
      </c>
      <c r="H35" s="26" t="s">
        <v>56</v>
      </c>
      <c r="I35" s="26" t="s">
        <v>70</v>
      </c>
      <c r="J35" s="26" t="s">
        <v>58</v>
      </c>
      <c r="K35" s="27"/>
      <c r="L35" s="28" t="s">
        <v>56</v>
      </c>
      <c r="M35" s="29" t="str">
        <f t="shared" si="5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122</v>
      </c>
      <c r="C36" s="44" t="s">
        <v>123</v>
      </c>
      <c r="D36" s="42" t="s">
        <v>69</v>
      </c>
      <c r="E36" s="55">
        <v>46125</v>
      </c>
      <c r="F36" s="26" t="s">
        <v>55</v>
      </c>
      <c r="G36" s="26" t="s">
        <v>58</v>
      </c>
      <c r="H36" s="26" t="s">
        <v>56</v>
      </c>
      <c r="I36" s="26" t="s">
        <v>70</v>
      </c>
      <c r="J36" s="26" t="s">
        <v>58</v>
      </c>
      <c r="K36" s="27"/>
      <c r="L36" s="28" t="s">
        <v>56</v>
      </c>
      <c r="M36" s="29" t="str">
        <f t="shared" si="5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124</v>
      </c>
      <c r="C37" s="25" t="s">
        <v>125</v>
      </c>
      <c r="D37" s="23" t="s">
        <v>69</v>
      </c>
      <c r="E37" s="55">
        <v>46125</v>
      </c>
      <c r="F37" s="26" t="s">
        <v>55</v>
      </c>
      <c r="G37" s="26" t="s">
        <v>58</v>
      </c>
      <c r="H37" s="26" t="s">
        <v>56</v>
      </c>
      <c r="I37" s="26" t="s">
        <v>70</v>
      </c>
      <c r="J37" s="26" t="s">
        <v>58</v>
      </c>
      <c r="K37" s="27"/>
      <c r="L37" s="28" t="s">
        <v>56</v>
      </c>
      <c r="M37" s="29" t="str">
        <f t="shared" si="5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126</v>
      </c>
      <c r="C38" s="44" t="s">
        <v>127</v>
      </c>
      <c r="D38" s="42" t="s">
        <v>69</v>
      </c>
      <c r="E38" s="55">
        <v>46125</v>
      </c>
      <c r="F38" s="26" t="s">
        <v>55</v>
      </c>
      <c r="G38" s="26" t="s">
        <v>58</v>
      </c>
      <c r="H38" s="26" t="s">
        <v>56</v>
      </c>
      <c r="I38" s="26" t="s">
        <v>70</v>
      </c>
      <c r="J38" s="26" t="s">
        <v>58</v>
      </c>
      <c r="K38" s="27"/>
      <c r="L38" s="28" t="s">
        <v>56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128</v>
      </c>
      <c r="C39" s="25" t="s">
        <v>129</v>
      </c>
      <c r="D39" s="23" t="s">
        <v>69</v>
      </c>
      <c r="E39" s="55">
        <v>46125</v>
      </c>
      <c r="F39" s="26" t="s">
        <v>55</v>
      </c>
      <c r="G39" s="26" t="s">
        <v>58</v>
      </c>
      <c r="H39" s="26" t="s">
        <v>56</v>
      </c>
      <c r="I39" s="26" t="s">
        <v>70</v>
      </c>
      <c r="J39" s="26" t="s">
        <v>56</v>
      </c>
      <c r="K39" s="27" t="s">
        <v>130</v>
      </c>
      <c r="L39" s="28" t="s">
        <v>58</v>
      </c>
      <c r="M39" s="29" t="str">
        <f t="shared" si="5"/>
        <v>⚠ Check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131</v>
      </c>
      <c r="C40" s="44" t="s">
        <v>132</v>
      </c>
      <c r="D40" s="42" t="s">
        <v>69</v>
      </c>
      <c r="E40" s="55">
        <v>46126</v>
      </c>
      <c r="F40" s="26" t="s">
        <v>55</v>
      </c>
      <c r="G40" s="26" t="s">
        <v>58</v>
      </c>
      <c r="H40" s="26" t="s">
        <v>56</v>
      </c>
      <c r="I40" s="26" t="s">
        <v>70</v>
      </c>
      <c r="J40" s="26" t="s">
        <v>58</v>
      </c>
      <c r="K40" s="27"/>
      <c r="L40" s="28" t="s">
        <v>56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133</v>
      </c>
      <c r="C41" s="25" t="s">
        <v>134</v>
      </c>
      <c r="D41" s="23" t="s">
        <v>69</v>
      </c>
      <c r="E41" s="55">
        <v>46126</v>
      </c>
      <c r="F41" s="26" t="s">
        <v>55</v>
      </c>
      <c r="G41" s="26" t="s">
        <v>58</v>
      </c>
      <c r="H41" s="26" t="s">
        <v>56</v>
      </c>
      <c r="I41" s="26" t="s">
        <v>70</v>
      </c>
      <c r="J41" s="26" t="s">
        <v>58</v>
      </c>
      <c r="K41" s="27"/>
      <c r="L41" s="28" t="s">
        <v>56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135</v>
      </c>
      <c r="C42" s="44" t="s">
        <v>136</v>
      </c>
      <c r="D42" s="42" t="s">
        <v>69</v>
      </c>
      <c r="E42" s="55">
        <v>46125</v>
      </c>
      <c r="F42" s="26" t="s">
        <v>55</v>
      </c>
      <c r="G42" s="26" t="s">
        <v>58</v>
      </c>
      <c r="H42" s="26" t="s">
        <v>56</v>
      </c>
      <c r="I42" s="26" t="s">
        <v>70</v>
      </c>
      <c r="J42" s="26" t="s">
        <v>56</v>
      </c>
      <c r="K42" s="27" t="s">
        <v>73</v>
      </c>
      <c r="L42" s="28" t="s">
        <v>58</v>
      </c>
      <c r="M42" s="29" t="str">
        <f t="shared" si="5"/>
        <v>⚠ Check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137</v>
      </c>
      <c r="C43" s="25" t="s">
        <v>138</v>
      </c>
      <c r="D43" s="23" t="s">
        <v>69</v>
      </c>
      <c r="E43" s="55">
        <v>46125</v>
      </c>
      <c r="F43" s="26" t="s">
        <v>55</v>
      </c>
      <c r="G43" s="26" t="s">
        <v>58</v>
      </c>
      <c r="H43" s="26" t="s">
        <v>56</v>
      </c>
      <c r="I43" s="26" t="s">
        <v>70</v>
      </c>
      <c r="J43" s="26" t="s">
        <v>56</v>
      </c>
      <c r="K43" s="27" t="s">
        <v>73</v>
      </c>
      <c r="L43" s="28" t="s">
        <v>58</v>
      </c>
      <c r="M43" s="29" t="str">
        <f t="shared" si="5"/>
        <v>⚠ Check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139</v>
      </c>
      <c r="C44" s="44" t="s">
        <v>140</v>
      </c>
      <c r="D44" s="42" t="s">
        <v>69</v>
      </c>
      <c r="E44" s="55">
        <v>46125</v>
      </c>
      <c r="F44" s="26" t="s">
        <v>55</v>
      </c>
      <c r="G44" s="26" t="s">
        <v>58</v>
      </c>
      <c r="H44" s="26" t="s">
        <v>56</v>
      </c>
      <c r="I44" s="26" t="s">
        <v>70</v>
      </c>
      <c r="J44" s="26" t="s">
        <v>58</v>
      </c>
      <c r="K44" s="27"/>
      <c r="L44" s="28" t="s">
        <v>56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141</v>
      </c>
      <c r="C45" s="25" t="s">
        <v>142</v>
      </c>
      <c r="D45" s="23" t="s">
        <v>69</v>
      </c>
      <c r="E45" s="55">
        <v>46125</v>
      </c>
      <c r="F45" s="26" t="s">
        <v>55</v>
      </c>
      <c r="G45" s="26" t="s">
        <v>58</v>
      </c>
      <c r="H45" s="26" t="s">
        <v>56</v>
      </c>
      <c r="I45" s="26" t="s">
        <v>70</v>
      </c>
      <c r="J45" s="26" t="s">
        <v>58</v>
      </c>
      <c r="K45" s="27"/>
      <c r="L45" s="28" t="s">
        <v>56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143</v>
      </c>
      <c r="C46" s="44" t="s">
        <v>144</v>
      </c>
      <c r="D46" s="42" t="s">
        <v>69</v>
      </c>
      <c r="E46" s="55">
        <v>46126</v>
      </c>
      <c r="F46" s="26" t="s">
        <v>55</v>
      </c>
      <c r="G46" s="26" t="s">
        <v>58</v>
      </c>
      <c r="H46" s="26" t="s">
        <v>56</v>
      </c>
      <c r="I46" s="26" t="s">
        <v>70</v>
      </c>
      <c r="J46" s="26" t="s">
        <v>58</v>
      </c>
      <c r="K46" s="27"/>
      <c r="L46" s="28" t="s">
        <v>56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145</v>
      </c>
      <c r="C47" s="25" t="s">
        <v>146</v>
      </c>
      <c r="D47" s="23" t="s">
        <v>69</v>
      </c>
      <c r="E47" s="55">
        <v>46125</v>
      </c>
      <c r="F47" s="26" t="s">
        <v>55</v>
      </c>
      <c r="G47" s="26" t="s">
        <v>58</v>
      </c>
      <c r="H47" s="26" t="s">
        <v>56</v>
      </c>
      <c r="I47" s="26" t="s">
        <v>70</v>
      </c>
      <c r="J47" s="26" t="s">
        <v>58</v>
      </c>
      <c r="K47" s="27"/>
      <c r="L47" s="28" t="s">
        <v>56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147</v>
      </c>
      <c r="C48" s="44" t="s">
        <v>148</v>
      </c>
      <c r="D48" s="42" t="s">
        <v>69</v>
      </c>
      <c r="E48" s="55">
        <v>46125</v>
      </c>
      <c r="F48" s="26" t="s">
        <v>55</v>
      </c>
      <c r="G48" s="26" t="s">
        <v>58</v>
      </c>
      <c r="H48" s="26" t="s">
        <v>56</v>
      </c>
      <c r="I48" s="26" t="s">
        <v>70</v>
      </c>
      <c r="J48" s="26" t="s">
        <v>58</v>
      </c>
      <c r="K48" s="27"/>
      <c r="L48" s="28" t="s">
        <v>56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149</v>
      </c>
      <c r="C49" s="25" t="s">
        <v>150</v>
      </c>
      <c r="D49" s="23" t="s">
        <v>151</v>
      </c>
      <c r="E49" s="55">
        <v>46126</v>
      </c>
      <c r="F49" s="26" t="s">
        <v>55</v>
      </c>
      <c r="G49" s="26" t="s">
        <v>58</v>
      </c>
      <c r="H49" s="26" t="s">
        <v>56</v>
      </c>
      <c r="I49" s="26" t="s">
        <v>70</v>
      </c>
      <c r="J49" s="26" t="s">
        <v>56</v>
      </c>
      <c r="K49" s="27" t="s">
        <v>152</v>
      </c>
      <c r="L49" s="28" t="s">
        <v>58</v>
      </c>
      <c r="M49" s="29" t="str">
        <f t="shared" si="5"/>
        <v>⚠ Check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153</v>
      </c>
      <c r="C50" s="44" t="s">
        <v>154</v>
      </c>
      <c r="D50" s="42" t="s">
        <v>151</v>
      </c>
      <c r="E50" s="55">
        <v>46126</v>
      </c>
      <c r="F50" s="26" t="s">
        <v>55</v>
      </c>
      <c r="G50" s="26" t="s">
        <v>56</v>
      </c>
      <c r="H50" s="26" t="s">
        <v>56</v>
      </c>
      <c r="I50" s="26" t="s">
        <v>57</v>
      </c>
      <c r="J50" s="26" t="s">
        <v>56</v>
      </c>
      <c r="K50" s="27"/>
      <c r="L50" s="28" t="s">
        <v>58</v>
      </c>
      <c r="M50" s="29" t="str">
        <f t="shared" si="5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155</v>
      </c>
      <c r="C51" s="25" t="s">
        <v>156</v>
      </c>
      <c r="D51" s="23" t="s">
        <v>151</v>
      </c>
      <c r="E51" s="55">
        <v>46125</v>
      </c>
      <c r="F51" s="26" t="s">
        <v>55</v>
      </c>
      <c r="G51" s="26" t="s">
        <v>58</v>
      </c>
      <c r="H51" s="26" t="s">
        <v>56</v>
      </c>
      <c r="I51" s="26" t="s">
        <v>70</v>
      </c>
      <c r="J51" s="26" t="s">
        <v>58</v>
      </c>
      <c r="K51" s="27"/>
      <c r="L51" s="28" t="s">
        <v>56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157</v>
      </c>
      <c r="C52" s="44" t="s">
        <v>158</v>
      </c>
      <c r="D52" s="42" t="s">
        <v>151</v>
      </c>
      <c r="E52" s="55">
        <v>46125</v>
      </c>
      <c r="F52" s="26" t="s">
        <v>55</v>
      </c>
      <c r="G52" s="26" t="s">
        <v>58</v>
      </c>
      <c r="H52" s="26" t="s">
        <v>56</v>
      </c>
      <c r="I52" s="26" t="s">
        <v>70</v>
      </c>
      <c r="J52" s="26" t="s">
        <v>58</v>
      </c>
      <c r="K52" s="27"/>
      <c r="L52" s="28" t="s">
        <v>56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159</v>
      </c>
      <c r="C53" s="25" t="s">
        <v>160</v>
      </c>
      <c r="D53" s="23" t="s">
        <v>151</v>
      </c>
      <c r="E53" s="55">
        <v>46126</v>
      </c>
      <c r="F53" s="26" t="s">
        <v>55</v>
      </c>
      <c r="G53" s="26" t="s">
        <v>58</v>
      </c>
      <c r="H53" s="26" t="s">
        <v>56</v>
      </c>
      <c r="I53" s="26" t="s">
        <v>70</v>
      </c>
      <c r="J53" s="26" t="s">
        <v>58</v>
      </c>
      <c r="K53" s="80"/>
      <c r="L53" s="28" t="s">
        <v>56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161</v>
      </c>
      <c r="C54" s="44" t="s">
        <v>162</v>
      </c>
      <c r="D54" s="42" t="s">
        <v>151</v>
      </c>
      <c r="E54" s="55">
        <v>46125</v>
      </c>
      <c r="F54" s="26" t="s">
        <v>55</v>
      </c>
      <c r="G54" s="26" t="s">
        <v>58</v>
      </c>
      <c r="H54" s="26" t="s">
        <v>56</v>
      </c>
      <c r="I54" s="26" t="s">
        <v>70</v>
      </c>
      <c r="J54" s="26" t="s">
        <v>58</v>
      </c>
      <c r="K54" s="27"/>
      <c r="L54" s="28" t="s">
        <v>56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163</v>
      </c>
      <c r="C55" s="25" t="s">
        <v>164</v>
      </c>
      <c r="D55" s="23" t="s">
        <v>151</v>
      </c>
      <c r="E55" s="55">
        <v>46125</v>
      </c>
      <c r="F55" s="26" t="s">
        <v>55</v>
      </c>
      <c r="G55" s="26" t="s">
        <v>58</v>
      </c>
      <c r="H55" s="26" t="s">
        <v>56</v>
      </c>
      <c r="I55" s="26" t="s">
        <v>70</v>
      </c>
      <c r="J55" s="26" t="s">
        <v>58</v>
      </c>
      <c r="K55" s="27"/>
      <c r="L55" s="28" t="s">
        <v>56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165</v>
      </c>
      <c r="C56" s="44" t="s">
        <v>166</v>
      </c>
      <c r="D56" s="42" t="s">
        <v>151</v>
      </c>
      <c r="E56" s="55">
        <v>46125</v>
      </c>
      <c r="F56" s="26" t="s">
        <v>55</v>
      </c>
      <c r="G56" s="26" t="s">
        <v>58</v>
      </c>
      <c r="H56" s="26" t="s">
        <v>56</v>
      </c>
      <c r="I56" s="26" t="s">
        <v>70</v>
      </c>
      <c r="J56" s="26" t="s">
        <v>58</v>
      </c>
      <c r="K56" s="27"/>
      <c r="L56" s="28" t="s">
        <v>56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167</v>
      </c>
      <c r="C57" s="25" t="s">
        <v>168</v>
      </c>
      <c r="D57" s="23" t="s">
        <v>151</v>
      </c>
      <c r="E57" s="55">
        <v>46125</v>
      </c>
      <c r="F57" s="26" t="s">
        <v>55</v>
      </c>
      <c r="G57" s="26" t="s">
        <v>58</v>
      </c>
      <c r="H57" s="26" t="s">
        <v>56</v>
      </c>
      <c r="I57" s="26" t="s">
        <v>70</v>
      </c>
      <c r="J57" s="26" t="s">
        <v>58</v>
      </c>
      <c r="K57" s="27"/>
      <c r="L57" s="28" t="s">
        <v>56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169</v>
      </c>
      <c r="C58" s="44" t="s">
        <v>170</v>
      </c>
      <c r="D58" s="42" t="s">
        <v>151</v>
      </c>
      <c r="E58" s="55">
        <v>46126</v>
      </c>
      <c r="F58" s="26" t="s">
        <v>55</v>
      </c>
      <c r="G58" s="26" t="s">
        <v>58</v>
      </c>
      <c r="H58" s="26" t="s">
        <v>56</v>
      </c>
      <c r="I58" s="26" t="s">
        <v>70</v>
      </c>
      <c r="J58" s="26" t="s">
        <v>58</v>
      </c>
      <c r="K58" s="27"/>
      <c r="L58" s="28" t="s">
        <v>56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171</v>
      </c>
      <c r="C59" s="25" t="s">
        <v>172</v>
      </c>
      <c r="D59" s="23" t="s">
        <v>151</v>
      </c>
      <c r="E59" s="55">
        <v>46125</v>
      </c>
      <c r="F59" s="26" t="s">
        <v>55</v>
      </c>
      <c r="G59" s="26" t="s">
        <v>58</v>
      </c>
      <c r="H59" s="26" t="s">
        <v>56</v>
      </c>
      <c r="I59" s="26" t="s">
        <v>70</v>
      </c>
      <c r="J59" s="26" t="s">
        <v>58</v>
      </c>
      <c r="K59" s="27"/>
      <c r="L59" s="28" t="s">
        <v>56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173</v>
      </c>
      <c r="C60" s="44" t="s">
        <v>174</v>
      </c>
      <c r="D60" s="42" t="s">
        <v>151</v>
      </c>
      <c r="E60" s="55">
        <v>46125</v>
      </c>
      <c r="F60" s="26" t="s">
        <v>55</v>
      </c>
      <c r="G60" s="26" t="s">
        <v>58</v>
      </c>
      <c r="H60" s="26" t="s">
        <v>56</v>
      </c>
      <c r="I60" s="26" t="s">
        <v>70</v>
      </c>
      <c r="J60" s="26" t="s">
        <v>58</v>
      </c>
      <c r="K60" s="27"/>
      <c r="L60" s="28" t="s">
        <v>56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175</v>
      </c>
      <c r="C61" s="25" t="s">
        <v>176</v>
      </c>
      <c r="D61" s="23" t="s">
        <v>151</v>
      </c>
      <c r="E61" s="55">
        <v>46125</v>
      </c>
      <c r="F61" s="26" t="s">
        <v>55</v>
      </c>
      <c r="G61" s="26" t="s">
        <v>58</v>
      </c>
      <c r="H61" s="26" t="s">
        <v>56</v>
      </c>
      <c r="I61" s="26" t="s">
        <v>70</v>
      </c>
      <c r="J61" s="26" t="s">
        <v>58</v>
      </c>
      <c r="K61" s="27"/>
      <c r="L61" s="28" t="s">
        <v>56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ref="V61:V124" si="6">IF(N61="","",IF(Q61="Yes","❌ Disc",IF(P61="No","⚠ Missing",IF(S61="Yes","✓ OK","⚠ Check"))))</f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ref="AE61:AE124" si="7">IF(W61="","",IF(Z61="Yes","❌ Disc",IF(Y61="No","⚠ Missing",IF(AB61="Yes","✓ OK","⚠ Check"))))</f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ref="AN61:AN124" si="8">IF(AF61="","",IF(AI61="Yes","❌ Disc",IF(AH61="No","⚠ Missing",IF(AK61="Yes","✓ OK","⚠ Check"))))</f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ref="AW61:AW124" si="9">IF(AO61="","",IF(AR61="Yes","❌ Disc",IF(AQ61="No","⚠ Missing",IF(AT61="Yes","✓ OK","⚠ Check"))))</f>
        <v/>
      </c>
    </row>
    <row r="62" spans="1:49" ht="18" customHeight="1" x14ac:dyDescent="0.3">
      <c r="A62" s="42">
        <v>58</v>
      </c>
      <c r="B62" s="43" t="s">
        <v>177</v>
      </c>
      <c r="C62" s="44" t="s">
        <v>178</v>
      </c>
      <c r="D62" s="42" t="s">
        <v>151</v>
      </c>
      <c r="E62" s="55">
        <v>46125</v>
      </c>
      <c r="F62" s="26" t="s">
        <v>55</v>
      </c>
      <c r="G62" s="26" t="s">
        <v>58</v>
      </c>
      <c r="H62" s="26" t="s">
        <v>56</v>
      </c>
      <c r="I62" s="26" t="s">
        <v>70</v>
      </c>
      <c r="J62" s="26" t="s">
        <v>58</v>
      </c>
      <c r="K62" s="27"/>
      <c r="L62" s="28" t="s">
        <v>56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179</v>
      </c>
      <c r="C63" s="25" t="s">
        <v>180</v>
      </c>
      <c r="D63" s="23" t="s">
        <v>151</v>
      </c>
      <c r="E63" s="55">
        <v>46125</v>
      </c>
      <c r="F63" s="26" t="s">
        <v>55</v>
      </c>
      <c r="G63" s="26" t="s">
        <v>58</v>
      </c>
      <c r="H63" s="26" t="s">
        <v>56</v>
      </c>
      <c r="I63" s="26" t="s">
        <v>70</v>
      </c>
      <c r="J63" s="26" t="s">
        <v>58</v>
      </c>
      <c r="K63" s="27"/>
      <c r="L63" s="28" t="s">
        <v>56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181</v>
      </c>
      <c r="C64" s="44" t="s">
        <v>182</v>
      </c>
      <c r="D64" s="42" t="s">
        <v>151</v>
      </c>
      <c r="E64" s="55">
        <v>46126</v>
      </c>
      <c r="F64" s="26" t="s">
        <v>55</v>
      </c>
      <c r="G64" s="26" t="s">
        <v>58</v>
      </c>
      <c r="H64" s="26" t="s">
        <v>56</v>
      </c>
      <c r="I64" s="26" t="s">
        <v>70</v>
      </c>
      <c r="J64" s="26" t="s">
        <v>56</v>
      </c>
      <c r="K64" s="27" t="s">
        <v>183</v>
      </c>
      <c r="L64" s="28" t="s">
        <v>58</v>
      </c>
      <c r="M64" s="29" t="str">
        <f t="shared" si="5"/>
        <v>⚠ Check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184</v>
      </c>
      <c r="C65" s="25" t="s">
        <v>185</v>
      </c>
      <c r="D65" s="23" t="s">
        <v>186</v>
      </c>
      <c r="E65" s="55">
        <v>46126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5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187</v>
      </c>
      <c r="C66" s="44" t="s">
        <v>188</v>
      </c>
      <c r="D66" s="42" t="s">
        <v>186</v>
      </c>
      <c r="E66" s="55">
        <v>46125</v>
      </c>
      <c r="F66" s="26" t="s">
        <v>55</v>
      </c>
      <c r="G66" s="26" t="s">
        <v>58</v>
      </c>
      <c r="H66" s="26" t="s">
        <v>56</v>
      </c>
      <c r="I66" s="26" t="s">
        <v>70</v>
      </c>
      <c r="J66" s="26" t="s">
        <v>58</v>
      </c>
      <c r="K66" s="27"/>
      <c r="L66" s="28" t="s">
        <v>56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189</v>
      </c>
      <c r="C67" s="25" t="s">
        <v>190</v>
      </c>
      <c r="D67" s="23" t="s">
        <v>186</v>
      </c>
      <c r="E67" s="55">
        <v>46125</v>
      </c>
      <c r="F67" s="26" t="s">
        <v>55</v>
      </c>
      <c r="G67" s="26" t="s">
        <v>58</v>
      </c>
      <c r="H67" s="26" t="s">
        <v>56</v>
      </c>
      <c r="I67" s="26" t="s">
        <v>70</v>
      </c>
      <c r="J67" s="26" t="s">
        <v>58</v>
      </c>
      <c r="K67" s="27" t="s">
        <v>191</v>
      </c>
      <c r="L67" s="28" t="s">
        <v>56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192</v>
      </c>
      <c r="C68" s="44" t="s">
        <v>193</v>
      </c>
      <c r="D68" s="42" t="s">
        <v>186</v>
      </c>
      <c r="E68" s="55">
        <v>46126</v>
      </c>
      <c r="F68" s="26" t="s">
        <v>55</v>
      </c>
      <c r="G68" s="26" t="s">
        <v>58</v>
      </c>
      <c r="H68" s="26" t="s">
        <v>56</v>
      </c>
      <c r="I68" s="26" t="s">
        <v>70</v>
      </c>
      <c r="J68" s="26" t="s">
        <v>58</v>
      </c>
      <c r="K68" s="27"/>
      <c r="L68" s="28" t="s">
        <v>56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194</v>
      </c>
      <c r="C69" s="25" t="s">
        <v>195</v>
      </c>
      <c r="D69" s="23" t="s">
        <v>186</v>
      </c>
      <c r="E69" s="55">
        <v>46125</v>
      </c>
      <c r="F69" s="26" t="s">
        <v>55</v>
      </c>
      <c r="G69" s="26" t="s">
        <v>58</v>
      </c>
      <c r="H69" s="26" t="s">
        <v>56</v>
      </c>
      <c r="I69" s="26" t="s">
        <v>70</v>
      </c>
      <c r="J69" s="26" t="s">
        <v>56</v>
      </c>
      <c r="K69" s="27" t="s">
        <v>130</v>
      </c>
      <c r="L69" s="28" t="s">
        <v>58</v>
      </c>
      <c r="M69" s="29" t="str">
        <f t="shared" si="5"/>
        <v>⚠ Check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v>66</v>
      </c>
      <c r="B70" s="43" t="s">
        <v>196</v>
      </c>
      <c r="C70" s="44" t="s">
        <v>197</v>
      </c>
      <c r="D70" s="42" t="s">
        <v>186</v>
      </c>
      <c r="E70" s="55">
        <v>46125</v>
      </c>
      <c r="F70" s="26" t="s">
        <v>55</v>
      </c>
      <c r="G70" s="26" t="s">
        <v>58</v>
      </c>
      <c r="H70" s="26" t="s">
        <v>56</v>
      </c>
      <c r="I70" s="26" t="s">
        <v>70</v>
      </c>
      <c r="J70" s="26" t="s">
        <v>58</v>
      </c>
      <c r="K70" s="27" t="s">
        <v>191</v>
      </c>
      <c r="L70" s="28" t="s">
        <v>56</v>
      </c>
      <c r="M70" s="29" t="str">
        <f t="shared" ref="M70:M133" si="10">IF(E70="","",IF(H70="Yes","❌ Disc",IF(G70="No","⚠ Missing",IF(J70="Yes","✓ OK","⚠ Check"))))</f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198</v>
      </c>
      <c r="C71" s="25" t="s">
        <v>199</v>
      </c>
      <c r="D71" s="23" t="s">
        <v>186</v>
      </c>
      <c r="E71" s="55">
        <v>46126</v>
      </c>
      <c r="F71" s="26" t="s">
        <v>55</v>
      </c>
      <c r="G71" s="26" t="s">
        <v>58</v>
      </c>
      <c r="H71" s="26" t="s">
        <v>56</v>
      </c>
      <c r="I71" s="26" t="s">
        <v>70</v>
      </c>
      <c r="J71" s="26" t="s">
        <v>58</v>
      </c>
      <c r="K71" s="27" t="s">
        <v>191</v>
      </c>
      <c r="L71" s="28" t="s">
        <v>56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200</v>
      </c>
      <c r="C72" s="44" t="s">
        <v>201</v>
      </c>
      <c r="D72" s="42" t="s">
        <v>186</v>
      </c>
      <c r="E72" s="55">
        <v>46126</v>
      </c>
      <c r="F72" s="26" t="s">
        <v>55</v>
      </c>
      <c r="G72" s="26" t="s">
        <v>58</v>
      </c>
      <c r="H72" s="26" t="s">
        <v>56</v>
      </c>
      <c r="I72" s="26" t="s">
        <v>70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202</v>
      </c>
      <c r="C73" s="25" t="s">
        <v>203</v>
      </c>
      <c r="D73" s="23" t="s">
        <v>186</v>
      </c>
      <c r="E73" s="55">
        <v>46126</v>
      </c>
      <c r="F73" s="26" t="s">
        <v>55</v>
      </c>
      <c r="G73" s="26" t="s">
        <v>58</v>
      </c>
      <c r="H73" s="26" t="s">
        <v>56</v>
      </c>
      <c r="I73" s="26" t="s">
        <v>70</v>
      </c>
      <c r="J73" s="26" t="s">
        <v>58</v>
      </c>
      <c r="K73" s="27" t="s">
        <v>191</v>
      </c>
      <c r="L73" s="28" t="s">
        <v>56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204</v>
      </c>
      <c r="C74" s="44" t="s">
        <v>205</v>
      </c>
      <c r="D74" s="42" t="s">
        <v>186</v>
      </c>
      <c r="E74" s="55">
        <v>46126</v>
      </c>
      <c r="F74" s="26" t="s">
        <v>55</v>
      </c>
      <c r="G74" s="26" t="s">
        <v>58</v>
      </c>
      <c r="H74" s="26" t="s">
        <v>56</v>
      </c>
      <c r="I74" s="26" t="s">
        <v>70</v>
      </c>
      <c r="J74" s="26" t="s">
        <v>58</v>
      </c>
      <c r="K74" s="27" t="s">
        <v>191</v>
      </c>
      <c r="L74" s="28" t="s">
        <v>56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206</v>
      </c>
      <c r="C75" s="25" t="s">
        <v>207</v>
      </c>
      <c r="D75" s="23" t="s">
        <v>186</v>
      </c>
      <c r="E75" s="55">
        <v>46125</v>
      </c>
      <c r="F75" s="26" t="s">
        <v>55</v>
      </c>
      <c r="G75" s="26" t="s">
        <v>58</v>
      </c>
      <c r="H75" s="26" t="s">
        <v>56</v>
      </c>
      <c r="I75" s="26" t="s">
        <v>70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208</v>
      </c>
      <c r="C76" s="44" t="s">
        <v>209</v>
      </c>
      <c r="D76" s="42" t="s">
        <v>186</v>
      </c>
      <c r="E76" s="55">
        <v>46125</v>
      </c>
      <c r="F76" s="26" t="s">
        <v>55</v>
      </c>
      <c r="G76" s="26" t="s">
        <v>58</v>
      </c>
      <c r="H76" s="26" t="s">
        <v>56</v>
      </c>
      <c r="I76" s="26" t="s">
        <v>70</v>
      </c>
      <c r="J76" s="26" t="s">
        <v>56</v>
      </c>
      <c r="K76" s="27" t="s">
        <v>130</v>
      </c>
      <c r="L76" s="28" t="s">
        <v>58</v>
      </c>
      <c r="M76" s="29" t="str">
        <f t="shared" si="10"/>
        <v>⚠ Check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210</v>
      </c>
      <c r="C77" s="25" t="s">
        <v>211</v>
      </c>
      <c r="D77" s="23" t="s">
        <v>186</v>
      </c>
      <c r="E77" s="55">
        <v>46126</v>
      </c>
      <c r="F77" s="26" t="s">
        <v>55</v>
      </c>
      <c r="G77" s="26" t="s">
        <v>58</v>
      </c>
      <c r="H77" s="26" t="s">
        <v>56</v>
      </c>
      <c r="I77" s="26" t="s">
        <v>70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212</v>
      </c>
      <c r="C78" s="44" t="s">
        <v>213</v>
      </c>
      <c r="D78" s="42" t="s">
        <v>186</v>
      </c>
      <c r="E78" s="55">
        <v>46125</v>
      </c>
      <c r="F78" s="26" t="s">
        <v>55</v>
      </c>
      <c r="G78" s="26" t="s">
        <v>58</v>
      </c>
      <c r="H78" s="26" t="s">
        <v>56</v>
      </c>
      <c r="I78" s="26" t="s">
        <v>70</v>
      </c>
      <c r="J78" s="26" t="s">
        <v>58</v>
      </c>
      <c r="K78" s="27"/>
      <c r="L78" s="28" t="s">
        <v>56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214</v>
      </c>
      <c r="C79" s="25" t="s">
        <v>215</v>
      </c>
      <c r="D79" s="23" t="s">
        <v>186</v>
      </c>
      <c r="E79" s="55">
        <v>46125</v>
      </c>
      <c r="F79" s="26" t="s">
        <v>55</v>
      </c>
      <c r="G79" s="26" t="s">
        <v>58</v>
      </c>
      <c r="H79" s="26" t="s">
        <v>56</v>
      </c>
      <c r="I79" s="26" t="s">
        <v>70</v>
      </c>
      <c r="J79" s="26" t="s">
        <v>56</v>
      </c>
      <c r="K79" s="27" t="s">
        <v>73</v>
      </c>
      <c r="L79" s="28" t="s">
        <v>58</v>
      </c>
      <c r="M79" s="29" t="str">
        <f t="shared" si="10"/>
        <v>⚠ Check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216</v>
      </c>
      <c r="C80" s="44" t="s">
        <v>217</v>
      </c>
      <c r="D80" s="42" t="s">
        <v>186</v>
      </c>
      <c r="E80" s="55">
        <v>46125</v>
      </c>
      <c r="F80" s="26" t="s">
        <v>55</v>
      </c>
      <c r="G80" s="26" t="s">
        <v>58</v>
      </c>
      <c r="H80" s="26" t="s">
        <v>56</v>
      </c>
      <c r="I80" s="26" t="s">
        <v>70</v>
      </c>
      <c r="J80" s="26" t="s">
        <v>58</v>
      </c>
      <c r="K80" s="27"/>
      <c r="L80" s="28" t="s">
        <v>56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218</v>
      </c>
      <c r="C81" s="25" t="s">
        <v>219</v>
      </c>
      <c r="D81" s="23" t="s">
        <v>186</v>
      </c>
      <c r="E81" s="55">
        <v>46126</v>
      </c>
      <c r="F81" s="26" t="s">
        <v>55</v>
      </c>
      <c r="G81" s="26" t="s">
        <v>58</v>
      </c>
      <c r="H81" s="26" t="s">
        <v>56</v>
      </c>
      <c r="I81" s="26" t="s">
        <v>70</v>
      </c>
      <c r="J81" s="26" t="s">
        <v>58</v>
      </c>
      <c r="K81" s="27"/>
      <c r="L81" s="28" t="s">
        <v>56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220</v>
      </c>
      <c r="C82" s="44" t="s">
        <v>221</v>
      </c>
      <c r="D82" s="42" t="s">
        <v>186</v>
      </c>
      <c r="E82" s="55">
        <v>46126</v>
      </c>
      <c r="F82" s="26" t="s">
        <v>55</v>
      </c>
      <c r="G82" s="26" t="s">
        <v>58</v>
      </c>
      <c r="H82" s="26" t="s">
        <v>56</v>
      </c>
      <c r="I82" s="26" t="s">
        <v>70</v>
      </c>
      <c r="J82" s="26" t="s">
        <v>58</v>
      </c>
      <c r="K82" s="27" t="s">
        <v>191</v>
      </c>
      <c r="L82" s="28" t="s">
        <v>56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222</v>
      </c>
      <c r="C83" s="25" t="s">
        <v>223</v>
      </c>
      <c r="D83" s="23" t="s">
        <v>186</v>
      </c>
      <c r="E83" s="55">
        <v>46126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10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224</v>
      </c>
      <c r="C84" s="44" t="s">
        <v>225</v>
      </c>
      <c r="D84" s="42" t="s">
        <v>186</v>
      </c>
      <c r="E84" s="55">
        <v>46126</v>
      </c>
      <c r="F84" s="26" t="s">
        <v>55</v>
      </c>
      <c r="G84" s="26" t="s">
        <v>58</v>
      </c>
      <c r="H84" s="26" t="s">
        <v>56</v>
      </c>
      <c r="I84" s="26" t="s">
        <v>70</v>
      </c>
      <c r="J84" s="26" t="s">
        <v>58</v>
      </c>
      <c r="K84" s="27" t="s">
        <v>191</v>
      </c>
      <c r="L84" s="28" t="s">
        <v>56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226</v>
      </c>
      <c r="C85" s="25" t="s">
        <v>227</v>
      </c>
      <c r="D85" s="23" t="s">
        <v>186</v>
      </c>
      <c r="E85" s="55">
        <v>46126</v>
      </c>
      <c r="F85" s="26" t="s">
        <v>55</v>
      </c>
      <c r="G85" s="26" t="s">
        <v>58</v>
      </c>
      <c r="H85" s="26" t="s">
        <v>56</v>
      </c>
      <c r="I85" s="26" t="s">
        <v>70</v>
      </c>
      <c r="J85" s="26" t="s">
        <v>58</v>
      </c>
      <c r="K85" s="27"/>
      <c r="L85" s="28" t="s">
        <v>56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228</v>
      </c>
      <c r="C86" s="44" t="s">
        <v>229</v>
      </c>
      <c r="D86" s="42" t="s">
        <v>186</v>
      </c>
      <c r="E86" s="55">
        <v>46126</v>
      </c>
      <c r="F86" s="26" t="s">
        <v>55</v>
      </c>
      <c r="G86" s="26" t="s">
        <v>58</v>
      </c>
      <c r="H86" s="26" t="s">
        <v>56</v>
      </c>
      <c r="I86" s="26" t="s">
        <v>70</v>
      </c>
      <c r="J86" s="26" t="s">
        <v>58</v>
      </c>
      <c r="K86" s="27" t="s">
        <v>191</v>
      </c>
      <c r="L86" s="28" t="s">
        <v>56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230</v>
      </c>
      <c r="C87" s="25" t="s">
        <v>231</v>
      </c>
      <c r="D87" s="23" t="s">
        <v>186</v>
      </c>
      <c r="E87" s="55">
        <v>46125</v>
      </c>
      <c r="F87" s="26" t="s">
        <v>55</v>
      </c>
      <c r="G87" s="26" t="s">
        <v>58</v>
      </c>
      <c r="H87" s="26" t="s">
        <v>56</v>
      </c>
      <c r="I87" s="26" t="s">
        <v>70</v>
      </c>
      <c r="J87" s="26" t="s">
        <v>58</v>
      </c>
      <c r="K87" s="27"/>
      <c r="L87" s="28" t="s">
        <v>56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232</v>
      </c>
      <c r="C88" s="44" t="s">
        <v>233</v>
      </c>
      <c r="D88" s="42" t="s">
        <v>186</v>
      </c>
      <c r="E88" s="55">
        <v>46126</v>
      </c>
      <c r="F88" s="26" t="s">
        <v>55</v>
      </c>
      <c r="G88" s="26" t="s">
        <v>58</v>
      </c>
      <c r="H88" s="26" t="s">
        <v>56</v>
      </c>
      <c r="I88" s="26" t="s">
        <v>70</v>
      </c>
      <c r="J88" s="26" t="s">
        <v>56</v>
      </c>
      <c r="K88" s="27" t="s">
        <v>234</v>
      </c>
      <c r="L88" s="28" t="s">
        <v>58</v>
      </c>
      <c r="M88" s="29" t="str">
        <f t="shared" si="10"/>
        <v>⚠ Check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235</v>
      </c>
      <c r="C89" s="25" t="s">
        <v>236</v>
      </c>
      <c r="D89" s="23" t="s">
        <v>186</v>
      </c>
      <c r="E89" s="55">
        <v>46125</v>
      </c>
      <c r="F89" s="26" t="s">
        <v>55</v>
      </c>
      <c r="G89" s="26" t="s">
        <v>58</v>
      </c>
      <c r="H89" s="26" t="s">
        <v>56</v>
      </c>
      <c r="I89" s="26" t="s">
        <v>70</v>
      </c>
      <c r="J89" s="26" t="s">
        <v>56</v>
      </c>
      <c r="K89" s="27" t="s">
        <v>237</v>
      </c>
      <c r="L89" s="28" t="s">
        <v>58</v>
      </c>
      <c r="M89" s="29" t="str">
        <f t="shared" si="10"/>
        <v>⚠ Check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238</v>
      </c>
      <c r="C90" s="44" t="s">
        <v>239</v>
      </c>
      <c r="D90" s="42" t="s">
        <v>186</v>
      </c>
      <c r="E90" s="55">
        <v>46125</v>
      </c>
      <c r="F90" s="26" t="s">
        <v>55</v>
      </c>
      <c r="G90" s="26" t="s">
        <v>58</v>
      </c>
      <c r="H90" s="26" t="s">
        <v>56</v>
      </c>
      <c r="I90" s="26" t="s">
        <v>70</v>
      </c>
      <c r="J90" s="26" t="s">
        <v>58</v>
      </c>
      <c r="K90" s="27"/>
      <c r="L90" s="28" t="s">
        <v>56</v>
      </c>
      <c r="M90" s="29" t="str">
        <f t="shared" si="10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240</v>
      </c>
      <c r="C91" s="25" t="s">
        <v>241</v>
      </c>
      <c r="D91" s="23" t="s">
        <v>186</v>
      </c>
      <c r="E91" s="55">
        <v>46125</v>
      </c>
      <c r="F91" s="26" t="s">
        <v>55</v>
      </c>
      <c r="G91" s="26" t="s">
        <v>58</v>
      </c>
      <c r="H91" s="26" t="s">
        <v>56</v>
      </c>
      <c r="I91" s="26" t="s">
        <v>70</v>
      </c>
      <c r="J91" s="26" t="s">
        <v>58</v>
      </c>
      <c r="K91" s="27"/>
      <c r="L91" s="28" t="s">
        <v>56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242</v>
      </c>
      <c r="C92" s="44" t="s">
        <v>243</v>
      </c>
      <c r="D92" s="42" t="s">
        <v>186</v>
      </c>
      <c r="E92" s="55">
        <v>46125</v>
      </c>
      <c r="F92" s="26" t="s">
        <v>55</v>
      </c>
      <c r="G92" s="26" t="s">
        <v>58</v>
      </c>
      <c r="H92" s="26" t="s">
        <v>56</v>
      </c>
      <c r="I92" s="26" t="s">
        <v>70</v>
      </c>
      <c r="J92" s="26" t="s">
        <v>56</v>
      </c>
      <c r="K92" s="27" t="s">
        <v>73</v>
      </c>
      <c r="L92" s="28" t="s">
        <v>58</v>
      </c>
      <c r="M92" s="29" t="str">
        <f t="shared" si="10"/>
        <v>⚠ Check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244</v>
      </c>
      <c r="C93" s="25" t="s">
        <v>245</v>
      </c>
      <c r="D93" s="23" t="s">
        <v>186</v>
      </c>
      <c r="E93" s="55">
        <v>46126</v>
      </c>
      <c r="F93" s="26" t="s">
        <v>55</v>
      </c>
      <c r="G93" s="26" t="s">
        <v>58</v>
      </c>
      <c r="H93" s="26" t="s">
        <v>56</v>
      </c>
      <c r="I93" s="26" t="s">
        <v>70</v>
      </c>
      <c r="J93" s="26" t="s">
        <v>58</v>
      </c>
      <c r="K93" s="27" t="s">
        <v>191</v>
      </c>
      <c r="L93" s="28" t="s">
        <v>56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246</v>
      </c>
      <c r="C94" s="44" t="s">
        <v>247</v>
      </c>
      <c r="D94" s="42" t="s">
        <v>186</v>
      </c>
      <c r="E94" s="55">
        <v>46126</v>
      </c>
      <c r="F94" s="26" t="s">
        <v>55</v>
      </c>
      <c r="G94" s="26" t="s">
        <v>58</v>
      </c>
      <c r="H94" s="26" t="s">
        <v>56</v>
      </c>
      <c r="I94" s="26" t="s">
        <v>70</v>
      </c>
      <c r="J94" s="26" t="s">
        <v>58</v>
      </c>
      <c r="K94" s="27" t="s">
        <v>191</v>
      </c>
      <c r="L94" s="28" t="s">
        <v>56</v>
      </c>
      <c r="M94" s="29" t="str">
        <f t="shared" si="10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248</v>
      </c>
      <c r="C95" s="25" t="s">
        <v>249</v>
      </c>
      <c r="D95" s="23" t="s">
        <v>186</v>
      </c>
      <c r="E95" s="55">
        <v>46125</v>
      </c>
      <c r="F95" s="26" t="s">
        <v>55</v>
      </c>
      <c r="G95" s="26" t="s">
        <v>58</v>
      </c>
      <c r="H95" s="26" t="s">
        <v>56</v>
      </c>
      <c r="I95" s="26" t="s">
        <v>70</v>
      </c>
      <c r="J95" s="26" t="s">
        <v>58</v>
      </c>
      <c r="K95" s="27"/>
      <c r="L95" s="28" t="s">
        <v>56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250</v>
      </c>
      <c r="C96" s="44" t="s">
        <v>251</v>
      </c>
      <c r="D96" s="42" t="s">
        <v>186</v>
      </c>
      <c r="E96" s="55">
        <v>46125</v>
      </c>
      <c r="F96" s="26" t="s">
        <v>55</v>
      </c>
      <c r="G96" s="26" t="s">
        <v>58</v>
      </c>
      <c r="H96" s="26" t="s">
        <v>56</v>
      </c>
      <c r="I96" s="26" t="s">
        <v>70</v>
      </c>
      <c r="J96" s="26" t="s">
        <v>58</v>
      </c>
      <c r="K96" s="27"/>
      <c r="L96" s="28" t="s">
        <v>56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252</v>
      </c>
      <c r="C97" s="25" t="s">
        <v>253</v>
      </c>
      <c r="D97" s="23" t="s">
        <v>186</v>
      </c>
      <c r="E97" s="55">
        <v>46125</v>
      </c>
      <c r="F97" s="26" t="s">
        <v>55</v>
      </c>
      <c r="G97" s="26" t="s">
        <v>58</v>
      </c>
      <c r="H97" s="26" t="s">
        <v>56</v>
      </c>
      <c r="I97" s="26" t="s">
        <v>70</v>
      </c>
      <c r="J97" s="26" t="s">
        <v>58</v>
      </c>
      <c r="K97" s="27"/>
      <c r="L97" s="28" t="s">
        <v>56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254</v>
      </c>
      <c r="C98" s="44" t="s">
        <v>255</v>
      </c>
      <c r="D98" s="42" t="s">
        <v>186</v>
      </c>
      <c r="E98" s="55">
        <v>46126</v>
      </c>
      <c r="F98" s="26" t="s">
        <v>55</v>
      </c>
      <c r="G98" s="26" t="s">
        <v>56</v>
      </c>
      <c r="H98" s="26" t="s">
        <v>56</v>
      </c>
      <c r="I98" s="26" t="s">
        <v>57</v>
      </c>
      <c r="J98" s="26" t="s">
        <v>56</v>
      </c>
      <c r="K98" s="27"/>
      <c r="L98" s="28" t="s">
        <v>58</v>
      </c>
      <c r="M98" s="29" t="str">
        <f t="shared" si="10"/>
        <v>⚠ Missing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256</v>
      </c>
      <c r="C99" s="25" t="s">
        <v>257</v>
      </c>
      <c r="D99" s="23" t="s">
        <v>186</v>
      </c>
      <c r="E99" s="55">
        <v>46125</v>
      </c>
      <c r="F99" s="26" t="s">
        <v>55</v>
      </c>
      <c r="G99" s="26" t="s">
        <v>58</v>
      </c>
      <c r="H99" s="26" t="s">
        <v>56</v>
      </c>
      <c r="I99" s="26" t="s">
        <v>70</v>
      </c>
      <c r="J99" s="26" t="s">
        <v>58</v>
      </c>
      <c r="K99" s="27"/>
      <c r="L99" s="28" t="s">
        <v>56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258</v>
      </c>
      <c r="C100" s="44" t="s">
        <v>259</v>
      </c>
      <c r="D100" s="42" t="s">
        <v>186</v>
      </c>
      <c r="E100" s="55">
        <v>46125</v>
      </c>
      <c r="F100" s="26" t="s">
        <v>55</v>
      </c>
      <c r="G100" s="26" t="s">
        <v>58</v>
      </c>
      <c r="H100" s="26" t="s">
        <v>56</v>
      </c>
      <c r="I100" s="26" t="s">
        <v>70</v>
      </c>
      <c r="J100" s="26" t="s">
        <v>56</v>
      </c>
      <c r="K100" s="27" t="s">
        <v>237</v>
      </c>
      <c r="L100" s="28" t="s">
        <v>58</v>
      </c>
      <c r="M100" s="29" t="str">
        <f t="shared" si="10"/>
        <v>⚠ Check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260</v>
      </c>
      <c r="C101" s="25" t="s">
        <v>261</v>
      </c>
      <c r="D101" s="23" t="s">
        <v>186</v>
      </c>
      <c r="E101" s="55">
        <v>46125</v>
      </c>
      <c r="F101" s="26" t="s">
        <v>55</v>
      </c>
      <c r="G101" s="26" t="s">
        <v>58</v>
      </c>
      <c r="H101" s="26" t="s">
        <v>56</v>
      </c>
      <c r="I101" s="26" t="s">
        <v>70</v>
      </c>
      <c r="J101" s="26" t="s">
        <v>58</v>
      </c>
      <c r="K101" s="27"/>
      <c r="L101" s="28" t="s">
        <v>56</v>
      </c>
      <c r="M101" s="29" t="str">
        <f t="shared" si="10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262</v>
      </c>
      <c r="C102" s="44" t="s">
        <v>263</v>
      </c>
      <c r="D102" s="42" t="s">
        <v>186</v>
      </c>
      <c r="E102" s="55">
        <v>46125</v>
      </c>
      <c r="F102" s="26" t="s">
        <v>55</v>
      </c>
      <c r="G102" s="26" t="s">
        <v>58</v>
      </c>
      <c r="H102" s="26" t="s">
        <v>56</v>
      </c>
      <c r="I102" s="26" t="s">
        <v>70</v>
      </c>
      <c r="J102" s="26" t="s">
        <v>58</v>
      </c>
      <c r="K102" s="27"/>
      <c r="L102" s="28" t="s">
        <v>56</v>
      </c>
      <c r="M102" s="29" t="str">
        <f t="shared" si="10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264</v>
      </c>
      <c r="C103" s="25" t="s">
        <v>265</v>
      </c>
      <c r="D103" s="23" t="s">
        <v>186</v>
      </c>
      <c r="E103" s="55">
        <v>46125</v>
      </c>
      <c r="F103" s="26" t="s">
        <v>55</v>
      </c>
      <c r="G103" s="26" t="s">
        <v>58</v>
      </c>
      <c r="H103" s="26" t="s">
        <v>56</v>
      </c>
      <c r="I103" s="26" t="s">
        <v>70</v>
      </c>
      <c r="J103" s="26" t="s">
        <v>56</v>
      </c>
      <c r="K103" s="27" t="s">
        <v>130</v>
      </c>
      <c r="L103" s="28" t="s">
        <v>58</v>
      </c>
      <c r="M103" s="29" t="str">
        <f t="shared" si="10"/>
        <v>⚠ Check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266</v>
      </c>
      <c r="C104" s="44" t="s">
        <v>267</v>
      </c>
      <c r="D104" s="42" t="s">
        <v>186</v>
      </c>
      <c r="E104" s="55">
        <v>46125</v>
      </c>
      <c r="F104" s="26" t="s">
        <v>55</v>
      </c>
      <c r="G104" s="26" t="s">
        <v>58</v>
      </c>
      <c r="H104" s="26" t="s">
        <v>56</v>
      </c>
      <c r="I104" s="26" t="s">
        <v>70</v>
      </c>
      <c r="J104" s="26" t="s">
        <v>58</v>
      </c>
      <c r="K104" s="27"/>
      <c r="L104" s="28" t="s">
        <v>56</v>
      </c>
      <c r="M104" s="29" t="str">
        <f t="shared" si="10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268</v>
      </c>
      <c r="C105" s="25" t="s">
        <v>269</v>
      </c>
      <c r="D105" s="23" t="s">
        <v>186</v>
      </c>
      <c r="E105" s="55">
        <v>46126</v>
      </c>
      <c r="F105" s="26" t="s">
        <v>55</v>
      </c>
      <c r="G105" s="26" t="s">
        <v>56</v>
      </c>
      <c r="H105" s="26" t="s">
        <v>56</v>
      </c>
      <c r="I105" s="26" t="s">
        <v>57</v>
      </c>
      <c r="J105" s="26" t="s">
        <v>56</v>
      </c>
      <c r="K105" s="27"/>
      <c r="L105" s="28" t="s">
        <v>58</v>
      </c>
      <c r="M105" s="29" t="str">
        <f t="shared" si="10"/>
        <v>⚠ Missing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270</v>
      </c>
      <c r="C106" s="44" t="s">
        <v>271</v>
      </c>
      <c r="D106" s="42" t="s">
        <v>186</v>
      </c>
      <c r="E106" s="55">
        <v>46125</v>
      </c>
      <c r="F106" s="26" t="s">
        <v>55</v>
      </c>
      <c r="G106" s="26" t="s">
        <v>58</v>
      </c>
      <c r="H106" s="26" t="s">
        <v>56</v>
      </c>
      <c r="I106" s="26" t="s">
        <v>70</v>
      </c>
      <c r="J106" s="26" t="s">
        <v>58</v>
      </c>
      <c r="K106" s="27"/>
      <c r="L106" s="28" t="s">
        <v>56</v>
      </c>
      <c r="M106" s="29" t="str">
        <f t="shared" si="10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272</v>
      </c>
      <c r="C107" s="25" t="s">
        <v>273</v>
      </c>
      <c r="D107" s="23" t="s">
        <v>186</v>
      </c>
      <c r="E107" s="55">
        <v>46125</v>
      </c>
      <c r="F107" s="26" t="s">
        <v>55</v>
      </c>
      <c r="G107" s="26" t="s">
        <v>58</v>
      </c>
      <c r="H107" s="26" t="s">
        <v>56</v>
      </c>
      <c r="I107" s="26" t="s">
        <v>70</v>
      </c>
      <c r="J107" s="26" t="s">
        <v>58</v>
      </c>
      <c r="K107" s="27"/>
      <c r="L107" s="28" t="s">
        <v>56</v>
      </c>
      <c r="M107" s="29" t="str">
        <f t="shared" si="10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274</v>
      </c>
      <c r="C108" s="44" t="s">
        <v>275</v>
      </c>
      <c r="D108" s="42" t="s">
        <v>186</v>
      </c>
      <c r="E108" s="55">
        <v>46125</v>
      </c>
      <c r="F108" s="26" t="s">
        <v>55</v>
      </c>
      <c r="G108" s="26" t="s">
        <v>58</v>
      </c>
      <c r="H108" s="26" t="s">
        <v>56</v>
      </c>
      <c r="I108" s="26" t="s">
        <v>70</v>
      </c>
      <c r="J108" s="26" t="s">
        <v>56</v>
      </c>
      <c r="K108" s="27" t="s">
        <v>130</v>
      </c>
      <c r="L108" s="28" t="s">
        <v>58</v>
      </c>
      <c r="M108" s="29" t="str">
        <f t="shared" si="10"/>
        <v>⚠ Check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276</v>
      </c>
      <c r="C109" s="25" t="s">
        <v>277</v>
      </c>
      <c r="D109" s="23" t="s">
        <v>186</v>
      </c>
      <c r="E109" s="55">
        <v>46126</v>
      </c>
      <c r="F109" s="26" t="s">
        <v>55</v>
      </c>
      <c r="G109" s="26" t="s">
        <v>58</v>
      </c>
      <c r="H109" s="26" t="s">
        <v>56</v>
      </c>
      <c r="I109" s="26" t="s">
        <v>70</v>
      </c>
      <c r="J109" s="26" t="s">
        <v>58</v>
      </c>
      <c r="K109" s="27"/>
      <c r="L109" s="28" t="s">
        <v>56</v>
      </c>
      <c r="M109" s="29" t="str">
        <f t="shared" si="10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278</v>
      </c>
      <c r="C110" s="44" t="s">
        <v>279</v>
      </c>
      <c r="D110" s="42" t="s">
        <v>186</v>
      </c>
      <c r="E110" s="55">
        <v>46125</v>
      </c>
      <c r="F110" s="26" t="s">
        <v>55</v>
      </c>
      <c r="G110" s="26" t="s">
        <v>58</v>
      </c>
      <c r="H110" s="26" t="s">
        <v>56</v>
      </c>
      <c r="I110" s="26" t="s">
        <v>70</v>
      </c>
      <c r="J110" s="26" t="s">
        <v>56</v>
      </c>
      <c r="K110" s="27" t="s">
        <v>280</v>
      </c>
      <c r="L110" s="28" t="s">
        <v>58</v>
      </c>
      <c r="M110" s="29" t="str">
        <f t="shared" si="10"/>
        <v>⚠ Check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281</v>
      </c>
      <c r="C111" s="25" t="s">
        <v>282</v>
      </c>
      <c r="D111" s="23" t="s">
        <v>186</v>
      </c>
      <c r="E111" s="55">
        <v>46126</v>
      </c>
      <c r="F111" s="26" t="s">
        <v>55</v>
      </c>
      <c r="G111" s="26" t="s">
        <v>56</v>
      </c>
      <c r="H111" s="26" t="s">
        <v>56</v>
      </c>
      <c r="I111" s="26" t="s">
        <v>57</v>
      </c>
      <c r="J111" s="26" t="s">
        <v>56</v>
      </c>
      <c r="K111" s="27"/>
      <c r="L111" s="28" t="s">
        <v>58</v>
      </c>
      <c r="M111" s="29" t="str">
        <f t="shared" si="10"/>
        <v>⚠ Missing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283</v>
      </c>
      <c r="C112" s="44" t="s">
        <v>284</v>
      </c>
      <c r="D112" s="42" t="s">
        <v>186</v>
      </c>
      <c r="E112" s="55">
        <v>46125</v>
      </c>
      <c r="F112" s="26" t="s">
        <v>55</v>
      </c>
      <c r="G112" s="26" t="s">
        <v>58</v>
      </c>
      <c r="H112" s="26" t="s">
        <v>56</v>
      </c>
      <c r="I112" s="26" t="s">
        <v>70</v>
      </c>
      <c r="J112" s="26" t="s">
        <v>56</v>
      </c>
      <c r="K112" s="27" t="s">
        <v>130</v>
      </c>
      <c r="L112" s="28" t="s">
        <v>58</v>
      </c>
      <c r="M112" s="29" t="str">
        <f t="shared" si="10"/>
        <v>⚠ Check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285</v>
      </c>
      <c r="C113" s="25" t="s">
        <v>286</v>
      </c>
      <c r="D113" s="23" t="s">
        <v>186</v>
      </c>
      <c r="E113" s="55">
        <v>46126</v>
      </c>
      <c r="F113" s="26" t="s">
        <v>55</v>
      </c>
      <c r="G113" s="26" t="s">
        <v>58</v>
      </c>
      <c r="H113" s="26" t="s">
        <v>56</v>
      </c>
      <c r="I113" s="26" t="s">
        <v>70</v>
      </c>
      <c r="J113" s="26" t="s">
        <v>58</v>
      </c>
      <c r="K113" s="27" t="s">
        <v>191</v>
      </c>
      <c r="L113" s="28" t="s">
        <v>56</v>
      </c>
      <c r="M113" s="29" t="str">
        <f t="shared" si="10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287</v>
      </c>
      <c r="C114" s="44" t="s">
        <v>288</v>
      </c>
      <c r="D114" s="42" t="s">
        <v>186</v>
      </c>
      <c r="E114" s="55">
        <v>46125</v>
      </c>
      <c r="F114" s="26" t="s">
        <v>55</v>
      </c>
      <c r="G114" s="26" t="s">
        <v>58</v>
      </c>
      <c r="H114" s="26" t="s">
        <v>56</v>
      </c>
      <c r="I114" s="26" t="s">
        <v>70</v>
      </c>
      <c r="J114" s="26" t="s">
        <v>58</v>
      </c>
      <c r="K114" s="27"/>
      <c r="L114" s="28" t="s">
        <v>56</v>
      </c>
      <c r="M114" s="29" t="str">
        <f t="shared" si="10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289</v>
      </c>
      <c r="C115" s="25" t="s">
        <v>290</v>
      </c>
      <c r="D115" s="23" t="s">
        <v>186</v>
      </c>
      <c r="E115" s="55">
        <v>46126</v>
      </c>
      <c r="F115" s="26" t="s">
        <v>55</v>
      </c>
      <c r="G115" s="26" t="s">
        <v>56</v>
      </c>
      <c r="H115" s="26" t="s">
        <v>56</v>
      </c>
      <c r="I115" s="26" t="s">
        <v>57</v>
      </c>
      <c r="J115" s="26" t="s">
        <v>56</v>
      </c>
      <c r="K115" s="27"/>
      <c r="L115" s="28" t="s">
        <v>58</v>
      </c>
      <c r="M115" s="29" t="str">
        <f t="shared" si="10"/>
        <v>⚠ Missing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291</v>
      </c>
      <c r="C116" s="44" t="s">
        <v>292</v>
      </c>
      <c r="D116" s="42" t="s">
        <v>186</v>
      </c>
      <c r="E116" s="55">
        <v>46125</v>
      </c>
      <c r="F116" s="26" t="s">
        <v>55</v>
      </c>
      <c r="G116" s="26" t="s">
        <v>58</v>
      </c>
      <c r="H116" s="26" t="s">
        <v>56</v>
      </c>
      <c r="I116" s="26" t="s">
        <v>70</v>
      </c>
      <c r="J116" s="26" t="s">
        <v>58</v>
      </c>
      <c r="K116" s="27"/>
      <c r="L116" s="28" t="s">
        <v>56</v>
      </c>
      <c r="M116" s="29" t="str">
        <f t="shared" si="10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293</v>
      </c>
      <c r="C117" s="25" t="s">
        <v>294</v>
      </c>
      <c r="D117" s="23" t="s">
        <v>186</v>
      </c>
      <c r="E117" s="55">
        <v>46125</v>
      </c>
      <c r="F117" s="26" t="s">
        <v>55</v>
      </c>
      <c r="G117" s="26" t="s">
        <v>58</v>
      </c>
      <c r="H117" s="26" t="s">
        <v>56</v>
      </c>
      <c r="I117" s="26" t="s">
        <v>70</v>
      </c>
      <c r="J117" s="26" t="s">
        <v>58</v>
      </c>
      <c r="K117" s="27"/>
      <c r="L117" s="28" t="s">
        <v>56</v>
      </c>
      <c r="M117" s="29" t="str">
        <f t="shared" si="10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295</v>
      </c>
      <c r="C118" s="44" t="s">
        <v>296</v>
      </c>
      <c r="D118" s="42" t="s">
        <v>186</v>
      </c>
      <c r="E118" s="55">
        <v>46126</v>
      </c>
      <c r="F118" s="26" t="s">
        <v>55</v>
      </c>
      <c r="G118" s="26" t="s">
        <v>58</v>
      </c>
      <c r="H118" s="26" t="s">
        <v>56</v>
      </c>
      <c r="I118" s="26" t="s">
        <v>70</v>
      </c>
      <c r="J118" s="26" t="s">
        <v>58</v>
      </c>
      <c r="K118" s="27" t="s">
        <v>191</v>
      </c>
      <c r="L118" s="28" t="s">
        <v>56</v>
      </c>
      <c r="M118" s="29" t="str">
        <f t="shared" si="10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297</v>
      </c>
      <c r="C119" s="25" t="s">
        <v>298</v>
      </c>
      <c r="D119" s="23" t="s">
        <v>186</v>
      </c>
      <c r="E119" s="55">
        <v>46126</v>
      </c>
      <c r="F119" s="26" t="s">
        <v>55</v>
      </c>
      <c r="G119" s="26" t="s">
        <v>58</v>
      </c>
      <c r="H119" s="26" t="s">
        <v>56</v>
      </c>
      <c r="I119" s="26" t="s">
        <v>70</v>
      </c>
      <c r="J119" s="26" t="s">
        <v>58</v>
      </c>
      <c r="K119" s="27" t="s">
        <v>191</v>
      </c>
      <c r="L119" s="28" t="s">
        <v>56</v>
      </c>
      <c r="M119" s="29" t="str">
        <f t="shared" si="10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299</v>
      </c>
      <c r="C120" s="44" t="s">
        <v>300</v>
      </c>
      <c r="D120" s="42" t="s">
        <v>186</v>
      </c>
      <c r="E120" s="55">
        <v>46125</v>
      </c>
      <c r="F120" s="26" t="s">
        <v>55</v>
      </c>
      <c r="G120" s="26" t="s">
        <v>58</v>
      </c>
      <c r="H120" s="26" t="s">
        <v>56</v>
      </c>
      <c r="I120" s="26" t="s">
        <v>70</v>
      </c>
      <c r="J120" s="26" t="s">
        <v>58</v>
      </c>
      <c r="K120" s="27"/>
      <c r="L120" s="28" t="s">
        <v>56</v>
      </c>
      <c r="M120" s="29" t="str">
        <f t="shared" si="10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301</v>
      </c>
      <c r="C121" s="25" t="s">
        <v>302</v>
      </c>
      <c r="D121" s="23" t="s">
        <v>186</v>
      </c>
      <c r="E121" s="55">
        <v>46125</v>
      </c>
      <c r="F121" s="26" t="s">
        <v>55</v>
      </c>
      <c r="G121" s="26" t="s">
        <v>58</v>
      </c>
      <c r="H121" s="26" t="s">
        <v>56</v>
      </c>
      <c r="I121" s="26" t="s">
        <v>70</v>
      </c>
      <c r="J121" s="26" t="s">
        <v>58</v>
      </c>
      <c r="K121" s="27"/>
      <c r="L121" s="28" t="s">
        <v>56</v>
      </c>
      <c r="M121" s="29" t="str">
        <f t="shared" si="10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303</v>
      </c>
      <c r="C122" s="44" t="s">
        <v>304</v>
      </c>
      <c r="D122" s="42" t="s">
        <v>186</v>
      </c>
      <c r="E122" s="55">
        <v>46125</v>
      </c>
      <c r="F122" s="26" t="s">
        <v>55</v>
      </c>
      <c r="G122" s="26" t="s">
        <v>58</v>
      </c>
      <c r="H122" s="26" t="s">
        <v>56</v>
      </c>
      <c r="I122" s="26" t="s">
        <v>70</v>
      </c>
      <c r="J122" s="26" t="s">
        <v>58</v>
      </c>
      <c r="K122" s="27"/>
      <c r="L122" s="28" t="s">
        <v>56</v>
      </c>
      <c r="M122" s="29" t="str">
        <f t="shared" si="10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305</v>
      </c>
      <c r="C123" s="25" t="s">
        <v>306</v>
      </c>
      <c r="D123" s="23" t="s">
        <v>186</v>
      </c>
      <c r="E123" s="55">
        <v>46125</v>
      </c>
      <c r="F123" s="26" t="s">
        <v>55</v>
      </c>
      <c r="G123" s="26" t="s">
        <v>58</v>
      </c>
      <c r="H123" s="26" t="s">
        <v>56</v>
      </c>
      <c r="I123" s="26" t="s">
        <v>70</v>
      </c>
      <c r="J123" s="26" t="s">
        <v>58</v>
      </c>
      <c r="K123" s="27"/>
      <c r="L123" s="28" t="s">
        <v>56</v>
      </c>
      <c r="M123" s="29" t="str">
        <f t="shared" si="10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307</v>
      </c>
      <c r="C124" s="44" t="s">
        <v>308</v>
      </c>
      <c r="D124" s="42" t="s">
        <v>186</v>
      </c>
      <c r="E124" s="55">
        <v>46125</v>
      </c>
      <c r="F124" s="26" t="s">
        <v>55</v>
      </c>
      <c r="G124" s="26" t="s">
        <v>58</v>
      </c>
      <c r="H124" s="26" t="s">
        <v>56</v>
      </c>
      <c r="I124" s="26" t="s">
        <v>70</v>
      </c>
      <c r="J124" s="26" t="s">
        <v>58</v>
      </c>
      <c r="K124" s="27"/>
      <c r="L124" s="28" t="s">
        <v>56</v>
      </c>
      <c r="M124" s="29" t="str">
        <f t="shared" si="10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309</v>
      </c>
      <c r="C125" s="25" t="s">
        <v>310</v>
      </c>
      <c r="D125" s="23" t="s">
        <v>186</v>
      </c>
      <c r="E125" s="55">
        <v>46126</v>
      </c>
      <c r="F125" s="26" t="s">
        <v>55</v>
      </c>
      <c r="G125" s="26" t="s">
        <v>58</v>
      </c>
      <c r="H125" s="26" t="s">
        <v>56</v>
      </c>
      <c r="I125" s="26" t="s">
        <v>70</v>
      </c>
      <c r="J125" s="26" t="s">
        <v>58</v>
      </c>
      <c r="K125" s="27" t="s">
        <v>191</v>
      </c>
      <c r="L125" s="28" t="s">
        <v>56</v>
      </c>
      <c r="M125" s="29" t="str">
        <f t="shared" si="10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ref="V125:V188" si="11">IF(N125="","",IF(Q125="Yes","❌ Disc",IF(P125="No","⚠ Missing",IF(S125="Yes","✓ OK","⚠ Check"))))</f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ref="AE125:AE188" si="12">IF(W125="","",IF(Z125="Yes","❌ Disc",IF(Y125="No","⚠ Missing",IF(AB125="Yes","✓ OK","⚠ Check"))))</f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ref="AN125:AN188" si="13">IF(AF125="","",IF(AI125="Yes","❌ Disc",IF(AH125="No","⚠ Missing",IF(AK125="Yes","✓ OK","⚠ Check"))))</f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ref="AW125:AW188" si="14">IF(AO125="","",IF(AR125="Yes","❌ Disc",IF(AQ125="No","⚠ Missing",IF(AT125="Yes","✓ OK","⚠ Check"))))</f>
        <v/>
      </c>
    </row>
    <row r="126" spans="1:49" ht="18" customHeight="1" x14ac:dyDescent="0.3">
      <c r="A126" s="42">
        <v>122</v>
      </c>
      <c r="B126" s="43" t="s">
        <v>311</v>
      </c>
      <c r="C126" s="44" t="s">
        <v>312</v>
      </c>
      <c r="D126" s="42" t="s">
        <v>186</v>
      </c>
      <c r="E126" s="55">
        <v>46126</v>
      </c>
      <c r="F126" s="26" t="s">
        <v>55</v>
      </c>
      <c r="G126" s="26" t="s">
        <v>58</v>
      </c>
      <c r="H126" s="26" t="s">
        <v>56</v>
      </c>
      <c r="I126" s="26" t="s">
        <v>70</v>
      </c>
      <c r="J126" s="26" t="s">
        <v>58</v>
      </c>
      <c r="K126" s="27" t="s">
        <v>191</v>
      </c>
      <c r="L126" s="28" t="s">
        <v>56</v>
      </c>
      <c r="M126" s="29" t="str">
        <f t="shared" si="10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1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2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3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4"/>
        <v/>
      </c>
    </row>
    <row r="127" spans="1:49" ht="18" customHeight="1" x14ac:dyDescent="0.3">
      <c r="A127" s="23">
        <v>123</v>
      </c>
      <c r="B127" s="24" t="s">
        <v>313</v>
      </c>
      <c r="C127" s="25" t="s">
        <v>314</v>
      </c>
      <c r="D127" s="23" t="s">
        <v>186</v>
      </c>
      <c r="E127" s="55">
        <v>46125</v>
      </c>
      <c r="F127" s="26" t="s">
        <v>55</v>
      </c>
      <c r="G127" s="26" t="s">
        <v>58</v>
      </c>
      <c r="H127" s="26" t="s">
        <v>56</v>
      </c>
      <c r="I127" s="26" t="s">
        <v>70</v>
      </c>
      <c r="J127" s="26" t="s">
        <v>58</v>
      </c>
      <c r="K127" s="27"/>
      <c r="L127" s="28" t="s">
        <v>56</v>
      </c>
      <c r="M127" s="29" t="str">
        <f t="shared" si="10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1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2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3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4"/>
        <v/>
      </c>
    </row>
    <row r="128" spans="1:49" ht="18" customHeight="1" x14ac:dyDescent="0.3">
      <c r="A128" s="42">
        <v>124</v>
      </c>
      <c r="B128" s="43" t="s">
        <v>315</v>
      </c>
      <c r="C128" s="44" t="s">
        <v>316</v>
      </c>
      <c r="D128" s="42" t="s">
        <v>186</v>
      </c>
      <c r="E128" s="55">
        <v>46126</v>
      </c>
      <c r="F128" s="26" t="s">
        <v>55</v>
      </c>
      <c r="G128" s="26" t="s">
        <v>58</v>
      </c>
      <c r="H128" s="26" t="s">
        <v>56</v>
      </c>
      <c r="I128" s="26" t="s">
        <v>70</v>
      </c>
      <c r="J128" s="26" t="s">
        <v>58</v>
      </c>
      <c r="K128" s="27" t="s">
        <v>191</v>
      </c>
      <c r="L128" s="28" t="s">
        <v>56</v>
      </c>
      <c r="M128" s="29" t="str">
        <f t="shared" si="10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1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2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3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4"/>
        <v/>
      </c>
    </row>
    <row r="129" spans="1:49" ht="18" customHeight="1" x14ac:dyDescent="0.3">
      <c r="A129" s="23">
        <v>125</v>
      </c>
      <c r="B129" s="24" t="s">
        <v>317</v>
      </c>
      <c r="C129" s="25" t="s">
        <v>318</v>
      </c>
      <c r="D129" s="23" t="s">
        <v>186</v>
      </c>
      <c r="E129" s="55">
        <v>46125</v>
      </c>
      <c r="F129" s="26" t="s">
        <v>55</v>
      </c>
      <c r="G129" s="26" t="s">
        <v>58</v>
      </c>
      <c r="H129" s="26" t="s">
        <v>56</v>
      </c>
      <c r="I129" s="26" t="s">
        <v>70</v>
      </c>
      <c r="J129" s="26" t="s">
        <v>58</v>
      </c>
      <c r="K129" s="27"/>
      <c r="L129" s="28" t="s">
        <v>56</v>
      </c>
      <c r="M129" s="29" t="str">
        <f t="shared" si="10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1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2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3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4"/>
        <v/>
      </c>
    </row>
    <row r="130" spans="1:49" ht="18" customHeight="1" x14ac:dyDescent="0.3">
      <c r="A130" s="42">
        <v>126</v>
      </c>
      <c r="B130" s="43" t="s">
        <v>319</v>
      </c>
      <c r="C130" s="44" t="s">
        <v>320</v>
      </c>
      <c r="D130" s="42" t="s">
        <v>186</v>
      </c>
      <c r="E130" s="55">
        <v>46125</v>
      </c>
      <c r="F130" s="26" t="s">
        <v>55</v>
      </c>
      <c r="G130" s="26" t="s">
        <v>58</v>
      </c>
      <c r="H130" s="26" t="s">
        <v>56</v>
      </c>
      <c r="I130" s="26" t="s">
        <v>70</v>
      </c>
      <c r="J130" s="26" t="s">
        <v>58</v>
      </c>
      <c r="K130" s="27"/>
      <c r="L130" s="28" t="s">
        <v>56</v>
      </c>
      <c r="M130" s="29" t="str">
        <f t="shared" si="10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1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2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3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4"/>
        <v/>
      </c>
    </row>
    <row r="131" spans="1:49" ht="18" customHeight="1" x14ac:dyDescent="0.3">
      <c r="A131" s="23">
        <v>127</v>
      </c>
      <c r="B131" s="24" t="s">
        <v>321</v>
      </c>
      <c r="C131" s="25" t="s">
        <v>322</v>
      </c>
      <c r="D131" s="23" t="s">
        <v>186</v>
      </c>
      <c r="E131" s="55">
        <v>46125</v>
      </c>
      <c r="F131" s="26" t="s">
        <v>55</v>
      </c>
      <c r="G131" s="26" t="s">
        <v>58</v>
      </c>
      <c r="H131" s="26" t="s">
        <v>56</v>
      </c>
      <c r="I131" s="26" t="s">
        <v>70</v>
      </c>
      <c r="J131" s="26" t="s">
        <v>58</v>
      </c>
      <c r="K131" s="27"/>
      <c r="L131" s="28" t="s">
        <v>56</v>
      </c>
      <c r="M131" s="29" t="str">
        <f t="shared" si="10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1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2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3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4"/>
        <v/>
      </c>
    </row>
    <row r="132" spans="1:49" ht="18" customHeight="1" x14ac:dyDescent="0.3">
      <c r="A132" s="42">
        <v>128</v>
      </c>
      <c r="B132" s="43" t="s">
        <v>323</v>
      </c>
      <c r="C132" s="44" t="s">
        <v>324</v>
      </c>
      <c r="D132" s="42" t="s">
        <v>186</v>
      </c>
      <c r="E132" s="55">
        <v>46126</v>
      </c>
      <c r="F132" s="26" t="s">
        <v>55</v>
      </c>
      <c r="G132" s="26" t="s">
        <v>58</v>
      </c>
      <c r="H132" s="26" t="s">
        <v>56</v>
      </c>
      <c r="I132" s="26" t="s">
        <v>70</v>
      </c>
      <c r="J132" s="26" t="s">
        <v>58</v>
      </c>
      <c r="K132" s="27" t="s">
        <v>191</v>
      </c>
      <c r="L132" s="28" t="s">
        <v>56</v>
      </c>
      <c r="M132" s="29" t="str">
        <f t="shared" si="10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1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2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3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4"/>
        <v/>
      </c>
    </row>
    <row r="133" spans="1:49" ht="18" customHeight="1" x14ac:dyDescent="0.3">
      <c r="A133" s="23">
        <v>129</v>
      </c>
      <c r="B133" s="24" t="s">
        <v>325</v>
      </c>
      <c r="C133" s="25" t="s">
        <v>326</v>
      </c>
      <c r="D133" s="23" t="s">
        <v>186</v>
      </c>
      <c r="E133" s="55">
        <v>46125</v>
      </c>
      <c r="F133" s="26" t="s">
        <v>55</v>
      </c>
      <c r="G133" s="26" t="s">
        <v>58</v>
      </c>
      <c r="H133" s="26" t="s">
        <v>56</v>
      </c>
      <c r="I133" s="26" t="s">
        <v>70</v>
      </c>
      <c r="J133" s="26" t="s">
        <v>56</v>
      </c>
      <c r="K133" s="27" t="s">
        <v>73</v>
      </c>
      <c r="L133" s="28" t="s">
        <v>58</v>
      </c>
      <c r="M133" s="29" t="str">
        <f t="shared" si="10"/>
        <v>⚠ Check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si="11"/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si="12"/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si="13"/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si="14"/>
        <v/>
      </c>
    </row>
    <row r="134" spans="1:49" ht="18" customHeight="1" x14ac:dyDescent="0.3">
      <c r="A134" s="42">
        <v>130</v>
      </c>
      <c r="B134" s="43" t="s">
        <v>327</v>
      </c>
      <c r="C134" s="44" t="s">
        <v>328</v>
      </c>
      <c r="D134" s="42" t="s">
        <v>186</v>
      </c>
      <c r="E134" s="55">
        <v>46125</v>
      </c>
      <c r="F134" s="26" t="s">
        <v>55</v>
      </c>
      <c r="G134" s="26" t="s">
        <v>58</v>
      </c>
      <c r="H134" s="26" t="s">
        <v>56</v>
      </c>
      <c r="I134" s="26" t="s">
        <v>70</v>
      </c>
      <c r="J134" s="26" t="s">
        <v>58</v>
      </c>
      <c r="K134" s="27"/>
      <c r="L134" s="28" t="s">
        <v>56</v>
      </c>
      <c r="M134" s="29" t="str">
        <f t="shared" ref="M134:M197" si="15">IF(E134="","",IF(H134="Yes","❌ Disc",IF(G134="No","⚠ Missing",IF(J134="Yes","✓ OK","⚠ Check"))))</f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329</v>
      </c>
      <c r="C135" s="25" t="s">
        <v>330</v>
      </c>
      <c r="D135" s="23" t="s">
        <v>186</v>
      </c>
      <c r="E135" s="55">
        <v>46126</v>
      </c>
      <c r="F135" s="26" t="s">
        <v>55</v>
      </c>
      <c r="G135" s="26" t="s">
        <v>58</v>
      </c>
      <c r="H135" s="26" t="s">
        <v>56</v>
      </c>
      <c r="I135" s="26" t="s">
        <v>70</v>
      </c>
      <c r="J135" s="26" t="s">
        <v>58</v>
      </c>
      <c r="K135" s="27" t="s">
        <v>191</v>
      </c>
      <c r="L135" s="28" t="s">
        <v>56</v>
      </c>
      <c r="M135" s="29" t="str">
        <f t="shared" si="15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331</v>
      </c>
      <c r="C136" s="44" t="s">
        <v>332</v>
      </c>
      <c r="D136" s="42" t="s">
        <v>186</v>
      </c>
      <c r="E136" s="55">
        <v>46126</v>
      </c>
      <c r="F136" s="26" t="s">
        <v>55</v>
      </c>
      <c r="G136" s="26" t="s">
        <v>58</v>
      </c>
      <c r="H136" s="26" t="s">
        <v>56</v>
      </c>
      <c r="I136" s="26" t="s">
        <v>70</v>
      </c>
      <c r="J136" s="26" t="s">
        <v>56</v>
      </c>
      <c r="K136" s="27" t="s">
        <v>333</v>
      </c>
      <c r="L136" s="28" t="s">
        <v>58</v>
      </c>
      <c r="M136" s="29" t="str">
        <f t="shared" si="15"/>
        <v>⚠ Check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334</v>
      </c>
      <c r="C137" s="25" t="s">
        <v>335</v>
      </c>
      <c r="D137" s="23" t="s">
        <v>186</v>
      </c>
      <c r="E137" s="55">
        <v>46125</v>
      </c>
      <c r="F137" s="26" t="s">
        <v>55</v>
      </c>
      <c r="G137" s="26" t="s">
        <v>58</v>
      </c>
      <c r="H137" s="26" t="s">
        <v>56</v>
      </c>
      <c r="I137" s="26" t="s">
        <v>70</v>
      </c>
      <c r="J137" s="26" t="s">
        <v>58</v>
      </c>
      <c r="K137" s="27"/>
      <c r="L137" s="28" t="s">
        <v>56</v>
      </c>
      <c r="M137" s="29" t="str">
        <f t="shared" si="15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336</v>
      </c>
      <c r="C138" s="44" t="s">
        <v>337</v>
      </c>
      <c r="D138" s="42" t="s">
        <v>186</v>
      </c>
      <c r="E138" s="55">
        <v>46126</v>
      </c>
      <c r="F138" s="26" t="s">
        <v>55</v>
      </c>
      <c r="G138" s="26" t="s">
        <v>58</v>
      </c>
      <c r="H138" s="26" t="s">
        <v>56</v>
      </c>
      <c r="I138" s="26" t="s">
        <v>70</v>
      </c>
      <c r="J138" s="26" t="s">
        <v>58</v>
      </c>
      <c r="K138" s="27" t="s">
        <v>191</v>
      </c>
      <c r="L138" s="28" t="s">
        <v>56</v>
      </c>
      <c r="M138" s="29" t="str">
        <f t="shared" si="15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338</v>
      </c>
      <c r="C139" s="25" t="s">
        <v>339</v>
      </c>
      <c r="D139" s="23" t="s">
        <v>186</v>
      </c>
      <c r="E139" s="55">
        <v>46126</v>
      </c>
      <c r="F139" s="26" t="s">
        <v>55</v>
      </c>
      <c r="G139" s="26" t="s">
        <v>58</v>
      </c>
      <c r="H139" s="26" t="s">
        <v>56</v>
      </c>
      <c r="I139" s="26" t="s">
        <v>70</v>
      </c>
      <c r="J139" s="26" t="s">
        <v>58</v>
      </c>
      <c r="K139" s="27" t="s">
        <v>191</v>
      </c>
      <c r="L139" s="28" t="s">
        <v>56</v>
      </c>
      <c r="M139" s="29" t="str">
        <f t="shared" si="15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340</v>
      </c>
      <c r="C140" s="44" t="s">
        <v>341</v>
      </c>
      <c r="D140" s="42" t="s">
        <v>186</v>
      </c>
      <c r="E140" s="55">
        <v>46125</v>
      </c>
      <c r="F140" s="26" t="s">
        <v>55</v>
      </c>
      <c r="G140" s="26" t="s">
        <v>58</v>
      </c>
      <c r="H140" s="26" t="s">
        <v>56</v>
      </c>
      <c r="I140" s="26" t="s">
        <v>70</v>
      </c>
      <c r="J140" s="26" t="s">
        <v>58</v>
      </c>
      <c r="K140" s="27"/>
      <c r="L140" s="28" t="s">
        <v>56</v>
      </c>
      <c r="M140" s="29" t="str">
        <f t="shared" si="15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342</v>
      </c>
      <c r="C141" s="25" t="s">
        <v>343</v>
      </c>
      <c r="D141" s="23" t="s">
        <v>186</v>
      </c>
      <c r="E141" s="55">
        <v>46126</v>
      </c>
      <c r="F141" s="26" t="s">
        <v>55</v>
      </c>
      <c r="G141" s="26" t="s">
        <v>58</v>
      </c>
      <c r="H141" s="26" t="s">
        <v>56</v>
      </c>
      <c r="I141" s="26" t="s">
        <v>70</v>
      </c>
      <c r="J141" s="26" t="s">
        <v>58</v>
      </c>
      <c r="K141" s="27" t="s">
        <v>191</v>
      </c>
      <c r="L141" s="28" t="s">
        <v>56</v>
      </c>
      <c r="M141" s="29" t="str">
        <f t="shared" si="15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344</v>
      </c>
      <c r="C142" s="44" t="s">
        <v>345</v>
      </c>
      <c r="D142" s="42" t="s">
        <v>186</v>
      </c>
      <c r="E142" s="55">
        <v>46126</v>
      </c>
      <c r="F142" s="26" t="s">
        <v>55</v>
      </c>
      <c r="G142" s="26" t="s">
        <v>58</v>
      </c>
      <c r="H142" s="26" t="s">
        <v>56</v>
      </c>
      <c r="I142" s="26" t="s">
        <v>70</v>
      </c>
      <c r="J142" s="26" t="s">
        <v>58</v>
      </c>
      <c r="K142" s="27" t="s">
        <v>191</v>
      </c>
      <c r="L142" s="28" t="s">
        <v>56</v>
      </c>
      <c r="M142" s="29" t="str">
        <f t="shared" si="15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346</v>
      </c>
      <c r="C143" s="25" t="s">
        <v>347</v>
      </c>
      <c r="D143" s="23" t="s">
        <v>186</v>
      </c>
      <c r="E143" s="55">
        <v>46126</v>
      </c>
      <c r="F143" s="26" t="s">
        <v>55</v>
      </c>
      <c r="G143" s="26" t="s">
        <v>58</v>
      </c>
      <c r="H143" s="26" t="s">
        <v>56</v>
      </c>
      <c r="I143" s="26" t="s">
        <v>70</v>
      </c>
      <c r="J143" s="26" t="s">
        <v>58</v>
      </c>
      <c r="K143" s="27" t="s">
        <v>191</v>
      </c>
      <c r="L143" s="28" t="s">
        <v>56</v>
      </c>
      <c r="M143" s="29" t="str">
        <f t="shared" si="15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348</v>
      </c>
      <c r="C144" s="44" t="s">
        <v>349</v>
      </c>
      <c r="D144" s="42" t="s">
        <v>186</v>
      </c>
      <c r="E144" s="55">
        <v>46126</v>
      </c>
      <c r="F144" s="26" t="s">
        <v>55</v>
      </c>
      <c r="G144" s="26" t="s">
        <v>58</v>
      </c>
      <c r="H144" s="26" t="s">
        <v>56</v>
      </c>
      <c r="I144" s="26" t="s">
        <v>70</v>
      </c>
      <c r="J144" s="26" t="s">
        <v>58</v>
      </c>
      <c r="K144" s="27" t="s">
        <v>191</v>
      </c>
      <c r="L144" s="28" t="s">
        <v>56</v>
      </c>
      <c r="M144" s="29" t="str">
        <f t="shared" si="15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350</v>
      </c>
      <c r="C145" s="25" t="s">
        <v>351</v>
      </c>
      <c r="D145" s="23" t="s">
        <v>186</v>
      </c>
      <c r="E145" s="55">
        <v>46125</v>
      </c>
      <c r="F145" s="26" t="s">
        <v>55</v>
      </c>
      <c r="G145" s="26" t="s">
        <v>58</v>
      </c>
      <c r="H145" s="26" t="s">
        <v>56</v>
      </c>
      <c r="I145" s="26" t="s">
        <v>70</v>
      </c>
      <c r="J145" s="26" t="s">
        <v>58</v>
      </c>
      <c r="K145" s="27"/>
      <c r="L145" s="28" t="s">
        <v>56</v>
      </c>
      <c r="M145" s="29" t="str">
        <f t="shared" si="15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352</v>
      </c>
      <c r="C146" s="44" t="s">
        <v>353</v>
      </c>
      <c r="D146" s="42" t="s">
        <v>186</v>
      </c>
      <c r="E146" s="55">
        <v>46125</v>
      </c>
      <c r="F146" s="26" t="s">
        <v>55</v>
      </c>
      <c r="G146" s="26" t="s">
        <v>58</v>
      </c>
      <c r="H146" s="26" t="s">
        <v>56</v>
      </c>
      <c r="I146" s="26" t="s">
        <v>70</v>
      </c>
      <c r="J146" s="26" t="s">
        <v>58</v>
      </c>
      <c r="K146" s="27"/>
      <c r="L146" s="28" t="s">
        <v>56</v>
      </c>
      <c r="M146" s="29" t="str">
        <f t="shared" si="15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354</v>
      </c>
      <c r="C147" s="25" t="s">
        <v>355</v>
      </c>
      <c r="D147" s="23" t="s">
        <v>186</v>
      </c>
      <c r="E147" s="55">
        <v>46125</v>
      </c>
      <c r="F147" s="26" t="s">
        <v>55</v>
      </c>
      <c r="G147" s="26" t="s">
        <v>58</v>
      </c>
      <c r="H147" s="26" t="s">
        <v>56</v>
      </c>
      <c r="I147" s="26" t="s">
        <v>70</v>
      </c>
      <c r="J147" s="26" t="s">
        <v>58</v>
      </c>
      <c r="K147" s="27"/>
      <c r="L147" s="28" t="s">
        <v>56</v>
      </c>
      <c r="M147" s="29" t="str">
        <f t="shared" si="15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356</v>
      </c>
      <c r="C148" s="44" t="s">
        <v>357</v>
      </c>
      <c r="D148" s="42" t="s">
        <v>186</v>
      </c>
      <c r="E148" s="55">
        <v>46125</v>
      </c>
      <c r="F148" s="26" t="s">
        <v>55</v>
      </c>
      <c r="G148" s="26" t="s">
        <v>58</v>
      </c>
      <c r="H148" s="26" t="s">
        <v>56</v>
      </c>
      <c r="I148" s="26" t="s">
        <v>70</v>
      </c>
      <c r="J148" s="26" t="s">
        <v>58</v>
      </c>
      <c r="K148" s="27"/>
      <c r="L148" s="28" t="s">
        <v>56</v>
      </c>
      <c r="M148" s="29" t="str">
        <f t="shared" si="15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358</v>
      </c>
      <c r="C149" s="25" t="s">
        <v>359</v>
      </c>
      <c r="D149" s="23" t="s">
        <v>186</v>
      </c>
      <c r="E149" s="55">
        <v>46126</v>
      </c>
      <c r="F149" s="26" t="s">
        <v>55</v>
      </c>
      <c r="G149" s="26" t="s">
        <v>58</v>
      </c>
      <c r="H149" s="26" t="s">
        <v>56</v>
      </c>
      <c r="I149" s="26" t="s">
        <v>70</v>
      </c>
      <c r="J149" s="26" t="s">
        <v>56</v>
      </c>
      <c r="K149" s="27" t="s">
        <v>360</v>
      </c>
      <c r="L149" s="28" t="s">
        <v>58</v>
      </c>
      <c r="M149" s="29" t="str">
        <f t="shared" si="15"/>
        <v>⚠ Check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361</v>
      </c>
      <c r="C150" s="44" t="s">
        <v>362</v>
      </c>
      <c r="D150" s="42" t="s">
        <v>186</v>
      </c>
      <c r="E150" s="55">
        <v>46125</v>
      </c>
      <c r="F150" s="26" t="s">
        <v>55</v>
      </c>
      <c r="G150" s="26" t="s">
        <v>58</v>
      </c>
      <c r="H150" s="26" t="s">
        <v>56</v>
      </c>
      <c r="I150" s="26" t="s">
        <v>70</v>
      </c>
      <c r="J150" s="26" t="s">
        <v>56</v>
      </c>
      <c r="K150" s="27" t="s">
        <v>130</v>
      </c>
      <c r="L150" s="28" t="s">
        <v>58</v>
      </c>
      <c r="M150" s="29" t="str">
        <f t="shared" si="15"/>
        <v>⚠ Check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363</v>
      </c>
      <c r="C151" s="25" t="s">
        <v>364</v>
      </c>
      <c r="D151" s="23" t="s">
        <v>186</v>
      </c>
      <c r="E151" s="55">
        <v>46125</v>
      </c>
      <c r="F151" s="26" t="s">
        <v>55</v>
      </c>
      <c r="G151" s="26" t="s">
        <v>58</v>
      </c>
      <c r="H151" s="26" t="s">
        <v>56</v>
      </c>
      <c r="I151" s="26" t="s">
        <v>70</v>
      </c>
      <c r="J151" s="26" t="s">
        <v>58</v>
      </c>
      <c r="K151" s="27"/>
      <c r="L151" s="28" t="s">
        <v>56</v>
      </c>
      <c r="M151" s="29" t="str">
        <f t="shared" si="15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365</v>
      </c>
      <c r="C152" s="44" t="s">
        <v>366</v>
      </c>
      <c r="D152" s="42" t="s">
        <v>186</v>
      </c>
      <c r="E152" s="55">
        <v>46125</v>
      </c>
      <c r="F152" s="26" t="s">
        <v>55</v>
      </c>
      <c r="G152" s="26" t="s">
        <v>58</v>
      </c>
      <c r="H152" s="26" t="s">
        <v>56</v>
      </c>
      <c r="I152" s="26" t="s">
        <v>70</v>
      </c>
      <c r="J152" s="26" t="s">
        <v>58</v>
      </c>
      <c r="K152" s="27"/>
      <c r="L152" s="28" t="s">
        <v>56</v>
      </c>
      <c r="M152" s="29" t="str">
        <f t="shared" si="15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367</v>
      </c>
      <c r="C153" s="25" t="s">
        <v>368</v>
      </c>
      <c r="D153" s="23" t="s">
        <v>186</v>
      </c>
      <c r="E153" s="55">
        <v>46125</v>
      </c>
      <c r="F153" s="26" t="s">
        <v>55</v>
      </c>
      <c r="G153" s="26" t="s">
        <v>58</v>
      </c>
      <c r="H153" s="26" t="s">
        <v>56</v>
      </c>
      <c r="I153" s="26" t="s">
        <v>70</v>
      </c>
      <c r="J153" s="26" t="s">
        <v>58</v>
      </c>
      <c r="K153" s="27"/>
      <c r="L153" s="28" t="s">
        <v>56</v>
      </c>
      <c r="M153" s="29" t="str">
        <f t="shared" si="15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369</v>
      </c>
      <c r="C154" s="44" t="s">
        <v>370</v>
      </c>
      <c r="D154" s="42" t="s">
        <v>186</v>
      </c>
      <c r="E154" s="55">
        <v>46125</v>
      </c>
      <c r="F154" s="26" t="s">
        <v>55</v>
      </c>
      <c r="G154" s="26" t="s">
        <v>58</v>
      </c>
      <c r="H154" s="26" t="s">
        <v>56</v>
      </c>
      <c r="I154" s="26" t="s">
        <v>70</v>
      </c>
      <c r="J154" s="26" t="s">
        <v>58</v>
      </c>
      <c r="K154" s="27"/>
      <c r="L154" s="28" t="s">
        <v>56</v>
      </c>
      <c r="M154" s="29" t="str">
        <f t="shared" si="15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371</v>
      </c>
      <c r="C155" s="25" t="s">
        <v>372</v>
      </c>
      <c r="D155" s="23" t="s">
        <v>186</v>
      </c>
      <c r="E155" s="55">
        <v>46125</v>
      </c>
      <c r="F155" s="26" t="s">
        <v>55</v>
      </c>
      <c r="G155" s="26" t="s">
        <v>58</v>
      </c>
      <c r="H155" s="26" t="s">
        <v>56</v>
      </c>
      <c r="I155" s="26" t="s">
        <v>70</v>
      </c>
      <c r="J155" s="26" t="s">
        <v>56</v>
      </c>
      <c r="K155" s="27" t="s">
        <v>130</v>
      </c>
      <c r="L155" s="28" t="s">
        <v>58</v>
      </c>
      <c r="M155" s="29" t="str">
        <f t="shared" si="15"/>
        <v>⚠ Check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373</v>
      </c>
      <c r="C156" s="44" t="s">
        <v>374</v>
      </c>
      <c r="D156" s="42" t="s">
        <v>186</v>
      </c>
      <c r="E156" s="55">
        <v>46125</v>
      </c>
      <c r="F156" s="26" t="s">
        <v>55</v>
      </c>
      <c r="G156" s="26" t="s">
        <v>58</v>
      </c>
      <c r="H156" s="26" t="s">
        <v>56</v>
      </c>
      <c r="I156" s="26" t="s">
        <v>70</v>
      </c>
      <c r="J156" s="26" t="s">
        <v>58</v>
      </c>
      <c r="K156" s="27"/>
      <c r="L156" s="28" t="s">
        <v>56</v>
      </c>
      <c r="M156" s="29" t="str">
        <f t="shared" si="15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375</v>
      </c>
      <c r="C157" s="25" t="s">
        <v>376</v>
      </c>
      <c r="D157" s="23" t="s">
        <v>186</v>
      </c>
      <c r="E157" s="55">
        <v>46125</v>
      </c>
      <c r="F157" s="26" t="s">
        <v>55</v>
      </c>
      <c r="G157" s="26" t="s">
        <v>58</v>
      </c>
      <c r="H157" s="26" t="s">
        <v>56</v>
      </c>
      <c r="I157" s="26" t="s">
        <v>70</v>
      </c>
      <c r="J157" s="26" t="s">
        <v>58</v>
      </c>
      <c r="K157" s="27"/>
      <c r="L157" s="28" t="s">
        <v>56</v>
      </c>
      <c r="M157" s="29" t="str">
        <f t="shared" si="15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377</v>
      </c>
      <c r="C158" s="44" t="s">
        <v>378</v>
      </c>
      <c r="D158" s="42" t="s">
        <v>186</v>
      </c>
      <c r="E158" s="55">
        <v>46125</v>
      </c>
      <c r="F158" s="26" t="s">
        <v>55</v>
      </c>
      <c r="G158" s="26" t="s">
        <v>58</v>
      </c>
      <c r="H158" s="26" t="s">
        <v>56</v>
      </c>
      <c r="I158" s="26" t="s">
        <v>70</v>
      </c>
      <c r="J158" s="26" t="s">
        <v>58</v>
      </c>
      <c r="K158" s="27"/>
      <c r="L158" s="28" t="s">
        <v>56</v>
      </c>
      <c r="M158" s="29" t="str">
        <f t="shared" si="15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379</v>
      </c>
      <c r="C159" s="25" t="s">
        <v>380</v>
      </c>
      <c r="D159" s="23" t="s">
        <v>186</v>
      </c>
      <c r="E159" s="55">
        <v>46125</v>
      </c>
      <c r="F159" s="26" t="s">
        <v>55</v>
      </c>
      <c r="G159" s="26" t="s">
        <v>58</v>
      </c>
      <c r="H159" s="26" t="s">
        <v>56</v>
      </c>
      <c r="I159" s="26" t="s">
        <v>70</v>
      </c>
      <c r="J159" s="26" t="s">
        <v>58</v>
      </c>
      <c r="K159" s="27"/>
      <c r="L159" s="28" t="s">
        <v>56</v>
      </c>
      <c r="M159" s="29" t="str">
        <f t="shared" si="15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381</v>
      </c>
      <c r="C160" s="44" t="s">
        <v>382</v>
      </c>
      <c r="D160" s="42" t="s">
        <v>186</v>
      </c>
      <c r="E160" s="55">
        <v>46125</v>
      </c>
      <c r="F160" s="26" t="s">
        <v>55</v>
      </c>
      <c r="G160" s="26" t="s">
        <v>58</v>
      </c>
      <c r="H160" s="26" t="s">
        <v>56</v>
      </c>
      <c r="I160" s="26" t="s">
        <v>70</v>
      </c>
      <c r="J160" s="26" t="s">
        <v>58</v>
      </c>
      <c r="K160" s="27"/>
      <c r="L160" s="28" t="s">
        <v>56</v>
      </c>
      <c r="M160" s="29" t="str">
        <f t="shared" si="15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383</v>
      </c>
      <c r="C161" s="25" t="s">
        <v>384</v>
      </c>
      <c r="D161" s="23" t="s">
        <v>186</v>
      </c>
      <c r="E161" s="55">
        <v>46125</v>
      </c>
      <c r="F161" s="26" t="s">
        <v>55</v>
      </c>
      <c r="G161" s="26" t="s">
        <v>58</v>
      </c>
      <c r="H161" s="26" t="s">
        <v>56</v>
      </c>
      <c r="I161" s="26" t="s">
        <v>70</v>
      </c>
      <c r="J161" s="26" t="s">
        <v>58</v>
      </c>
      <c r="K161" s="27"/>
      <c r="L161" s="28" t="s">
        <v>56</v>
      </c>
      <c r="M161" s="29" t="str">
        <f t="shared" si="15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385</v>
      </c>
      <c r="C162" s="44" t="s">
        <v>386</v>
      </c>
      <c r="D162" s="42" t="s">
        <v>186</v>
      </c>
      <c r="E162" s="55">
        <v>46125</v>
      </c>
      <c r="F162" s="26" t="s">
        <v>55</v>
      </c>
      <c r="G162" s="26" t="s">
        <v>58</v>
      </c>
      <c r="H162" s="26" t="s">
        <v>56</v>
      </c>
      <c r="I162" s="26" t="s">
        <v>70</v>
      </c>
      <c r="J162" s="26" t="s">
        <v>58</v>
      </c>
      <c r="K162" s="27"/>
      <c r="L162" s="28" t="s">
        <v>56</v>
      </c>
      <c r="M162" s="29" t="str">
        <f t="shared" si="15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387</v>
      </c>
      <c r="C163" s="25" t="s">
        <v>388</v>
      </c>
      <c r="D163" s="23" t="s">
        <v>186</v>
      </c>
      <c r="E163" s="55">
        <v>46125</v>
      </c>
      <c r="F163" s="26" t="s">
        <v>55</v>
      </c>
      <c r="G163" s="26" t="s">
        <v>58</v>
      </c>
      <c r="H163" s="26" t="s">
        <v>56</v>
      </c>
      <c r="I163" s="26" t="s">
        <v>70</v>
      </c>
      <c r="J163" s="26" t="s">
        <v>58</v>
      </c>
      <c r="K163" s="27"/>
      <c r="L163" s="28" t="s">
        <v>56</v>
      </c>
      <c r="M163" s="29" t="str">
        <f t="shared" si="15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389</v>
      </c>
      <c r="C164" s="44" t="s">
        <v>390</v>
      </c>
      <c r="D164" s="42" t="s">
        <v>186</v>
      </c>
      <c r="E164" s="55">
        <v>46125</v>
      </c>
      <c r="F164" s="26" t="s">
        <v>55</v>
      </c>
      <c r="G164" s="26" t="s">
        <v>58</v>
      </c>
      <c r="H164" s="26" t="s">
        <v>56</v>
      </c>
      <c r="I164" s="26" t="s">
        <v>70</v>
      </c>
      <c r="J164" s="26" t="s">
        <v>58</v>
      </c>
      <c r="K164" s="27"/>
      <c r="L164" s="28" t="s">
        <v>56</v>
      </c>
      <c r="M164" s="29" t="str">
        <f t="shared" si="15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391</v>
      </c>
      <c r="C165" s="25" t="s">
        <v>392</v>
      </c>
      <c r="D165" s="23" t="s">
        <v>186</v>
      </c>
      <c r="E165" s="55">
        <v>46125</v>
      </c>
      <c r="F165" s="26" t="s">
        <v>55</v>
      </c>
      <c r="G165" s="26" t="s">
        <v>58</v>
      </c>
      <c r="H165" s="26" t="s">
        <v>56</v>
      </c>
      <c r="I165" s="26" t="s">
        <v>70</v>
      </c>
      <c r="J165" s="26" t="s">
        <v>56</v>
      </c>
      <c r="K165" s="27" t="s">
        <v>73</v>
      </c>
      <c r="L165" s="28" t="s">
        <v>58</v>
      </c>
      <c r="M165" s="29" t="str">
        <f t="shared" si="15"/>
        <v>⚠ Check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393</v>
      </c>
      <c r="C166" s="44" t="s">
        <v>394</v>
      </c>
      <c r="D166" s="42" t="s">
        <v>186</v>
      </c>
      <c r="E166" s="55">
        <v>46125</v>
      </c>
      <c r="F166" s="26" t="s">
        <v>55</v>
      </c>
      <c r="G166" s="26" t="s">
        <v>58</v>
      </c>
      <c r="H166" s="26" t="s">
        <v>56</v>
      </c>
      <c r="I166" s="26" t="s">
        <v>70</v>
      </c>
      <c r="J166" s="26" t="s">
        <v>58</v>
      </c>
      <c r="K166" s="27"/>
      <c r="L166" s="28" t="s">
        <v>56</v>
      </c>
      <c r="M166" s="29" t="str">
        <f t="shared" si="15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395</v>
      </c>
      <c r="C167" s="25" t="s">
        <v>396</v>
      </c>
      <c r="D167" s="23" t="s">
        <v>186</v>
      </c>
      <c r="E167" s="55">
        <v>46125</v>
      </c>
      <c r="F167" s="26" t="s">
        <v>55</v>
      </c>
      <c r="G167" s="26" t="s">
        <v>58</v>
      </c>
      <c r="H167" s="26" t="s">
        <v>56</v>
      </c>
      <c r="I167" s="26" t="s">
        <v>70</v>
      </c>
      <c r="J167" s="26" t="s">
        <v>58</v>
      </c>
      <c r="K167" s="27"/>
      <c r="L167" s="28" t="s">
        <v>56</v>
      </c>
      <c r="M167" s="29" t="str">
        <f t="shared" si="15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397</v>
      </c>
      <c r="C168" s="44" t="s">
        <v>398</v>
      </c>
      <c r="D168" s="42" t="s">
        <v>186</v>
      </c>
      <c r="E168" s="55">
        <v>46125</v>
      </c>
      <c r="F168" s="26" t="s">
        <v>55</v>
      </c>
      <c r="G168" s="26" t="s">
        <v>58</v>
      </c>
      <c r="H168" s="26" t="s">
        <v>56</v>
      </c>
      <c r="I168" s="26" t="s">
        <v>70</v>
      </c>
      <c r="J168" s="26" t="s">
        <v>58</v>
      </c>
      <c r="K168" s="27"/>
      <c r="L168" s="28" t="s">
        <v>56</v>
      </c>
      <c r="M168" s="29" t="str">
        <f t="shared" si="15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399</v>
      </c>
      <c r="C169" s="25" t="s">
        <v>400</v>
      </c>
      <c r="D169" s="23" t="s">
        <v>186</v>
      </c>
      <c r="E169" s="55">
        <v>46125</v>
      </c>
      <c r="F169" s="26" t="s">
        <v>55</v>
      </c>
      <c r="G169" s="26" t="s">
        <v>58</v>
      </c>
      <c r="H169" s="26" t="s">
        <v>56</v>
      </c>
      <c r="I169" s="26" t="s">
        <v>70</v>
      </c>
      <c r="J169" s="26" t="s">
        <v>58</v>
      </c>
      <c r="K169" s="27"/>
      <c r="L169" s="28" t="s">
        <v>56</v>
      </c>
      <c r="M169" s="29" t="str">
        <f t="shared" si="15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401</v>
      </c>
      <c r="C170" s="44" t="s">
        <v>402</v>
      </c>
      <c r="D170" s="42" t="s">
        <v>186</v>
      </c>
      <c r="E170" s="55">
        <v>46125</v>
      </c>
      <c r="F170" s="26" t="s">
        <v>55</v>
      </c>
      <c r="G170" s="26" t="s">
        <v>58</v>
      </c>
      <c r="H170" s="26" t="s">
        <v>56</v>
      </c>
      <c r="I170" s="26" t="s">
        <v>70</v>
      </c>
      <c r="J170" s="26" t="s">
        <v>56</v>
      </c>
      <c r="K170" s="27" t="s">
        <v>130</v>
      </c>
      <c r="L170" s="28" t="s">
        <v>58</v>
      </c>
      <c r="M170" s="29" t="str">
        <f t="shared" si="15"/>
        <v>⚠ Check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403</v>
      </c>
      <c r="C171" s="25" t="s">
        <v>404</v>
      </c>
      <c r="D171" s="23" t="s">
        <v>186</v>
      </c>
      <c r="E171" s="55">
        <v>46126</v>
      </c>
      <c r="F171" s="26" t="s">
        <v>55</v>
      </c>
      <c r="G171" s="26" t="s">
        <v>58</v>
      </c>
      <c r="H171" s="26" t="s">
        <v>56</v>
      </c>
      <c r="I171" s="26" t="s">
        <v>70</v>
      </c>
      <c r="J171" s="26" t="s">
        <v>58</v>
      </c>
      <c r="K171" s="27" t="s">
        <v>191</v>
      </c>
      <c r="L171" s="28" t="s">
        <v>56</v>
      </c>
      <c r="M171" s="29" t="str">
        <f t="shared" si="15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405</v>
      </c>
      <c r="C172" s="44" t="s">
        <v>406</v>
      </c>
      <c r="D172" s="42" t="s">
        <v>186</v>
      </c>
      <c r="E172" s="55">
        <v>46126</v>
      </c>
      <c r="F172" s="26" t="s">
        <v>55</v>
      </c>
      <c r="G172" s="26" t="s">
        <v>58</v>
      </c>
      <c r="H172" s="26" t="s">
        <v>56</v>
      </c>
      <c r="I172" s="26" t="s">
        <v>70</v>
      </c>
      <c r="J172" s="26" t="s">
        <v>58</v>
      </c>
      <c r="K172" s="27" t="s">
        <v>191</v>
      </c>
      <c r="L172" s="28" t="s">
        <v>56</v>
      </c>
      <c r="M172" s="29" t="str">
        <f t="shared" si="15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407</v>
      </c>
      <c r="C173" s="25" t="s">
        <v>408</v>
      </c>
      <c r="D173" s="23" t="s">
        <v>186</v>
      </c>
      <c r="E173" s="55">
        <v>46125</v>
      </c>
      <c r="F173" s="26" t="s">
        <v>55</v>
      </c>
      <c r="G173" s="26" t="s">
        <v>58</v>
      </c>
      <c r="H173" s="26" t="s">
        <v>56</v>
      </c>
      <c r="I173" s="26" t="s">
        <v>70</v>
      </c>
      <c r="J173" s="26" t="s">
        <v>56</v>
      </c>
      <c r="K173" s="27" t="s">
        <v>130</v>
      </c>
      <c r="L173" s="28" t="s">
        <v>58</v>
      </c>
      <c r="M173" s="29" t="str">
        <f t="shared" si="15"/>
        <v>⚠ Check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409</v>
      </c>
      <c r="C174" s="44" t="s">
        <v>410</v>
      </c>
      <c r="D174" s="42" t="s">
        <v>186</v>
      </c>
      <c r="E174" s="55">
        <v>46126</v>
      </c>
      <c r="F174" s="26" t="s">
        <v>55</v>
      </c>
      <c r="G174" s="26" t="s">
        <v>58</v>
      </c>
      <c r="H174" s="26" t="s">
        <v>56</v>
      </c>
      <c r="I174" s="26" t="s">
        <v>70</v>
      </c>
      <c r="J174" s="26" t="s">
        <v>58</v>
      </c>
      <c r="K174" s="27" t="s">
        <v>191</v>
      </c>
      <c r="L174" s="28" t="s">
        <v>56</v>
      </c>
      <c r="M174" s="29" t="str">
        <f t="shared" si="15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411</v>
      </c>
      <c r="C175" s="25" t="s">
        <v>412</v>
      </c>
      <c r="D175" s="23" t="s">
        <v>186</v>
      </c>
      <c r="E175" s="55">
        <v>46125</v>
      </c>
      <c r="F175" s="26" t="s">
        <v>55</v>
      </c>
      <c r="G175" s="26" t="s">
        <v>58</v>
      </c>
      <c r="H175" s="26" t="s">
        <v>56</v>
      </c>
      <c r="I175" s="26" t="s">
        <v>70</v>
      </c>
      <c r="J175" s="26" t="s">
        <v>56</v>
      </c>
      <c r="K175" s="27" t="s">
        <v>234</v>
      </c>
      <c r="L175" s="28" t="s">
        <v>58</v>
      </c>
      <c r="M175" s="29" t="str">
        <f t="shared" si="15"/>
        <v>⚠ Check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413</v>
      </c>
      <c r="C176" s="44" t="s">
        <v>414</v>
      </c>
      <c r="D176" s="42" t="s">
        <v>186</v>
      </c>
      <c r="E176" s="55">
        <v>46125</v>
      </c>
      <c r="F176" s="26" t="s">
        <v>55</v>
      </c>
      <c r="G176" s="26" t="s">
        <v>58</v>
      </c>
      <c r="H176" s="26" t="s">
        <v>56</v>
      </c>
      <c r="I176" s="26" t="s">
        <v>70</v>
      </c>
      <c r="J176" s="26" t="s">
        <v>56</v>
      </c>
      <c r="K176" s="27" t="s">
        <v>130</v>
      </c>
      <c r="L176" s="28" t="s">
        <v>58</v>
      </c>
      <c r="M176" s="29" t="str">
        <f t="shared" si="15"/>
        <v>⚠ Check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415</v>
      </c>
      <c r="C177" s="25" t="s">
        <v>416</v>
      </c>
      <c r="D177" s="23" t="s">
        <v>186</v>
      </c>
      <c r="E177" s="55">
        <v>46125</v>
      </c>
      <c r="F177" s="26" t="s">
        <v>55</v>
      </c>
      <c r="G177" s="26" t="s">
        <v>58</v>
      </c>
      <c r="H177" s="26" t="s">
        <v>56</v>
      </c>
      <c r="I177" s="26" t="s">
        <v>70</v>
      </c>
      <c r="J177" s="26" t="s">
        <v>56</v>
      </c>
      <c r="K177" s="27" t="s">
        <v>130</v>
      </c>
      <c r="L177" s="28" t="s">
        <v>58</v>
      </c>
      <c r="M177" s="29" t="str">
        <f t="shared" si="15"/>
        <v>⚠ Check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417</v>
      </c>
      <c r="C178" s="44" t="s">
        <v>418</v>
      </c>
      <c r="D178" s="42" t="s">
        <v>186</v>
      </c>
      <c r="E178" s="55">
        <v>46125</v>
      </c>
      <c r="F178" s="26" t="s">
        <v>55</v>
      </c>
      <c r="G178" s="26" t="s">
        <v>58</v>
      </c>
      <c r="H178" s="26" t="s">
        <v>56</v>
      </c>
      <c r="I178" s="26" t="s">
        <v>70</v>
      </c>
      <c r="J178" s="26" t="s">
        <v>58</v>
      </c>
      <c r="K178" s="27"/>
      <c r="L178" s="28" t="s">
        <v>56</v>
      </c>
      <c r="M178" s="29" t="str">
        <f t="shared" si="15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419</v>
      </c>
      <c r="C179" s="25" t="s">
        <v>420</v>
      </c>
      <c r="D179" s="23" t="s">
        <v>186</v>
      </c>
      <c r="E179" s="55">
        <v>46125</v>
      </c>
      <c r="F179" s="26" t="s">
        <v>55</v>
      </c>
      <c r="G179" s="26" t="s">
        <v>58</v>
      </c>
      <c r="H179" s="26" t="s">
        <v>56</v>
      </c>
      <c r="I179" s="26" t="s">
        <v>70</v>
      </c>
      <c r="J179" s="26" t="s">
        <v>58</v>
      </c>
      <c r="K179" s="27"/>
      <c r="L179" s="28" t="s">
        <v>56</v>
      </c>
      <c r="M179" s="29" t="str">
        <f t="shared" si="15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421</v>
      </c>
      <c r="C180" s="44" t="s">
        <v>422</v>
      </c>
      <c r="D180" s="42" t="s">
        <v>186</v>
      </c>
      <c r="E180" s="55">
        <v>46126</v>
      </c>
      <c r="F180" s="26" t="s">
        <v>55</v>
      </c>
      <c r="G180" s="26" t="s">
        <v>56</v>
      </c>
      <c r="H180" s="26" t="s">
        <v>56</v>
      </c>
      <c r="I180" s="26" t="s">
        <v>57</v>
      </c>
      <c r="J180" s="26" t="s">
        <v>56</v>
      </c>
      <c r="K180" s="27"/>
      <c r="L180" s="28" t="s">
        <v>58</v>
      </c>
      <c r="M180" s="29" t="str">
        <f t="shared" si="15"/>
        <v>⚠ Missing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423</v>
      </c>
      <c r="C181" s="25" t="s">
        <v>424</v>
      </c>
      <c r="D181" s="23" t="s">
        <v>186</v>
      </c>
      <c r="E181" s="55">
        <v>46126</v>
      </c>
      <c r="F181" s="26" t="s">
        <v>55</v>
      </c>
      <c r="G181" s="26" t="s">
        <v>56</v>
      </c>
      <c r="H181" s="26" t="s">
        <v>56</v>
      </c>
      <c r="I181" s="26" t="s">
        <v>57</v>
      </c>
      <c r="J181" s="26" t="s">
        <v>56</v>
      </c>
      <c r="K181" s="27"/>
      <c r="L181" s="28" t="s">
        <v>58</v>
      </c>
      <c r="M181" s="29" t="str">
        <f t="shared" si="15"/>
        <v>⚠ Missing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425</v>
      </c>
      <c r="C182" s="44" t="s">
        <v>426</v>
      </c>
      <c r="D182" s="42" t="s">
        <v>186</v>
      </c>
      <c r="E182" s="55">
        <v>46126</v>
      </c>
      <c r="F182" s="26" t="s">
        <v>55</v>
      </c>
      <c r="G182" s="26" t="s">
        <v>56</v>
      </c>
      <c r="H182" s="26" t="s">
        <v>56</v>
      </c>
      <c r="I182" s="26" t="s">
        <v>57</v>
      </c>
      <c r="J182" s="26" t="s">
        <v>56</v>
      </c>
      <c r="K182" s="27"/>
      <c r="L182" s="28" t="s">
        <v>58</v>
      </c>
      <c r="M182" s="29" t="str">
        <f t="shared" si="15"/>
        <v>⚠ Missing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427</v>
      </c>
      <c r="C183" s="25" t="s">
        <v>428</v>
      </c>
      <c r="D183" s="23" t="s">
        <v>186</v>
      </c>
      <c r="E183" s="55">
        <v>46125</v>
      </c>
      <c r="F183" s="26" t="s">
        <v>55</v>
      </c>
      <c r="G183" s="26" t="s">
        <v>58</v>
      </c>
      <c r="H183" s="26" t="s">
        <v>56</v>
      </c>
      <c r="I183" s="26" t="s">
        <v>70</v>
      </c>
      <c r="J183" s="26" t="s">
        <v>58</v>
      </c>
      <c r="K183" s="27"/>
      <c r="L183" s="28" t="s">
        <v>56</v>
      </c>
      <c r="M183" s="29" t="str">
        <f t="shared" si="15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429</v>
      </c>
      <c r="C184" s="44" t="s">
        <v>430</v>
      </c>
      <c r="D184" s="42" t="s">
        <v>186</v>
      </c>
      <c r="E184" s="55">
        <v>46125</v>
      </c>
      <c r="F184" s="26" t="s">
        <v>55</v>
      </c>
      <c r="G184" s="26" t="s">
        <v>58</v>
      </c>
      <c r="H184" s="26" t="s">
        <v>56</v>
      </c>
      <c r="I184" s="26" t="s">
        <v>70</v>
      </c>
      <c r="J184" s="26" t="s">
        <v>58</v>
      </c>
      <c r="K184" s="27"/>
      <c r="L184" s="28" t="s">
        <v>56</v>
      </c>
      <c r="M184" s="29" t="str">
        <f t="shared" si="15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431</v>
      </c>
      <c r="C185" s="25" t="s">
        <v>432</v>
      </c>
      <c r="D185" s="23" t="s">
        <v>186</v>
      </c>
      <c r="E185" s="55">
        <v>46126</v>
      </c>
      <c r="F185" s="26" t="s">
        <v>55</v>
      </c>
      <c r="G185" s="26" t="s">
        <v>58</v>
      </c>
      <c r="H185" s="26" t="s">
        <v>56</v>
      </c>
      <c r="I185" s="26" t="s">
        <v>70</v>
      </c>
      <c r="J185" s="26" t="s">
        <v>58</v>
      </c>
      <c r="K185" s="27" t="s">
        <v>191</v>
      </c>
      <c r="L185" s="28" t="s">
        <v>56</v>
      </c>
      <c r="M185" s="29" t="str">
        <f t="shared" si="15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433</v>
      </c>
      <c r="C186" s="44" t="s">
        <v>434</v>
      </c>
      <c r="D186" s="42" t="s">
        <v>186</v>
      </c>
      <c r="E186" s="55">
        <v>46126</v>
      </c>
      <c r="F186" s="26" t="s">
        <v>55</v>
      </c>
      <c r="G186" s="26" t="s">
        <v>58</v>
      </c>
      <c r="H186" s="26" t="s">
        <v>56</v>
      </c>
      <c r="I186" s="26" t="s">
        <v>70</v>
      </c>
      <c r="J186" s="26" t="s">
        <v>58</v>
      </c>
      <c r="K186" s="27" t="s">
        <v>191</v>
      </c>
      <c r="L186" s="28" t="s">
        <v>56</v>
      </c>
      <c r="M186" s="29" t="str">
        <f t="shared" si="15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435</v>
      </c>
      <c r="C187" s="25" t="s">
        <v>436</v>
      </c>
      <c r="D187" s="23" t="s">
        <v>186</v>
      </c>
      <c r="E187" s="55">
        <v>46125</v>
      </c>
      <c r="F187" s="26" t="s">
        <v>55</v>
      </c>
      <c r="G187" s="26" t="s">
        <v>58</v>
      </c>
      <c r="H187" s="26" t="s">
        <v>56</v>
      </c>
      <c r="I187" s="26" t="s">
        <v>70</v>
      </c>
      <c r="J187" s="26" t="s">
        <v>58</v>
      </c>
      <c r="K187" s="27"/>
      <c r="L187" s="28" t="s">
        <v>56</v>
      </c>
      <c r="M187" s="29" t="str">
        <f t="shared" si="15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437</v>
      </c>
      <c r="C188" s="44" t="s">
        <v>438</v>
      </c>
      <c r="D188" s="42" t="s">
        <v>186</v>
      </c>
      <c r="E188" s="55">
        <v>46126</v>
      </c>
      <c r="F188" s="26" t="s">
        <v>55</v>
      </c>
      <c r="G188" s="26" t="s">
        <v>58</v>
      </c>
      <c r="H188" s="26" t="s">
        <v>56</v>
      </c>
      <c r="I188" s="26" t="s">
        <v>70</v>
      </c>
      <c r="J188" s="26" t="s">
        <v>58</v>
      </c>
      <c r="K188" s="27" t="s">
        <v>191</v>
      </c>
      <c r="L188" s="28" t="s">
        <v>56</v>
      </c>
      <c r="M188" s="29" t="str">
        <f t="shared" si="15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439</v>
      </c>
      <c r="C189" s="25" t="s">
        <v>440</v>
      </c>
      <c r="D189" s="23" t="s">
        <v>186</v>
      </c>
      <c r="E189" s="55">
        <v>46126</v>
      </c>
      <c r="F189" s="26" t="s">
        <v>55</v>
      </c>
      <c r="G189" s="26" t="s">
        <v>58</v>
      </c>
      <c r="H189" s="26" t="s">
        <v>56</v>
      </c>
      <c r="I189" s="26" t="s">
        <v>70</v>
      </c>
      <c r="J189" s="26" t="s">
        <v>56</v>
      </c>
      <c r="K189" s="80" t="s">
        <v>234</v>
      </c>
      <c r="L189" s="82" t="s">
        <v>58</v>
      </c>
      <c r="M189" s="83" t="str">
        <f t="shared" si="15"/>
        <v>⚠ Check</v>
      </c>
      <c r="N189" s="81"/>
      <c r="O189" s="30"/>
      <c r="P189" s="30"/>
      <c r="Q189" s="30"/>
      <c r="R189" s="30"/>
      <c r="S189" s="30"/>
      <c r="T189" s="27"/>
      <c r="U189" s="31"/>
      <c r="V189" s="32" t="str">
        <f t="shared" ref="V189:V252" si="16">IF(N189="","",IF(Q189="Yes","❌ Disc",IF(P189="No","⚠ Missing",IF(S189="Yes","✓ OK","⚠ Check"))))</f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ref="AE189:AE252" si="17">IF(W189="","",IF(Z189="Yes","❌ Disc",IF(Y189="No","⚠ Missing",IF(AB189="Yes","✓ OK","⚠ Check"))))</f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ref="AN189:AN252" si="18">IF(AF189="","",IF(AI189="Yes","❌ Disc",IF(AH189="No","⚠ Missing",IF(AK189="Yes","✓ OK","⚠ Check"))))</f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ref="AW189:AW252" si="19">IF(AO189="","",IF(AR189="Yes","❌ Disc",IF(AQ189="No","⚠ Missing",IF(AT189="Yes","✓ OK","⚠ Check"))))</f>
        <v/>
      </c>
    </row>
    <row r="190" spans="1:49" ht="18" customHeight="1" x14ac:dyDescent="0.3">
      <c r="A190" s="42">
        <v>186</v>
      </c>
      <c r="B190" s="43" t="s">
        <v>441</v>
      </c>
      <c r="C190" s="44" t="s">
        <v>442</v>
      </c>
      <c r="D190" s="42" t="s">
        <v>186</v>
      </c>
      <c r="E190" s="55">
        <v>46125</v>
      </c>
      <c r="F190" s="26" t="s">
        <v>55</v>
      </c>
      <c r="G190" s="26" t="s">
        <v>58</v>
      </c>
      <c r="H190" s="26" t="s">
        <v>56</v>
      </c>
      <c r="I190" s="26" t="s">
        <v>70</v>
      </c>
      <c r="J190" s="26" t="s">
        <v>58</v>
      </c>
      <c r="K190" s="27"/>
      <c r="L190" s="28" t="s">
        <v>56</v>
      </c>
      <c r="M190" s="29" t="str">
        <f t="shared" si="15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6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7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8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9"/>
        <v/>
      </c>
    </row>
    <row r="191" spans="1:49" ht="18" customHeight="1" x14ac:dyDescent="0.3">
      <c r="A191" s="23">
        <v>187</v>
      </c>
      <c r="B191" s="24" t="s">
        <v>443</v>
      </c>
      <c r="C191" s="25" t="s">
        <v>444</v>
      </c>
      <c r="D191" s="23" t="s">
        <v>186</v>
      </c>
      <c r="E191" s="55">
        <v>46125</v>
      </c>
      <c r="F191" s="26" t="s">
        <v>55</v>
      </c>
      <c r="G191" s="26" t="s">
        <v>58</v>
      </c>
      <c r="H191" s="26" t="s">
        <v>56</v>
      </c>
      <c r="I191" s="26" t="s">
        <v>70</v>
      </c>
      <c r="J191" s="26" t="s">
        <v>56</v>
      </c>
      <c r="K191" s="27" t="s">
        <v>73</v>
      </c>
      <c r="L191" s="28" t="s">
        <v>58</v>
      </c>
      <c r="M191" s="29" t="str">
        <f t="shared" si="15"/>
        <v>⚠ Check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6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7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8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9"/>
        <v/>
      </c>
    </row>
    <row r="192" spans="1:49" ht="18" customHeight="1" x14ac:dyDescent="0.3">
      <c r="A192" s="42">
        <v>188</v>
      </c>
      <c r="B192" s="43" t="s">
        <v>445</v>
      </c>
      <c r="C192" s="44" t="s">
        <v>446</v>
      </c>
      <c r="D192" s="42" t="s">
        <v>186</v>
      </c>
      <c r="E192" s="55">
        <v>46125</v>
      </c>
      <c r="F192" s="26" t="s">
        <v>55</v>
      </c>
      <c r="G192" s="26" t="s">
        <v>58</v>
      </c>
      <c r="H192" s="26" t="s">
        <v>56</v>
      </c>
      <c r="I192" s="26" t="s">
        <v>70</v>
      </c>
      <c r="J192" s="26" t="s">
        <v>58</v>
      </c>
      <c r="K192" s="27"/>
      <c r="L192" s="28" t="s">
        <v>56</v>
      </c>
      <c r="M192" s="29" t="str">
        <f t="shared" si="15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6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7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8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9"/>
        <v/>
      </c>
    </row>
    <row r="193" spans="1:49" ht="18" customHeight="1" x14ac:dyDescent="0.3">
      <c r="A193" s="23">
        <v>189</v>
      </c>
      <c r="B193" s="24" t="s">
        <v>447</v>
      </c>
      <c r="C193" s="25" t="s">
        <v>448</v>
      </c>
      <c r="D193" s="23" t="s">
        <v>186</v>
      </c>
      <c r="E193" s="55">
        <v>46125</v>
      </c>
      <c r="F193" s="26" t="s">
        <v>55</v>
      </c>
      <c r="G193" s="26" t="s">
        <v>58</v>
      </c>
      <c r="H193" s="26" t="s">
        <v>56</v>
      </c>
      <c r="I193" s="26" t="s">
        <v>70</v>
      </c>
      <c r="J193" s="26" t="s">
        <v>56</v>
      </c>
      <c r="K193" s="27" t="s">
        <v>73</v>
      </c>
      <c r="L193" s="28" t="s">
        <v>58</v>
      </c>
      <c r="M193" s="29" t="str">
        <f t="shared" si="15"/>
        <v>⚠ Check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6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7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8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9"/>
        <v/>
      </c>
    </row>
    <row r="194" spans="1:49" ht="18" customHeight="1" x14ac:dyDescent="0.3">
      <c r="A194" s="42">
        <v>190</v>
      </c>
      <c r="B194" s="43" t="s">
        <v>449</v>
      </c>
      <c r="C194" s="44" t="s">
        <v>450</v>
      </c>
      <c r="D194" s="42" t="s">
        <v>186</v>
      </c>
      <c r="E194" s="55">
        <v>46125</v>
      </c>
      <c r="F194" s="26" t="s">
        <v>55</v>
      </c>
      <c r="G194" s="26" t="s">
        <v>58</v>
      </c>
      <c r="H194" s="26" t="s">
        <v>56</v>
      </c>
      <c r="I194" s="26" t="s">
        <v>70</v>
      </c>
      <c r="J194" s="26" t="s">
        <v>58</v>
      </c>
      <c r="K194" s="27"/>
      <c r="L194" s="28" t="s">
        <v>56</v>
      </c>
      <c r="M194" s="29" t="str">
        <f t="shared" si="15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6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7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8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9"/>
        <v/>
      </c>
    </row>
    <row r="195" spans="1:49" ht="18" customHeight="1" x14ac:dyDescent="0.3">
      <c r="A195" s="23">
        <v>191</v>
      </c>
      <c r="B195" s="24" t="s">
        <v>451</v>
      </c>
      <c r="C195" s="25" t="s">
        <v>452</v>
      </c>
      <c r="D195" s="23" t="s">
        <v>186</v>
      </c>
      <c r="E195" s="55">
        <v>46125</v>
      </c>
      <c r="F195" s="26" t="s">
        <v>55</v>
      </c>
      <c r="G195" s="26" t="s">
        <v>58</v>
      </c>
      <c r="H195" s="26" t="s">
        <v>56</v>
      </c>
      <c r="I195" s="26" t="s">
        <v>70</v>
      </c>
      <c r="J195" s="26" t="s">
        <v>56</v>
      </c>
      <c r="K195" s="27" t="s">
        <v>130</v>
      </c>
      <c r="L195" s="28" t="s">
        <v>58</v>
      </c>
      <c r="M195" s="29" t="str">
        <f t="shared" si="15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6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7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8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9"/>
        <v/>
      </c>
    </row>
    <row r="196" spans="1:49" ht="18" customHeight="1" x14ac:dyDescent="0.3">
      <c r="A196" s="42">
        <v>192</v>
      </c>
      <c r="B196" s="43" t="s">
        <v>453</v>
      </c>
      <c r="C196" s="44" t="s">
        <v>454</v>
      </c>
      <c r="D196" s="42" t="s">
        <v>186</v>
      </c>
      <c r="E196" s="55">
        <v>46125</v>
      </c>
      <c r="F196" s="26" t="s">
        <v>55</v>
      </c>
      <c r="G196" s="26" t="s">
        <v>58</v>
      </c>
      <c r="H196" s="26" t="s">
        <v>56</v>
      </c>
      <c r="I196" s="26" t="s">
        <v>70</v>
      </c>
      <c r="J196" s="26" t="s">
        <v>56</v>
      </c>
      <c r="K196" s="27" t="s">
        <v>234</v>
      </c>
      <c r="L196" s="28" t="s">
        <v>58</v>
      </c>
      <c r="M196" s="29" t="str">
        <f t="shared" si="15"/>
        <v>⚠ Check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6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7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8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9"/>
        <v/>
      </c>
    </row>
    <row r="197" spans="1:49" ht="18" customHeight="1" x14ac:dyDescent="0.3">
      <c r="A197" s="23">
        <v>193</v>
      </c>
      <c r="B197" s="24" t="s">
        <v>455</v>
      </c>
      <c r="C197" s="25" t="s">
        <v>456</v>
      </c>
      <c r="D197" s="23" t="s">
        <v>186</v>
      </c>
      <c r="E197" s="55">
        <v>46125</v>
      </c>
      <c r="F197" s="26" t="s">
        <v>55</v>
      </c>
      <c r="G197" s="26" t="s">
        <v>58</v>
      </c>
      <c r="H197" s="26" t="s">
        <v>56</v>
      </c>
      <c r="I197" s="26" t="s">
        <v>70</v>
      </c>
      <c r="J197" s="26" t="s">
        <v>56</v>
      </c>
      <c r="K197" s="80" t="s">
        <v>234</v>
      </c>
      <c r="L197" s="28" t="s">
        <v>58</v>
      </c>
      <c r="M197" s="29" t="str">
        <f t="shared" si="15"/>
        <v>⚠ Check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si="16"/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si="17"/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si="18"/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si="19"/>
        <v/>
      </c>
    </row>
    <row r="198" spans="1:49" ht="18" customHeight="1" x14ac:dyDescent="0.3">
      <c r="A198" s="42">
        <v>194</v>
      </c>
      <c r="B198" s="43" t="s">
        <v>457</v>
      </c>
      <c r="C198" s="44" t="s">
        <v>458</v>
      </c>
      <c r="D198" s="42" t="s">
        <v>186</v>
      </c>
      <c r="E198" s="55">
        <v>46125</v>
      </c>
      <c r="F198" s="26" t="s">
        <v>55</v>
      </c>
      <c r="G198" s="26" t="s">
        <v>58</v>
      </c>
      <c r="H198" s="26" t="s">
        <v>56</v>
      </c>
      <c r="I198" s="26" t="s">
        <v>70</v>
      </c>
      <c r="J198" s="26" t="s">
        <v>56</v>
      </c>
      <c r="K198" s="80" t="s">
        <v>130</v>
      </c>
      <c r="L198" s="28" t="s">
        <v>58</v>
      </c>
      <c r="M198" s="29" t="str">
        <f t="shared" ref="M198:M261" si="20">IF(E198="","",IF(H198="Yes","❌ Disc",IF(G198="No","⚠ Missing",IF(J198="Yes","✓ OK","⚠ Check"))))</f>
        <v>⚠ Check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459</v>
      </c>
      <c r="C199" s="25" t="s">
        <v>460</v>
      </c>
      <c r="D199" s="23" t="s">
        <v>186</v>
      </c>
      <c r="E199" s="55">
        <v>46125</v>
      </c>
      <c r="F199" s="26" t="s">
        <v>55</v>
      </c>
      <c r="G199" s="26" t="s">
        <v>58</v>
      </c>
      <c r="H199" s="26" t="s">
        <v>56</v>
      </c>
      <c r="I199" s="26" t="s">
        <v>70</v>
      </c>
      <c r="J199" s="26" t="s">
        <v>56</v>
      </c>
      <c r="K199" s="27" t="s">
        <v>461</v>
      </c>
      <c r="L199" s="28" t="s">
        <v>58</v>
      </c>
      <c r="M199" s="29" t="str">
        <f t="shared" si="20"/>
        <v>⚠ Check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462</v>
      </c>
      <c r="C200" s="44" t="s">
        <v>463</v>
      </c>
      <c r="D200" s="42" t="s">
        <v>186</v>
      </c>
      <c r="E200" s="55">
        <v>46125</v>
      </c>
      <c r="F200" s="26" t="s">
        <v>55</v>
      </c>
      <c r="G200" s="26" t="s">
        <v>58</v>
      </c>
      <c r="H200" s="26" t="s">
        <v>56</v>
      </c>
      <c r="I200" s="26" t="s">
        <v>70</v>
      </c>
      <c r="J200" s="26" t="s">
        <v>56</v>
      </c>
      <c r="K200" s="27" t="s">
        <v>234</v>
      </c>
      <c r="L200" s="28" t="s">
        <v>58</v>
      </c>
      <c r="M200" s="29" t="str">
        <f t="shared" si="20"/>
        <v>⚠ Check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464</v>
      </c>
      <c r="C201" s="25" t="s">
        <v>465</v>
      </c>
      <c r="D201" s="23" t="s">
        <v>186</v>
      </c>
      <c r="E201" s="55">
        <v>46125</v>
      </c>
      <c r="F201" s="26" t="s">
        <v>55</v>
      </c>
      <c r="G201" s="26" t="s">
        <v>58</v>
      </c>
      <c r="H201" s="26" t="s">
        <v>56</v>
      </c>
      <c r="I201" s="26" t="s">
        <v>70</v>
      </c>
      <c r="J201" s="26" t="s">
        <v>56</v>
      </c>
      <c r="K201" s="27" t="s">
        <v>466</v>
      </c>
      <c r="L201" s="28" t="s">
        <v>58</v>
      </c>
      <c r="M201" s="29" t="str">
        <f t="shared" si="20"/>
        <v>⚠ Check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467</v>
      </c>
      <c r="C202" s="44" t="s">
        <v>468</v>
      </c>
      <c r="D202" s="42" t="s">
        <v>186</v>
      </c>
      <c r="E202" s="55">
        <v>46125</v>
      </c>
      <c r="F202" s="26" t="s">
        <v>55</v>
      </c>
      <c r="G202" s="26" t="s">
        <v>58</v>
      </c>
      <c r="H202" s="26" t="s">
        <v>56</v>
      </c>
      <c r="I202" s="26" t="s">
        <v>70</v>
      </c>
      <c r="J202" s="26" t="s">
        <v>56</v>
      </c>
      <c r="K202" s="80" t="s">
        <v>234</v>
      </c>
      <c r="L202" s="28" t="s">
        <v>58</v>
      </c>
      <c r="M202" s="29" t="str">
        <f t="shared" si="20"/>
        <v>⚠ Check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469</v>
      </c>
      <c r="C203" s="25" t="s">
        <v>470</v>
      </c>
      <c r="D203" s="23" t="s">
        <v>186</v>
      </c>
      <c r="E203" s="55">
        <v>46125</v>
      </c>
      <c r="F203" s="26" t="s">
        <v>55</v>
      </c>
      <c r="G203" s="26" t="s">
        <v>58</v>
      </c>
      <c r="H203" s="26" t="s">
        <v>56</v>
      </c>
      <c r="I203" s="26" t="s">
        <v>70</v>
      </c>
      <c r="J203" s="26" t="s">
        <v>56</v>
      </c>
      <c r="K203" s="80" t="s">
        <v>234</v>
      </c>
      <c r="L203" s="28" t="s">
        <v>58</v>
      </c>
      <c r="M203" s="29" t="str">
        <f t="shared" si="20"/>
        <v>⚠ Check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471</v>
      </c>
      <c r="C204" s="44" t="s">
        <v>472</v>
      </c>
      <c r="D204" s="42" t="s">
        <v>186</v>
      </c>
      <c r="E204" s="55">
        <v>46125</v>
      </c>
      <c r="F204" s="26" t="s">
        <v>55</v>
      </c>
      <c r="G204" s="26" t="s">
        <v>58</v>
      </c>
      <c r="H204" s="26" t="s">
        <v>56</v>
      </c>
      <c r="I204" s="26" t="s">
        <v>70</v>
      </c>
      <c r="J204" s="26" t="s">
        <v>56</v>
      </c>
      <c r="K204" s="27" t="s">
        <v>234</v>
      </c>
      <c r="L204" s="28" t="s">
        <v>58</v>
      </c>
      <c r="M204" s="29" t="str">
        <f t="shared" si="20"/>
        <v>⚠ Check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473</v>
      </c>
      <c r="C205" s="25" t="s">
        <v>474</v>
      </c>
      <c r="D205" s="23" t="s">
        <v>186</v>
      </c>
      <c r="E205" s="55">
        <v>46125</v>
      </c>
      <c r="F205" s="26" t="s">
        <v>55</v>
      </c>
      <c r="G205" s="26" t="s">
        <v>58</v>
      </c>
      <c r="H205" s="26" t="s">
        <v>56</v>
      </c>
      <c r="I205" s="26" t="s">
        <v>70</v>
      </c>
      <c r="J205" s="26" t="s">
        <v>58</v>
      </c>
      <c r="K205" s="27"/>
      <c r="L205" s="28" t="s">
        <v>56</v>
      </c>
      <c r="M205" s="29" t="str">
        <f t="shared" si="20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475</v>
      </c>
      <c r="C206" s="44" t="s">
        <v>476</v>
      </c>
      <c r="D206" s="42" t="s">
        <v>186</v>
      </c>
      <c r="E206" s="55">
        <v>46125</v>
      </c>
      <c r="F206" s="26" t="s">
        <v>55</v>
      </c>
      <c r="G206" s="26" t="s">
        <v>58</v>
      </c>
      <c r="H206" s="26" t="s">
        <v>56</v>
      </c>
      <c r="I206" s="26" t="s">
        <v>70</v>
      </c>
      <c r="J206" s="26" t="s">
        <v>58</v>
      </c>
      <c r="K206" s="27"/>
      <c r="L206" s="28" t="s">
        <v>56</v>
      </c>
      <c r="M206" s="29" t="str">
        <f t="shared" si="20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477</v>
      </c>
      <c r="C207" s="25" t="s">
        <v>478</v>
      </c>
      <c r="D207" s="23" t="s">
        <v>186</v>
      </c>
      <c r="E207" s="55">
        <v>46125</v>
      </c>
      <c r="F207" s="26" t="s">
        <v>55</v>
      </c>
      <c r="G207" s="26" t="s">
        <v>58</v>
      </c>
      <c r="H207" s="26" t="s">
        <v>56</v>
      </c>
      <c r="I207" s="26" t="s">
        <v>70</v>
      </c>
      <c r="J207" s="26" t="s">
        <v>58</v>
      </c>
      <c r="K207" s="27"/>
      <c r="L207" s="28" t="s">
        <v>56</v>
      </c>
      <c r="M207" s="29" t="str">
        <f t="shared" si="20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479</v>
      </c>
      <c r="C208" s="44" t="s">
        <v>480</v>
      </c>
      <c r="D208" s="42" t="s">
        <v>186</v>
      </c>
      <c r="E208" s="55">
        <v>46126</v>
      </c>
      <c r="F208" s="26" t="s">
        <v>55</v>
      </c>
      <c r="G208" s="26" t="s">
        <v>58</v>
      </c>
      <c r="H208" s="26" t="s">
        <v>56</v>
      </c>
      <c r="I208" s="26" t="s">
        <v>70</v>
      </c>
      <c r="J208" s="26" t="s">
        <v>56</v>
      </c>
      <c r="K208" s="27" t="s">
        <v>234</v>
      </c>
      <c r="L208" s="28" t="s">
        <v>58</v>
      </c>
      <c r="M208" s="29" t="str">
        <f t="shared" si="20"/>
        <v>⚠ Check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481</v>
      </c>
      <c r="C209" s="25" t="s">
        <v>482</v>
      </c>
      <c r="D209" s="23" t="s">
        <v>186</v>
      </c>
      <c r="E209" s="55">
        <v>46125</v>
      </c>
      <c r="F209" s="26" t="s">
        <v>55</v>
      </c>
      <c r="G209" s="26" t="s">
        <v>58</v>
      </c>
      <c r="H209" s="26" t="s">
        <v>56</v>
      </c>
      <c r="I209" s="26" t="s">
        <v>70</v>
      </c>
      <c r="J209" s="26" t="s">
        <v>56</v>
      </c>
      <c r="K209" s="27" t="s">
        <v>483</v>
      </c>
      <c r="L209" s="28" t="s">
        <v>58</v>
      </c>
      <c r="M209" s="29" t="str">
        <f t="shared" si="20"/>
        <v>⚠ Check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484</v>
      </c>
      <c r="C210" s="44" t="s">
        <v>485</v>
      </c>
      <c r="D210" s="42" t="s">
        <v>186</v>
      </c>
      <c r="E210" s="55">
        <v>46126</v>
      </c>
      <c r="F210" s="26" t="s">
        <v>55</v>
      </c>
      <c r="G210" s="26" t="s">
        <v>58</v>
      </c>
      <c r="H210" s="26" t="s">
        <v>56</v>
      </c>
      <c r="I210" s="26" t="s">
        <v>70</v>
      </c>
      <c r="J210" s="26" t="s">
        <v>58</v>
      </c>
      <c r="K210" s="27" t="s">
        <v>191</v>
      </c>
      <c r="L210" s="28" t="s">
        <v>56</v>
      </c>
      <c r="M210" s="29" t="str">
        <f t="shared" si="20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486</v>
      </c>
      <c r="C211" s="25" t="s">
        <v>487</v>
      </c>
      <c r="D211" s="23" t="s">
        <v>186</v>
      </c>
      <c r="E211" s="55">
        <v>46125</v>
      </c>
      <c r="F211" s="26" t="s">
        <v>55</v>
      </c>
      <c r="G211" s="26" t="s">
        <v>58</v>
      </c>
      <c r="H211" s="26" t="s">
        <v>56</v>
      </c>
      <c r="I211" s="26" t="s">
        <v>70</v>
      </c>
      <c r="J211" s="26" t="s">
        <v>58</v>
      </c>
      <c r="K211" s="27"/>
      <c r="L211" s="28" t="s">
        <v>56</v>
      </c>
      <c r="M211" s="29" t="str">
        <f t="shared" si="20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488</v>
      </c>
      <c r="C212" s="44" t="s">
        <v>489</v>
      </c>
      <c r="D212" s="42" t="s">
        <v>186</v>
      </c>
      <c r="E212" s="55">
        <v>46125</v>
      </c>
      <c r="F212" s="26" t="s">
        <v>55</v>
      </c>
      <c r="G212" s="26" t="s">
        <v>58</v>
      </c>
      <c r="H212" s="26" t="s">
        <v>56</v>
      </c>
      <c r="I212" s="26" t="s">
        <v>70</v>
      </c>
      <c r="J212" s="26" t="s">
        <v>58</v>
      </c>
      <c r="K212" s="27"/>
      <c r="L212" s="28" t="s">
        <v>56</v>
      </c>
      <c r="M212" s="29" t="str">
        <f t="shared" si="20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490</v>
      </c>
      <c r="C213" s="25" t="s">
        <v>491</v>
      </c>
      <c r="D213" s="23" t="s">
        <v>186</v>
      </c>
      <c r="E213" s="55">
        <v>46125</v>
      </c>
      <c r="F213" s="26" t="s">
        <v>55</v>
      </c>
      <c r="G213" s="26" t="s">
        <v>58</v>
      </c>
      <c r="H213" s="26" t="s">
        <v>56</v>
      </c>
      <c r="I213" s="26" t="s">
        <v>70</v>
      </c>
      <c r="J213" s="26" t="s">
        <v>56</v>
      </c>
      <c r="K213" s="27" t="s">
        <v>234</v>
      </c>
      <c r="L213" s="28" t="s">
        <v>58</v>
      </c>
      <c r="M213" s="29" t="str">
        <f t="shared" si="20"/>
        <v>⚠ Check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492</v>
      </c>
      <c r="C214" s="44" t="s">
        <v>493</v>
      </c>
      <c r="D214" s="42" t="s">
        <v>186</v>
      </c>
      <c r="E214" s="55">
        <v>46125</v>
      </c>
      <c r="F214" s="26" t="s">
        <v>55</v>
      </c>
      <c r="G214" s="26" t="s">
        <v>58</v>
      </c>
      <c r="H214" s="26" t="s">
        <v>56</v>
      </c>
      <c r="I214" s="26" t="s">
        <v>70</v>
      </c>
      <c r="J214" s="26" t="s">
        <v>58</v>
      </c>
      <c r="K214" s="27"/>
      <c r="L214" s="28" t="s">
        <v>56</v>
      </c>
      <c r="M214" s="29" t="str">
        <f t="shared" si="20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494</v>
      </c>
      <c r="C215" s="25" t="s">
        <v>495</v>
      </c>
      <c r="D215" s="23" t="s">
        <v>186</v>
      </c>
      <c r="E215" s="55">
        <v>46125</v>
      </c>
      <c r="F215" s="26" t="s">
        <v>55</v>
      </c>
      <c r="G215" s="26" t="s">
        <v>58</v>
      </c>
      <c r="H215" s="26" t="s">
        <v>56</v>
      </c>
      <c r="I215" s="26" t="s">
        <v>70</v>
      </c>
      <c r="J215" s="26" t="s">
        <v>58</v>
      </c>
      <c r="K215" s="27"/>
      <c r="L215" s="28" t="s">
        <v>56</v>
      </c>
      <c r="M215" s="29" t="str">
        <f t="shared" si="20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496</v>
      </c>
      <c r="C216" s="44" t="s">
        <v>497</v>
      </c>
      <c r="D216" s="42" t="s">
        <v>186</v>
      </c>
      <c r="E216" s="55">
        <v>46125</v>
      </c>
      <c r="F216" s="26" t="s">
        <v>55</v>
      </c>
      <c r="G216" s="26" t="s">
        <v>58</v>
      </c>
      <c r="H216" s="26" t="s">
        <v>56</v>
      </c>
      <c r="I216" s="26" t="s">
        <v>70</v>
      </c>
      <c r="J216" s="26" t="s">
        <v>56</v>
      </c>
      <c r="K216" s="27" t="s">
        <v>498</v>
      </c>
      <c r="L216" s="28" t="s">
        <v>58</v>
      </c>
      <c r="M216" s="29" t="str">
        <f t="shared" si="20"/>
        <v>⚠ Check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499</v>
      </c>
      <c r="C217" s="25" t="s">
        <v>500</v>
      </c>
      <c r="D217" s="23" t="s">
        <v>186</v>
      </c>
      <c r="E217" s="55">
        <v>46125</v>
      </c>
      <c r="F217" s="26" t="s">
        <v>55</v>
      </c>
      <c r="G217" s="26" t="s">
        <v>58</v>
      </c>
      <c r="H217" s="26" t="s">
        <v>56</v>
      </c>
      <c r="I217" s="26" t="s">
        <v>70</v>
      </c>
      <c r="J217" s="26" t="s">
        <v>58</v>
      </c>
      <c r="K217" s="27"/>
      <c r="L217" s="28" t="s">
        <v>56</v>
      </c>
      <c r="M217" s="29" t="str">
        <f t="shared" si="20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501</v>
      </c>
      <c r="C218" s="44" t="s">
        <v>502</v>
      </c>
      <c r="D218" s="42" t="s">
        <v>186</v>
      </c>
      <c r="E218" s="55">
        <v>46125</v>
      </c>
      <c r="F218" s="26" t="s">
        <v>55</v>
      </c>
      <c r="G218" s="26" t="s">
        <v>58</v>
      </c>
      <c r="H218" s="26" t="s">
        <v>56</v>
      </c>
      <c r="I218" s="26" t="s">
        <v>70</v>
      </c>
      <c r="J218" s="26" t="s">
        <v>56</v>
      </c>
      <c r="K218" s="27" t="s">
        <v>234</v>
      </c>
      <c r="L218" s="28" t="s">
        <v>58</v>
      </c>
      <c r="M218" s="29" t="str">
        <f t="shared" si="20"/>
        <v>⚠ Check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503</v>
      </c>
      <c r="C219" s="25" t="s">
        <v>504</v>
      </c>
      <c r="D219" s="23" t="s">
        <v>186</v>
      </c>
      <c r="E219" s="55">
        <v>46125</v>
      </c>
      <c r="F219" s="26" t="s">
        <v>55</v>
      </c>
      <c r="G219" s="26" t="s">
        <v>58</v>
      </c>
      <c r="H219" s="26" t="s">
        <v>56</v>
      </c>
      <c r="I219" s="26" t="s">
        <v>70</v>
      </c>
      <c r="J219" s="26" t="s">
        <v>58</v>
      </c>
      <c r="K219" s="27"/>
      <c r="L219" s="28" t="s">
        <v>56</v>
      </c>
      <c r="M219" s="29" t="str">
        <f t="shared" si="20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505</v>
      </c>
      <c r="C220" s="44" t="s">
        <v>506</v>
      </c>
      <c r="D220" s="42" t="s">
        <v>186</v>
      </c>
      <c r="E220" s="55">
        <v>46125</v>
      </c>
      <c r="F220" s="26" t="s">
        <v>55</v>
      </c>
      <c r="G220" s="26" t="s">
        <v>58</v>
      </c>
      <c r="H220" s="26" t="s">
        <v>56</v>
      </c>
      <c r="I220" s="26" t="s">
        <v>70</v>
      </c>
      <c r="J220" s="26" t="s">
        <v>56</v>
      </c>
      <c r="K220" s="27" t="s">
        <v>280</v>
      </c>
      <c r="L220" s="28" t="s">
        <v>58</v>
      </c>
      <c r="M220" s="29" t="str">
        <f t="shared" si="20"/>
        <v>⚠ Check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507</v>
      </c>
      <c r="C221" s="25" t="s">
        <v>508</v>
      </c>
      <c r="D221" s="23" t="s">
        <v>186</v>
      </c>
      <c r="E221" s="55">
        <v>46125</v>
      </c>
      <c r="F221" s="26" t="s">
        <v>55</v>
      </c>
      <c r="G221" s="26" t="s">
        <v>58</v>
      </c>
      <c r="H221" s="26" t="s">
        <v>56</v>
      </c>
      <c r="I221" s="26" t="s">
        <v>70</v>
      </c>
      <c r="J221" s="26" t="s">
        <v>56</v>
      </c>
      <c r="K221" s="27" t="s">
        <v>509</v>
      </c>
      <c r="L221" s="28" t="s">
        <v>58</v>
      </c>
      <c r="M221" s="29" t="str">
        <f t="shared" si="20"/>
        <v>⚠ Check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510</v>
      </c>
      <c r="C222" s="44" t="s">
        <v>511</v>
      </c>
      <c r="D222" s="42" t="s">
        <v>186</v>
      </c>
      <c r="E222" s="55">
        <v>46125</v>
      </c>
      <c r="F222" s="26" t="s">
        <v>55</v>
      </c>
      <c r="G222" s="26" t="s">
        <v>58</v>
      </c>
      <c r="H222" s="26" t="s">
        <v>56</v>
      </c>
      <c r="I222" s="26" t="s">
        <v>70</v>
      </c>
      <c r="J222" s="26" t="s">
        <v>58</v>
      </c>
      <c r="K222" s="27"/>
      <c r="L222" s="28" t="s">
        <v>56</v>
      </c>
      <c r="M222" s="29" t="str">
        <f t="shared" si="20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512</v>
      </c>
      <c r="C223" s="25" t="s">
        <v>513</v>
      </c>
      <c r="D223" s="23" t="s">
        <v>186</v>
      </c>
      <c r="E223" s="55">
        <v>46125</v>
      </c>
      <c r="F223" s="26" t="s">
        <v>55</v>
      </c>
      <c r="G223" s="26" t="s">
        <v>58</v>
      </c>
      <c r="H223" s="26" t="s">
        <v>56</v>
      </c>
      <c r="I223" s="26" t="s">
        <v>70</v>
      </c>
      <c r="J223" s="26" t="s">
        <v>56</v>
      </c>
      <c r="K223" s="27" t="s">
        <v>234</v>
      </c>
      <c r="L223" s="28" t="s">
        <v>58</v>
      </c>
      <c r="M223" s="29" t="str">
        <f t="shared" si="20"/>
        <v>⚠ Check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514</v>
      </c>
      <c r="C224" s="44" t="s">
        <v>515</v>
      </c>
      <c r="D224" s="42" t="s">
        <v>186</v>
      </c>
      <c r="E224" s="55">
        <v>46126</v>
      </c>
      <c r="F224" s="26" t="s">
        <v>55</v>
      </c>
      <c r="G224" s="26" t="s">
        <v>58</v>
      </c>
      <c r="H224" s="26" t="s">
        <v>56</v>
      </c>
      <c r="I224" s="26" t="s">
        <v>70</v>
      </c>
      <c r="J224" s="26" t="s">
        <v>58</v>
      </c>
      <c r="K224" s="27" t="s">
        <v>191</v>
      </c>
      <c r="L224" s="28" t="s">
        <v>56</v>
      </c>
      <c r="M224" s="29" t="str">
        <f t="shared" si="20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516</v>
      </c>
      <c r="C225" s="25" t="s">
        <v>517</v>
      </c>
      <c r="D225" s="23" t="s">
        <v>186</v>
      </c>
      <c r="E225" s="55">
        <v>46125</v>
      </c>
      <c r="F225" s="26" t="s">
        <v>55</v>
      </c>
      <c r="G225" s="26" t="s">
        <v>58</v>
      </c>
      <c r="H225" s="26" t="s">
        <v>56</v>
      </c>
      <c r="I225" s="26" t="s">
        <v>70</v>
      </c>
      <c r="J225" s="26" t="s">
        <v>58</v>
      </c>
      <c r="K225" s="27"/>
      <c r="L225" s="28" t="s">
        <v>56</v>
      </c>
      <c r="M225" s="29" t="str">
        <f t="shared" si="20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518</v>
      </c>
      <c r="C226" s="44" t="s">
        <v>519</v>
      </c>
      <c r="D226" s="42" t="s">
        <v>186</v>
      </c>
      <c r="E226" s="55">
        <v>46125</v>
      </c>
      <c r="F226" s="26" t="s">
        <v>55</v>
      </c>
      <c r="G226" s="26" t="s">
        <v>58</v>
      </c>
      <c r="H226" s="26" t="s">
        <v>56</v>
      </c>
      <c r="I226" s="26" t="s">
        <v>70</v>
      </c>
      <c r="J226" s="26" t="s">
        <v>58</v>
      </c>
      <c r="K226" s="27"/>
      <c r="L226" s="28" t="s">
        <v>56</v>
      </c>
      <c r="M226" s="29" t="str">
        <f t="shared" si="20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520</v>
      </c>
      <c r="C227" s="25" t="s">
        <v>521</v>
      </c>
      <c r="D227" s="23" t="s">
        <v>186</v>
      </c>
      <c r="E227" s="55">
        <v>46125</v>
      </c>
      <c r="F227" s="26" t="s">
        <v>55</v>
      </c>
      <c r="G227" s="26" t="s">
        <v>58</v>
      </c>
      <c r="H227" s="26" t="s">
        <v>56</v>
      </c>
      <c r="I227" s="26" t="s">
        <v>70</v>
      </c>
      <c r="J227" s="26" t="s">
        <v>56</v>
      </c>
      <c r="K227" s="27" t="s">
        <v>234</v>
      </c>
      <c r="L227" s="28" t="s">
        <v>58</v>
      </c>
      <c r="M227" s="29" t="str">
        <f t="shared" si="20"/>
        <v>⚠ Check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522</v>
      </c>
      <c r="C228" s="44" t="s">
        <v>523</v>
      </c>
      <c r="D228" s="42" t="s">
        <v>186</v>
      </c>
      <c r="E228" s="55">
        <v>46125</v>
      </c>
      <c r="F228" s="26" t="s">
        <v>55</v>
      </c>
      <c r="G228" s="26" t="s">
        <v>58</v>
      </c>
      <c r="H228" s="26" t="s">
        <v>56</v>
      </c>
      <c r="I228" s="26" t="s">
        <v>70</v>
      </c>
      <c r="J228" s="26" t="s">
        <v>56</v>
      </c>
      <c r="K228" s="27" t="s">
        <v>234</v>
      </c>
      <c r="L228" s="28" t="s">
        <v>58</v>
      </c>
      <c r="M228" s="29" t="str">
        <f t="shared" si="20"/>
        <v>⚠ Check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524</v>
      </c>
      <c r="C229" s="25" t="s">
        <v>525</v>
      </c>
      <c r="D229" s="23" t="s">
        <v>186</v>
      </c>
      <c r="E229" s="55">
        <v>46125</v>
      </c>
      <c r="F229" s="26" t="s">
        <v>55</v>
      </c>
      <c r="G229" s="26" t="s">
        <v>58</v>
      </c>
      <c r="H229" s="26" t="s">
        <v>56</v>
      </c>
      <c r="I229" s="26" t="s">
        <v>70</v>
      </c>
      <c r="J229" s="26" t="s">
        <v>56</v>
      </c>
      <c r="K229" s="27" t="s">
        <v>130</v>
      </c>
      <c r="L229" s="28" t="s">
        <v>58</v>
      </c>
      <c r="M229" s="29" t="str">
        <f t="shared" si="20"/>
        <v>⚠ Check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526</v>
      </c>
      <c r="C230" s="44" t="s">
        <v>527</v>
      </c>
      <c r="D230" s="42" t="s">
        <v>186</v>
      </c>
      <c r="E230" s="55">
        <v>46126</v>
      </c>
      <c r="F230" s="26" t="s">
        <v>55</v>
      </c>
      <c r="G230" s="26" t="s">
        <v>58</v>
      </c>
      <c r="H230" s="26" t="s">
        <v>56</v>
      </c>
      <c r="I230" s="26" t="s">
        <v>70</v>
      </c>
      <c r="J230" s="26" t="s">
        <v>56</v>
      </c>
      <c r="K230" s="27" t="s">
        <v>234</v>
      </c>
      <c r="L230" s="28" t="s">
        <v>58</v>
      </c>
      <c r="M230" s="29" t="str">
        <f t="shared" si="20"/>
        <v>⚠ Check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528</v>
      </c>
      <c r="C231" s="25" t="s">
        <v>529</v>
      </c>
      <c r="D231" s="23" t="s">
        <v>186</v>
      </c>
      <c r="E231" s="55">
        <v>46126</v>
      </c>
      <c r="F231" s="26" t="s">
        <v>55</v>
      </c>
      <c r="G231" s="26" t="s">
        <v>58</v>
      </c>
      <c r="H231" s="26" t="s">
        <v>56</v>
      </c>
      <c r="I231" s="26" t="s">
        <v>70</v>
      </c>
      <c r="J231" s="26" t="s">
        <v>58</v>
      </c>
      <c r="K231" s="27" t="s">
        <v>191</v>
      </c>
      <c r="L231" s="28" t="s">
        <v>56</v>
      </c>
      <c r="M231" s="29" t="str">
        <f t="shared" si="20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530</v>
      </c>
      <c r="C232" s="44" t="s">
        <v>531</v>
      </c>
      <c r="D232" s="42" t="s">
        <v>186</v>
      </c>
      <c r="E232" s="55">
        <v>46125</v>
      </c>
      <c r="F232" s="26" t="s">
        <v>55</v>
      </c>
      <c r="G232" s="26" t="s">
        <v>58</v>
      </c>
      <c r="H232" s="26" t="s">
        <v>56</v>
      </c>
      <c r="I232" s="26" t="s">
        <v>70</v>
      </c>
      <c r="J232" s="26" t="s">
        <v>58</v>
      </c>
      <c r="K232" s="27"/>
      <c r="L232" s="28" t="s">
        <v>56</v>
      </c>
      <c r="M232" s="29" t="str">
        <f t="shared" si="20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532</v>
      </c>
      <c r="C233" s="25" t="s">
        <v>533</v>
      </c>
      <c r="D233" s="23" t="s">
        <v>186</v>
      </c>
      <c r="E233" s="55">
        <v>46126</v>
      </c>
      <c r="F233" s="26" t="s">
        <v>55</v>
      </c>
      <c r="G233" s="26" t="s">
        <v>58</v>
      </c>
      <c r="H233" s="26" t="s">
        <v>56</v>
      </c>
      <c r="I233" s="26" t="s">
        <v>70</v>
      </c>
      <c r="J233" s="26" t="s">
        <v>56</v>
      </c>
      <c r="K233" s="27" t="s">
        <v>234</v>
      </c>
      <c r="L233" s="28" t="s">
        <v>58</v>
      </c>
      <c r="M233" s="29" t="str">
        <f t="shared" si="20"/>
        <v>⚠ Check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534</v>
      </c>
      <c r="C234" s="44" t="s">
        <v>535</v>
      </c>
      <c r="D234" s="42" t="s">
        <v>186</v>
      </c>
      <c r="E234" s="55">
        <v>46125</v>
      </c>
      <c r="F234" s="26" t="s">
        <v>55</v>
      </c>
      <c r="G234" s="26" t="s">
        <v>58</v>
      </c>
      <c r="H234" s="26" t="s">
        <v>56</v>
      </c>
      <c r="I234" s="26" t="s">
        <v>70</v>
      </c>
      <c r="J234" s="26" t="s">
        <v>58</v>
      </c>
      <c r="K234" s="27"/>
      <c r="L234" s="28" t="s">
        <v>56</v>
      </c>
      <c r="M234" s="29" t="str">
        <f t="shared" si="20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536</v>
      </c>
      <c r="C235" s="25" t="s">
        <v>537</v>
      </c>
      <c r="D235" s="23" t="s">
        <v>186</v>
      </c>
      <c r="E235" s="55">
        <v>46125</v>
      </c>
      <c r="F235" s="26" t="s">
        <v>55</v>
      </c>
      <c r="G235" s="26" t="s">
        <v>58</v>
      </c>
      <c r="H235" s="26" t="s">
        <v>56</v>
      </c>
      <c r="I235" s="26" t="s">
        <v>70</v>
      </c>
      <c r="J235" s="26" t="s">
        <v>58</v>
      </c>
      <c r="K235" s="27"/>
      <c r="L235" s="28" t="s">
        <v>56</v>
      </c>
      <c r="M235" s="29" t="str">
        <f t="shared" si="20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538</v>
      </c>
      <c r="C236" s="44" t="s">
        <v>539</v>
      </c>
      <c r="D236" s="42" t="s">
        <v>186</v>
      </c>
      <c r="E236" s="55">
        <v>46125</v>
      </c>
      <c r="F236" s="26" t="s">
        <v>55</v>
      </c>
      <c r="G236" s="26" t="s">
        <v>58</v>
      </c>
      <c r="H236" s="26" t="s">
        <v>56</v>
      </c>
      <c r="I236" s="26" t="s">
        <v>70</v>
      </c>
      <c r="J236" s="26" t="s">
        <v>58</v>
      </c>
      <c r="K236" s="27"/>
      <c r="L236" s="28" t="s">
        <v>56</v>
      </c>
      <c r="M236" s="29" t="str">
        <f t="shared" si="20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540</v>
      </c>
      <c r="C237" s="25" t="s">
        <v>541</v>
      </c>
      <c r="D237" s="23" t="s">
        <v>186</v>
      </c>
      <c r="E237" s="55">
        <v>46126</v>
      </c>
      <c r="F237" s="26" t="s">
        <v>55</v>
      </c>
      <c r="G237" s="26" t="s">
        <v>58</v>
      </c>
      <c r="H237" s="26" t="s">
        <v>56</v>
      </c>
      <c r="I237" s="26" t="s">
        <v>70</v>
      </c>
      <c r="J237" s="26" t="s">
        <v>56</v>
      </c>
      <c r="K237" s="27" t="s">
        <v>234</v>
      </c>
      <c r="L237" s="28" t="s">
        <v>58</v>
      </c>
      <c r="M237" s="29" t="str">
        <f t="shared" si="20"/>
        <v>⚠ Check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542</v>
      </c>
      <c r="C238" s="44" t="s">
        <v>543</v>
      </c>
      <c r="D238" s="42" t="s">
        <v>186</v>
      </c>
      <c r="E238" s="55">
        <v>46126</v>
      </c>
      <c r="F238" s="26" t="s">
        <v>55</v>
      </c>
      <c r="G238" s="26" t="s">
        <v>58</v>
      </c>
      <c r="H238" s="26" t="s">
        <v>56</v>
      </c>
      <c r="I238" s="26" t="s">
        <v>70</v>
      </c>
      <c r="J238" s="26" t="s">
        <v>58</v>
      </c>
      <c r="K238" s="27" t="s">
        <v>191</v>
      </c>
      <c r="L238" s="28" t="s">
        <v>56</v>
      </c>
      <c r="M238" s="29" t="str">
        <f t="shared" si="20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544</v>
      </c>
      <c r="C239" s="25" t="s">
        <v>545</v>
      </c>
      <c r="D239" s="23" t="s">
        <v>186</v>
      </c>
      <c r="E239" s="55">
        <v>46125</v>
      </c>
      <c r="F239" s="26" t="s">
        <v>55</v>
      </c>
      <c r="G239" s="26" t="s">
        <v>58</v>
      </c>
      <c r="H239" s="26" t="s">
        <v>56</v>
      </c>
      <c r="I239" s="26" t="s">
        <v>70</v>
      </c>
      <c r="J239" s="26" t="s">
        <v>56</v>
      </c>
      <c r="K239" s="27" t="s">
        <v>234</v>
      </c>
      <c r="L239" s="28" t="s">
        <v>58</v>
      </c>
      <c r="M239" s="29" t="str">
        <f t="shared" si="20"/>
        <v>⚠ Check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546</v>
      </c>
      <c r="C240" s="44" t="s">
        <v>547</v>
      </c>
      <c r="D240" s="42" t="s">
        <v>186</v>
      </c>
      <c r="E240" s="55">
        <v>46125</v>
      </c>
      <c r="F240" s="26" t="s">
        <v>55</v>
      </c>
      <c r="G240" s="26" t="s">
        <v>58</v>
      </c>
      <c r="H240" s="26" t="s">
        <v>56</v>
      </c>
      <c r="I240" s="26" t="s">
        <v>70</v>
      </c>
      <c r="J240" s="26" t="s">
        <v>56</v>
      </c>
      <c r="K240" s="27" t="s">
        <v>234</v>
      </c>
      <c r="L240" s="28" t="s">
        <v>58</v>
      </c>
      <c r="M240" s="29" t="str">
        <f t="shared" si="20"/>
        <v>⚠ Check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548</v>
      </c>
      <c r="C241" s="25" t="s">
        <v>549</v>
      </c>
      <c r="D241" s="23" t="s">
        <v>186</v>
      </c>
      <c r="E241" s="55">
        <v>46125</v>
      </c>
      <c r="F241" s="26" t="s">
        <v>55</v>
      </c>
      <c r="G241" s="26" t="s">
        <v>58</v>
      </c>
      <c r="H241" s="26" t="s">
        <v>56</v>
      </c>
      <c r="I241" s="26" t="s">
        <v>70</v>
      </c>
      <c r="J241" s="26" t="s">
        <v>58</v>
      </c>
      <c r="K241" s="27"/>
      <c r="L241" s="28" t="s">
        <v>56</v>
      </c>
      <c r="M241" s="29" t="str">
        <f t="shared" si="20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550</v>
      </c>
      <c r="C242" s="44" t="s">
        <v>551</v>
      </c>
      <c r="D242" s="42" t="s">
        <v>186</v>
      </c>
      <c r="E242" s="55">
        <v>46125</v>
      </c>
      <c r="F242" s="26" t="s">
        <v>55</v>
      </c>
      <c r="G242" s="26" t="s">
        <v>58</v>
      </c>
      <c r="H242" s="26" t="s">
        <v>56</v>
      </c>
      <c r="I242" s="26" t="s">
        <v>70</v>
      </c>
      <c r="J242" s="26" t="s">
        <v>56</v>
      </c>
      <c r="K242" s="27" t="s">
        <v>234</v>
      </c>
      <c r="L242" s="28" t="s">
        <v>58</v>
      </c>
      <c r="M242" s="29" t="str">
        <f t="shared" si="20"/>
        <v>⚠ Check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552</v>
      </c>
      <c r="C243" s="25" t="s">
        <v>553</v>
      </c>
      <c r="D243" s="23" t="s">
        <v>186</v>
      </c>
      <c r="E243" s="55">
        <v>46125</v>
      </c>
      <c r="F243" s="26" t="s">
        <v>55</v>
      </c>
      <c r="G243" s="26" t="s">
        <v>58</v>
      </c>
      <c r="H243" s="26" t="s">
        <v>56</v>
      </c>
      <c r="I243" s="26" t="s">
        <v>70</v>
      </c>
      <c r="J243" s="26" t="s">
        <v>58</v>
      </c>
      <c r="K243" s="27"/>
      <c r="L243" s="28" t="s">
        <v>56</v>
      </c>
      <c r="M243" s="29" t="str">
        <f t="shared" si="20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554</v>
      </c>
      <c r="C244" s="44" t="s">
        <v>555</v>
      </c>
      <c r="D244" s="42" t="s">
        <v>186</v>
      </c>
      <c r="E244" s="55">
        <v>46125</v>
      </c>
      <c r="F244" s="26" t="s">
        <v>55</v>
      </c>
      <c r="G244" s="26" t="s">
        <v>58</v>
      </c>
      <c r="H244" s="26" t="s">
        <v>56</v>
      </c>
      <c r="I244" s="26" t="s">
        <v>70</v>
      </c>
      <c r="J244" s="26" t="s">
        <v>56</v>
      </c>
      <c r="K244" s="27" t="s">
        <v>234</v>
      </c>
      <c r="L244" s="28" t="s">
        <v>58</v>
      </c>
      <c r="M244" s="29" t="str">
        <f t="shared" si="20"/>
        <v>⚠ Check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556</v>
      </c>
      <c r="C245" s="25" t="s">
        <v>557</v>
      </c>
      <c r="D245" s="23" t="s">
        <v>186</v>
      </c>
      <c r="E245" s="55">
        <v>46126</v>
      </c>
      <c r="F245" s="26" t="s">
        <v>55</v>
      </c>
      <c r="G245" s="26" t="s">
        <v>58</v>
      </c>
      <c r="H245" s="26" t="s">
        <v>56</v>
      </c>
      <c r="I245" s="26" t="s">
        <v>70</v>
      </c>
      <c r="J245" s="26" t="s">
        <v>58</v>
      </c>
      <c r="K245" s="27" t="s">
        <v>191</v>
      </c>
      <c r="L245" s="28" t="s">
        <v>56</v>
      </c>
      <c r="M245" s="29" t="str">
        <f t="shared" si="20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558</v>
      </c>
      <c r="C246" s="44" t="s">
        <v>559</v>
      </c>
      <c r="D246" s="42" t="s">
        <v>186</v>
      </c>
      <c r="E246" s="55">
        <v>46125</v>
      </c>
      <c r="F246" s="26" t="s">
        <v>55</v>
      </c>
      <c r="G246" s="26" t="s">
        <v>58</v>
      </c>
      <c r="H246" s="26" t="s">
        <v>56</v>
      </c>
      <c r="I246" s="26" t="s">
        <v>70</v>
      </c>
      <c r="J246" s="26" t="s">
        <v>58</v>
      </c>
      <c r="K246" s="27"/>
      <c r="L246" s="28" t="s">
        <v>56</v>
      </c>
      <c r="M246" s="29" t="str">
        <f t="shared" si="20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560</v>
      </c>
      <c r="C247" s="25" t="s">
        <v>561</v>
      </c>
      <c r="D247" s="23" t="s">
        <v>186</v>
      </c>
      <c r="E247" s="55">
        <v>46126</v>
      </c>
      <c r="F247" s="26" t="s">
        <v>55</v>
      </c>
      <c r="G247" s="26" t="s">
        <v>56</v>
      </c>
      <c r="H247" s="26" t="s">
        <v>56</v>
      </c>
      <c r="I247" s="26" t="s">
        <v>57</v>
      </c>
      <c r="J247" s="26" t="s">
        <v>56</v>
      </c>
      <c r="K247" s="27"/>
      <c r="L247" s="28" t="s">
        <v>58</v>
      </c>
      <c r="M247" s="29" t="str">
        <f t="shared" si="20"/>
        <v>⚠ Missing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562</v>
      </c>
      <c r="C248" s="44" t="s">
        <v>563</v>
      </c>
      <c r="D248" s="42" t="s">
        <v>186</v>
      </c>
      <c r="E248" s="55">
        <v>46125</v>
      </c>
      <c r="F248" s="26" t="s">
        <v>55</v>
      </c>
      <c r="G248" s="26" t="s">
        <v>58</v>
      </c>
      <c r="H248" s="26" t="s">
        <v>56</v>
      </c>
      <c r="I248" s="26" t="s">
        <v>70</v>
      </c>
      <c r="J248" s="26" t="s">
        <v>56</v>
      </c>
      <c r="K248" s="27" t="s">
        <v>234</v>
      </c>
      <c r="L248" s="28" t="s">
        <v>58</v>
      </c>
      <c r="M248" s="29" t="str">
        <f t="shared" si="20"/>
        <v>⚠ Check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564</v>
      </c>
      <c r="C249" s="25" t="s">
        <v>565</v>
      </c>
      <c r="D249" s="23" t="s">
        <v>186</v>
      </c>
      <c r="E249" s="55">
        <v>46125</v>
      </c>
      <c r="F249" s="26" t="s">
        <v>55</v>
      </c>
      <c r="G249" s="26" t="s">
        <v>58</v>
      </c>
      <c r="H249" s="26" t="s">
        <v>56</v>
      </c>
      <c r="I249" s="26" t="s">
        <v>70</v>
      </c>
      <c r="J249" s="26" t="s">
        <v>58</v>
      </c>
      <c r="K249" s="27"/>
      <c r="L249" s="28" t="s">
        <v>56</v>
      </c>
      <c r="M249" s="29" t="str">
        <f t="shared" si="20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566</v>
      </c>
      <c r="C250" s="44" t="s">
        <v>567</v>
      </c>
      <c r="D250" s="42" t="s">
        <v>186</v>
      </c>
      <c r="E250" s="55">
        <v>46125</v>
      </c>
      <c r="F250" s="26" t="s">
        <v>55</v>
      </c>
      <c r="G250" s="26" t="s">
        <v>58</v>
      </c>
      <c r="H250" s="26" t="s">
        <v>56</v>
      </c>
      <c r="I250" s="26" t="s">
        <v>70</v>
      </c>
      <c r="J250" s="26" t="s">
        <v>56</v>
      </c>
      <c r="K250" s="27" t="s">
        <v>234</v>
      </c>
      <c r="L250" s="28" t="s">
        <v>58</v>
      </c>
      <c r="M250" s="29" t="str">
        <f t="shared" si="20"/>
        <v>⚠ Check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568</v>
      </c>
      <c r="C251" s="25" t="s">
        <v>569</v>
      </c>
      <c r="D251" s="23" t="s">
        <v>186</v>
      </c>
      <c r="E251" s="55">
        <v>46125</v>
      </c>
      <c r="F251" s="26" t="s">
        <v>55</v>
      </c>
      <c r="G251" s="26" t="s">
        <v>58</v>
      </c>
      <c r="H251" s="26" t="s">
        <v>56</v>
      </c>
      <c r="I251" s="26" t="s">
        <v>70</v>
      </c>
      <c r="J251" s="26" t="s">
        <v>58</v>
      </c>
      <c r="K251" s="27"/>
      <c r="L251" s="28" t="s">
        <v>56</v>
      </c>
      <c r="M251" s="29" t="str">
        <f t="shared" si="20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570</v>
      </c>
      <c r="C252" s="44" t="s">
        <v>571</v>
      </c>
      <c r="D252" s="42" t="s">
        <v>186</v>
      </c>
      <c r="E252" s="55">
        <v>46125</v>
      </c>
      <c r="F252" s="26" t="s">
        <v>55</v>
      </c>
      <c r="G252" s="26" t="s">
        <v>58</v>
      </c>
      <c r="H252" s="26" t="s">
        <v>56</v>
      </c>
      <c r="I252" s="26" t="s">
        <v>70</v>
      </c>
      <c r="J252" s="26" t="s">
        <v>56</v>
      </c>
      <c r="K252" s="27" t="s">
        <v>461</v>
      </c>
      <c r="L252" s="28" t="s">
        <v>58</v>
      </c>
      <c r="M252" s="29" t="str">
        <f t="shared" si="20"/>
        <v>⚠ Check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572</v>
      </c>
      <c r="C253" s="25" t="s">
        <v>573</v>
      </c>
      <c r="D253" s="23" t="s">
        <v>186</v>
      </c>
      <c r="E253" s="55">
        <v>46125</v>
      </c>
      <c r="F253" s="26" t="s">
        <v>55</v>
      </c>
      <c r="G253" s="26" t="s">
        <v>58</v>
      </c>
      <c r="H253" s="26" t="s">
        <v>56</v>
      </c>
      <c r="I253" s="26" t="s">
        <v>70</v>
      </c>
      <c r="J253" s="26" t="s">
        <v>58</v>
      </c>
      <c r="K253" s="27"/>
      <c r="L253" s="28" t="s">
        <v>56</v>
      </c>
      <c r="M253" s="29" t="str">
        <f t="shared" si="20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ref="V253:V288" si="21">IF(N253="","",IF(Q253="Yes","❌ Disc",IF(P253="No","⚠ Missing",IF(S253="Yes","✓ OK","⚠ Check"))))</f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ref="AE253:AE288" si="22">IF(W253="","",IF(Z253="Yes","❌ Disc",IF(Y253="No","⚠ Missing",IF(AB253="Yes","✓ OK","⚠ Check"))))</f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ref="AN253:AN288" si="23">IF(AF253="","",IF(AI253="Yes","❌ Disc",IF(AH253="No","⚠ Missing",IF(AK253="Yes","✓ OK","⚠ Check"))))</f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ref="AW253:AW288" si="24">IF(AO253="","",IF(AR253="Yes","❌ Disc",IF(AQ253="No","⚠ Missing",IF(AT253="Yes","✓ OK","⚠ Check"))))</f>
        <v/>
      </c>
    </row>
    <row r="254" spans="1:49" ht="18" customHeight="1" x14ac:dyDescent="0.3">
      <c r="A254" s="42">
        <v>250</v>
      </c>
      <c r="B254" s="43" t="s">
        <v>574</v>
      </c>
      <c r="C254" s="44" t="s">
        <v>575</v>
      </c>
      <c r="D254" s="42" t="s">
        <v>186</v>
      </c>
      <c r="E254" s="55">
        <v>46125</v>
      </c>
      <c r="F254" s="26" t="s">
        <v>55</v>
      </c>
      <c r="G254" s="26" t="s">
        <v>58</v>
      </c>
      <c r="H254" s="26" t="s">
        <v>56</v>
      </c>
      <c r="I254" s="26" t="s">
        <v>70</v>
      </c>
      <c r="J254" s="26" t="s">
        <v>58</v>
      </c>
      <c r="K254" s="27"/>
      <c r="L254" s="28" t="s">
        <v>56</v>
      </c>
      <c r="M254" s="29" t="str">
        <f t="shared" si="20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21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2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3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4"/>
        <v/>
      </c>
    </row>
    <row r="255" spans="1:49" ht="18" customHeight="1" x14ac:dyDescent="0.3">
      <c r="A255" s="23">
        <v>251</v>
      </c>
      <c r="B255" s="24" t="s">
        <v>576</v>
      </c>
      <c r="C255" s="25" t="s">
        <v>577</v>
      </c>
      <c r="D255" s="23" t="s">
        <v>186</v>
      </c>
      <c r="E255" s="55">
        <v>46125</v>
      </c>
      <c r="F255" s="26" t="s">
        <v>55</v>
      </c>
      <c r="G255" s="26" t="s">
        <v>58</v>
      </c>
      <c r="H255" s="26" t="s">
        <v>56</v>
      </c>
      <c r="I255" s="26" t="s">
        <v>70</v>
      </c>
      <c r="J255" s="26" t="s">
        <v>58</v>
      </c>
      <c r="K255" s="27"/>
      <c r="L255" s="28" t="s">
        <v>56</v>
      </c>
      <c r="M255" s="29" t="str">
        <f t="shared" si="20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21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2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3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4"/>
        <v/>
      </c>
    </row>
    <row r="256" spans="1:49" ht="18" customHeight="1" x14ac:dyDescent="0.3">
      <c r="A256" s="42">
        <v>252</v>
      </c>
      <c r="B256" s="43" t="s">
        <v>578</v>
      </c>
      <c r="C256" s="44" t="s">
        <v>579</v>
      </c>
      <c r="D256" s="42" t="s">
        <v>186</v>
      </c>
      <c r="E256" s="55">
        <v>46126</v>
      </c>
      <c r="F256" s="26" t="s">
        <v>55</v>
      </c>
      <c r="G256" s="26" t="s">
        <v>58</v>
      </c>
      <c r="H256" s="26" t="s">
        <v>56</v>
      </c>
      <c r="I256" s="26" t="s">
        <v>70</v>
      </c>
      <c r="J256" s="26" t="s">
        <v>56</v>
      </c>
      <c r="K256" s="27" t="s">
        <v>234</v>
      </c>
      <c r="L256" s="28" t="s">
        <v>58</v>
      </c>
      <c r="M256" s="29" t="str">
        <f t="shared" si="20"/>
        <v>⚠ Check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21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2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3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4"/>
        <v/>
      </c>
    </row>
    <row r="257" spans="1:49" ht="18" customHeight="1" x14ac:dyDescent="0.3">
      <c r="A257" s="23">
        <v>253</v>
      </c>
      <c r="B257" s="24" t="s">
        <v>580</v>
      </c>
      <c r="C257" s="25" t="s">
        <v>581</v>
      </c>
      <c r="D257" s="23" t="s">
        <v>186</v>
      </c>
      <c r="E257" s="55">
        <v>46126</v>
      </c>
      <c r="F257" s="26" t="s">
        <v>55</v>
      </c>
      <c r="G257" s="26" t="s">
        <v>58</v>
      </c>
      <c r="H257" s="26" t="s">
        <v>56</v>
      </c>
      <c r="I257" s="26" t="s">
        <v>70</v>
      </c>
      <c r="J257" s="26" t="s">
        <v>56</v>
      </c>
      <c r="K257" s="27" t="s">
        <v>582</v>
      </c>
      <c r="L257" s="28" t="s">
        <v>58</v>
      </c>
      <c r="M257" s="29" t="str">
        <f t="shared" si="20"/>
        <v>⚠ Check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21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2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3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4"/>
        <v/>
      </c>
    </row>
    <row r="258" spans="1:49" ht="18" customHeight="1" x14ac:dyDescent="0.3">
      <c r="A258" s="42">
        <v>254</v>
      </c>
      <c r="B258" s="43" t="s">
        <v>583</v>
      </c>
      <c r="C258" s="44" t="s">
        <v>584</v>
      </c>
      <c r="D258" s="42" t="s">
        <v>186</v>
      </c>
      <c r="E258" s="55">
        <v>46125</v>
      </c>
      <c r="F258" s="26" t="s">
        <v>55</v>
      </c>
      <c r="G258" s="26" t="s">
        <v>58</v>
      </c>
      <c r="H258" s="26" t="s">
        <v>56</v>
      </c>
      <c r="I258" s="26" t="s">
        <v>70</v>
      </c>
      <c r="J258" s="26" t="s">
        <v>58</v>
      </c>
      <c r="K258" s="27"/>
      <c r="L258" s="28" t="s">
        <v>56</v>
      </c>
      <c r="M258" s="29" t="str">
        <f t="shared" si="20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21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2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3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4"/>
        <v/>
      </c>
    </row>
    <row r="259" spans="1:49" ht="18" customHeight="1" x14ac:dyDescent="0.3">
      <c r="A259" s="23">
        <v>255</v>
      </c>
      <c r="B259" s="24" t="s">
        <v>585</v>
      </c>
      <c r="C259" s="25" t="s">
        <v>586</v>
      </c>
      <c r="D259" s="23" t="s">
        <v>186</v>
      </c>
      <c r="E259" s="55">
        <v>46125</v>
      </c>
      <c r="F259" s="26" t="s">
        <v>55</v>
      </c>
      <c r="G259" s="26" t="s">
        <v>58</v>
      </c>
      <c r="H259" s="26" t="s">
        <v>56</v>
      </c>
      <c r="I259" s="26" t="s">
        <v>70</v>
      </c>
      <c r="J259" s="26" t="s">
        <v>58</v>
      </c>
      <c r="K259" s="27"/>
      <c r="L259" s="28" t="s">
        <v>56</v>
      </c>
      <c r="M259" s="29" t="str">
        <f t="shared" si="20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21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2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3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4"/>
        <v/>
      </c>
    </row>
    <row r="260" spans="1:49" ht="18" customHeight="1" x14ac:dyDescent="0.3">
      <c r="A260" s="42">
        <v>256</v>
      </c>
      <c r="B260" s="43" t="s">
        <v>587</v>
      </c>
      <c r="C260" s="44" t="s">
        <v>588</v>
      </c>
      <c r="D260" s="42" t="s">
        <v>186</v>
      </c>
      <c r="E260" s="55">
        <v>46125</v>
      </c>
      <c r="F260" s="26" t="s">
        <v>55</v>
      </c>
      <c r="G260" s="26" t="s">
        <v>58</v>
      </c>
      <c r="H260" s="26" t="s">
        <v>56</v>
      </c>
      <c r="I260" s="26" t="s">
        <v>70</v>
      </c>
      <c r="J260" s="26" t="s">
        <v>58</v>
      </c>
      <c r="K260" s="27"/>
      <c r="L260" s="28" t="s">
        <v>56</v>
      </c>
      <c r="M260" s="29" t="str">
        <f t="shared" si="20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21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2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3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4"/>
        <v/>
      </c>
    </row>
    <row r="261" spans="1:49" ht="18" customHeight="1" x14ac:dyDescent="0.3">
      <c r="A261" s="23">
        <v>257</v>
      </c>
      <c r="B261" s="24" t="s">
        <v>589</v>
      </c>
      <c r="C261" s="25" t="s">
        <v>590</v>
      </c>
      <c r="D261" s="23" t="s">
        <v>186</v>
      </c>
      <c r="E261" s="55">
        <v>46125</v>
      </c>
      <c r="F261" s="26" t="s">
        <v>55</v>
      </c>
      <c r="G261" s="26" t="s">
        <v>58</v>
      </c>
      <c r="H261" s="26" t="s">
        <v>56</v>
      </c>
      <c r="I261" s="26" t="s">
        <v>70</v>
      </c>
      <c r="J261" s="26" t="s">
        <v>58</v>
      </c>
      <c r="K261" s="27"/>
      <c r="L261" s="28" t="s">
        <v>56</v>
      </c>
      <c r="M261" s="29" t="str">
        <f t="shared" si="20"/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si="21"/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si="22"/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si="23"/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si="24"/>
        <v/>
      </c>
    </row>
    <row r="262" spans="1:49" ht="18" customHeight="1" x14ac:dyDescent="0.3">
      <c r="A262" s="42">
        <v>258</v>
      </c>
      <c r="B262" s="43" t="s">
        <v>591</v>
      </c>
      <c r="C262" s="44" t="s">
        <v>592</v>
      </c>
      <c r="D262" s="42" t="s">
        <v>186</v>
      </c>
      <c r="E262" s="55">
        <v>46125</v>
      </c>
      <c r="F262" s="26" t="s">
        <v>55</v>
      </c>
      <c r="G262" s="26" t="s">
        <v>58</v>
      </c>
      <c r="H262" s="26" t="s">
        <v>56</v>
      </c>
      <c r="I262" s="26" t="s">
        <v>70</v>
      </c>
      <c r="J262" s="26" t="s">
        <v>58</v>
      </c>
      <c r="K262" s="27"/>
      <c r="L262" s="28" t="s">
        <v>56</v>
      </c>
      <c r="M262" s="29" t="str">
        <f t="shared" ref="M262:M288" si="25">IF(E262="","",IF(H262="Yes","❌ Disc",IF(G262="No","⚠ Missing",IF(J262="Yes","✓ OK","⚠ Check"))))</f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593</v>
      </c>
      <c r="C263" s="25" t="s">
        <v>594</v>
      </c>
      <c r="D263" s="23" t="s">
        <v>186</v>
      </c>
      <c r="E263" s="55">
        <v>46125</v>
      </c>
      <c r="F263" s="26" t="s">
        <v>55</v>
      </c>
      <c r="G263" s="26" t="s">
        <v>58</v>
      </c>
      <c r="H263" s="26" t="s">
        <v>56</v>
      </c>
      <c r="I263" s="26" t="s">
        <v>70</v>
      </c>
      <c r="J263" s="26" t="s">
        <v>56</v>
      </c>
      <c r="K263" s="27" t="s">
        <v>461</v>
      </c>
      <c r="L263" s="28" t="s">
        <v>58</v>
      </c>
      <c r="M263" s="29" t="str">
        <f t="shared" si="25"/>
        <v>⚠ Check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595</v>
      </c>
      <c r="C264" s="44" t="s">
        <v>596</v>
      </c>
      <c r="D264" s="42" t="s">
        <v>186</v>
      </c>
      <c r="E264" s="55">
        <v>46125</v>
      </c>
      <c r="F264" s="26" t="s">
        <v>55</v>
      </c>
      <c r="G264" s="26" t="s">
        <v>58</v>
      </c>
      <c r="H264" s="26" t="s">
        <v>56</v>
      </c>
      <c r="I264" s="26" t="s">
        <v>70</v>
      </c>
      <c r="J264" s="26" t="s">
        <v>58</v>
      </c>
      <c r="K264" s="27"/>
      <c r="L264" s="28" t="s">
        <v>56</v>
      </c>
      <c r="M264" s="29" t="str">
        <f t="shared" si="25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597</v>
      </c>
      <c r="C265" s="25" t="s">
        <v>598</v>
      </c>
      <c r="D265" s="23" t="s">
        <v>186</v>
      </c>
      <c r="E265" s="55">
        <v>46125</v>
      </c>
      <c r="F265" s="26" t="s">
        <v>55</v>
      </c>
      <c r="G265" s="26" t="s">
        <v>58</v>
      </c>
      <c r="H265" s="26" t="s">
        <v>56</v>
      </c>
      <c r="I265" s="26" t="s">
        <v>70</v>
      </c>
      <c r="J265" s="26" t="s">
        <v>58</v>
      </c>
      <c r="K265" s="27"/>
      <c r="L265" s="28" t="s">
        <v>56</v>
      </c>
      <c r="M265" s="29" t="str">
        <f t="shared" si="25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599</v>
      </c>
      <c r="C266" s="44" t="s">
        <v>600</v>
      </c>
      <c r="D266" s="42" t="s">
        <v>186</v>
      </c>
      <c r="E266" s="55">
        <v>46125</v>
      </c>
      <c r="F266" s="26" t="s">
        <v>55</v>
      </c>
      <c r="G266" s="26" t="s">
        <v>58</v>
      </c>
      <c r="H266" s="26" t="s">
        <v>56</v>
      </c>
      <c r="I266" s="26" t="s">
        <v>70</v>
      </c>
      <c r="J266" s="26" t="s">
        <v>58</v>
      </c>
      <c r="K266" s="27"/>
      <c r="L266" s="28" t="s">
        <v>56</v>
      </c>
      <c r="M266" s="29" t="str">
        <f t="shared" si="25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601</v>
      </c>
      <c r="C267" s="25" t="s">
        <v>602</v>
      </c>
      <c r="D267" s="23" t="s">
        <v>186</v>
      </c>
      <c r="E267" s="55">
        <v>46125</v>
      </c>
      <c r="F267" s="26" t="s">
        <v>55</v>
      </c>
      <c r="G267" s="26" t="s">
        <v>58</v>
      </c>
      <c r="H267" s="26" t="s">
        <v>56</v>
      </c>
      <c r="I267" s="26" t="s">
        <v>70</v>
      </c>
      <c r="J267" s="26" t="s">
        <v>58</v>
      </c>
      <c r="K267" s="27"/>
      <c r="L267" s="28" t="s">
        <v>56</v>
      </c>
      <c r="M267" s="29" t="str">
        <f t="shared" si="25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603</v>
      </c>
      <c r="C268" s="44" t="s">
        <v>604</v>
      </c>
      <c r="D268" s="42" t="s">
        <v>186</v>
      </c>
      <c r="E268" s="55">
        <v>46125</v>
      </c>
      <c r="F268" s="26" t="s">
        <v>55</v>
      </c>
      <c r="G268" s="26" t="s">
        <v>58</v>
      </c>
      <c r="H268" s="26" t="s">
        <v>56</v>
      </c>
      <c r="I268" s="26" t="s">
        <v>70</v>
      </c>
      <c r="J268" s="26" t="s">
        <v>58</v>
      </c>
      <c r="K268" s="27"/>
      <c r="L268" s="28" t="s">
        <v>56</v>
      </c>
      <c r="M268" s="29" t="str">
        <f t="shared" si="25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605</v>
      </c>
      <c r="C269" s="25" t="s">
        <v>606</v>
      </c>
      <c r="D269" s="23" t="s">
        <v>186</v>
      </c>
      <c r="E269" s="55">
        <v>46125</v>
      </c>
      <c r="F269" s="26" t="s">
        <v>55</v>
      </c>
      <c r="G269" s="26" t="s">
        <v>58</v>
      </c>
      <c r="H269" s="26" t="s">
        <v>56</v>
      </c>
      <c r="I269" s="26" t="s">
        <v>70</v>
      </c>
      <c r="J269" s="26" t="s">
        <v>58</v>
      </c>
      <c r="K269" s="27"/>
      <c r="L269" s="28" t="s">
        <v>56</v>
      </c>
      <c r="M269" s="29" t="str">
        <f t="shared" si="25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607</v>
      </c>
      <c r="C270" s="44" t="s">
        <v>608</v>
      </c>
      <c r="D270" s="42" t="s">
        <v>186</v>
      </c>
      <c r="E270" s="55">
        <v>46126</v>
      </c>
      <c r="F270" s="26" t="s">
        <v>55</v>
      </c>
      <c r="G270" s="26" t="s">
        <v>56</v>
      </c>
      <c r="H270" s="26" t="s">
        <v>56</v>
      </c>
      <c r="I270" s="26" t="s">
        <v>57</v>
      </c>
      <c r="J270" s="26" t="s">
        <v>56</v>
      </c>
      <c r="K270" s="27"/>
      <c r="L270" s="28" t="s">
        <v>58</v>
      </c>
      <c r="M270" s="29" t="str">
        <f t="shared" si="25"/>
        <v>⚠ Missing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609</v>
      </c>
      <c r="C271" s="25" t="s">
        <v>610</v>
      </c>
      <c r="D271" s="23" t="s">
        <v>186</v>
      </c>
      <c r="E271" s="55">
        <v>46125</v>
      </c>
      <c r="F271" s="26" t="s">
        <v>55</v>
      </c>
      <c r="G271" s="26" t="s">
        <v>58</v>
      </c>
      <c r="H271" s="26" t="s">
        <v>56</v>
      </c>
      <c r="I271" s="26" t="s">
        <v>70</v>
      </c>
      <c r="J271" s="26" t="s">
        <v>58</v>
      </c>
      <c r="K271" s="27"/>
      <c r="L271" s="28" t="s">
        <v>56</v>
      </c>
      <c r="M271" s="29" t="str">
        <f t="shared" si="25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611</v>
      </c>
      <c r="C272" s="44" t="s">
        <v>612</v>
      </c>
      <c r="D272" s="42" t="s">
        <v>186</v>
      </c>
      <c r="E272" s="55">
        <v>46125</v>
      </c>
      <c r="F272" s="26" t="s">
        <v>55</v>
      </c>
      <c r="G272" s="26" t="s">
        <v>58</v>
      </c>
      <c r="H272" s="26" t="s">
        <v>56</v>
      </c>
      <c r="I272" s="26" t="s">
        <v>70</v>
      </c>
      <c r="J272" s="26" t="s">
        <v>56</v>
      </c>
      <c r="K272" s="27" t="s">
        <v>130</v>
      </c>
      <c r="L272" s="28" t="s">
        <v>58</v>
      </c>
      <c r="M272" s="29" t="str">
        <f t="shared" si="25"/>
        <v>⚠ Check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613</v>
      </c>
      <c r="C273" s="25" t="s">
        <v>614</v>
      </c>
      <c r="D273" s="23" t="s">
        <v>186</v>
      </c>
      <c r="E273" s="55">
        <v>46125</v>
      </c>
      <c r="F273" s="26" t="s">
        <v>55</v>
      </c>
      <c r="G273" s="26" t="s">
        <v>58</v>
      </c>
      <c r="H273" s="26" t="s">
        <v>56</v>
      </c>
      <c r="I273" s="26" t="s">
        <v>70</v>
      </c>
      <c r="J273" s="26" t="s">
        <v>58</v>
      </c>
      <c r="K273" s="27"/>
      <c r="L273" s="28" t="s">
        <v>56</v>
      </c>
      <c r="M273" s="29" t="str">
        <f t="shared" si="25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615</v>
      </c>
      <c r="C274" s="44" t="s">
        <v>616</v>
      </c>
      <c r="D274" s="42" t="s">
        <v>186</v>
      </c>
      <c r="E274" s="55">
        <v>46125</v>
      </c>
      <c r="F274" s="26" t="s">
        <v>55</v>
      </c>
      <c r="G274" s="26" t="s">
        <v>58</v>
      </c>
      <c r="H274" s="26" t="s">
        <v>56</v>
      </c>
      <c r="I274" s="26" t="s">
        <v>70</v>
      </c>
      <c r="J274" s="26" t="s">
        <v>58</v>
      </c>
      <c r="K274" s="27"/>
      <c r="L274" s="28" t="s">
        <v>56</v>
      </c>
      <c r="M274" s="29" t="str">
        <f t="shared" si="25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617</v>
      </c>
      <c r="C275" s="25" t="s">
        <v>618</v>
      </c>
      <c r="D275" s="23" t="s">
        <v>186</v>
      </c>
      <c r="E275" s="55">
        <v>46125</v>
      </c>
      <c r="F275" s="26" t="s">
        <v>55</v>
      </c>
      <c r="G275" s="26" t="s">
        <v>58</v>
      </c>
      <c r="H275" s="26" t="s">
        <v>56</v>
      </c>
      <c r="I275" s="26" t="s">
        <v>70</v>
      </c>
      <c r="J275" s="26" t="s">
        <v>58</v>
      </c>
      <c r="K275" s="27"/>
      <c r="L275" s="28" t="s">
        <v>56</v>
      </c>
      <c r="M275" s="29" t="str">
        <f t="shared" si="25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619</v>
      </c>
      <c r="C276" s="44" t="s">
        <v>620</v>
      </c>
      <c r="D276" s="42" t="s">
        <v>186</v>
      </c>
      <c r="E276" s="55">
        <v>46126</v>
      </c>
      <c r="F276" s="26" t="s">
        <v>55</v>
      </c>
      <c r="G276" s="26" t="s">
        <v>58</v>
      </c>
      <c r="H276" s="26" t="s">
        <v>56</v>
      </c>
      <c r="I276" s="26" t="s">
        <v>70</v>
      </c>
      <c r="J276" s="26" t="s">
        <v>56</v>
      </c>
      <c r="K276" s="27" t="s">
        <v>360</v>
      </c>
      <c r="L276" s="28" t="s">
        <v>58</v>
      </c>
      <c r="M276" s="29" t="str">
        <f t="shared" si="25"/>
        <v>⚠ Check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621</v>
      </c>
      <c r="C277" s="25" t="s">
        <v>622</v>
      </c>
      <c r="D277" s="23" t="s">
        <v>186</v>
      </c>
      <c r="E277" s="55">
        <v>46126</v>
      </c>
      <c r="F277" s="26" t="s">
        <v>55</v>
      </c>
      <c r="G277" s="26" t="s">
        <v>58</v>
      </c>
      <c r="H277" s="26" t="s">
        <v>56</v>
      </c>
      <c r="I277" s="26" t="s">
        <v>70</v>
      </c>
      <c r="J277" s="26" t="s">
        <v>58</v>
      </c>
      <c r="K277" s="27" t="s">
        <v>191</v>
      </c>
      <c r="L277" s="28" t="s">
        <v>56</v>
      </c>
      <c r="M277" s="29" t="str">
        <f t="shared" si="25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623</v>
      </c>
      <c r="C278" s="44" t="s">
        <v>624</v>
      </c>
      <c r="D278" s="42" t="s">
        <v>186</v>
      </c>
      <c r="E278" s="55">
        <v>46126</v>
      </c>
      <c r="F278" s="26" t="s">
        <v>55</v>
      </c>
      <c r="G278" s="26" t="s">
        <v>58</v>
      </c>
      <c r="H278" s="26" t="s">
        <v>56</v>
      </c>
      <c r="I278" s="26" t="s">
        <v>70</v>
      </c>
      <c r="J278" s="26" t="s">
        <v>58</v>
      </c>
      <c r="K278" s="27" t="s">
        <v>191</v>
      </c>
      <c r="L278" s="28" t="s">
        <v>56</v>
      </c>
      <c r="M278" s="29" t="str">
        <f t="shared" si="25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625</v>
      </c>
      <c r="C279" s="25" t="s">
        <v>626</v>
      </c>
      <c r="D279" s="23" t="s">
        <v>186</v>
      </c>
      <c r="E279" s="55">
        <v>46125</v>
      </c>
      <c r="F279" s="26" t="s">
        <v>55</v>
      </c>
      <c r="G279" s="26" t="s">
        <v>58</v>
      </c>
      <c r="H279" s="26" t="s">
        <v>56</v>
      </c>
      <c r="I279" s="26" t="s">
        <v>70</v>
      </c>
      <c r="J279" s="26" t="s">
        <v>58</v>
      </c>
      <c r="K279" s="27"/>
      <c r="L279" s="28" t="s">
        <v>56</v>
      </c>
      <c r="M279" s="29" t="str">
        <f t="shared" si="25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627</v>
      </c>
      <c r="C280" s="44" t="s">
        <v>628</v>
      </c>
      <c r="D280" s="42" t="s">
        <v>186</v>
      </c>
      <c r="E280" s="55">
        <v>46125</v>
      </c>
      <c r="F280" s="26" t="s">
        <v>55</v>
      </c>
      <c r="G280" s="26" t="s">
        <v>58</v>
      </c>
      <c r="H280" s="26" t="s">
        <v>56</v>
      </c>
      <c r="I280" s="26" t="s">
        <v>70</v>
      </c>
      <c r="J280" s="26" t="s">
        <v>56</v>
      </c>
      <c r="K280" s="27" t="s">
        <v>237</v>
      </c>
      <c r="L280" s="28" t="s">
        <v>58</v>
      </c>
      <c r="M280" s="29" t="str">
        <f t="shared" si="25"/>
        <v>⚠ Check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629</v>
      </c>
      <c r="C281" s="25" t="s">
        <v>630</v>
      </c>
      <c r="D281" s="23" t="s">
        <v>186</v>
      </c>
      <c r="E281" s="55">
        <v>46126</v>
      </c>
      <c r="F281" s="26" t="s">
        <v>55</v>
      </c>
      <c r="G281" s="26" t="s">
        <v>58</v>
      </c>
      <c r="H281" s="26" t="s">
        <v>56</v>
      </c>
      <c r="I281" s="26" t="s">
        <v>70</v>
      </c>
      <c r="J281" s="26" t="s">
        <v>56</v>
      </c>
      <c r="K281" s="27" t="s">
        <v>360</v>
      </c>
      <c r="L281" s="28" t="s">
        <v>58</v>
      </c>
      <c r="M281" s="29" t="str">
        <f t="shared" si="25"/>
        <v>⚠ Check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631</v>
      </c>
      <c r="C282" s="44" t="s">
        <v>632</v>
      </c>
      <c r="D282" s="42" t="s">
        <v>186</v>
      </c>
      <c r="E282" s="55">
        <v>46125</v>
      </c>
      <c r="F282" s="26" t="s">
        <v>55</v>
      </c>
      <c r="G282" s="26" t="s">
        <v>58</v>
      </c>
      <c r="H282" s="26" t="s">
        <v>56</v>
      </c>
      <c r="I282" s="26" t="s">
        <v>70</v>
      </c>
      <c r="J282" s="26" t="s">
        <v>56</v>
      </c>
      <c r="K282" s="27" t="s">
        <v>130</v>
      </c>
      <c r="L282" s="28" t="s">
        <v>58</v>
      </c>
      <c r="M282" s="29" t="str">
        <f t="shared" si="25"/>
        <v>⚠ Check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633</v>
      </c>
      <c r="C283" s="25" t="s">
        <v>634</v>
      </c>
      <c r="D283" s="23" t="s">
        <v>186</v>
      </c>
      <c r="E283" s="55">
        <v>46126</v>
      </c>
      <c r="F283" s="26" t="s">
        <v>55</v>
      </c>
      <c r="G283" s="26" t="s">
        <v>58</v>
      </c>
      <c r="H283" s="26" t="s">
        <v>56</v>
      </c>
      <c r="I283" s="26" t="s">
        <v>70</v>
      </c>
      <c r="J283" s="26" t="s">
        <v>58</v>
      </c>
      <c r="K283" s="27" t="s">
        <v>191</v>
      </c>
      <c r="L283" s="28" t="s">
        <v>56</v>
      </c>
      <c r="M283" s="29" t="str">
        <f t="shared" si="25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635</v>
      </c>
      <c r="C284" s="44" t="s">
        <v>636</v>
      </c>
      <c r="D284" s="42" t="s">
        <v>186</v>
      </c>
      <c r="E284" s="55">
        <v>46126</v>
      </c>
      <c r="F284" s="26" t="s">
        <v>55</v>
      </c>
      <c r="G284" s="26" t="s">
        <v>58</v>
      </c>
      <c r="H284" s="26" t="s">
        <v>56</v>
      </c>
      <c r="I284" s="26" t="s">
        <v>70</v>
      </c>
      <c r="J284" s="26" t="s">
        <v>56</v>
      </c>
      <c r="K284" s="79" t="s">
        <v>582</v>
      </c>
      <c r="L284" s="28" t="s">
        <v>58</v>
      </c>
      <c r="M284" s="29" t="str">
        <f t="shared" si="25"/>
        <v>⚠ Check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637</v>
      </c>
      <c r="C285" s="25" t="s">
        <v>638</v>
      </c>
      <c r="D285" s="23" t="s">
        <v>186</v>
      </c>
      <c r="E285" s="55">
        <v>46126</v>
      </c>
      <c r="F285" s="26" t="s">
        <v>55</v>
      </c>
      <c r="G285" s="26" t="s">
        <v>58</v>
      </c>
      <c r="H285" s="26" t="s">
        <v>56</v>
      </c>
      <c r="I285" s="26" t="s">
        <v>70</v>
      </c>
      <c r="J285" s="26" t="s">
        <v>58</v>
      </c>
      <c r="K285" s="27" t="s">
        <v>191</v>
      </c>
      <c r="L285" s="28" t="s">
        <v>56</v>
      </c>
      <c r="M285" s="29" t="str">
        <f t="shared" si="25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639</v>
      </c>
      <c r="C286" s="44" t="s">
        <v>640</v>
      </c>
      <c r="D286" s="42" t="s">
        <v>186</v>
      </c>
      <c r="E286" s="55">
        <v>46125</v>
      </c>
      <c r="F286" s="26" t="s">
        <v>55</v>
      </c>
      <c r="G286" s="26" t="s">
        <v>58</v>
      </c>
      <c r="H286" s="26" t="s">
        <v>56</v>
      </c>
      <c r="I286" s="26" t="s">
        <v>70</v>
      </c>
      <c r="J286" s="26" t="s">
        <v>58</v>
      </c>
      <c r="K286" s="27"/>
      <c r="L286" s="28" t="s">
        <v>56</v>
      </c>
      <c r="M286" s="29" t="str">
        <f t="shared" si="25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641</v>
      </c>
      <c r="C287" s="25" t="s">
        <v>642</v>
      </c>
      <c r="D287" s="23" t="s">
        <v>186</v>
      </c>
      <c r="E287" s="55">
        <v>46125</v>
      </c>
      <c r="F287" s="26" t="s">
        <v>55</v>
      </c>
      <c r="G287" s="26" t="s">
        <v>58</v>
      </c>
      <c r="H287" s="26" t="s">
        <v>56</v>
      </c>
      <c r="I287" s="26" t="s">
        <v>70</v>
      </c>
      <c r="J287" s="26" t="s">
        <v>58</v>
      </c>
      <c r="K287" s="27"/>
      <c r="L287" s="28" t="s">
        <v>56</v>
      </c>
      <c r="M287" s="29" t="str">
        <f t="shared" si="25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643</v>
      </c>
      <c r="C288" s="44" t="s">
        <v>644</v>
      </c>
      <c r="D288" s="42" t="s">
        <v>186</v>
      </c>
      <c r="E288" s="55">
        <v>46126</v>
      </c>
      <c r="F288" s="26" t="s">
        <v>55</v>
      </c>
      <c r="G288" s="26" t="s">
        <v>58</v>
      </c>
      <c r="H288" s="26" t="s">
        <v>56</v>
      </c>
      <c r="I288" s="26" t="s">
        <v>70</v>
      </c>
      <c r="J288" s="26" t="s">
        <v>56</v>
      </c>
      <c r="K288" s="27" t="s">
        <v>333</v>
      </c>
      <c r="L288" s="28" t="s">
        <v>58</v>
      </c>
      <c r="M288" s="29" t="str">
        <f t="shared" si="25"/>
        <v>⚠ Check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</sheetData>
  <autoFilter ref="A4:AW288" xr:uid="{00000000-0001-0000-01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D288 M49:M288 E247:J247 L247 E270:J270 L270">
    <cfRule type="expression" dxfId="635" priority="11">
      <formula>MOD(ROW(),2)=0</formula>
    </cfRule>
  </conditionalFormatting>
  <conditionalFormatting sqref="E215:J215 M215:AW215 E216:AW216 E217:J219 L218:AW218 E220:AW221 G247:H247 E248:AW248 G270:H270 E272:AW272 J247:K247 J270:K270 M217:AW217 M219:AW219 E223:AW223 E222:K222 M222:AW222 E227:AW230 E224:K226 M224:AW226 E233:AW233 E231:K232 M231:AW232 E237:AW237 E234:K236 M234:AW236 E239:AW240 E238:K238 M238:AW238 E242:AW242 E241:K241 M241:AW241 E244:AW244 E243:K243 M243:AW243 E245:K246 M245:AW247 E250:AW250 E249:K249 M249:AW249 E252:AW252 E251:K251 M251:AW251 E256:AW257 E253:K255 M253:AW255 E263:AW263 E258:K262 M258:AW262 E264:K269 E271:K271 M264:AW271 E276:AW276 E273:K275 M273:AW275 E280:AW282 E277:K279 M277:AW279 E284:AW284 E283:K283 M283:AW283 E288:AW288 E285:K287 M285:AW287">
    <cfRule type="expression" dxfId="634" priority="57">
      <formula>MOD(ROW(),2)=0</formula>
    </cfRule>
  </conditionalFormatting>
  <conditionalFormatting sqref="E214:K214 M214:AW214 E5:AW213 L214:L215 L217 L219 L222 L224:L226 L231:L232 L234:L236 L238 L241 L243 L245:L246 L249 L251 L253:L255 L258:L262 L264:L269 L271 L273:L275 L277:L279 L283 L285:L287">
    <cfRule type="expression" dxfId="633" priority="1">
      <formula>MOD(ROW(),2)=0</formula>
    </cfRule>
  </conditionalFormatting>
  <conditionalFormatting sqref="G5:G288 J5:J288 P5:P288 S5:S288 Y5:Y288 AB5:AB288 AH5:AH288 AK5:AK288 AQ5:AQ288 AT5:AT288">
    <cfRule type="expression" dxfId="632" priority="16">
      <formula>G5="Yes"</formula>
    </cfRule>
    <cfRule type="expression" dxfId="631" priority="17">
      <formula>G5="No"</formula>
    </cfRule>
  </conditionalFormatting>
  <conditionalFormatting sqref="H5:H288 Q5:Q288 Z5:Z288 AI5:AI288 AR5:AR288">
    <cfRule type="expression" dxfId="630" priority="18">
      <formula>H5="Yes"</formula>
    </cfRule>
  </conditionalFormatting>
  <conditionalFormatting sqref="K215">
    <cfRule type="expression" dxfId="629" priority="7">
      <formula>MOD(ROW(),2)=0</formula>
    </cfRule>
  </conditionalFormatting>
  <conditionalFormatting sqref="K217:K219">
    <cfRule type="expression" dxfId="628" priority="2">
      <formula>MOD(ROW(),2)=0</formula>
    </cfRule>
  </conditionalFormatting>
  <conditionalFormatting sqref="M5:M288 V5:V288 AE5:AE288 AN5:AN288 AW5:AW288">
    <cfRule type="expression" dxfId="627" priority="12">
      <formula>M5="✓ OK"</formula>
    </cfRule>
    <cfRule type="expression" dxfId="626" priority="13">
      <formula>M5="❌ Disc"</formula>
    </cfRule>
    <cfRule type="expression" dxfId="625" priority="14">
      <formula>M5="⚠ Missing"</formula>
    </cfRule>
    <cfRule type="expression" dxfId="624" priority="15">
      <formula>M5="⚠ Check"</formula>
    </cfRule>
  </conditionalFormatting>
  <dataValidations count="2">
    <dataValidation type="list" allowBlank="1" sqref="AT5:AT288 AQ5:AR288 AK5:AK288 AH5:AI288 AB5:AB288 Y5:Z288 S5:S288 P5:Q288 G5:H288 J5:J288" xr:uid="{00000000-0002-0000-0100-000000000000}">
      <formula1>"Yes,No"</formula1>
      <formula2>0</formula2>
    </dataValidation>
    <dataValidation type="list" allowBlank="1" sqref="AS5:AS288 AJ5:AJ288 AA5:AA288 R5:R288 I5:I288" xr:uid="{00000000-0002-0000-01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FF"/>
  </sheetPr>
  <dimension ref="A1:AW67"/>
  <sheetViews>
    <sheetView zoomScaleNormal="100" workbookViewId="0">
      <pane xSplit="4" ySplit="4" topLeftCell="E5" activePane="bottomRight" state="frozen"/>
      <selection pane="topRight" activeCell="AP1" sqref="AP1"/>
      <selection pane="bottomLeft" activeCell="A5" sqref="A5"/>
      <selection pane="bottomRight" activeCell="G5" sqref="G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4" t="s">
        <v>645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</row>
    <row r="2" spans="1:49" ht="15" customHeight="1" x14ac:dyDescent="0.3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85"/>
      <c r="AT2" s="85"/>
      <c r="AU2" s="85"/>
      <c r="AV2" s="85"/>
      <c r="AW2" s="85"/>
    </row>
    <row r="3" spans="1:49" ht="19.5" customHeight="1" x14ac:dyDescent="0.3">
      <c r="A3" s="22"/>
      <c r="B3" s="22"/>
      <c r="C3" s="22"/>
      <c r="D3" s="22"/>
      <c r="E3" s="86" t="s">
        <v>34</v>
      </c>
      <c r="F3" s="86"/>
      <c r="G3" s="86"/>
      <c r="H3" s="86"/>
      <c r="I3" s="86"/>
      <c r="J3" s="86"/>
      <c r="K3" s="86"/>
      <c r="L3" s="86"/>
      <c r="M3" s="86"/>
      <c r="N3" s="87" t="s">
        <v>35</v>
      </c>
      <c r="O3" s="87"/>
      <c r="P3" s="87"/>
      <c r="Q3" s="87"/>
      <c r="R3" s="87"/>
      <c r="S3" s="87"/>
      <c r="T3" s="87"/>
      <c r="U3" s="87"/>
      <c r="V3" s="87"/>
      <c r="W3" s="88" t="s">
        <v>36</v>
      </c>
      <c r="X3" s="88"/>
      <c r="Y3" s="88"/>
      <c r="Z3" s="88"/>
      <c r="AA3" s="88"/>
      <c r="AB3" s="88"/>
      <c r="AC3" s="88"/>
      <c r="AD3" s="88"/>
      <c r="AE3" s="88"/>
      <c r="AF3" s="89" t="s">
        <v>37</v>
      </c>
      <c r="AG3" s="89"/>
      <c r="AH3" s="89"/>
      <c r="AI3" s="89"/>
      <c r="AJ3" s="89"/>
      <c r="AK3" s="89"/>
      <c r="AL3" s="89"/>
      <c r="AM3" s="89"/>
      <c r="AN3" s="89"/>
      <c r="AO3" s="90" t="s">
        <v>38</v>
      </c>
      <c r="AP3" s="90"/>
      <c r="AQ3" s="90"/>
      <c r="AR3" s="90"/>
      <c r="AS3" s="90"/>
      <c r="AT3" s="90"/>
      <c r="AU3" s="90"/>
      <c r="AV3" s="90"/>
      <c r="AW3" s="90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646</v>
      </c>
      <c r="C5" s="25" t="s">
        <v>647</v>
      </c>
      <c r="D5" s="23" t="s">
        <v>648</v>
      </c>
      <c r="E5" s="55">
        <v>46125</v>
      </c>
      <c r="F5" s="26" t="s">
        <v>55</v>
      </c>
      <c r="G5" s="26" t="s">
        <v>58</v>
      </c>
      <c r="H5" s="26" t="s">
        <v>56</v>
      </c>
      <c r="I5" s="26" t="s">
        <v>70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649</v>
      </c>
      <c r="C6" s="44" t="s">
        <v>650</v>
      </c>
      <c r="D6" s="42" t="s">
        <v>648</v>
      </c>
      <c r="E6" s="55">
        <v>46125</v>
      </c>
      <c r="F6" s="26" t="s">
        <v>651</v>
      </c>
      <c r="G6" s="26" t="s">
        <v>58</v>
      </c>
      <c r="H6" s="26" t="s">
        <v>56</v>
      </c>
      <c r="I6" s="26" t="s">
        <v>70</v>
      </c>
      <c r="J6" s="26" t="s">
        <v>58</v>
      </c>
      <c r="K6" s="27"/>
      <c r="L6" s="28" t="s">
        <v>56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652</v>
      </c>
      <c r="C7" s="25" t="s">
        <v>653</v>
      </c>
      <c r="D7" s="23" t="s">
        <v>648</v>
      </c>
      <c r="E7" s="55">
        <v>46125</v>
      </c>
      <c r="F7" s="26" t="s">
        <v>55</v>
      </c>
      <c r="G7" s="26" t="s">
        <v>58</v>
      </c>
      <c r="H7" s="26" t="s">
        <v>56</v>
      </c>
      <c r="I7" s="26" t="s">
        <v>70</v>
      </c>
      <c r="J7" s="26" t="s">
        <v>58</v>
      </c>
      <c r="K7" s="27"/>
      <c r="L7" s="28" t="s">
        <v>56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654</v>
      </c>
      <c r="C8" s="44" t="s">
        <v>655</v>
      </c>
      <c r="D8" s="42" t="s">
        <v>648</v>
      </c>
      <c r="E8" s="55">
        <v>46125</v>
      </c>
      <c r="F8" s="26" t="s">
        <v>651</v>
      </c>
      <c r="G8" s="26" t="s">
        <v>58</v>
      </c>
      <c r="H8" s="26" t="s">
        <v>56</v>
      </c>
      <c r="I8" s="26" t="s">
        <v>70</v>
      </c>
      <c r="J8" s="26" t="s">
        <v>58</v>
      </c>
      <c r="K8" s="27"/>
      <c r="L8" s="28" t="s">
        <v>56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656</v>
      </c>
      <c r="C9" s="25" t="s">
        <v>657</v>
      </c>
      <c r="D9" s="23" t="s">
        <v>648</v>
      </c>
      <c r="E9" s="55">
        <v>46125</v>
      </c>
      <c r="F9" s="26" t="s">
        <v>55</v>
      </c>
      <c r="G9" s="26" t="s">
        <v>58</v>
      </c>
      <c r="H9" s="26" t="s">
        <v>56</v>
      </c>
      <c r="I9" s="26" t="s">
        <v>70</v>
      </c>
      <c r="J9" s="26" t="s">
        <v>58</v>
      </c>
      <c r="K9" s="27"/>
      <c r="L9" s="28" t="s">
        <v>56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658</v>
      </c>
      <c r="C10" s="44" t="s">
        <v>659</v>
      </c>
      <c r="D10" s="42" t="s">
        <v>648</v>
      </c>
      <c r="E10" s="55">
        <v>46125</v>
      </c>
      <c r="F10" s="26" t="s">
        <v>651</v>
      </c>
      <c r="G10" s="26" t="s">
        <v>58</v>
      </c>
      <c r="H10" s="26" t="s">
        <v>56</v>
      </c>
      <c r="I10" s="26" t="s">
        <v>70</v>
      </c>
      <c r="J10" s="26" t="s">
        <v>58</v>
      </c>
      <c r="K10" s="27"/>
      <c r="L10" s="28" t="s">
        <v>56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660</v>
      </c>
      <c r="C11" s="25" t="s">
        <v>661</v>
      </c>
      <c r="D11" s="23" t="s">
        <v>648</v>
      </c>
      <c r="E11" s="55">
        <v>46125</v>
      </c>
      <c r="F11" s="26" t="s">
        <v>55</v>
      </c>
      <c r="G11" s="26" t="s">
        <v>58</v>
      </c>
      <c r="H11" s="26" t="s">
        <v>56</v>
      </c>
      <c r="I11" s="26" t="s">
        <v>70</v>
      </c>
      <c r="J11" s="26" t="s">
        <v>58</v>
      </c>
      <c r="K11" s="27"/>
      <c r="L11" s="28" t="s">
        <v>56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662</v>
      </c>
      <c r="C12" s="44" t="s">
        <v>663</v>
      </c>
      <c r="D12" s="42" t="s">
        <v>648</v>
      </c>
      <c r="E12" s="55">
        <v>46125</v>
      </c>
      <c r="F12" s="26" t="s">
        <v>55</v>
      </c>
      <c r="G12" s="26" t="s">
        <v>58</v>
      </c>
      <c r="H12" s="26" t="s">
        <v>56</v>
      </c>
      <c r="I12" s="26" t="s">
        <v>70</v>
      </c>
      <c r="J12" s="26" t="s">
        <v>58</v>
      </c>
      <c r="K12" s="27"/>
      <c r="L12" s="28" t="s">
        <v>56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664</v>
      </c>
      <c r="C13" s="25" t="s">
        <v>665</v>
      </c>
      <c r="D13" s="23" t="s">
        <v>648</v>
      </c>
      <c r="E13" s="55">
        <v>46125</v>
      </c>
      <c r="F13" s="26" t="s">
        <v>651</v>
      </c>
      <c r="G13" s="26" t="s">
        <v>58</v>
      </c>
      <c r="H13" s="26" t="s">
        <v>56</v>
      </c>
      <c r="I13" s="26" t="s">
        <v>70</v>
      </c>
      <c r="J13" s="26" t="s">
        <v>58</v>
      </c>
      <c r="K13" s="27"/>
      <c r="L13" s="28" t="s">
        <v>56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666</v>
      </c>
      <c r="C14" s="44" t="s">
        <v>667</v>
      </c>
      <c r="D14" s="42" t="s">
        <v>648</v>
      </c>
      <c r="E14" s="55">
        <v>46125</v>
      </c>
      <c r="F14" s="26" t="s">
        <v>651</v>
      </c>
      <c r="G14" s="26" t="s">
        <v>58</v>
      </c>
      <c r="H14" s="26" t="s">
        <v>56</v>
      </c>
      <c r="I14" s="26" t="s">
        <v>70</v>
      </c>
      <c r="J14" s="26" t="s">
        <v>58</v>
      </c>
      <c r="K14" s="27"/>
      <c r="L14" s="28" t="s">
        <v>56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668</v>
      </c>
      <c r="C15" s="25" t="s">
        <v>669</v>
      </c>
      <c r="D15" s="23" t="s">
        <v>648</v>
      </c>
      <c r="E15" s="55">
        <v>46125</v>
      </c>
      <c r="F15" s="26" t="s">
        <v>55</v>
      </c>
      <c r="G15" s="26" t="s">
        <v>58</v>
      </c>
      <c r="H15" s="26" t="s">
        <v>56</v>
      </c>
      <c r="I15" s="26" t="s">
        <v>70</v>
      </c>
      <c r="J15" s="26" t="s">
        <v>58</v>
      </c>
      <c r="K15" s="27"/>
      <c r="L15" s="28" t="s">
        <v>56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670</v>
      </c>
      <c r="C16" s="44" t="s">
        <v>671</v>
      </c>
      <c r="D16" s="42" t="s">
        <v>648</v>
      </c>
      <c r="E16" s="55">
        <v>46125</v>
      </c>
      <c r="F16" s="26" t="s">
        <v>651</v>
      </c>
      <c r="G16" s="26" t="s">
        <v>58</v>
      </c>
      <c r="H16" s="26" t="s">
        <v>56</v>
      </c>
      <c r="I16" s="26" t="s">
        <v>70</v>
      </c>
      <c r="J16" s="26" t="s">
        <v>58</v>
      </c>
      <c r="K16" s="27"/>
      <c r="L16" s="28" t="s">
        <v>56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672</v>
      </c>
      <c r="C17" s="25" t="s">
        <v>673</v>
      </c>
      <c r="D17" s="23" t="s">
        <v>648</v>
      </c>
      <c r="E17" s="55">
        <v>46125</v>
      </c>
      <c r="F17" s="26" t="s">
        <v>55</v>
      </c>
      <c r="G17" s="26" t="s">
        <v>58</v>
      </c>
      <c r="H17" s="26" t="s">
        <v>56</v>
      </c>
      <c r="I17" s="26" t="s">
        <v>70</v>
      </c>
      <c r="J17" s="26" t="s">
        <v>58</v>
      </c>
      <c r="K17" s="27"/>
      <c r="L17" s="28" t="s">
        <v>56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674</v>
      </c>
      <c r="C18" s="44" t="s">
        <v>675</v>
      </c>
      <c r="D18" s="42" t="s">
        <v>648</v>
      </c>
      <c r="E18" s="55">
        <v>46125</v>
      </c>
      <c r="F18" s="26" t="s">
        <v>651</v>
      </c>
      <c r="G18" s="26" t="s">
        <v>58</v>
      </c>
      <c r="H18" s="26" t="s">
        <v>56</v>
      </c>
      <c r="I18" s="26" t="s">
        <v>70</v>
      </c>
      <c r="J18" s="26" t="s">
        <v>58</v>
      </c>
      <c r="K18" s="27"/>
      <c r="L18" s="28" t="s">
        <v>56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676</v>
      </c>
      <c r="C19" s="25" t="s">
        <v>677</v>
      </c>
      <c r="D19" s="23" t="s">
        <v>648</v>
      </c>
      <c r="E19" s="55">
        <v>46125</v>
      </c>
      <c r="F19" s="26" t="s">
        <v>55</v>
      </c>
      <c r="G19" s="26" t="s">
        <v>58</v>
      </c>
      <c r="H19" s="26" t="s">
        <v>56</v>
      </c>
      <c r="I19" s="26" t="s">
        <v>70</v>
      </c>
      <c r="J19" s="26" t="s">
        <v>58</v>
      </c>
      <c r="K19" s="27"/>
      <c r="L19" s="28" t="s">
        <v>56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678</v>
      </c>
      <c r="C20" s="44" t="s">
        <v>679</v>
      </c>
      <c r="D20" s="42" t="s">
        <v>648</v>
      </c>
      <c r="E20" s="55">
        <v>46125</v>
      </c>
      <c r="F20" s="26" t="s">
        <v>55</v>
      </c>
      <c r="G20" s="26" t="s">
        <v>58</v>
      </c>
      <c r="H20" s="26" t="s">
        <v>56</v>
      </c>
      <c r="I20" s="26" t="s">
        <v>70</v>
      </c>
      <c r="J20" s="26" t="s">
        <v>58</v>
      </c>
      <c r="K20" s="27"/>
      <c r="L20" s="28" t="s">
        <v>56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680</v>
      </c>
      <c r="C21" s="25" t="s">
        <v>681</v>
      </c>
      <c r="D21" s="23" t="s">
        <v>648</v>
      </c>
      <c r="E21" s="55">
        <v>46125</v>
      </c>
      <c r="F21" s="26" t="s">
        <v>651</v>
      </c>
      <c r="G21" s="26" t="s">
        <v>58</v>
      </c>
      <c r="H21" s="26" t="s">
        <v>56</v>
      </c>
      <c r="I21" s="26" t="s">
        <v>70</v>
      </c>
      <c r="J21" s="26" t="s">
        <v>58</v>
      </c>
      <c r="K21" s="27"/>
      <c r="L21" s="28" t="s">
        <v>56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682</v>
      </c>
      <c r="C22" s="44" t="s">
        <v>683</v>
      </c>
      <c r="D22" s="42" t="s">
        <v>648</v>
      </c>
      <c r="E22" s="55">
        <v>46125</v>
      </c>
      <c r="F22" s="26" t="s">
        <v>55</v>
      </c>
      <c r="G22" s="26" t="s">
        <v>58</v>
      </c>
      <c r="H22" s="26" t="s">
        <v>56</v>
      </c>
      <c r="I22" s="26" t="s">
        <v>70</v>
      </c>
      <c r="J22" s="26" t="s">
        <v>58</v>
      </c>
      <c r="K22" s="27"/>
      <c r="L22" s="28" t="s">
        <v>56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684</v>
      </c>
      <c r="C23" s="25" t="s">
        <v>685</v>
      </c>
      <c r="D23" s="23" t="s">
        <v>648</v>
      </c>
      <c r="E23" s="55">
        <v>46125</v>
      </c>
      <c r="F23" s="26" t="s">
        <v>651</v>
      </c>
      <c r="G23" s="26" t="s">
        <v>58</v>
      </c>
      <c r="H23" s="26" t="s">
        <v>56</v>
      </c>
      <c r="I23" s="26" t="s">
        <v>70</v>
      </c>
      <c r="J23" s="26" t="s">
        <v>58</v>
      </c>
      <c r="K23" s="27"/>
      <c r="L23" s="28" t="s">
        <v>56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686</v>
      </c>
      <c r="C24" s="44" t="s">
        <v>687</v>
      </c>
      <c r="D24" s="42" t="s">
        <v>648</v>
      </c>
      <c r="E24" s="55">
        <v>46125</v>
      </c>
      <c r="F24" s="26" t="s">
        <v>55</v>
      </c>
      <c r="G24" s="26" t="s">
        <v>58</v>
      </c>
      <c r="H24" s="26" t="s">
        <v>56</v>
      </c>
      <c r="I24" s="26" t="s">
        <v>70</v>
      </c>
      <c r="J24" s="26" t="s">
        <v>58</v>
      </c>
      <c r="K24" s="27"/>
      <c r="L24" s="28" t="s">
        <v>56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688</v>
      </c>
      <c r="C25" s="25" t="s">
        <v>689</v>
      </c>
      <c r="D25" s="23" t="s">
        <v>648</v>
      </c>
      <c r="E25" s="55">
        <v>46125</v>
      </c>
      <c r="F25" s="26" t="s">
        <v>651</v>
      </c>
      <c r="G25" s="26" t="s">
        <v>58</v>
      </c>
      <c r="H25" s="26" t="s">
        <v>56</v>
      </c>
      <c r="I25" s="26" t="s">
        <v>70</v>
      </c>
      <c r="J25" s="26" t="s">
        <v>58</v>
      </c>
      <c r="K25" s="27"/>
      <c r="L25" s="28" t="s">
        <v>56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690</v>
      </c>
      <c r="C26" s="44" t="s">
        <v>691</v>
      </c>
      <c r="D26" s="42" t="s">
        <v>648</v>
      </c>
      <c r="E26" s="55">
        <v>46125</v>
      </c>
      <c r="F26" s="26" t="s">
        <v>651</v>
      </c>
      <c r="G26" s="26" t="s">
        <v>58</v>
      </c>
      <c r="H26" s="26" t="s">
        <v>56</v>
      </c>
      <c r="I26" s="26" t="s">
        <v>70</v>
      </c>
      <c r="J26" s="26" t="s">
        <v>58</v>
      </c>
      <c r="K26" s="27"/>
      <c r="L26" s="28" t="s">
        <v>56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692</v>
      </c>
      <c r="C27" s="25" t="s">
        <v>693</v>
      </c>
      <c r="D27" s="23" t="s">
        <v>648</v>
      </c>
      <c r="E27" s="55">
        <v>46125</v>
      </c>
      <c r="F27" s="26" t="s">
        <v>651</v>
      </c>
      <c r="G27" s="26" t="s">
        <v>58</v>
      </c>
      <c r="H27" s="26" t="s">
        <v>56</v>
      </c>
      <c r="I27" s="26" t="s">
        <v>70</v>
      </c>
      <c r="J27" s="26" t="s">
        <v>58</v>
      </c>
      <c r="K27" s="27"/>
      <c r="L27" s="28" t="s">
        <v>56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694</v>
      </c>
      <c r="C28" s="44" t="s">
        <v>695</v>
      </c>
      <c r="D28" s="42" t="s">
        <v>648</v>
      </c>
      <c r="E28" s="55">
        <v>46125</v>
      </c>
      <c r="F28" s="26" t="s">
        <v>55</v>
      </c>
      <c r="G28" s="26" t="s">
        <v>58</v>
      </c>
      <c r="H28" s="26" t="s">
        <v>56</v>
      </c>
      <c r="I28" s="26" t="s">
        <v>70</v>
      </c>
      <c r="J28" s="26" t="s">
        <v>58</v>
      </c>
      <c r="K28" s="27"/>
      <c r="L28" s="28" t="s">
        <v>56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696</v>
      </c>
      <c r="C29" s="25" t="s">
        <v>697</v>
      </c>
      <c r="D29" s="23" t="s">
        <v>698</v>
      </c>
      <c r="E29" s="55">
        <v>46125</v>
      </c>
      <c r="F29" s="26" t="s">
        <v>651</v>
      </c>
      <c r="G29" s="26" t="s">
        <v>58</v>
      </c>
      <c r="H29" s="26" t="s">
        <v>56</v>
      </c>
      <c r="I29" s="26" t="s">
        <v>70</v>
      </c>
      <c r="J29" s="26" t="s">
        <v>58</v>
      </c>
      <c r="K29" s="27"/>
      <c r="L29" s="28" t="s">
        <v>56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699</v>
      </c>
      <c r="C30" s="44" t="s">
        <v>700</v>
      </c>
      <c r="D30" s="42" t="s">
        <v>698</v>
      </c>
      <c r="E30" s="55">
        <v>46125</v>
      </c>
      <c r="F30" s="26" t="s">
        <v>651</v>
      </c>
      <c r="G30" s="26" t="s">
        <v>58</v>
      </c>
      <c r="H30" s="26" t="s">
        <v>56</v>
      </c>
      <c r="I30" s="26" t="s">
        <v>70</v>
      </c>
      <c r="J30" s="26" t="s">
        <v>58</v>
      </c>
      <c r="K30" s="27"/>
      <c r="L30" s="28" t="s">
        <v>56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701</v>
      </c>
      <c r="C31" s="25" t="s">
        <v>702</v>
      </c>
      <c r="D31" s="23" t="s">
        <v>698</v>
      </c>
      <c r="E31" s="55">
        <v>46125</v>
      </c>
      <c r="F31" s="26" t="s">
        <v>651</v>
      </c>
      <c r="G31" s="26" t="s">
        <v>58</v>
      </c>
      <c r="H31" s="26" t="s">
        <v>56</v>
      </c>
      <c r="I31" s="26" t="s">
        <v>70</v>
      </c>
      <c r="J31" s="26" t="s">
        <v>58</v>
      </c>
      <c r="K31" s="27"/>
      <c r="L31" s="28" t="s">
        <v>56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703</v>
      </c>
      <c r="C32" s="44" t="s">
        <v>704</v>
      </c>
      <c r="D32" s="42" t="s">
        <v>698</v>
      </c>
      <c r="E32" s="55">
        <v>46125</v>
      </c>
      <c r="F32" s="26" t="s">
        <v>651</v>
      </c>
      <c r="G32" s="26" t="s">
        <v>58</v>
      </c>
      <c r="H32" s="26" t="s">
        <v>56</v>
      </c>
      <c r="I32" s="26" t="s">
        <v>70</v>
      </c>
      <c r="J32" s="26" t="s">
        <v>58</v>
      </c>
      <c r="K32" s="27"/>
      <c r="L32" s="28" t="s">
        <v>56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705</v>
      </c>
      <c r="C33" s="25" t="s">
        <v>706</v>
      </c>
      <c r="D33" s="23" t="s">
        <v>698</v>
      </c>
      <c r="E33" s="55">
        <v>46125</v>
      </c>
      <c r="F33" s="26" t="s">
        <v>651</v>
      </c>
      <c r="G33" s="26" t="s">
        <v>58</v>
      </c>
      <c r="H33" s="26" t="s">
        <v>56</v>
      </c>
      <c r="I33" s="26" t="s">
        <v>70</v>
      </c>
      <c r="J33" s="26" t="s">
        <v>58</v>
      </c>
      <c r="K33" s="27"/>
      <c r="L33" s="28" t="s">
        <v>56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707</v>
      </c>
      <c r="C34" s="44" t="s">
        <v>708</v>
      </c>
      <c r="D34" s="42" t="s">
        <v>698</v>
      </c>
      <c r="E34" s="55">
        <v>46125</v>
      </c>
      <c r="F34" s="26" t="s">
        <v>651</v>
      </c>
      <c r="G34" s="26" t="s">
        <v>58</v>
      </c>
      <c r="H34" s="26" t="s">
        <v>56</v>
      </c>
      <c r="I34" s="26" t="s">
        <v>70</v>
      </c>
      <c r="J34" s="26" t="s">
        <v>58</v>
      </c>
      <c r="K34" s="27"/>
      <c r="L34" s="28" t="s">
        <v>56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709</v>
      </c>
      <c r="C35" s="25" t="s">
        <v>710</v>
      </c>
      <c r="D35" s="23" t="s">
        <v>698</v>
      </c>
      <c r="E35" s="55">
        <v>46125</v>
      </c>
      <c r="F35" s="26" t="s">
        <v>651</v>
      </c>
      <c r="G35" s="26" t="s">
        <v>58</v>
      </c>
      <c r="H35" s="26" t="s">
        <v>56</v>
      </c>
      <c r="I35" s="26" t="s">
        <v>70</v>
      </c>
      <c r="J35" s="26" t="s">
        <v>56</v>
      </c>
      <c r="K35" s="27" t="s">
        <v>711</v>
      </c>
      <c r="L35" s="28" t="s">
        <v>56</v>
      </c>
      <c r="M35" s="29" t="str">
        <f t="shared" si="0"/>
        <v>⚠ Check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712</v>
      </c>
      <c r="C36" s="44" t="s">
        <v>713</v>
      </c>
      <c r="D36" s="42" t="s">
        <v>698</v>
      </c>
      <c r="E36" s="55">
        <v>46125</v>
      </c>
      <c r="F36" s="26" t="s">
        <v>651</v>
      </c>
      <c r="G36" s="26" t="s">
        <v>58</v>
      </c>
      <c r="H36" s="26" t="s">
        <v>56</v>
      </c>
      <c r="I36" s="26" t="s">
        <v>70</v>
      </c>
      <c r="J36" s="26" t="s">
        <v>58</v>
      </c>
      <c r="K36" s="27"/>
      <c r="L36" s="28" t="s">
        <v>56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714</v>
      </c>
      <c r="C37" s="25" t="s">
        <v>715</v>
      </c>
      <c r="D37" s="23" t="s">
        <v>698</v>
      </c>
      <c r="E37" s="55">
        <v>46125</v>
      </c>
      <c r="F37" s="26" t="s">
        <v>651</v>
      </c>
      <c r="G37" s="26" t="s">
        <v>58</v>
      </c>
      <c r="H37" s="26" t="s">
        <v>56</v>
      </c>
      <c r="I37" s="26" t="s">
        <v>70</v>
      </c>
      <c r="J37" s="26" t="s">
        <v>58</v>
      </c>
      <c r="K37" s="27"/>
      <c r="L37" s="28" t="s">
        <v>58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716</v>
      </c>
      <c r="C38" s="44" t="s">
        <v>717</v>
      </c>
      <c r="D38" s="42" t="s">
        <v>698</v>
      </c>
      <c r="E38" s="55">
        <v>46125</v>
      </c>
      <c r="F38" s="26" t="s">
        <v>651</v>
      </c>
      <c r="G38" s="26" t="s">
        <v>58</v>
      </c>
      <c r="H38" s="26" t="s">
        <v>56</v>
      </c>
      <c r="I38" s="26" t="s">
        <v>70</v>
      </c>
      <c r="J38" s="26" t="s">
        <v>58</v>
      </c>
      <c r="K38" s="27"/>
      <c r="L38" s="28" t="s">
        <v>56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718</v>
      </c>
      <c r="C39" s="25" t="s">
        <v>719</v>
      </c>
      <c r="D39" s="23" t="s">
        <v>698</v>
      </c>
      <c r="E39" s="55">
        <v>46125</v>
      </c>
      <c r="F39" s="26" t="s">
        <v>651</v>
      </c>
      <c r="G39" s="26" t="s">
        <v>58</v>
      </c>
      <c r="H39" s="26" t="s">
        <v>56</v>
      </c>
      <c r="I39" s="26" t="s">
        <v>70</v>
      </c>
      <c r="J39" s="26" t="s">
        <v>58</v>
      </c>
      <c r="K39" s="27"/>
      <c r="L39" s="28" t="s">
        <v>56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720</v>
      </c>
      <c r="C40" s="44" t="s">
        <v>721</v>
      </c>
      <c r="D40" s="42" t="s">
        <v>698</v>
      </c>
      <c r="E40" s="55">
        <v>46125</v>
      </c>
      <c r="F40" s="26" t="s">
        <v>651</v>
      </c>
      <c r="G40" s="26" t="s">
        <v>58</v>
      </c>
      <c r="H40" s="26" t="s">
        <v>56</v>
      </c>
      <c r="I40" s="26" t="s">
        <v>70</v>
      </c>
      <c r="J40" s="26" t="s">
        <v>58</v>
      </c>
      <c r="K40" s="27"/>
      <c r="L40" s="28" t="s">
        <v>56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722</v>
      </c>
      <c r="C41" s="25" t="s">
        <v>723</v>
      </c>
      <c r="D41" s="23" t="s">
        <v>698</v>
      </c>
      <c r="E41" s="55">
        <v>46125</v>
      </c>
      <c r="F41" s="26" t="s">
        <v>651</v>
      </c>
      <c r="G41" s="26" t="s">
        <v>58</v>
      </c>
      <c r="H41" s="26" t="s">
        <v>56</v>
      </c>
      <c r="I41" s="26" t="s">
        <v>70</v>
      </c>
      <c r="J41" s="26" t="s">
        <v>58</v>
      </c>
      <c r="K41" s="27"/>
      <c r="L41" s="28" t="s">
        <v>56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724</v>
      </c>
      <c r="C42" s="44" t="s">
        <v>725</v>
      </c>
      <c r="D42" s="42" t="s">
        <v>698</v>
      </c>
      <c r="E42" s="55">
        <v>46125</v>
      </c>
      <c r="F42" s="26" t="s">
        <v>651</v>
      </c>
      <c r="G42" s="26" t="s">
        <v>58</v>
      </c>
      <c r="H42" s="26" t="s">
        <v>56</v>
      </c>
      <c r="I42" s="26" t="s">
        <v>70</v>
      </c>
      <c r="J42" s="26" t="s">
        <v>58</v>
      </c>
      <c r="K42" s="27"/>
      <c r="L42" s="28" t="s">
        <v>56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726</v>
      </c>
      <c r="C43" s="25" t="s">
        <v>727</v>
      </c>
      <c r="D43" s="23" t="s">
        <v>698</v>
      </c>
      <c r="E43" s="55">
        <v>46125</v>
      </c>
      <c r="F43" s="26" t="s">
        <v>651</v>
      </c>
      <c r="G43" s="26" t="s">
        <v>58</v>
      </c>
      <c r="H43" s="26" t="s">
        <v>56</v>
      </c>
      <c r="I43" s="26" t="s">
        <v>70</v>
      </c>
      <c r="J43" s="26" t="s">
        <v>58</v>
      </c>
      <c r="K43" s="27"/>
      <c r="L43" s="28" t="s">
        <v>56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728</v>
      </c>
      <c r="C44" s="44" t="s">
        <v>729</v>
      </c>
      <c r="D44" s="42" t="s">
        <v>698</v>
      </c>
      <c r="E44" s="55">
        <v>46125</v>
      </c>
      <c r="F44" s="26" t="s">
        <v>651</v>
      </c>
      <c r="G44" s="26" t="s">
        <v>58</v>
      </c>
      <c r="H44" s="26" t="s">
        <v>56</v>
      </c>
      <c r="I44" s="26" t="s">
        <v>70</v>
      </c>
      <c r="J44" s="26" t="s">
        <v>58</v>
      </c>
      <c r="K44" s="27"/>
      <c r="L44" s="28" t="s">
        <v>56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730</v>
      </c>
      <c r="C45" s="25" t="s">
        <v>731</v>
      </c>
      <c r="D45" s="23" t="s">
        <v>698</v>
      </c>
      <c r="E45" s="55">
        <v>46125</v>
      </c>
      <c r="F45" s="26" t="s">
        <v>651</v>
      </c>
      <c r="G45" s="26" t="s">
        <v>58</v>
      </c>
      <c r="H45" s="26" t="s">
        <v>56</v>
      </c>
      <c r="I45" s="26" t="s">
        <v>70</v>
      </c>
      <c r="J45" s="26" t="s">
        <v>58</v>
      </c>
      <c r="K45" s="27"/>
      <c r="L45" s="28" t="s">
        <v>56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732</v>
      </c>
      <c r="C46" s="44" t="s">
        <v>733</v>
      </c>
      <c r="D46" s="42" t="s">
        <v>698</v>
      </c>
      <c r="E46" s="55">
        <v>46125</v>
      </c>
      <c r="F46" s="26" t="s">
        <v>651</v>
      </c>
      <c r="G46" s="26" t="s">
        <v>58</v>
      </c>
      <c r="H46" s="26" t="s">
        <v>56</v>
      </c>
      <c r="I46" s="26" t="s">
        <v>70</v>
      </c>
      <c r="J46" s="26" t="s">
        <v>58</v>
      </c>
      <c r="K46" s="27"/>
      <c r="L46" s="28" t="s">
        <v>56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734</v>
      </c>
      <c r="C47" s="25" t="s">
        <v>735</v>
      </c>
      <c r="D47" s="23" t="s">
        <v>698</v>
      </c>
      <c r="E47" s="55">
        <v>46125</v>
      </c>
      <c r="F47" s="26" t="s">
        <v>651</v>
      </c>
      <c r="G47" s="26" t="s">
        <v>58</v>
      </c>
      <c r="H47" s="26" t="s">
        <v>56</v>
      </c>
      <c r="I47" s="26" t="s">
        <v>70</v>
      </c>
      <c r="J47" s="26" t="s">
        <v>56</v>
      </c>
      <c r="K47" s="27" t="s">
        <v>736</v>
      </c>
      <c r="L47" s="28" t="s">
        <v>56</v>
      </c>
      <c r="M47" s="29" t="str">
        <f t="shared" si="5"/>
        <v>⚠ Check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737</v>
      </c>
      <c r="C48" s="44" t="s">
        <v>738</v>
      </c>
      <c r="D48" s="42" t="s">
        <v>698</v>
      </c>
      <c r="E48" s="55">
        <v>46125</v>
      </c>
      <c r="F48" s="26" t="s">
        <v>651</v>
      </c>
      <c r="G48" s="26" t="s">
        <v>58</v>
      </c>
      <c r="H48" s="26" t="s">
        <v>56</v>
      </c>
      <c r="I48" s="26" t="s">
        <v>70</v>
      </c>
      <c r="J48" s="26" t="s">
        <v>58</v>
      </c>
      <c r="K48" s="27"/>
      <c r="L48" s="28" t="s">
        <v>56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739</v>
      </c>
      <c r="C49" s="25" t="s">
        <v>740</v>
      </c>
      <c r="D49" s="23" t="s">
        <v>698</v>
      </c>
      <c r="E49" s="55">
        <v>46125</v>
      </c>
      <c r="F49" s="26" t="s">
        <v>651</v>
      </c>
      <c r="G49" s="26" t="s">
        <v>58</v>
      </c>
      <c r="H49" s="26" t="s">
        <v>56</v>
      </c>
      <c r="I49" s="26" t="s">
        <v>70</v>
      </c>
      <c r="J49" s="26" t="s">
        <v>58</v>
      </c>
      <c r="K49" s="27"/>
      <c r="L49" s="28" t="s">
        <v>56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741</v>
      </c>
      <c r="C50" s="44" t="s">
        <v>742</v>
      </c>
      <c r="D50" s="42" t="s">
        <v>698</v>
      </c>
      <c r="E50" s="55">
        <v>46125</v>
      </c>
      <c r="F50" s="26" t="s">
        <v>651</v>
      </c>
      <c r="G50" s="26" t="s">
        <v>58</v>
      </c>
      <c r="H50" s="26" t="s">
        <v>56</v>
      </c>
      <c r="I50" s="26" t="s">
        <v>70</v>
      </c>
      <c r="J50" s="26" t="s">
        <v>58</v>
      </c>
      <c r="K50" s="27"/>
      <c r="L50" s="28" t="s">
        <v>56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743</v>
      </c>
      <c r="C51" s="25" t="s">
        <v>744</v>
      </c>
      <c r="D51" s="23" t="s">
        <v>698</v>
      </c>
      <c r="E51" s="55">
        <v>46125</v>
      </c>
      <c r="F51" s="26" t="s">
        <v>651</v>
      </c>
      <c r="G51" s="26" t="s">
        <v>58</v>
      </c>
      <c r="H51" s="26" t="s">
        <v>56</v>
      </c>
      <c r="I51" s="26" t="s">
        <v>70</v>
      </c>
      <c r="J51" s="26" t="s">
        <v>58</v>
      </c>
      <c r="K51" s="27"/>
      <c r="L51" s="28" t="s">
        <v>56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745</v>
      </c>
      <c r="C52" s="44" t="s">
        <v>746</v>
      </c>
      <c r="D52" s="42" t="s">
        <v>698</v>
      </c>
      <c r="E52" s="55">
        <v>46125</v>
      </c>
      <c r="F52" s="26" t="s">
        <v>651</v>
      </c>
      <c r="G52" s="26" t="s">
        <v>58</v>
      </c>
      <c r="H52" s="26" t="s">
        <v>56</v>
      </c>
      <c r="I52" s="26" t="s">
        <v>70</v>
      </c>
      <c r="J52" s="26" t="s">
        <v>58</v>
      </c>
      <c r="K52" s="27"/>
      <c r="L52" s="28" t="s">
        <v>56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747</v>
      </c>
      <c r="C53" s="25" t="s">
        <v>748</v>
      </c>
      <c r="D53" s="23" t="s">
        <v>698</v>
      </c>
      <c r="E53" s="55">
        <v>46125</v>
      </c>
      <c r="F53" s="26" t="s">
        <v>651</v>
      </c>
      <c r="G53" s="26" t="s">
        <v>58</v>
      </c>
      <c r="H53" s="26" t="s">
        <v>56</v>
      </c>
      <c r="I53" s="26" t="s">
        <v>70</v>
      </c>
      <c r="J53" s="26" t="s">
        <v>58</v>
      </c>
      <c r="K53" s="27"/>
      <c r="L53" s="28" t="s">
        <v>56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749</v>
      </c>
      <c r="C54" s="44" t="s">
        <v>750</v>
      </c>
      <c r="D54" s="42" t="s">
        <v>698</v>
      </c>
      <c r="E54" s="55">
        <v>46125</v>
      </c>
      <c r="F54" s="26" t="s">
        <v>651</v>
      </c>
      <c r="G54" s="26" t="s">
        <v>58</v>
      </c>
      <c r="H54" s="26" t="s">
        <v>56</v>
      </c>
      <c r="I54" s="26" t="s">
        <v>70</v>
      </c>
      <c r="J54" s="26" t="s">
        <v>58</v>
      </c>
      <c r="K54" s="27"/>
      <c r="L54" s="28" t="s">
        <v>56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751</v>
      </c>
      <c r="C55" s="25" t="s">
        <v>752</v>
      </c>
      <c r="D55" s="23" t="s">
        <v>698</v>
      </c>
      <c r="E55" s="55">
        <v>46125</v>
      </c>
      <c r="F55" s="26" t="s">
        <v>651</v>
      </c>
      <c r="G55" s="26" t="s">
        <v>58</v>
      </c>
      <c r="H55" s="26" t="s">
        <v>56</v>
      </c>
      <c r="I55" s="26" t="s">
        <v>70</v>
      </c>
      <c r="J55" s="26" t="s">
        <v>58</v>
      </c>
      <c r="K55" s="27"/>
      <c r="L55" s="28" t="s">
        <v>56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753</v>
      </c>
      <c r="C56" s="44" t="s">
        <v>754</v>
      </c>
      <c r="D56" s="42" t="s">
        <v>698</v>
      </c>
      <c r="E56" s="55">
        <v>46125</v>
      </c>
      <c r="F56" s="26" t="s">
        <v>651</v>
      </c>
      <c r="G56" s="26" t="s">
        <v>58</v>
      </c>
      <c r="H56" s="26" t="s">
        <v>56</v>
      </c>
      <c r="I56" s="26" t="s">
        <v>70</v>
      </c>
      <c r="J56" s="26" t="s">
        <v>58</v>
      </c>
      <c r="K56" s="27"/>
      <c r="L56" s="28" t="s">
        <v>56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755</v>
      </c>
      <c r="C57" s="25" t="s">
        <v>756</v>
      </c>
      <c r="D57" s="23" t="s">
        <v>698</v>
      </c>
      <c r="E57" s="55">
        <v>46125</v>
      </c>
      <c r="F57" s="26" t="s">
        <v>651</v>
      </c>
      <c r="G57" s="26" t="s">
        <v>58</v>
      </c>
      <c r="H57" s="26" t="s">
        <v>56</v>
      </c>
      <c r="I57" s="26" t="s">
        <v>70</v>
      </c>
      <c r="J57" s="26" t="s">
        <v>56</v>
      </c>
      <c r="K57" s="27" t="s">
        <v>736</v>
      </c>
      <c r="L57" s="28" t="s">
        <v>56</v>
      </c>
      <c r="M57" s="29" t="str">
        <f t="shared" si="5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757</v>
      </c>
      <c r="C58" s="44" t="s">
        <v>758</v>
      </c>
      <c r="D58" s="42" t="s">
        <v>698</v>
      </c>
      <c r="E58" s="55">
        <v>46125</v>
      </c>
      <c r="F58" s="26" t="s">
        <v>651</v>
      </c>
      <c r="G58" s="26" t="s">
        <v>58</v>
      </c>
      <c r="H58" s="26" t="s">
        <v>56</v>
      </c>
      <c r="I58" s="26" t="s">
        <v>70</v>
      </c>
      <c r="J58" s="26" t="s">
        <v>58</v>
      </c>
      <c r="K58" s="27"/>
      <c r="L58" s="28" t="s">
        <v>56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759</v>
      </c>
      <c r="C59" s="25" t="s">
        <v>760</v>
      </c>
      <c r="D59" s="23" t="s">
        <v>698</v>
      </c>
      <c r="E59" s="55">
        <v>46125</v>
      </c>
      <c r="F59" s="26" t="s">
        <v>651</v>
      </c>
      <c r="G59" s="26" t="s">
        <v>58</v>
      </c>
      <c r="H59" s="26" t="s">
        <v>56</v>
      </c>
      <c r="I59" s="26" t="s">
        <v>70</v>
      </c>
      <c r="J59" s="26" t="s">
        <v>58</v>
      </c>
      <c r="K59" s="27"/>
      <c r="L59" s="28" t="s">
        <v>56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761</v>
      </c>
      <c r="C60" s="44" t="s">
        <v>762</v>
      </c>
      <c r="D60" s="42" t="s">
        <v>698</v>
      </c>
      <c r="E60" s="55">
        <v>46125</v>
      </c>
      <c r="F60" s="26" t="s">
        <v>651</v>
      </c>
      <c r="G60" s="26" t="s">
        <v>58</v>
      </c>
      <c r="H60" s="26" t="s">
        <v>56</v>
      </c>
      <c r="I60" s="26" t="s">
        <v>70</v>
      </c>
      <c r="J60" s="26" t="s">
        <v>58</v>
      </c>
      <c r="K60" s="27"/>
      <c r="L60" s="28" t="s">
        <v>56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763</v>
      </c>
      <c r="C61" s="25" t="s">
        <v>764</v>
      </c>
      <c r="D61" s="23" t="s">
        <v>698</v>
      </c>
      <c r="E61" s="55">
        <v>46125</v>
      </c>
      <c r="F61" s="26" t="s">
        <v>651</v>
      </c>
      <c r="G61" s="26" t="s">
        <v>58</v>
      </c>
      <c r="H61" s="26" t="s">
        <v>56</v>
      </c>
      <c r="I61" s="26" t="s">
        <v>70</v>
      </c>
      <c r="J61" s="26" t="s">
        <v>58</v>
      </c>
      <c r="K61" s="27"/>
      <c r="L61" s="28" t="s">
        <v>56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765</v>
      </c>
      <c r="C62" s="44" t="s">
        <v>766</v>
      </c>
      <c r="D62" s="42" t="s">
        <v>698</v>
      </c>
      <c r="E62" s="55">
        <v>46125</v>
      </c>
      <c r="F62" s="26" t="s">
        <v>651</v>
      </c>
      <c r="G62" s="26" t="s">
        <v>58</v>
      </c>
      <c r="H62" s="26" t="s">
        <v>56</v>
      </c>
      <c r="I62" s="26" t="s">
        <v>70</v>
      </c>
      <c r="J62" s="26" t="s">
        <v>58</v>
      </c>
      <c r="K62" s="27"/>
      <c r="L62" s="28" t="s">
        <v>56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767</v>
      </c>
      <c r="C63" s="25" t="s">
        <v>768</v>
      </c>
      <c r="D63" s="23" t="s">
        <v>698</v>
      </c>
      <c r="E63" s="55">
        <v>46125</v>
      </c>
      <c r="F63" s="26" t="s">
        <v>651</v>
      </c>
      <c r="G63" s="26" t="s">
        <v>58</v>
      </c>
      <c r="H63" s="26" t="s">
        <v>56</v>
      </c>
      <c r="I63" s="26" t="s">
        <v>70</v>
      </c>
      <c r="J63" s="26" t="s">
        <v>58</v>
      </c>
      <c r="K63" s="27"/>
      <c r="L63" s="28" t="s">
        <v>56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769</v>
      </c>
      <c r="C64" s="44" t="s">
        <v>770</v>
      </c>
      <c r="D64" s="42" t="s">
        <v>698</v>
      </c>
      <c r="E64" s="55">
        <v>46125</v>
      </c>
      <c r="F64" s="26" t="s">
        <v>651</v>
      </c>
      <c r="G64" s="26" t="s">
        <v>58</v>
      </c>
      <c r="H64" s="26" t="s">
        <v>56</v>
      </c>
      <c r="I64" s="26" t="s">
        <v>70</v>
      </c>
      <c r="J64" s="26" t="s">
        <v>58</v>
      </c>
      <c r="K64" s="27"/>
      <c r="L64" s="28" t="s">
        <v>56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771</v>
      </c>
      <c r="C65" s="25" t="s">
        <v>772</v>
      </c>
      <c r="D65" s="23" t="s">
        <v>698</v>
      </c>
      <c r="E65" s="55">
        <v>46125</v>
      </c>
      <c r="F65" s="26" t="s">
        <v>651</v>
      </c>
      <c r="G65" s="26" t="s">
        <v>58</v>
      </c>
      <c r="H65" s="26" t="s">
        <v>56</v>
      </c>
      <c r="I65" s="26" t="s">
        <v>70</v>
      </c>
      <c r="J65" s="26" t="s">
        <v>58</v>
      </c>
      <c r="K65" s="27"/>
      <c r="L65" s="28" t="s">
        <v>56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773</v>
      </c>
      <c r="C66" s="44" t="s">
        <v>774</v>
      </c>
      <c r="D66" s="42" t="s">
        <v>698</v>
      </c>
      <c r="E66" s="55">
        <v>46125</v>
      </c>
      <c r="F66" s="26" t="s">
        <v>651</v>
      </c>
      <c r="G66" s="26" t="s">
        <v>58</v>
      </c>
      <c r="H66" s="26" t="s">
        <v>56</v>
      </c>
      <c r="I66" s="26" t="s">
        <v>70</v>
      </c>
      <c r="J66" s="26" t="s">
        <v>58</v>
      </c>
      <c r="K66" s="27"/>
      <c r="L66" s="28" t="s">
        <v>56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775</v>
      </c>
      <c r="C67" s="25" t="s">
        <v>776</v>
      </c>
      <c r="D67" s="23" t="s">
        <v>698</v>
      </c>
      <c r="E67" s="55">
        <v>46125</v>
      </c>
      <c r="F67" s="26" t="s">
        <v>651</v>
      </c>
      <c r="G67" s="26" t="s">
        <v>58</v>
      </c>
      <c r="H67" s="26" t="s">
        <v>56</v>
      </c>
      <c r="I67" s="26" t="s">
        <v>70</v>
      </c>
      <c r="J67" s="26" t="s">
        <v>58</v>
      </c>
      <c r="K67" s="27"/>
      <c r="L67" s="28" t="s">
        <v>56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1-0000-02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67">
    <cfRule type="expression" dxfId="623" priority="47">
      <formula>MOD(ROW(),2)=0</formula>
    </cfRule>
  </conditionalFormatting>
  <conditionalFormatting sqref="G5:G67">
    <cfRule type="expression" dxfId="622" priority="7">
      <formula>G5="No"</formula>
    </cfRule>
    <cfRule type="expression" dxfId="621" priority="6">
      <formula>G5="Yes"</formula>
    </cfRule>
  </conditionalFormatting>
  <conditionalFormatting sqref="H5:H67">
    <cfRule type="expression" dxfId="620" priority="8">
      <formula>H5="Yes"</formula>
    </cfRule>
  </conditionalFormatting>
  <conditionalFormatting sqref="J5:J67">
    <cfRule type="expression" dxfId="619" priority="9">
      <formula>J5="Yes"</formula>
    </cfRule>
    <cfRule type="expression" dxfId="618" priority="10">
      <formula>J5="No"</formula>
    </cfRule>
  </conditionalFormatting>
  <conditionalFormatting sqref="M5:M67">
    <cfRule type="expression" dxfId="617" priority="3">
      <formula>M5="❌ Disc"</formula>
    </cfRule>
    <cfRule type="expression" dxfId="616" priority="4">
      <formula>M5="⚠ Missing"</formula>
    </cfRule>
    <cfRule type="expression" dxfId="615" priority="5">
      <formula>M5="⚠ Check"</formula>
    </cfRule>
    <cfRule type="expression" dxfId="614" priority="2">
      <formula>M5="✓ OK"</formula>
    </cfRule>
  </conditionalFormatting>
  <conditionalFormatting sqref="P5:P67">
    <cfRule type="expression" dxfId="613" priority="15">
      <formula>P5="Yes"</formula>
    </cfRule>
    <cfRule type="expression" dxfId="612" priority="16">
      <formula>P5="No"</formula>
    </cfRule>
  </conditionalFormatting>
  <conditionalFormatting sqref="Q5:Q67">
    <cfRule type="expression" dxfId="611" priority="17">
      <formula>Q5="Yes"</formula>
    </cfRule>
  </conditionalFormatting>
  <conditionalFormatting sqref="S5:S67">
    <cfRule type="expression" dxfId="610" priority="18">
      <formula>S5="Yes"</formula>
    </cfRule>
    <cfRule type="expression" dxfId="609" priority="19">
      <formula>S5="No"</formula>
    </cfRule>
  </conditionalFormatting>
  <conditionalFormatting sqref="V5:V67">
    <cfRule type="expression" dxfId="608" priority="11">
      <formula>V5="✓ OK"</formula>
    </cfRule>
    <cfRule type="expression" dxfId="607" priority="12">
      <formula>V5="❌ Disc"</formula>
    </cfRule>
    <cfRule type="expression" dxfId="606" priority="13">
      <formula>V5="⚠ Missing"</formula>
    </cfRule>
    <cfRule type="expression" dxfId="605" priority="14">
      <formula>V5="⚠ Check"</formula>
    </cfRule>
  </conditionalFormatting>
  <conditionalFormatting sqref="Y5:Y67">
    <cfRule type="expression" dxfId="604" priority="25">
      <formula>Y5="No"</formula>
    </cfRule>
    <cfRule type="expression" dxfId="603" priority="24">
      <formula>Y5="Yes"</formula>
    </cfRule>
  </conditionalFormatting>
  <conditionalFormatting sqref="Z5:Z67">
    <cfRule type="expression" dxfId="602" priority="26">
      <formula>Z5="Yes"</formula>
    </cfRule>
  </conditionalFormatting>
  <conditionalFormatting sqref="AB5:AB67">
    <cfRule type="expression" dxfId="601" priority="27">
      <formula>AB5="Yes"</formula>
    </cfRule>
    <cfRule type="expression" dxfId="600" priority="28">
      <formula>AB5="No"</formula>
    </cfRule>
  </conditionalFormatting>
  <conditionalFormatting sqref="AE5:AE67">
    <cfRule type="expression" dxfId="599" priority="21">
      <formula>AE5="❌ Disc"</formula>
    </cfRule>
    <cfRule type="expression" dxfId="598" priority="22">
      <formula>AE5="⚠ Missing"</formula>
    </cfRule>
    <cfRule type="expression" dxfId="597" priority="23">
      <formula>AE5="⚠ Check"</formula>
    </cfRule>
    <cfRule type="expression" dxfId="596" priority="20">
      <formula>AE5="✓ OK"</formula>
    </cfRule>
  </conditionalFormatting>
  <conditionalFormatting sqref="AH5:AH67">
    <cfRule type="expression" dxfId="595" priority="33">
      <formula>AH5="Yes"</formula>
    </cfRule>
    <cfRule type="expression" dxfId="594" priority="34">
      <formula>AH5="No"</formula>
    </cfRule>
  </conditionalFormatting>
  <conditionalFormatting sqref="AI5:AI67">
    <cfRule type="expression" dxfId="593" priority="35">
      <formula>AI5="Yes"</formula>
    </cfRule>
  </conditionalFormatting>
  <conditionalFormatting sqref="AK5:AK67">
    <cfRule type="expression" dxfId="592" priority="36">
      <formula>AK5="Yes"</formula>
    </cfRule>
    <cfRule type="expression" dxfId="591" priority="37">
      <formula>AK5="No"</formula>
    </cfRule>
  </conditionalFormatting>
  <conditionalFormatting sqref="AN5:AN67">
    <cfRule type="expression" dxfId="590" priority="30">
      <formula>AN5="❌ Disc"</formula>
    </cfRule>
    <cfRule type="expression" dxfId="589" priority="31">
      <formula>AN5="⚠ Missing"</formula>
    </cfRule>
    <cfRule type="expression" dxfId="588" priority="32">
      <formula>AN5="⚠ Check"</formula>
    </cfRule>
    <cfRule type="expression" dxfId="587" priority="29">
      <formula>AN5="✓ OK"</formula>
    </cfRule>
  </conditionalFormatting>
  <conditionalFormatting sqref="AQ5:AQ67">
    <cfRule type="expression" dxfId="586" priority="43">
      <formula>AQ5="No"</formula>
    </cfRule>
    <cfRule type="expression" dxfId="585" priority="42">
      <formula>AQ5="Yes"</formula>
    </cfRule>
  </conditionalFormatting>
  <conditionalFormatting sqref="AR5:AR67">
    <cfRule type="expression" dxfId="584" priority="44">
      <formula>AR5="Yes"</formula>
    </cfRule>
  </conditionalFormatting>
  <conditionalFormatting sqref="AT5:AT67">
    <cfRule type="expression" dxfId="583" priority="45">
      <formula>AT5="Yes"</formula>
    </cfRule>
    <cfRule type="expression" dxfId="582" priority="46">
      <formula>AT5="No"</formula>
    </cfRule>
  </conditionalFormatting>
  <conditionalFormatting sqref="AW5:AW67">
    <cfRule type="expression" dxfId="581" priority="38">
      <formula>AW5="✓ OK"</formula>
    </cfRule>
    <cfRule type="expression" dxfId="580" priority="39">
      <formula>AW5="❌ Disc"</formula>
    </cfRule>
    <cfRule type="expression" dxfId="579" priority="40">
      <formula>AW5="⚠ Missing"</formula>
    </cfRule>
    <cfRule type="expression" dxfId="578" priority="41">
      <formula>AW5="⚠ Check"</formula>
    </cfRule>
  </conditionalFormatting>
  <dataValidations count="2">
    <dataValidation type="list" allowBlank="1" sqref="AT5:AT67 G5:H67 P5:Q67 S5:S67 Y5:Z67 AB5:AB67 AH5:AI67 AK5:AK67 AQ5:AR67 J5:J67" xr:uid="{00000000-0002-0000-0200-000000000000}">
      <formula1>"Yes,No"</formula1>
      <formula2>0</formula2>
    </dataValidation>
    <dataValidation type="list" allowBlank="1" sqref="AS5:AS67 R5:R67 AA5:AA67 AJ5:AJ67 I5:I67" xr:uid="{00000000-0002-0000-02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FF"/>
  </sheetPr>
  <dimension ref="A1:AW85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26.77734375" bestFit="1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4" t="s">
        <v>777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</row>
    <row r="2" spans="1:49" ht="15" customHeight="1" x14ac:dyDescent="0.3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85"/>
      <c r="AT2" s="85"/>
      <c r="AU2" s="85"/>
      <c r="AV2" s="85"/>
      <c r="AW2" s="85"/>
    </row>
    <row r="3" spans="1:49" ht="19.5" customHeight="1" x14ac:dyDescent="0.3">
      <c r="A3" s="22"/>
      <c r="B3" s="22"/>
      <c r="C3" s="22"/>
      <c r="D3" s="22"/>
      <c r="E3" s="86" t="s">
        <v>34</v>
      </c>
      <c r="F3" s="86"/>
      <c r="G3" s="86"/>
      <c r="H3" s="86"/>
      <c r="I3" s="86"/>
      <c r="J3" s="86"/>
      <c r="K3" s="86"/>
      <c r="L3" s="86"/>
      <c r="M3" s="86"/>
      <c r="N3" s="87" t="s">
        <v>35</v>
      </c>
      <c r="O3" s="87"/>
      <c r="P3" s="87"/>
      <c r="Q3" s="87"/>
      <c r="R3" s="87"/>
      <c r="S3" s="87"/>
      <c r="T3" s="87"/>
      <c r="U3" s="87"/>
      <c r="V3" s="87"/>
      <c r="W3" s="88" t="s">
        <v>36</v>
      </c>
      <c r="X3" s="88"/>
      <c r="Y3" s="88"/>
      <c r="Z3" s="88"/>
      <c r="AA3" s="88"/>
      <c r="AB3" s="88"/>
      <c r="AC3" s="88"/>
      <c r="AD3" s="88"/>
      <c r="AE3" s="88"/>
      <c r="AF3" s="89" t="s">
        <v>37</v>
      </c>
      <c r="AG3" s="89"/>
      <c r="AH3" s="89"/>
      <c r="AI3" s="89"/>
      <c r="AJ3" s="89"/>
      <c r="AK3" s="89"/>
      <c r="AL3" s="89"/>
      <c r="AM3" s="89"/>
      <c r="AN3" s="89"/>
      <c r="AO3" s="90" t="s">
        <v>38</v>
      </c>
      <c r="AP3" s="90"/>
      <c r="AQ3" s="90"/>
      <c r="AR3" s="90"/>
      <c r="AS3" s="90"/>
      <c r="AT3" s="90"/>
      <c r="AU3" s="90"/>
      <c r="AV3" s="90"/>
      <c r="AW3" s="90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778</v>
      </c>
      <c r="C5" s="25" t="s">
        <v>779</v>
      </c>
      <c r="D5" s="23" t="s">
        <v>780</v>
      </c>
      <c r="E5" s="55">
        <v>46125</v>
      </c>
      <c r="F5" s="26" t="s">
        <v>781</v>
      </c>
      <c r="G5" s="26" t="s">
        <v>58</v>
      </c>
      <c r="H5" s="26" t="s">
        <v>56</v>
      </c>
      <c r="I5" s="26" t="s">
        <v>70</v>
      </c>
      <c r="J5" s="26" t="s">
        <v>58</v>
      </c>
      <c r="K5" s="27" t="s">
        <v>782</v>
      </c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783</v>
      </c>
      <c r="C6" s="44" t="s">
        <v>784</v>
      </c>
      <c r="D6" s="42" t="s">
        <v>780</v>
      </c>
      <c r="E6" s="55">
        <v>46125</v>
      </c>
      <c r="F6" s="26" t="s">
        <v>781</v>
      </c>
      <c r="G6" s="26" t="s">
        <v>4401</v>
      </c>
      <c r="H6" s="26" t="s">
        <v>56</v>
      </c>
      <c r="I6" s="26" t="s">
        <v>4401</v>
      </c>
      <c r="J6" s="26" t="s">
        <v>58</v>
      </c>
      <c r="K6" s="27"/>
      <c r="L6" s="28" t="s">
        <v>56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785</v>
      </c>
      <c r="C7" s="25" t="s">
        <v>786</v>
      </c>
      <c r="D7" s="23" t="s">
        <v>780</v>
      </c>
      <c r="E7" s="55">
        <v>46125</v>
      </c>
      <c r="F7" s="26" t="s">
        <v>781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787</v>
      </c>
      <c r="C8" s="44" t="s">
        <v>788</v>
      </c>
      <c r="D8" s="42" t="s">
        <v>780</v>
      </c>
      <c r="E8" s="55">
        <v>46125</v>
      </c>
      <c r="F8" s="26" t="s">
        <v>781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789</v>
      </c>
      <c r="C9" s="25" t="s">
        <v>790</v>
      </c>
      <c r="D9" s="23" t="s">
        <v>780</v>
      </c>
      <c r="E9" s="55">
        <v>46125</v>
      </c>
      <c r="F9" s="26" t="s">
        <v>781</v>
      </c>
      <c r="G9" s="26" t="s">
        <v>4401</v>
      </c>
      <c r="H9" s="26" t="s">
        <v>56</v>
      </c>
      <c r="I9" s="26" t="s">
        <v>4401</v>
      </c>
      <c r="J9" s="26" t="s">
        <v>58</v>
      </c>
      <c r="K9" s="27"/>
      <c r="L9" s="28" t="s">
        <v>56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791</v>
      </c>
      <c r="C10" s="44" t="s">
        <v>792</v>
      </c>
      <c r="D10" s="42" t="s">
        <v>780</v>
      </c>
      <c r="E10" s="55">
        <v>46125</v>
      </c>
      <c r="F10" s="26" t="s">
        <v>781</v>
      </c>
      <c r="G10" s="26" t="s">
        <v>58</v>
      </c>
      <c r="H10" s="26" t="s">
        <v>56</v>
      </c>
      <c r="I10" s="26" t="s">
        <v>70</v>
      </c>
      <c r="J10" s="26" t="s">
        <v>58</v>
      </c>
      <c r="K10" s="27" t="s">
        <v>793</v>
      </c>
      <c r="L10" s="28" t="s">
        <v>56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794</v>
      </c>
      <c r="C11" s="25" t="s">
        <v>795</v>
      </c>
      <c r="D11" s="23" t="s">
        <v>780</v>
      </c>
      <c r="E11" s="55">
        <v>46125</v>
      </c>
      <c r="F11" s="26" t="s">
        <v>781</v>
      </c>
      <c r="G11" s="26" t="s">
        <v>58</v>
      </c>
      <c r="H11" s="26" t="s">
        <v>56</v>
      </c>
      <c r="I11" s="26" t="s">
        <v>70</v>
      </c>
      <c r="J11" s="26" t="s">
        <v>58</v>
      </c>
      <c r="K11" s="27" t="s">
        <v>796</v>
      </c>
      <c r="L11" s="28" t="s">
        <v>56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797</v>
      </c>
      <c r="C12" s="44" t="s">
        <v>798</v>
      </c>
      <c r="D12" s="42" t="s">
        <v>780</v>
      </c>
      <c r="E12" s="55">
        <v>46125</v>
      </c>
      <c r="F12" s="26" t="s">
        <v>781</v>
      </c>
      <c r="G12" s="26" t="s">
        <v>4401</v>
      </c>
      <c r="H12" s="26" t="s">
        <v>56</v>
      </c>
      <c r="I12" s="26" t="s">
        <v>4401</v>
      </c>
      <c r="J12" s="26" t="s">
        <v>58</v>
      </c>
      <c r="K12" s="27"/>
      <c r="L12" s="28" t="s">
        <v>56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799</v>
      </c>
      <c r="C13" s="25" t="s">
        <v>800</v>
      </c>
      <c r="D13" s="23" t="s">
        <v>780</v>
      </c>
      <c r="E13" s="55">
        <v>46125</v>
      </c>
      <c r="F13" s="26" t="s">
        <v>781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801</v>
      </c>
      <c r="C14" s="44" t="s">
        <v>802</v>
      </c>
      <c r="D14" s="42" t="s">
        <v>780</v>
      </c>
      <c r="E14" s="55">
        <v>46125</v>
      </c>
      <c r="F14" s="26" t="s">
        <v>781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803</v>
      </c>
      <c r="C15" s="25" t="s">
        <v>804</v>
      </c>
      <c r="D15" s="23" t="s">
        <v>780</v>
      </c>
      <c r="E15" s="55">
        <v>46125</v>
      </c>
      <c r="F15" s="26" t="s">
        <v>781</v>
      </c>
      <c r="G15" s="26" t="s">
        <v>4401</v>
      </c>
      <c r="H15" s="26" t="s">
        <v>56</v>
      </c>
      <c r="I15" s="26" t="s">
        <v>4401</v>
      </c>
      <c r="J15" s="26" t="s">
        <v>58</v>
      </c>
      <c r="K15" s="27"/>
      <c r="L15" s="28" t="s">
        <v>56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805</v>
      </c>
      <c r="C16" s="44" t="s">
        <v>806</v>
      </c>
      <c r="D16" s="42" t="s">
        <v>780</v>
      </c>
      <c r="E16" s="55">
        <v>46125</v>
      </c>
      <c r="F16" s="26" t="s">
        <v>781</v>
      </c>
      <c r="G16" s="26" t="s">
        <v>58</v>
      </c>
      <c r="H16" s="26" t="s">
        <v>56</v>
      </c>
      <c r="I16" s="26" t="s">
        <v>70</v>
      </c>
      <c r="J16" s="26" t="s">
        <v>58</v>
      </c>
      <c r="K16" s="27" t="s">
        <v>793</v>
      </c>
      <c r="L16" s="28" t="s">
        <v>56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807</v>
      </c>
      <c r="C17" s="25" t="s">
        <v>808</v>
      </c>
      <c r="D17" s="23" t="s">
        <v>780</v>
      </c>
      <c r="E17" s="55">
        <v>46125</v>
      </c>
      <c r="F17" s="26" t="s">
        <v>781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809</v>
      </c>
      <c r="C18" s="44" t="s">
        <v>810</v>
      </c>
      <c r="D18" s="42" t="s">
        <v>780</v>
      </c>
      <c r="E18" s="55">
        <v>46125</v>
      </c>
      <c r="F18" s="26" t="s">
        <v>781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811</v>
      </c>
      <c r="C19" s="25" t="s">
        <v>812</v>
      </c>
      <c r="D19" s="23" t="s">
        <v>780</v>
      </c>
      <c r="E19" s="55">
        <v>46125</v>
      </c>
      <c r="F19" s="26" t="s">
        <v>781</v>
      </c>
      <c r="G19" s="26" t="s">
        <v>58</v>
      </c>
      <c r="H19" s="26" t="s">
        <v>56</v>
      </c>
      <c r="I19" s="26" t="s">
        <v>70</v>
      </c>
      <c r="J19" s="26" t="s">
        <v>58</v>
      </c>
      <c r="K19" s="27" t="s">
        <v>793</v>
      </c>
      <c r="L19" s="28" t="s">
        <v>56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813</v>
      </c>
      <c r="C20" s="44" t="s">
        <v>814</v>
      </c>
      <c r="D20" s="42" t="s">
        <v>780</v>
      </c>
      <c r="E20" s="55">
        <v>46125</v>
      </c>
      <c r="F20" s="26" t="s">
        <v>781</v>
      </c>
      <c r="G20" s="26" t="s">
        <v>4401</v>
      </c>
      <c r="H20" s="26" t="s">
        <v>56</v>
      </c>
      <c r="I20" s="26" t="s">
        <v>4401</v>
      </c>
      <c r="J20" s="26" t="s">
        <v>58</v>
      </c>
      <c r="K20" s="27"/>
      <c r="L20" s="28" t="s">
        <v>56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815</v>
      </c>
      <c r="C21" s="25" t="s">
        <v>816</v>
      </c>
      <c r="D21" s="23" t="s">
        <v>780</v>
      </c>
      <c r="E21" s="55">
        <v>46125</v>
      </c>
      <c r="F21" s="26" t="s">
        <v>781</v>
      </c>
      <c r="G21" s="26" t="s">
        <v>58</v>
      </c>
      <c r="H21" s="26" t="s">
        <v>56</v>
      </c>
      <c r="I21" s="26" t="s">
        <v>70</v>
      </c>
      <c r="J21" s="26" t="s">
        <v>58</v>
      </c>
      <c r="K21" s="27" t="s">
        <v>793</v>
      </c>
      <c r="L21" s="28" t="s">
        <v>56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817</v>
      </c>
      <c r="C22" s="44" t="s">
        <v>818</v>
      </c>
      <c r="D22" s="42" t="s">
        <v>780</v>
      </c>
      <c r="E22" s="55">
        <v>46125</v>
      </c>
      <c r="F22" s="26" t="s">
        <v>781</v>
      </c>
      <c r="G22" s="26" t="s">
        <v>4401</v>
      </c>
      <c r="H22" s="26" t="s">
        <v>56</v>
      </c>
      <c r="I22" s="26" t="s">
        <v>4401</v>
      </c>
      <c r="J22" s="26" t="s">
        <v>58</v>
      </c>
      <c r="K22" s="27"/>
      <c r="L22" s="28" t="s">
        <v>56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819</v>
      </c>
      <c r="C23" s="25" t="s">
        <v>820</v>
      </c>
      <c r="D23" s="23" t="s">
        <v>780</v>
      </c>
      <c r="E23" s="55">
        <v>46125</v>
      </c>
      <c r="F23" s="26" t="s">
        <v>781</v>
      </c>
      <c r="G23" s="26" t="s">
        <v>58</v>
      </c>
      <c r="H23" s="26" t="s">
        <v>56</v>
      </c>
      <c r="I23" s="26" t="s">
        <v>70</v>
      </c>
      <c r="J23" s="26" t="s">
        <v>58</v>
      </c>
      <c r="K23" s="27" t="s">
        <v>796</v>
      </c>
      <c r="L23" s="28" t="s">
        <v>56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821</v>
      </c>
      <c r="C24" s="44" t="s">
        <v>822</v>
      </c>
      <c r="D24" s="42" t="s">
        <v>780</v>
      </c>
      <c r="E24" s="55">
        <v>46125</v>
      </c>
      <c r="F24" s="26" t="s">
        <v>781</v>
      </c>
      <c r="G24" s="26" t="s">
        <v>4401</v>
      </c>
      <c r="H24" s="26" t="s">
        <v>56</v>
      </c>
      <c r="I24" s="26" t="s">
        <v>4401</v>
      </c>
      <c r="J24" s="26" t="s">
        <v>58</v>
      </c>
      <c r="K24" s="27"/>
      <c r="L24" s="28" t="s">
        <v>56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823</v>
      </c>
      <c r="C25" s="25" t="s">
        <v>824</v>
      </c>
      <c r="D25" s="23" t="s">
        <v>780</v>
      </c>
      <c r="E25" s="55">
        <v>46125</v>
      </c>
      <c r="F25" s="26" t="s">
        <v>781</v>
      </c>
      <c r="G25" s="26" t="s">
        <v>56</v>
      </c>
      <c r="H25" s="26" t="s">
        <v>56</v>
      </c>
      <c r="I25" s="26" t="s">
        <v>57</v>
      </c>
      <c r="J25" s="26" t="s">
        <v>56</v>
      </c>
      <c r="K25" s="27"/>
      <c r="L25" s="28" t="s">
        <v>58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825</v>
      </c>
      <c r="C26" s="44" t="s">
        <v>826</v>
      </c>
      <c r="D26" s="42" t="s">
        <v>780</v>
      </c>
      <c r="E26" s="55">
        <v>46125</v>
      </c>
      <c r="F26" s="26" t="s">
        <v>781</v>
      </c>
      <c r="G26" s="26" t="s">
        <v>56</v>
      </c>
      <c r="H26" s="26" t="s">
        <v>56</v>
      </c>
      <c r="I26" s="26" t="s">
        <v>57</v>
      </c>
      <c r="J26" s="26" t="s">
        <v>56</v>
      </c>
      <c r="K26" s="27"/>
      <c r="L26" s="28" t="s">
        <v>58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827</v>
      </c>
      <c r="C27" s="25" t="s">
        <v>828</v>
      </c>
      <c r="D27" s="23" t="s">
        <v>780</v>
      </c>
      <c r="E27" s="55">
        <v>46125</v>
      </c>
      <c r="F27" s="26" t="s">
        <v>781</v>
      </c>
      <c r="G27" s="26" t="s">
        <v>58</v>
      </c>
      <c r="H27" s="26" t="s">
        <v>56</v>
      </c>
      <c r="I27" s="26" t="s">
        <v>70</v>
      </c>
      <c r="J27" s="26" t="s">
        <v>58</v>
      </c>
      <c r="K27" s="27" t="s">
        <v>782</v>
      </c>
      <c r="L27" s="28" t="s">
        <v>56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829</v>
      </c>
      <c r="C28" s="44" t="s">
        <v>830</v>
      </c>
      <c r="D28" s="42" t="s">
        <v>780</v>
      </c>
      <c r="E28" s="55">
        <v>46125</v>
      </c>
      <c r="F28" s="26" t="s">
        <v>781</v>
      </c>
      <c r="G28" s="26" t="s">
        <v>4401</v>
      </c>
      <c r="H28" s="26" t="s">
        <v>56</v>
      </c>
      <c r="I28" s="26" t="s">
        <v>4401</v>
      </c>
      <c r="J28" s="26" t="s">
        <v>58</v>
      </c>
      <c r="K28" s="27"/>
      <c r="L28" s="28" t="s">
        <v>56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831</v>
      </c>
      <c r="C29" s="25" t="s">
        <v>832</v>
      </c>
      <c r="D29" s="23" t="s">
        <v>780</v>
      </c>
      <c r="E29" s="55">
        <v>46125</v>
      </c>
      <c r="F29" s="26" t="s">
        <v>781</v>
      </c>
      <c r="G29" s="26" t="s">
        <v>58</v>
      </c>
      <c r="H29" s="26" t="s">
        <v>56</v>
      </c>
      <c r="I29" s="26" t="s">
        <v>70</v>
      </c>
      <c r="J29" s="26" t="s">
        <v>58</v>
      </c>
      <c r="K29" s="27" t="s">
        <v>833</v>
      </c>
      <c r="L29" s="28" t="s">
        <v>56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834</v>
      </c>
      <c r="C30" s="44" t="s">
        <v>835</v>
      </c>
      <c r="D30" s="42" t="s">
        <v>780</v>
      </c>
      <c r="E30" s="55">
        <v>46125</v>
      </c>
      <c r="F30" s="26" t="s">
        <v>781</v>
      </c>
      <c r="G30" s="26" t="s">
        <v>4401</v>
      </c>
      <c r="H30" s="26" t="s">
        <v>56</v>
      </c>
      <c r="I30" s="26" t="s">
        <v>4401</v>
      </c>
      <c r="J30" s="26" t="s">
        <v>58</v>
      </c>
      <c r="K30" s="27"/>
      <c r="L30" s="28" t="s">
        <v>56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836</v>
      </c>
      <c r="C31" s="25" t="s">
        <v>837</v>
      </c>
      <c r="D31" s="23" t="s">
        <v>838</v>
      </c>
      <c r="E31" s="55">
        <v>46126</v>
      </c>
      <c r="F31" s="26" t="s">
        <v>55</v>
      </c>
      <c r="G31" s="26" t="s">
        <v>58</v>
      </c>
      <c r="H31" s="26" t="s">
        <v>56</v>
      </c>
      <c r="I31" s="26" t="s">
        <v>70</v>
      </c>
      <c r="J31" s="26" t="s">
        <v>58</v>
      </c>
      <c r="K31" s="27" t="s">
        <v>6176</v>
      </c>
      <c r="L31" s="28" t="s">
        <v>56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839</v>
      </c>
      <c r="C32" s="44" t="s">
        <v>840</v>
      </c>
      <c r="D32" s="42" t="s">
        <v>838</v>
      </c>
      <c r="E32" s="55">
        <v>46126</v>
      </c>
      <c r="F32" s="26" t="s">
        <v>55</v>
      </c>
      <c r="G32" s="26" t="s">
        <v>58</v>
      </c>
      <c r="H32" s="26" t="s">
        <v>56</v>
      </c>
      <c r="I32" s="26" t="s">
        <v>70</v>
      </c>
      <c r="J32" s="26" t="s">
        <v>58</v>
      </c>
      <c r="K32" s="27" t="s">
        <v>6176</v>
      </c>
      <c r="L32" s="28" t="s">
        <v>56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841</v>
      </c>
      <c r="C33" s="25" t="s">
        <v>842</v>
      </c>
      <c r="D33" s="23" t="s">
        <v>838</v>
      </c>
      <c r="E33" s="55">
        <v>46126</v>
      </c>
      <c r="F33" s="26" t="s">
        <v>55</v>
      </c>
      <c r="G33" s="26" t="s">
        <v>58</v>
      </c>
      <c r="H33" s="26" t="s">
        <v>56</v>
      </c>
      <c r="I33" s="26" t="s">
        <v>70</v>
      </c>
      <c r="J33" s="26" t="s">
        <v>58</v>
      </c>
      <c r="K33" s="27" t="s">
        <v>6176</v>
      </c>
      <c r="L33" s="28" t="s">
        <v>56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843</v>
      </c>
      <c r="C34" s="44" t="s">
        <v>844</v>
      </c>
      <c r="D34" s="42" t="s">
        <v>838</v>
      </c>
      <c r="E34" s="55">
        <v>46126</v>
      </c>
      <c r="F34" s="26" t="s">
        <v>55</v>
      </c>
      <c r="G34" s="26" t="s">
        <v>58</v>
      </c>
      <c r="H34" s="26" t="s">
        <v>56</v>
      </c>
      <c r="I34" s="26" t="s">
        <v>70</v>
      </c>
      <c r="J34" s="26" t="s">
        <v>58</v>
      </c>
      <c r="K34" s="27" t="s">
        <v>6176</v>
      </c>
      <c r="L34" s="28" t="s">
        <v>56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845</v>
      </c>
      <c r="C35" s="25" t="s">
        <v>846</v>
      </c>
      <c r="D35" s="23" t="s">
        <v>838</v>
      </c>
      <c r="E35" s="55">
        <v>46126</v>
      </c>
      <c r="F35" s="26" t="s">
        <v>55</v>
      </c>
      <c r="G35" s="26" t="s">
        <v>58</v>
      </c>
      <c r="H35" s="26" t="s">
        <v>56</v>
      </c>
      <c r="I35" s="26" t="s">
        <v>70</v>
      </c>
      <c r="J35" s="26" t="s">
        <v>58</v>
      </c>
      <c r="K35" s="27" t="s">
        <v>6176</v>
      </c>
      <c r="L35" s="28" t="s">
        <v>56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847</v>
      </c>
      <c r="C36" s="44" t="s">
        <v>848</v>
      </c>
      <c r="D36" s="42" t="s">
        <v>838</v>
      </c>
      <c r="E36" s="55">
        <v>46126</v>
      </c>
      <c r="F36" s="26" t="s">
        <v>55</v>
      </c>
      <c r="G36" s="26" t="s">
        <v>58</v>
      </c>
      <c r="H36" s="26" t="s">
        <v>56</v>
      </c>
      <c r="I36" s="26" t="s">
        <v>70</v>
      </c>
      <c r="J36" s="26" t="s">
        <v>58</v>
      </c>
      <c r="K36" s="27" t="s">
        <v>6176</v>
      </c>
      <c r="L36" s="28" t="s">
        <v>56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849</v>
      </c>
      <c r="C37" s="25" t="s">
        <v>850</v>
      </c>
      <c r="D37" s="23" t="s">
        <v>838</v>
      </c>
      <c r="E37" s="55">
        <v>46126</v>
      </c>
      <c r="F37" s="26" t="s">
        <v>55</v>
      </c>
      <c r="G37" s="26" t="s">
        <v>58</v>
      </c>
      <c r="H37" s="26" t="s">
        <v>56</v>
      </c>
      <c r="I37" s="26" t="s">
        <v>70</v>
      </c>
      <c r="J37" s="26" t="s">
        <v>58</v>
      </c>
      <c r="K37" s="27" t="s">
        <v>6176</v>
      </c>
      <c r="L37" s="28" t="s">
        <v>56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5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6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7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8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851</v>
      </c>
      <c r="C38" s="44" t="s">
        <v>852</v>
      </c>
      <c r="D38" s="42" t="s">
        <v>838</v>
      </c>
      <c r="E38" s="55">
        <v>46126</v>
      </c>
      <c r="F38" s="26" t="s">
        <v>55</v>
      </c>
      <c r="G38" s="26" t="s">
        <v>58</v>
      </c>
      <c r="H38" s="26" t="s">
        <v>56</v>
      </c>
      <c r="I38" s="26" t="s">
        <v>70</v>
      </c>
      <c r="J38" s="26" t="s">
        <v>58</v>
      </c>
      <c r="K38" s="27" t="s">
        <v>6176</v>
      </c>
      <c r="L38" s="28" t="s">
        <v>56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5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6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7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8"/>
        <v/>
      </c>
    </row>
    <row r="39" spans="1:49" ht="14.25" customHeight="1" x14ac:dyDescent="0.3">
      <c r="A39" s="23">
        <v>35</v>
      </c>
      <c r="B39" s="24" t="s">
        <v>853</v>
      </c>
      <c r="C39" s="25" t="s">
        <v>854</v>
      </c>
      <c r="D39" s="23" t="s">
        <v>838</v>
      </c>
      <c r="E39" s="55">
        <v>46126</v>
      </c>
      <c r="F39" s="26" t="s">
        <v>55</v>
      </c>
      <c r="G39" s="26" t="s">
        <v>58</v>
      </c>
      <c r="H39" s="26" t="s">
        <v>56</v>
      </c>
      <c r="I39" s="26" t="s">
        <v>70</v>
      </c>
      <c r="J39" s="26" t="s">
        <v>58</v>
      </c>
      <c r="K39" s="27" t="s">
        <v>6176</v>
      </c>
      <c r="L39" s="28" t="s">
        <v>56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5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6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7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8"/>
        <v/>
      </c>
    </row>
    <row r="40" spans="1:49" ht="14.25" customHeight="1" x14ac:dyDescent="0.3">
      <c r="A40" s="42">
        <v>36</v>
      </c>
      <c r="B40" s="43" t="s">
        <v>855</v>
      </c>
      <c r="C40" s="44" t="s">
        <v>856</v>
      </c>
      <c r="D40" s="42" t="s">
        <v>838</v>
      </c>
      <c r="E40" s="55">
        <v>46126</v>
      </c>
      <c r="F40" s="26" t="s">
        <v>55</v>
      </c>
      <c r="G40" s="26" t="s">
        <v>58</v>
      </c>
      <c r="H40" s="26" t="s">
        <v>56</v>
      </c>
      <c r="I40" s="26" t="s">
        <v>70</v>
      </c>
      <c r="J40" s="26" t="s">
        <v>58</v>
      </c>
      <c r="K40" s="27" t="s">
        <v>6176</v>
      </c>
      <c r="L40" s="28" t="s">
        <v>56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5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6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7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8"/>
        <v/>
      </c>
    </row>
    <row r="41" spans="1:49" ht="14.25" customHeight="1" x14ac:dyDescent="0.3">
      <c r="A41" s="23">
        <v>37</v>
      </c>
      <c r="B41" s="24" t="s">
        <v>857</v>
      </c>
      <c r="C41" s="25" t="s">
        <v>858</v>
      </c>
      <c r="D41" s="23" t="s">
        <v>838</v>
      </c>
      <c r="E41" s="55">
        <v>46126</v>
      </c>
      <c r="F41" s="26" t="s">
        <v>55</v>
      </c>
      <c r="G41" s="26" t="s">
        <v>58</v>
      </c>
      <c r="H41" s="26" t="s">
        <v>56</v>
      </c>
      <c r="I41" s="26" t="s">
        <v>70</v>
      </c>
      <c r="J41" s="26" t="s">
        <v>58</v>
      </c>
      <c r="K41" s="27" t="s">
        <v>6176</v>
      </c>
      <c r="L41" s="28" t="s">
        <v>56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5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6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7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8"/>
        <v/>
      </c>
    </row>
    <row r="42" spans="1:49" ht="14.25" customHeight="1" x14ac:dyDescent="0.3">
      <c r="A42" s="42">
        <v>38</v>
      </c>
      <c r="B42" s="43" t="s">
        <v>859</v>
      </c>
      <c r="C42" s="44" t="s">
        <v>860</v>
      </c>
      <c r="D42" s="42" t="s">
        <v>838</v>
      </c>
      <c r="E42" s="55">
        <v>46126</v>
      </c>
      <c r="F42" s="26" t="s">
        <v>55</v>
      </c>
      <c r="G42" s="26" t="s">
        <v>58</v>
      </c>
      <c r="H42" s="26" t="s">
        <v>56</v>
      </c>
      <c r="I42" s="26" t="s">
        <v>70</v>
      </c>
      <c r="J42" s="26" t="s">
        <v>58</v>
      </c>
      <c r="K42" s="27" t="s">
        <v>6176</v>
      </c>
      <c r="L42" s="28" t="s">
        <v>56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5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6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7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8"/>
        <v/>
      </c>
    </row>
    <row r="43" spans="1:49" ht="14.25" customHeight="1" x14ac:dyDescent="0.3">
      <c r="A43" s="23">
        <v>39</v>
      </c>
      <c r="B43" s="24" t="s">
        <v>861</v>
      </c>
      <c r="C43" s="25" t="s">
        <v>862</v>
      </c>
      <c r="D43" s="23" t="s">
        <v>838</v>
      </c>
      <c r="E43" s="55">
        <v>46126</v>
      </c>
      <c r="F43" s="26" t="s">
        <v>55</v>
      </c>
      <c r="G43" s="26" t="s">
        <v>58</v>
      </c>
      <c r="H43" s="26" t="s">
        <v>56</v>
      </c>
      <c r="I43" s="26" t="s">
        <v>70</v>
      </c>
      <c r="J43" s="26" t="s">
        <v>58</v>
      </c>
      <c r="K43" s="27" t="s">
        <v>6176</v>
      </c>
      <c r="L43" s="28" t="s">
        <v>56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5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6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7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8"/>
        <v/>
      </c>
    </row>
    <row r="44" spans="1:49" ht="14.25" customHeight="1" x14ac:dyDescent="0.3">
      <c r="A44" s="42">
        <v>40</v>
      </c>
      <c r="B44" s="43" t="s">
        <v>863</v>
      </c>
      <c r="C44" s="44" t="s">
        <v>864</v>
      </c>
      <c r="D44" s="42" t="s">
        <v>838</v>
      </c>
      <c r="E44" s="55">
        <v>46126</v>
      </c>
      <c r="F44" s="26" t="s">
        <v>55</v>
      </c>
      <c r="G44" s="26" t="s">
        <v>58</v>
      </c>
      <c r="H44" s="26" t="s">
        <v>56</v>
      </c>
      <c r="I44" s="26" t="s">
        <v>70</v>
      </c>
      <c r="J44" s="26" t="s">
        <v>58</v>
      </c>
      <c r="K44" s="27" t="s">
        <v>6176</v>
      </c>
      <c r="L44" s="28" t="s">
        <v>56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5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6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7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8"/>
        <v/>
      </c>
    </row>
    <row r="45" spans="1:49" ht="14.25" customHeight="1" x14ac:dyDescent="0.3">
      <c r="A45" s="23">
        <v>41</v>
      </c>
      <c r="B45" s="24" t="s">
        <v>865</v>
      </c>
      <c r="C45" s="25" t="s">
        <v>866</v>
      </c>
      <c r="D45" s="23" t="s">
        <v>838</v>
      </c>
      <c r="E45" s="55">
        <v>46126</v>
      </c>
      <c r="F45" s="26" t="s">
        <v>55</v>
      </c>
      <c r="G45" s="26" t="s">
        <v>58</v>
      </c>
      <c r="H45" s="26" t="s">
        <v>56</v>
      </c>
      <c r="I45" s="26" t="s">
        <v>70</v>
      </c>
      <c r="J45" s="26" t="s">
        <v>58</v>
      </c>
      <c r="K45" s="27" t="s">
        <v>6176</v>
      </c>
      <c r="L45" s="28" t="s">
        <v>56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5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6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7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8"/>
        <v/>
      </c>
    </row>
    <row r="46" spans="1:49" ht="14.25" customHeight="1" x14ac:dyDescent="0.3">
      <c r="A46" s="42">
        <v>42</v>
      </c>
      <c r="B46" s="43" t="s">
        <v>867</v>
      </c>
      <c r="C46" s="44" t="s">
        <v>868</v>
      </c>
      <c r="D46" s="42" t="s">
        <v>838</v>
      </c>
      <c r="E46" s="55">
        <v>46126</v>
      </c>
      <c r="F46" s="26" t="s">
        <v>55</v>
      </c>
      <c r="G46" s="26" t="s">
        <v>58</v>
      </c>
      <c r="H46" s="26" t="s">
        <v>56</v>
      </c>
      <c r="I46" s="26" t="s">
        <v>70</v>
      </c>
      <c r="J46" s="26" t="s">
        <v>58</v>
      </c>
      <c r="K46" s="27" t="s">
        <v>6176</v>
      </c>
      <c r="L46" s="28" t="s">
        <v>56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5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6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7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8"/>
        <v/>
      </c>
    </row>
    <row r="47" spans="1:49" ht="14.25" customHeight="1" x14ac:dyDescent="0.3">
      <c r="A47" s="23">
        <v>43</v>
      </c>
      <c r="B47" s="24" t="s">
        <v>869</v>
      </c>
      <c r="C47" s="25" t="s">
        <v>870</v>
      </c>
      <c r="D47" s="23" t="s">
        <v>838</v>
      </c>
      <c r="E47" s="55">
        <v>46126</v>
      </c>
      <c r="F47" s="26" t="s">
        <v>55</v>
      </c>
      <c r="G47" s="26" t="s">
        <v>58</v>
      </c>
      <c r="H47" s="26" t="s">
        <v>56</v>
      </c>
      <c r="I47" s="26" t="s">
        <v>70</v>
      </c>
      <c r="J47" s="26" t="s">
        <v>58</v>
      </c>
      <c r="K47" s="27" t="s">
        <v>6176</v>
      </c>
      <c r="L47" s="28" t="s">
        <v>56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5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6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7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8"/>
        <v/>
      </c>
    </row>
    <row r="48" spans="1:49" ht="14.25" customHeight="1" x14ac:dyDescent="0.3">
      <c r="A48" s="42">
        <v>44</v>
      </c>
      <c r="B48" s="43" t="s">
        <v>871</v>
      </c>
      <c r="C48" s="44" t="s">
        <v>872</v>
      </c>
      <c r="D48" s="42" t="s">
        <v>838</v>
      </c>
      <c r="E48" s="55">
        <v>46126</v>
      </c>
      <c r="F48" s="26" t="s">
        <v>55</v>
      </c>
      <c r="G48" s="26" t="s">
        <v>58</v>
      </c>
      <c r="H48" s="26" t="s">
        <v>56</v>
      </c>
      <c r="I48" s="26" t="s">
        <v>70</v>
      </c>
      <c r="J48" s="26" t="s">
        <v>58</v>
      </c>
      <c r="K48" s="27" t="s">
        <v>6176</v>
      </c>
      <c r="L48" s="28" t="s">
        <v>56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5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6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7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8"/>
        <v/>
      </c>
    </row>
    <row r="49" spans="1:49" ht="14.25" customHeight="1" x14ac:dyDescent="0.3">
      <c r="A49" s="23">
        <v>45</v>
      </c>
      <c r="B49" s="24" t="s">
        <v>873</v>
      </c>
      <c r="C49" s="25" t="s">
        <v>874</v>
      </c>
      <c r="D49" s="23" t="s">
        <v>838</v>
      </c>
      <c r="E49" s="55">
        <v>46126</v>
      </c>
      <c r="F49" s="26" t="s">
        <v>55</v>
      </c>
      <c r="G49" s="26" t="s">
        <v>58</v>
      </c>
      <c r="H49" s="26" t="s">
        <v>56</v>
      </c>
      <c r="I49" s="26" t="s">
        <v>70</v>
      </c>
      <c r="J49" s="26" t="s">
        <v>58</v>
      </c>
      <c r="K49" s="27" t="s">
        <v>6176</v>
      </c>
      <c r="L49" s="28" t="s">
        <v>56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5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6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7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8"/>
        <v/>
      </c>
    </row>
    <row r="50" spans="1:49" ht="14.25" customHeight="1" x14ac:dyDescent="0.3">
      <c r="A50" s="42">
        <v>46</v>
      </c>
      <c r="B50" s="43" t="s">
        <v>875</v>
      </c>
      <c r="C50" s="44" t="s">
        <v>876</v>
      </c>
      <c r="D50" s="42" t="s">
        <v>838</v>
      </c>
      <c r="E50" s="55">
        <v>46126</v>
      </c>
      <c r="F50" s="26" t="s">
        <v>55</v>
      </c>
      <c r="G50" s="26" t="s">
        <v>58</v>
      </c>
      <c r="H50" s="26" t="s">
        <v>56</v>
      </c>
      <c r="I50" s="26" t="s">
        <v>70</v>
      </c>
      <c r="J50" s="26" t="s">
        <v>58</v>
      </c>
      <c r="K50" s="27" t="s">
        <v>6176</v>
      </c>
      <c r="L50" s="28" t="s">
        <v>56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5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6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7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8"/>
        <v/>
      </c>
    </row>
    <row r="51" spans="1:49" ht="14.25" customHeight="1" x14ac:dyDescent="0.3">
      <c r="A51" s="23">
        <v>47</v>
      </c>
      <c r="B51" s="24" t="s">
        <v>877</v>
      </c>
      <c r="C51" s="25" t="s">
        <v>878</v>
      </c>
      <c r="D51" s="23" t="s">
        <v>838</v>
      </c>
      <c r="E51" s="55">
        <v>46126</v>
      </c>
      <c r="F51" s="26" t="s">
        <v>55</v>
      </c>
      <c r="G51" s="26" t="s">
        <v>58</v>
      </c>
      <c r="H51" s="26" t="s">
        <v>56</v>
      </c>
      <c r="I51" s="26" t="s">
        <v>70</v>
      </c>
      <c r="J51" s="26" t="s">
        <v>58</v>
      </c>
      <c r="K51" s="27" t="s">
        <v>6176</v>
      </c>
      <c r="L51" s="28" t="s">
        <v>56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5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6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7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8"/>
        <v/>
      </c>
    </row>
    <row r="52" spans="1:49" ht="14.25" customHeight="1" x14ac:dyDescent="0.3">
      <c r="A52" s="42">
        <v>48</v>
      </c>
      <c r="B52" s="43" t="s">
        <v>879</v>
      </c>
      <c r="C52" s="44" t="s">
        <v>880</v>
      </c>
      <c r="D52" s="42" t="s">
        <v>838</v>
      </c>
      <c r="E52" s="55">
        <v>46126</v>
      </c>
      <c r="F52" s="26" t="s">
        <v>55</v>
      </c>
      <c r="G52" s="26" t="s">
        <v>58</v>
      </c>
      <c r="H52" s="26" t="s">
        <v>56</v>
      </c>
      <c r="I52" s="26" t="s">
        <v>70</v>
      </c>
      <c r="J52" s="26" t="s">
        <v>58</v>
      </c>
      <c r="K52" s="27" t="s">
        <v>6176</v>
      </c>
      <c r="L52" s="28" t="s">
        <v>56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5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6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7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8"/>
        <v/>
      </c>
    </row>
    <row r="53" spans="1:49" ht="14.25" customHeight="1" x14ac:dyDescent="0.3">
      <c r="A53" s="23">
        <v>49</v>
      </c>
      <c r="B53" s="24" t="s">
        <v>881</v>
      </c>
      <c r="C53" s="25" t="s">
        <v>882</v>
      </c>
      <c r="D53" s="23" t="s">
        <v>838</v>
      </c>
      <c r="E53" s="55">
        <v>46126</v>
      </c>
      <c r="F53" s="26" t="s">
        <v>55</v>
      </c>
      <c r="G53" s="26" t="s">
        <v>58</v>
      </c>
      <c r="H53" s="26" t="s">
        <v>56</v>
      </c>
      <c r="I53" s="26" t="s">
        <v>70</v>
      </c>
      <c r="J53" s="26" t="s">
        <v>58</v>
      </c>
      <c r="K53" s="27" t="s">
        <v>6176</v>
      </c>
      <c r="L53" s="28" t="s">
        <v>56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5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6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7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8"/>
        <v/>
      </c>
    </row>
    <row r="54" spans="1:49" ht="14.25" customHeight="1" x14ac:dyDescent="0.3">
      <c r="A54" s="42">
        <v>50</v>
      </c>
      <c r="B54" s="43" t="s">
        <v>883</v>
      </c>
      <c r="C54" s="44" t="s">
        <v>884</v>
      </c>
      <c r="D54" s="42" t="s">
        <v>838</v>
      </c>
      <c r="E54" s="55">
        <v>46126</v>
      </c>
      <c r="F54" s="26" t="s">
        <v>55</v>
      </c>
      <c r="G54" s="26" t="s">
        <v>58</v>
      </c>
      <c r="H54" s="26" t="s">
        <v>56</v>
      </c>
      <c r="I54" s="26" t="s">
        <v>70</v>
      </c>
      <c r="J54" s="26" t="s">
        <v>58</v>
      </c>
      <c r="K54" s="27" t="s">
        <v>6176</v>
      </c>
      <c r="L54" s="28" t="s">
        <v>56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5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6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7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8"/>
        <v/>
      </c>
    </row>
    <row r="55" spans="1:49" ht="14.25" customHeight="1" x14ac:dyDescent="0.3">
      <c r="A55" s="23">
        <v>51</v>
      </c>
      <c r="B55" s="24" t="s">
        <v>885</v>
      </c>
      <c r="C55" s="25" t="s">
        <v>885</v>
      </c>
      <c r="D55" s="23" t="s">
        <v>838</v>
      </c>
      <c r="E55" s="55">
        <v>46126</v>
      </c>
      <c r="F55" s="26" t="s">
        <v>55</v>
      </c>
      <c r="G55" s="26" t="s">
        <v>58</v>
      </c>
      <c r="H55" s="26" t="s">
        <v>56</v>
      </c>
      <c r="I55" s="26" t="s">
        <v>70</v>
      </c>
      <c r="J55" s="26" t="s">
        <v>58</v>
      </c>
      <c r="K55" s="27" t="s">
        <v>6176</v>
      </c>
      <c r="L55" s="28" t="s">
        <v>56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5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6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7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8"/>
        <v/>
      </c>
    </row>
    <row r="56" spans="1:49" ht="14.25" customHeight="1" x14ac:dyDescent="0.3">
      <c r="A56" s="42">
        <v>52</v>
      </c>
      <c r="B56" s="43" t="s">
        <v>886</v>
      </c>
      <c r="C56" s="44" t="s">
        <v>887</v>
      </c>
      <c r="D56" s="42" t="s">
        <v>838</v>
      </c>
      <c r="E56" s="55">
        <v>46126</v>
      </c>
      <c r="F56" s="26" t="s">
        <v>55</v>
      </c>
      <c r="G56" s="26" t="s">
        <v>58</v>
      </c>
      <c r="H56" s="26" t="s">
        <v>56</v>
      </c>
      <c r="I56" s="26" t="s">
        <v>70</v>
      </c>
      <c r="J56" s="26" t="s">
        <v>58</v>
      </c>
      <c r="K56" s="27" t="s">
        <v>6176</v>
      </c>
      <c r="L56" s="28" t="s">
        <v>56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5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6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7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8"/>
        <v/>
      </c>
    </row>
    <row r="57" spans="1:49" ht="14.25" customHeight="1" x14ac:dyDescent="0.3">
      <c r="A57" s="23">
        <v>53</v>
      </c>
      <c r="B57" s="24" t="s">
        <v>888</v>
      </c>
      <c r="C57" s="25" t="s">
        <v>889</v>
      </c>
      <c r="D57" s="23" t="s">
        <v>838</v>
      </c>
      <c r="E57" s="55">
        <v>46126</v>
      </c>
      <c r="F57" s="26" t="s">
        <v>55</v>
      </c>
      <c r="G57" s="26" t="s">
        <v>58</v>
      </c>
      <c r="H57" s="26" t="s">
        <v>56</v>
      </c>
      <c r="I57" s="26" t="s">
        <v>70</v>
      </c>
      <c r="J57" s="26" t="s">
        <v>58</v>
      </c>
      <c r="K57" s="27" t="s">
        <v>6176</v>
      </c>
      <c r="L57" s="28" t="s">
        <v>56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5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6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7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8"/>
        <v/>
      </c>
    </row>
    <row r="58" spans="1:49" ht="14.25" customHeight="1" x14ac:dyDescent="0.3">
      <c r="A58" s="42">
        <v>54</v>
      </c>
      <c r="B58" s="43" t="s">
        <v>890</v>
      </c>
      <c r="C58" s="44" t="s">
        <v>891</v>
      </c>
      <c r="D58" s="42" t="s">
        <v>838</v>
      </c>
      <c r="E58" s="55">
        <v>46126</v>
      </c>
      <c r="F58" s="26" t="s">
        <v>55</v>
      </c>
      <c r="G58" s="26" t="s">
        <v>58</v>
      </c>
      <c r="H58" s="26" t="s">
        <v>56</v>
      </c>
      <c r="I58" s="26" t="s">
        <v>70</v>
      </c>
      <c r="J58" s="26" t="s">
        <v>58</v>
      </c>
      <c r="K58" s="27" t="s">
        <v>6176</v>
      </c>
      <c r="L58" s="28" t="s">
        <v>56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5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6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7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8"/>
        <v/>
      </c>
    </row>
    <row r="59" spans="1:49" ht="14.25" customHeight="1" x14ac:dyDescent="0.3">
      <c r="A59" s="23">
        <v>55</v>
      </c>
      <c r="B59" s="24" t="s">
        <v>892</v>
      </c>
      <c r="C59" s="25" t="s">
        <v>893</v>
      </c>
      <c r="D59" s="23" t="s">
        <v>838</v>
      </c>
      <c r="E59" s="55">
        <v>46126</v>
      </c>
      <c r="F59" s="26" t="s">
        <v>55</v>
      </c>
      <c r="G59" s="26" t="s">
        <v>58</v>
      </c>
      <c r="H59" s="26" t="s">
        <v>56</v>
      </c>
      <c r="I59" s="26" t="s">
        <v>70</v>
      </c>
      <c r="J59" s="26" t="s">
        <v>58</v>
      </c>
      <c r="K59" s="27" t="s">
        <v>6176</v>
      </c>
      <c r="L59" s="28" t="s">
        <v>56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5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6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7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8"/>
        <v/>
      </c>
    </row>
    <row r="60" spans="1:49" ht="14.25" customHeight="1" x14ac:dyDescent="0.3">
      <c r="A60" s="42">
        <v>56</v>
      </c>
      <c r="B60" s="43" t="s">
        <v>894</v>
      </c>
      <c r="C60" s="44" t="s">
        <v>895</v>
      </c>
      <c r="D60" s="42" t="s">
        <v>838</v>
      </c>
      <c r="E60" s="55">
        <v>46126</v>
      </c>
      <c r="F60" s="26" t="s">
        <v>55</v>
      </c>
      <c r="G60" s="26" t="s">
        <v>58</v>
      </c>
      <c r="H60" s="26" t="s">
        <v>56</v>
      </c>
      <c r="I60" s="26" t="s">
        <v>70</v>
      </c>
      <c r="J60" s="26" t="s">
        <v>58</v>
      </c>
      <c r="K60" s="27" t="s">
        <v>6176</v>
      </c>
      <c r="L60" s="28" t="s">
        <v>56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5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6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7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8"/>
        <v/>
      </c>
    </row>
    <row r="61" spans="1:49" ht="14.25" customHeight="1" x14ac:dyDescent="0.3">
      <c r="A61" s="23">
        <v>57</v>
      </c>
      <c r="B61" s="24" t="s">
        <v>896</v>
      </c>
      <c r="C61" s="25" t="s">
        <v>897</v>
      </c>
      <c r="D61" s="23" t="s">
        <v>838</v>
      </c>
      <c r="E61" s="55">
        <v>46126</v>
      </c>
      <c r="F61" s="26" t="s">
        <v>55</v>
      </c>
      <c r="G61" s="26" t="s">
        <v>58</v>
      </c>
      <c r="H61" s="26" t="s">
        <v>56</v>
      </c>
      <c r="I61" s="26" t="s">
        <v>70</v>
      </c>
      <c r="J61" s="26" t="s">
        <v>58</v>
      </c>
      <c r="K61" s="27" t="s">
        <v>6176</v>
      </c>
      <c r="L61" s="28" t="s">
        <v>56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5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6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7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8"/>
        <v/>
      </c>
    </row>
    <row r="62" spans="1:49" ht="14.25" customHeight="1" x14ac:dyDescent="0.3">
      <c r="A62" s="42">
        <v>58</v>
      </c>
      <c r="B62" s="43" t="s">
        <v>898</v>
      </c>
      <c r="C62" s="44" t="s">
        <v>899</v>
      </c>
      <c r="D62" s="42" t="s">
        <v>838</v>
      </c>
      <c r="E62" s="55">
        <v>46126</v>
      </c>
      <c r="F62" s="26" t="s">
        <v>55</v>
      </c>
      <c r="G62" s="26" t="s">
        <v>58</v>
      </c>
      <c r="H62" s="26" t="s">
        <v>56</v>
      </c>
      <c r="I62" s="26" t="s">
        <v>70</v>
      </c>
      <c r="J62" s="26" t="s">
        <v>58</v>
      </c>
      <c r="K62" s="27" t="s">
        <v>6176</v>
      </c>
      <c r="L62" s="28" t="s">
        <v>56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5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6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7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8"/>
        <v/>
      </c>
    </row>
    <row r="63" spans="1:49" ht="14.25" customHeight="1" x14ac:dyDescent="0.3">
      <c r="A63" s="23">
        <v>59</v>
      </c>
      <c r="B63" s="24" t="s">
        <v>900</v>
      </c>
      <c r="C63" s="25" t="s">
        <v>901</v>
      </c>
      <c r="D63" s="23" t="s">
        <v>838</v>
      </c>
      <c r="E63" s="55">
        <v>46126</v>
      </c>
      <c r="F63" s="26" t="s">
        <v>55</v>
      </c>
      <c r="G63" s="26" t="s">
        <v>58</v>
      </c>
      <c r="H63" s="26" t="s">
        <v>56</v>
      </c>
      <c r="I63" s="26" t="s">
        <v>70</v>
      </c>
      <c r="J63" s="26" t="s">
        <v>58</v>
      </c>
      <c r="K63" s="27" t="s">
        <v>6176</v>
      </c>
      <c r="L63" s="28" t="s">
        <v>56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5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6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7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8"/>
        <v/>
      </c>
    </row>
    <row r="64" spans="1:49" ht="14.25" customHeight="1" x14ac:dyDescent="0.3">
      <c r="A64" s="42">
        <v>60</v>
      </c>
      <c r="B64" s="43" t="s">
        <v>902</v>
      </c>
      <c r="C64" s="44" t="s">
        <v>903</v>
      </c>
      <c r="D64" s="42" t="s">
        <v>838</v>
      </c>
      <c r="E64" s="55">
        <v>46126</v>
      </c>
      <c r="F64" s="26" t="s">
        <v>55</v>
      </c>
      <c r="G64" s="26" t="s">
        <v>58</v>
      </c>
      <c r="H64" s="26" t="s">
        <v>56</v>
      </c>
      <c r="I64" s="26" t="s">
        <v>70</v>
      </c>
      <c r="J64" s="26" t="s">
        <v>58</v>
      </c>
      <c r="K64" s="27" t="s">
        <v>6176</v>
      </c>
      <c r="L64" s="28" t="s">
        <v>56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5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6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7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8"/>
        <v/>
      </c>
    </row>
    <row r="65" spans="1:49" ht="14.25" customHeight="1" x14ac:dyDescent="0.3">
      <c r="A65" s="23">
        <v>61</v>
      </c>
      <c r="B65" s="24" t="s">
        <v>904</v>
      </c>
      <c r="C65" s="25" t="s">
        <v>904</v>
      </c>
      <c r="D65" s="23" t="s">
        <v>838</v>
      </c>
      <c r="E65" s="55">
        <v>46126</v>
      </c>
      <c r="F65" s="26" t="s">
        <v>55</v>
      </c>
      <c r="G65" s="26" t="s">
        <v>58</v>
      </c>
      <c r="H65" s="26" t="s">
        <v>56</v>
      </c>
      <c r="I65" s="26" t="s">
        <v>70</v>
      </c>
      <c r="J65" s="26" t="s">
        <v>58</v>
      </c>
      <c r="K65" s="27" t="s">
        <v>6176</v>
      </c>
      <c r="L65" s="28" t="s">
        <v>56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5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6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7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8"/>
        <v/>
      </c>
    </row>
    <row r="66" spans="1:49" ht="14.25" customHeight="1" x14ac:dyDescent="0.3">
      <c r="A66" s="42">
        <v>62</v>
      </c>
      <c r="B66" s="43" t="s">
        <v>905</v>
      </c>
      <c r="C66" s="44" t="s">
        <v>906</v>
      </c>
      <c r="D66" s="42" t="s">
        <v>838</v>
      </c>
      <c r="E66" s="55">
        <v>46126</v>
      </c>
      <c r="F66" s="26" t="s">
        <v>55</v>
      </c>
      <c r="G66" s="26" t="s">
        <v>58</v>
      </c>
      <c r="H66" s="26" t="s">
        <v>56</v>
      </c>
      <c r="I66" s="26" t="s">
        <v>70</v>
      </c>
      <c r="J66" s="26" t="s">
        <v>58</v>
      </c>
      <c r="K66" s="27" t="s">
        <v>6176</v>
      </c>
      <c r="L66" s="28" t="s">
        <v>56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5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6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7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8"/>
        <v/>
      </c>
    </row>
    <row r="67" spans="1:49" ht="14.25" customHeight="1" x14ac:dyDescent="0.3">
      <c r="A67" s="23">
        <v>63</v>
      </c>
      <c r="B67" s="24" t="s">
        <v>907</v>
      </c>
      <c r="C67" s="25" t="s">
        <v>908</v>
      </c>
      <c r="D67" s="23" t="s">
        <v>838</v>
      </c>
      <c r="E67" s="55">
        <v>46126</v>
      </c>
      <c r="F67" s="26" t="s">
        <v>55</v>
      </c>
      <c r="G67" s="26" t="s">
        <v>58</v>
      </c>
      <c r="H67" s="26" t="s">
        <v>56</v>
      </c>
      <c r="I67" s="26" t="s">
        <v>70</v>
      </c>
      <c r="J67" s="26" t="s">
        <v>58</v>
      </c>
      <c r="K67" s="27" t="s">
        <v>6176</v>
      </c>
      <c r="L67" s="28" t="s">
        <v>56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5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6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7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8"/>
        <v/>
      </c>
    </row>
    <row r="68" spans="1:49" ht="14.25" customHeight="1" x14ac:dyDescent="0.3">
      <c r="A68" s="42">
        <v>64</v>
      </c>
      <c r="B68" s="43" t="s">
        <v>909</v>
      </c>
      <c r="C68" s="44" t="s">
        <v>910</v>
      </c>
      <c r="D68" s="42" t="s">
        <v>838</v>
      </c>
      <c r="E68" s="55">
        <v>46126</v>
      </c>
      <c r="F68" s="26" t="s">
        <v>55</v>
      </c>
      <c r="G68" s="26" t="s">
        <v>58</v>
      </c>
      <c r="H68" s="26" t="s">
        <v>56</v>
      </c>
      <c r="I68" s="26" t="s">
        <v>70</v>
      </c>
      <c r="J68" s="26" t="s">
        <v>58</v>
      </c>
      <c r="K68" s="27" t="s">
        <v>6176</v>
      </c>
      <c r="L68" s="28" t="s">
        <v>56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5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6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7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8"/>
        <v/>
      </c>
    </row>
    <row r="69" spans="1:49" ht="14.25" customHeight="1" x14ac:dyDescent="0.3">
      <c r="A69" s="23">
        <v>65</v>
      </c>
      <c r="B69" s="24" t="s">
        <v>911</v>
      </c>
      <c r="C69" s="25" t="s">
        <v>912</v>
      </c>
      <c r="D69" s="23" t="s">
        <v>838</v>
      </c>
      <c r="E69" s="55">
        <v>46126</v>
      </c>
      <c r="F69" s="26" t="s">
        <v>55</v>
      </c>
      <c r="G69" s="26" t="s">
        <v>58</v>
      </c>
      <c r="H69" s="26" t="s">
        <v>56</v>
      </c>
      <c r="I69" s="26" t="s">
        <v>70</v>
      </c>
      <c r="J69" s="26" t="s">
        <v>58</v>
      </c>
      <c r="K69" s="27" t="s">
        <v>6176</v>
      </c>
      <c r="L69" s="28" t="s">
        <v>56</v>
      </c>
      <c r="M69" s="29" t="str">
        <f t="shared" ref="M69:M85" si="9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0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1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2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3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913</v>
      </c>
      <c r="C70" s="44" t="s">
        <v>914</v>
      </c>
      <c r="D70" s="42" t="s">
        <v>838</v>
      </c>
      <c r="E70" s="55">
        <v>46126</v>
      </c>
      <c r="F70" s="26" t="s">
        <v>55</v>
      </c>
      <c r="G70" s="26" t="s">
        <v>58</v>
      </c>
      <c r="H70" s="26" t="s">
        <v>56</v>
      </c>
      <c r="I70" s="26" t="s">
        <v>70</v>
      </c>
      <c r="J70" s="26" t="s">
        <v>58</v>
      </c>
      <c r="K70" s="27" t="s">
        <v>6176</v>
      </c>
      <c r="L70" s="28" t="s">
        <v>56</v>
      </c>
      <c r="M70" s="29" t="str">
        <f t="shared" si="9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0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1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2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3"/>
        <v/>
      </c>
    </row>
    <row r="71" spans="1:49" ht="14.25" customHeight="1" x14ac:dyDescent="0.3">
      <c r="A71" s="23">
        <v>67</v>
      </c>
      <c r="B71" s="24" t="s">
        <v>915</v>
      </c>
      <c r="C71" s="25" t="s">
        <v>916</v>
      </c>
      <c r="D71" s="23" t="s">
        <v>838</v>
      </c>
      <c r="E71" s="55">
        <v>46126</v>
      </c>
      <c r="F71" s="26" t="s">
        <v>55</v>
      </c>
      <c r="G71" s="26" t="s">
        <v>58</v>
      </c>
      <c r="H71" s="26" t="s">
        <v>56</v>
      </c>
      <c r="I71" s="26" t="s">
        <v>70</v>
      </c>
      <c r="J71" s="26" t="s">
        <v>58</v>
      </c>
      <c r="K71" s="27" t="s">
        <v>6176</v>
      </c>
      <c r="L71" s="28" t="s">
        <v>56</v>
      </c>
      <c r="M71" s="29" t="str">
        <f t="shared" si="9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0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1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2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3"/>
        <v/>
      </c>
    </row>
    <row r="72" spans="1:49" ht="14.25" customHeight="1" x14ac:dyDescent="0.3">
      <c r="A72" s="42">
        <v>68</v>
      </c>
      <c r="B72" s="43" t="s">
        <v>917</v>
      </c>
      <c r="C72" s="44" t="s">
        <v>918</v>
      </c>
      <c r="D72" s="42" t="s">
        <v>838</v>
      </c>
      <c r="E72" s="55">
        <v>46126</v>
      </c>
      <c r="F72" s="26" t="s">
        <v>55</v>
      </c>
      <c r="G72" s="26" t="s">
        <v>58</v>
      </c>
      <c r="H72" s="26" t="s">
        <v>56</v>
      </c>
      <c r="I72" s="26" t="s">
        <v>70</v>
      </c>
      <c r="J72" s="26" t="s">
        <v>58</v>
      </c>
      <c r="K72" s="27" t="s">
        <v>6176</v>
      </c>
      <c r="L72" s="28" t="s">
        <v>56</v>
      </c>
      <c r="M72" s="29" t="str">
        <f t="shared" si="9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0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1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2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3"/>
        <v/>
      </c>
    </row>
    <row r="73" spans="1:49" ht="14.25" customHeight="1" x14ac:dyDescent="0.3">
      <c r="A73" s="23">
        <v>69</v>
      </c>
      <c r="B73" s="24" t="s">
        <v>919</v>
      </c>
      <c r="C73" s="25" t="s">
        <v>920</v>
      </c>
      <c r="D73" s="23" t="s">
        <v>838</v>
      </c>
      <c r="E73" s="55">
        <v>46126</v>
      </c>
      <c r="F73" s="26" t="s">
        <v>55</v>
      </c>
      <c r="G73" s="26" t="s">
        <v>58</v>
      </c>
      <c r="H73" s="26" t="s">
        <v>56</v>
      </c>
      <c r="I73" s="26" t="s">
        <v>70</v>
      </c>
      <c r="J73" s="26" t="s">
        <v>58</v>
      </c>
      <c r="K73" s="27" t="s">
        <v>6176</v>
      </c>
      <c r="L73" s="28" t="s">
        <v>56</v>
      </c>
      <c r="M73" s="29" t="str">
        <f t="shared" si="9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0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1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2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3"/>
        <v/>
      </c>
    </row>
    <row r="74" spans="1:49" ht="14.25" customHeight="1" x14ac:dyDescent="0.3">
      <c r="A74" s="42">
        <v>70</v>
      </c>
      <c r="B74" s="43" t="s">
        <v>921</v>
      </c>
      <c r="C74" s="44" t="s">
        <v>922</v>
      </c>
      <c r="D74" s="42" t="s">
        <v>838</v>
      </c>
      <c r="E74" s="55">
        <v>46126</v>
      </c>
      <c r="F74" s="26" t="s">
        <v>55</v>
      </c>
      <c r="G74" s="26" t="s">
        <v>58</v>
      </c>
      <c r="H74" s="26" t="s">
        <v>56</v>
      </c>
      <c r="I74" s="26" t="s">
        <v>70</v>
      </c>
      <c r="J74" s="26" t="s">
        <v>58</v>
      </c>
      <c r="K74" s="27" t="s">
        <v>6176</v>
      </c>
      <c r="L74" s="28" t="s">
        <v>56</v>
      </c>
      <c r="M74" s="29" t="str">
        <f t="shared" si="9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0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1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2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3"/>
        <v/>
      </c>
    </row>
    <row r="75" spans="1:49" ht="14.25" customHeight="1" x14ac:dyDescent="0.3">
      <c r="A75" s="23">
        <v>71</v>
      </c>
      <c r="B75" s="24" t="s">
        <v>923</v>
      </c>
      <c r="C75" s="25" t="s">
        <v>923</v>
      </c>
      <c r="D75" s="23" t="s">
        <v>838</v>
      </c>
      <c r="E75" s="55">
        <v>46126</v>
      </c>
      <c r="F75" s="26" t="s">
        <v>55</v>
      </c>
      <c r="G75" s="26" t="s">
        <v>58</v>
      </c>
      <c r="H75" s="26" t="s">
        <v>56</v>
      </c>
      <c r="I75" s="26" t="s">
        <v>70</v>
      </c>
      <c r="J75" s="26" t="s">
        <v>58</v>
      </c>
      <c r="K75" s="27" t="s">
        <v>6176</v>
      </c>
      <c r="L75" s="28" t="s">
        <v>56</v>
      </c>
      <c r="M75" s="29" t="str">
        <f t="shared" si="9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0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1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2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3"/>
        <v/>
      </c>
    </row>
    <row r="76" spans="1:49" ht="14.25" customHeight="1" x14ac:dyDescent="0.3">
      <c r="A76" s="42">
        <v>72</v>
      </c>
      <c r="B76" s="43" t="s">
        <v>924</v>
      </c>
      <c r="C76" s="44" t="s">
        <v>925</v>
      </c>
      <c r="D76" s="42" t="s">
        <v>838</v>
      </c>
      <c r="E76" s="55">
        <v>46126</v>
      </c>
      <c r="F76" s="26" t="s">
        <v>55</v>
      </c>
      <c r="G76" s="26" t="s">
        <v>58</v>
      </c>
      <c r="H76" s="26" t="s">
        <v>56</v>
      </c>
      <c r="I76" s="26" t="s">
        <v>70</v>
      </c>
      <c r="J76" s="26" t="s">
        <v>58</v>
      </c>
      <c r="K76" s="27" t="s">
        <v>6176</v>
      </c>
      <c r="L76" s="28" t="s">
        <v>56</v>
      </c>
      <c r="M76" s="29" t="str">
        <f t="shared" si="9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0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1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2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3"/>
        <v/>
      </c>
    </row>
    <row r="77" spans="1:49" ht="14.25" customHeight="1" x14ac:dyDescent="0.3">
      <c r="A77" s="23">
        <v>73</v>
      </c>
      <c r="B77" s="24" t="s">
        <v>926</v>
      </c>
      <c r="C77" s="25" t="s">
        <v>927</v>
      </c>
      <c r="D77" s="23" t="s">
        <v>838</v>
      </c>
      <c r="E77" s="55">
        <v>46126</v>
      </c>
      <c r="F77" s="26" t="s">
        <v>55</v>
      </c>
      <c r="G77" s="26" t="s">
        <v>58</v>
      </c>
      <c r="H77" s="26" t="s">
        <v>56</v>
      </c>
      <c r="I77" s="26" t="s">
        <v>70</v>
      </c>
      <c r="J77" s="26" t="s">
        <v>58</v>
      </c>
      <c r="K77" s="27" t="s">
        <v>6176</v>
      </c>
      <c r="L77" s="28" t="s">
        <v>56</v>
      </c>
      <c r="M77" s="29" t="str">
        <f t="shared" si="9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0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1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2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3"/>
        <v/>
      </c>
    </row>
    <row r="78" spans="1:49" ht="14.25" customHeight="1" x14ac:dyDescent="0.3">
      <c r="A78" s="42">
        <v>74</v>
      </c>
      <c r="B78" s="43" t="s">
        <v>928</v>
      </c>
      <c r="C78" s="44" t="s">
        <v>929</v>
      </c>
      <c r="D78" s="42" t="s">
        <v>838</v>
      </c>
      <c r="E78" s="55">
        <v>46126</v>
      </c>
      <c r="F78" s="26" t="s">
        <v>55</v>
      </c>
      <c r="G78" s="26" t="s">
        <v>58</v>
      </c>
      <c r="H78" s="26" t="s">
        <v>56</v>
      </c>
      <c r="I78" s="26" t="s">
        <v>70</v>
      </c>
      <c r="J78" s="26" t="s">
        <v>58</v>
      </c>
      <c r="K78" s="27" t="s">
        <v>6176</v>
      </c>
      <c r="L78" s="28" t="s">
        <v>56</v>
      </c>
      <c r="M78" s="29" t="str">
        <f t="shared" si="9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0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1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2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3"/>
        <v/>
      </c>
    </row>
    <row r="79" spans="1:49" ht="14.25" customHeight="1" x14ac:dyDescent="0.3">
      <c r="A79" s="23">
        <v>75</v>
      </c>
      <c r="B79" s="24" t="s">
        <v>930</v>
      </c>
      <c r="C79" s="25" t="s">
        <v>931</v>
      </c>
      <c r="D79" s="23" t="s">
        <v>838</v>
      </c>
      <c r="E79" s="55">
        <v>46126</v>
      </c>
      <c r="F79" s="26" t="s">
        <v>55</v>
      </c>
      <c r="G79" s="26" t="s">
        <v>58</v>
      </c>
      <c r="H79" s="26" t="s">
        <v>56</v>
      </c>
      <c r="I79" s="26" t="s">
        <v>70</v>
      </c>
      <c r="J79" s="26" t="s">
        <v>58</v>
      </c>
      <c r="K79" s="27" t="s">
        <v>6176</v>
      </c>
      <c r="L79" s="28" t="s">
        <v>56</v>
      </c>
      <c r="M79" s="29" t="str">
        <f t="shared" si="9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0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1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2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3"/>
        <v/>
      </c>
    </row>
    <row r="80" spans="1:49" ht="14.25" customHeight="1" x14ac:dyDescent="0.3">
      <c r="A80" s="42">
        <v>76</v>
      </c>
      <c r="B80" s="43" t="s">
        <v>932</v>
      </c>
      <c r="C80" s="44" t="s">
        <v>933</v>
      </c>
      <c r="D80" s="42" t="s">
        <v>838</v>
      </c>
      <c r="E80" s="55">
        <v>46126</v>
      </c>
      <c r="F80" s="26" t="s">
        <v>55</v>
      </c>
      <c r="G80" s="26" t="s">
        <v>58</v>
      </c>
      <c r="H80" s="26" t="s">
        <v>56</v>
      </c>
      <c r="I80" s="26" t="s">
        <v>70</v>
      </c>
      <c r="J80" s="26" t="s">
        <v>58</v>
      </c>
      <c r="K80" s="27" t="s">
        <v>6176</v>
      </c>
      <c r="L80" s="28" t="s">
        <v>56</v>
      </c>
      <c r="M80" s="29" t="str">
        <f t="shared" si="9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0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1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2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3"/>
        <v/>
      </c>
    </row>
    <row r="81" spans="1:49" ht="14.25" customHeight="1" x14ac:dyDescent="0.3">
      <c r="A81" s="23">
        <v>77</v>
      </c>
      <c r="B81" s="24" t="s">
        <v>934</v>
      </c>
      <c r="C81" s="25" t="s">
        <v>935</v>
      </c>
      <c r="D81" s="23" t="s">
        <v>838</v>
      </c>
      <c r="E81" s="55">
        <v>46126</v>
      </c>
      <c r="F81" s="26" t="s">
        <v>55</v>
      </c>
      <c r="G81" s="26" t="s">
        <v>58</v>
      </c>
      <c r="H81" s="26" t="s">
        <v>56</v>
      </c>
      <c r="I81" s="26" t="s">
        <v>70</v>
      </c>
      <c r="J81" s="26" t="s">
        <v>58</v>
      </c>
      <c r="K81" s="27" t="s">
        <v>6176</v>
      </c>
      <c r="L81" s="28" t="s">
        <v>56</v>
      </c>
      <c r="M81" s="29" t="str">
        <f t="shared" si="9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0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1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2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3"/>
        <v/>
      </c>
    </row>
    <row r="82" spans="1:49" ht="14.25" customHeight="1" x14ac:dyDescent="0.3">
      <c r="A82" s="42">
        <v>78</v>
      </c>
      <c r="B82" s="43" t="s">
        <v>936</v>
      </c>
      <c r="C82" s="44" t="s">
        <v>937</v>
      </c>
      <c r="D82" s="42" t="s">
        <v>838</v>
      </c>
      <c r="E82" s="55">
        <v>46126</v>
      </c>
      <c r="F82" s="26" t="s">
        <v>55</v>
      </c>
      <c r="G82" s="26" t="s">
        <v>58</v>
      </c>
      <c r="H82" s="26" t="s">
        <v>56</v>
      </c>
      <c r="I82" s="26" t="s">
        <v>70</v>
      </c>
      <c r="J82" s="26" t="s">
        <v>58</v>
      </c>
      <c r="K82" s="27" t="s">
        <v>6176</v>
      </c>
      <c r="L82" s="28" t="s">
        <v>56</v>
      </c>
      <c r="M82" s="29" t="str">
        <f t="shared" si="9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0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1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2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3"/>
        <v/>
      </c>
    </row>
    <row r="83" spans="1:49" ht="14.25" customHeight="1" x14ac:dyDescent="0.3">
      <c r="A83" s="23">
        <v>79</v>
      </c>
      <c r="B83" s="24" t="s">
        <v>938</v>
      </c>
      <c r="C83" s="25" t="s">
        <v>939</v>
      </c>
      <c r="D83" s="23" t="s">
        <v>838</v>
      </c>
      <c r="E83" s="55">
        <v>46126</v>
      </c>
      <c r="F83" s="26" t="s">
        <v>55</v>
      </c>
      <c r="G83" s="26" t="s">
        <v>58</v>
      </c>
      <c r="H83" s="26" t="s">
        <v>56</v>
      </c>
      <c r="I83" s="26" t="s">
        <v>70</v>
      </c>
      <c r="J83" s="26" t="s">
        <v>58</v>
      </c>
      <c r="K83" s="27" t="s">
        <v>6176</v>
      </c>
      <c r="L83" s="28" t="s">
        <v>56</v>
      </c>
      <c r="M83" s="29" t="str">
        <f t="shared" si="9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0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1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2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3"/>
        <v/>
      </c>
    </row>
    <row r="84" spans="1:49" ht="14.25" customHeight="1" x14ac:dyDescent="0.3">
      <c r="A84" s="42">
        <v>80</v>
      </c>
      <c r="B84" s="43" t="s">
        <v>940</v>
      </c>
      <c r="C84" s="44" t="s">
        <v>941</v>
      </c>
      <c r="D84" s="42" t="s">
        <v>838</v>
      </c>
      <c r="E84" s="55">
        <v>46126</v>
      </c>
      <c r="F84" s="26" t="s">
        <v>55</v>
      </c>
      <c r="G84" s="26" t="s">
        <v>58</v>
      </c>
      <c r="H84" s="26" t="s">
        <v>56</v>
      </c>
      <c r="I84" s="26" t="s">
        <v>70</v>
      </c>
      <c r="J84" s="26" t="s">
        <v>58</v>
      </c>
      <c r="K84" s="27" t="s">
        <v>6176</v>
      </c>
      <c r="L84" s="28" t="s">
        <v>56</v>
      </c>
      <c r="M84" s="29" t="str">
        <f t="shared" si="9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0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1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2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3"/>
        <v/>
      </c>
    </row>
    <row r="85" spans="1:49" ht="14.25" customHeight="1" x14ac:dyDescent="0.3">
      <c r="A85" s="23">
        <v>81</v>
      </c>
      <c r="B85" s="24" t="s">
        <v>942</v>
      </c>
      <c r="C85" s="25" t="s">
        <v>943</v>
      </c>
      <c r="D85" s="23" t="s">
        <v>838</v>
      </c>
      <c r="E85" s="55">
        <v>46126</v>
      </c>
      <c r="F85" s="26" t="s">
        <v>55</v>
      </c>
      <c r="G85" s="26" t="s">
        <v>58</v>
      </c>
      <c r="H85" s="26" t="s">
        <v>56</v>
      </c>
      <c r="I85" s="26" t="s">
        <v>70</v>
      </c>
      <c r="J85" s="26" t="s">
        <v>58</v>
      </c>
      <c r="K85" s="27" t="s">
        <v>6176</v>
      </c>
      <c r="L85" s="28" t="s">
        <v>56</v>
      </c>
      <c r="M85" s="29" t="str">
        <f t="shared" si="9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0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1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2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3"/>
        <v/>
      </c>
    </row>
  </sheetData>
  <autoFilter ref="A4:AW85" xr:uid="{00000000-0009-0000-0000-000003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85">
    <cfRule type="expression" dxfId="577" priority="55">
      <formula>MOD(ROW(),2)=0</formula>
    </cfRule>
  </conditionalFormatting>
  <conditionalFormatting sqref="F5:AW5 F7:AW8 F6 M6:AW6 F10:AW11 F9 M9:AW9 F13:AW14 F12 M12:AW12 F16:AW19 F15 M15:AW15 F21:AW21 F20 M20:AW20 F23:AW23 F22 M22:AW22 F25:AW27 F24 M24:AW24 F29:AW29 F28 M28:AW28 F30 M30:AW30 F31:AW85">
    <cfRule type="expression" dxfId="576" priority="102">
      <formula>MOD(ROW(),2)=0</formula>
    </cfRule>
  </conditionalFormatting>
  <conditionalFormatting sqref="G5 G7:G8 G10:G11 G13:G14 G16:G19 G21 G23 G25:G27 G29 G31:G85">
    <cfRule type="expression" dxfId="575" priority="61">
      <formula>G5="Yes"</formula>
    </cfRule>
    <cfRule type="expression" dxfId="574" priority="62">
      <formula>G5="No"</formula>
    </cfRule>
  </conditionalFormatting>
  <conditionalFormatting sqref="H5 H7:H8 H10:H11 H13:H14 H16:H19 H21 H23 H25:H27 H29 H31:H85">
    <cfRule type="expression" dxfId="573" priority="63">
      <formula>H5="Yes"</formula>
    </cfRule>
  </conditionalFormatting>
  <conditionalFormatting sqref="J5 J7:J8 J10:J11 J13:J14 J16:J19 J21 J23 J25:J27 J29 J31:J85">
    <cfRule type="expression" dxfId="572" priority="64">
      <formula>J5="Yes"</formula>
    </cfRule>
    <cfRule type="expression" dxfId="571" priority="65">
      <formula>J5="No"</formula>
    </cfRule>
  </conditionalFormatting>
  <conditionalFormatting sqref="M5:M85">
    <cfRule type="expression" dxfId="570" priority="57">
      <formula>M5="✓ OK"</formula>
    </cfRule>
    <cfRule type="expression" dxfId="569" priority="58">
      <formula>M5="❌ Disc"</formula>
    </cfRule>
    <cfRule type="expression" dxfId="568" priority="59">
      <formula>M5="⚠ Missing"</formula>
    </cfRule>
    <cfRule type="expression" dxfId="567" priority="60">
      <formula>M5="⚠ Check"</formula>
    </cfRule>
  </conditionalFormatting>
  <conditionalFormatting sqref="P5:P85">
    <cfRule type="expression" dxfId="566" priority="70">
      <formula>P5="Yes"</formula>
    </cfRule>
    <cfRule type="expression" dxfId="565" priority="71">
      <formula>P5="No"</formula>
    </cfRule>
  </conditionalFormatting>
  <conditionalFormatting sqref="Q5:Q85">
    <cfRule type="expression" dxfId="564" priority="72">
      <formula>Q5="Yes"</formula>
    </cfRule>
  </conditionalFormatting>
  <conditionalFormatting sqref="S5:S85">
    <cfRule type="expression" dxfId="563" priority="73">
      <formula>S5="Yes"</formula>
    </cfRule>
    <cfRule type="expression" dxfId="562" priority="74">
      <formula>S5="No"</formula>
    </cfRule>
  </conditionalFormatting>
  <conditionalFormatting sqref="V5:V85">
    <cfRule type="expression" dxfId="561" priority="66">
      <formula>V5="✓ OK"</formula>
    </cfRule>
    <cfRule type="expression" dxfId="560" priority="67">
      <formula>V5="❌ Disc"</formula>
    </cfRule>
    <cfRule type="expression" dxfId="559" priority="68">
      <formula>V5="⚠ Missing"</formula>
    </cfRule>
    <cfRule type="expression" dxfId="558" priority="69">
      <formula>V5="⚠ Check"</formula>
    </cfRule>
  </conditionalFormatting>
  <conditionalFormatting sqref="Y5:Y85">
    <cfRule type="expression" dxfId="557" priority="80">
      <formula>Y5="No"</formula>
    </cfRule>
    <cfRule type="expression" dxfId="556" priority="79">
      <formula>Y5="Yes"</formula>
    </cfRule>
  </conditionalFormatting>
  <conditionalFormatting sqref="Z5:Z85">
    <cfRule type="expression" dxfId="555" priority="81">
      <formula>Z5="Yes"</formula>
    </cfRule>
  </conditionalFormatting>
  <conditionalFormatting sqref="AB5:AB85">
    <cfRule type="expression" dxfId="554" priority="82">
      <formula>AB5="Yes"</formula>
    </cfRule>
    <cfRule type="expression" dxfId="553" priority="83">
      <formula>AB5="No"</formula>
    </cfRule>
  </conditionalFormatting>
  <conditionalFormatting sqref="AE5:AE85">
    <cfRule type="expression" dxfId="552" priority="75">
      <formula>AE5="✓ OK"</formula>
    </cfRule>
    <cfRule type="expression" dxfId="551" priority="76">
      <formula>AE5="❌ Disc"</formula>
    </cfRule>
    <cfRule type="expression" dxfId="550" priority="77">
      <formula>AE5="⚠ Missing"</formula>
    </cfRule>
    <cfRule type="expression" dxfId="549" priority="78">
      <formula>AE5="⚠ Check"</formula>
    </cfRule>
  </conditionalFormatting>
  <conditionalFormatting sqref="AH5:AH85">
    <cfRule type="expression" dxfId="548" priority="88">
      <formula>AH5="Yes"</formula>
    </cfRule>
    <cfRule type="expression" dxfId="547" priority="89">
      <formula>AH5="No"</formula>
    </cfRule>
  </conditionalFormatting>
  <conditionalFormatting sqref="AI5:AI85">
    <cfRule type="expression" dxfId="546" priority="90">
      <formula>AI5="Yes"</formula>
    </cfRule>
  </conditionalFormatting>
  <conditionalFormatting sqref="AK5:AK85">
    <cfRule type="expression" dxfId="545" priority="91">
      <formula>AK5="Yes"</formula>
    </cfRule>
    <cfRule type="expression" dxfId="544" priority="92">
      <formula>AK5="No"</formula>
    </cfRule>
  </conditionalFormatting>
  <conditionalFormatting sqref="AN5:AN85">
    <cfRule type="expression" dxfId="543" priority="84">
      <formula>AN5="✓ OK"</formula>
    </cfRule>
    <cfRule type="expression" dxfId="542" priority="85">
      <formula>AN5="❌ Disc"</formula>
    </cfRule>
    <cfRule type="expression" dxfId="541" priority="86">
      <formula>AN5="⚠ Missing"</formula>
    </cfRule>
    <cfRule type="expression" dxfId="540" priority="87">
      <formula>AN5="⚠ Check"</formula>
    </cfRule>
  </conditionalFormatting>
  <conditionalFormatting sqref="AQ5:AQ85">
    <cfRule type="expression" dxfId="539" priority="98">
      <formula>AQ5="No"</formula>
    </cfRule>
    <cfRule type="expression" dxfId="538" priority="97">
      <formula>AQ5="Yes"</formula>
    </cfRule>
  </conditionalFormatting>
  <conditionalFormatting sqref="AR5:AR85">
    <cfRule type="expression" dxfId="537" priority="99">
      <formula>AR5="Yes"</formula>
    </cfRule>
  </conditionalFormatting>
  <conditionalFormatting sqref="AT5:AT85">
    <cfRule type="expression" dxfId="536" priority="100">
      <formula>AT5="Yes"</formula>
    </cfRule>
    <cfRule type="expression" dxfId="535" priority="101">
      <formula>AT5="No"</formula>
    </cfRule>
  </conditionalFormatting>
  <conditionalFormatting sqref="AW5:AW85">
    <cfRule type="expression" dxfId="534" priority="93">
      <formula>AW5="✓ OK"</formula>
    </cfRule>
    <cfRule type="expression" dxfId="533" priority="94">
      <formula>AW5="❌ Disc"</formula>
    </cfRule>
    <cfRule type="expression" dxfId="532" priority="95">
      <formula>AW5="⚠ Missing"</formula>
    </cfRule>
    <cfRule type="expression" dxfId="531" priority="96">
      <formula>AW5="⚠ Check"</formula>
    </cfRule>
  </conditionalFormatting>
  <conditionalFormatting sqref="G6:L6">
    <cfRule type="expression" dxfId="71" priority="54">
      <formula>MOD(ROW(),2)=0</formula>
    </cfRule>
  </conditionalFormatting>
  <conditionalFormatting sqref="G6">
    <cfRule type="expression" dxfId="69" priority="49">
      <formula>G6="Yes"</formula>
    </cfRule>
    <cfRule type="expression" dxfId="70" priority="50">
      <formula>G6="No"</formula>
    </cfRule>
  </conditionalFormatting>
  <conditionalFormatting sqref="H6">
    <cfRule type="expression" dxfId="68" priority="51">
      <formula>H6="Yes"</formula>
    </cfRule>
  </conditionalFormatting>
  <conditionalFormatting sqref="J6">
    <cfRule type="expression" dxfId="67" priority="52">
      <formula>J6="Yes"</formula>
    </cfRule>
    <cfRule type="expression" dxfId="66" priority="53">
      <formula>J6="No"</formula>
    </cfRule>
  </conditionalFormatting>
  <conditionalFormatting sqref="G9:L9">
    <cfRule type="expression" dxfId="65" priority="48">
      <formula>MOD(ROW(),2)=0</formula>
    </cfRule>
  </conditionalFormatting>
  <conditionalFormatting sqref="G9">
    <cfRule type="expression" dxfId="63" priority="43">
      <formula>G9="Yes"</formula>
    </cfRule>
    <cfRule type="expression" dxfId="64" priority="44">
      <formula>G9="No"</formula>
    </cfRule>
  </conditionalFormatting>
  <conditionalFormatting sqref="H9">
    <cfRule type="expression" dxfId="62" priority="45">
      <formula>H9="Yes"</formula>
    </cfRule>
  </conditionalFormatting>
  <conditionalFormatting sqref="J9">
    <cfRule type="expression" dxfId="61" priority="46">
      <formula>J9="Yes"</formula>
    </cfRule>
    <cfRule type="expression" dxfId="60" priority="47">
      <formula>J9="No"</formula>
    </cfRule>
  </conditionalFormatting>
  <conditionalFormatting sqref="G12:L12">
    <cfRule type="expression" dxfId="59" priority="42">
      <formula>MOD(ROW(),2)=0</formula>
    </cfRule>
  </conditionalFormatting>
  <conditionalFormatting sqref="G12">
    <cfRule type="expression" dxfId="57" priority="37">
      <formula>G12="Yes"</formula>
    </cfRule>
    <cfRule type="expression" dxfId="58" priority="38">
      <formula>G12="No"</formula>
    </cfRule>
  </conditionalFormatting>
  <conditionalFormatting sqref="H12">
    <cfRule type="expression" dxfId="56" priority="39">
      <formula>H12="Yes"</formula>
    </cfRule>
  </conditionalFormatting>
  <conditionalFormatting sqref="J12">
    <cfRule type="expression" dxfId="55" priority="40">
      <formula>J12="Yes"</formula>
    </cfRule>
    <cfRule type="expression" dxfId="54" priority="41">
      <formula>J12="No"</formula>
    </cfRule>
  </conditionalFormatting>
  <conditionalFormatting sqref="G15:L15">
    <cfRule type="expression" dxfId="41" priority="36">
      <formula>MOD(ROW(),2)=0</formula>
    </cfRule>
  </conditionalFormatting>
  <conditionalFormatting sqref="G15">
    <cfRule type="expression" dxfId="39" priority="31">
      <formula>G15="Yes"</formula>
    </cfRule>
    <cfRule type="expression" dxfId="40" priority="32">
      <formula>G15="No"</formula>
    </cfRule>
  </conditionalFormatting>
  <conditionalFormatting sqref="H15">
    <cfRule type="expression" dxfId="38" priority="33">
      <formula>H15="Yes"</formula>
    </cfRule>
  </conditionalFormatting>
  <conditionalFormatting sqref="J15">
    <cfRule type="expression" dxfId="37" priority="34">
      <formula>J15="Yes"</formula>
    </cfRule>
    <cfRule type="expression" dxfId="36" priority="35">
      <formula>J15="No"</formula>
    </cfRule>
  </conditionalFormatting>
  <conditionalFormatting sqref="G20:L20">
    <cfRule type="expression" dxfId="35" priority="30">
      <formula>MOD(ROW(),2)=0</formula>
    </cfRule>
  </conditionalFormatting>
  <conditionalFormatting sqref="G20">
    <cfRule type="expression" dxfId="33" priority="25">
      <formula>G20="Yes"</formula>
    </cfRule>
    <cfRule type="expression" dxfId="34" priority="26">
      <formula>G20="No"</formula>
    </cfRule>
  </conditionalFormatting>
  <conditionalFormatting sqref="H20">
    <cfRule type="expression" dxfId="32" priority="27">
      <formula>H20="Yes"</formula>
    </cfRule>
  </conditionalFormatting>
  <conditionalFormatting sqref="J20">
    <cfRule type="expression" dxfId="31" priority="28">
      <formula>J20="Yes"</formula>
    </cfRule>
    <cfRule type="expression" dxfId="30" priority="29">
      <formula>J20="No"</formula>
    </cfRule>
  </conditionalFormatting>
  <conditionalFormatting sqref="G22:L22">
    <cfRule type="expression" dxfId="29" priority="24">
      <formula>MOD(ROW(),2)=0</formula>
    </cfRule>
  </conditionalFormatting>
  <conditionalFormatting sqref="G22">
    <cfRule type="expression" dxfId="27" priority="19">
      <formula>G22="Yes"</formula>
    </cfRule>
    <cfRule type="expression" dxfId="28" priority="20">
      <formula>G22="No"</formula>
    </cfRule>
  </conditionalFormatting>
  <conditionalFormatting sqref="H22">
    <cfRule type="expression" dxfId="26" priority="21">
      <formula>H22="Yes"</formula>
    </cfRule>
  </conditionalFormatting>
  <conditionalFormatting sqref="J22">
    <cfRule type="expression" dxfId="25" priority="22">
      <formula>J22="Yes"</formula>
    </cfRule>
    <cfRule type="expression" dxfId="24" priority="23">
      <formula>J22="No"</formula>
    </cfRule>
  </conditionalFormatting>
  <conditionalFormatting sqref="G24:L24">
    <cfRule type="expression" dxfId="23" priority="18">
      <formula>MOD(ROW(),2)=0</formula>
    </cfRule>
  </conditionalFormatting>
  <conditionalFormatting sqref="G24">
    <cfRule type="expression" dxfId="21" priority="13">
      <formula>G24="Yes"</formula>
    </cfRule>
    <cfRule type="expression" dxfId="22" priority="14">
      <formula>G24="No"</formula>
    </cfRule>
  </conditionalFormatting>
  <conditionalFormatting sqref="H24">
    <cfRule type="expression" dxfId="20" priority="15">
      <formula>H24="Yes"</formula>
    </cfRule>
  </conditionalFormatting>
  <conditionalFormatting sqref="J24">
    <cfRule type="expression" dxfId="19" priority="16">
      <formula>J24="Yes"</formula>
    </cfRule>
    <cfRule type="expression" dxfId="18" priority="17">
      <formula>J24="No"</formula>
    </cfRule>
  </conditionalFormatting>
  <conditionalFormatting sqref="G28:L28">
    <cfRule type="expression" dxfId="11" priority="12">
      <formula>MOD(ROW(),2)=0</formula>
    </cfRule>
  </conditionalFormatting>
  <conditionalFormatting sqref="G28">
    <cfRule type="expression" dxfId="9" priority="7">
      <formula>G28="Yes"</formula>
    </cfRule>
    <cfRule type="expression" dxfId="10" priority="8">
      <formula>G28="No"</formula>
    </cfRule>
  </conditionalFormatting>
  <conditionalFormatting sqref="H28">
    <cfRule type="expression" dxfId="8" priority="9">
      <formula>H28="Yes"</formula>
    </cfRule>
  </conditionalFormatting>
  <conditionalFormatting sqref="J28">
    <cfRule type="expression" dxfId="7" priority="10">
      <formula>J28="Yes"</formula>
    </cfRule>
    <cfRule type="expression" dxfId="6" priority="11">
      <formula>J28="No"</formula>
    </cfRule>
  </conditionalFormatting>
  <conditionalFormatting sqref="G30:L30">
    <cfRule type="expression" dxfId="5" priority="6">
      <formula>MOD(ROW(),2)=0</formula>
    </cfRule>
  </conditionalFormatting>
  <conditionalFormatting sqref="G30">
    <cfRule type="expression" dxfId="3" priority="1">
      <formula>G30="Yes"</formula>
    </cfRule>
    <cfRule type="expression" dxfId="4" priority="2">
      <formula>G30="No"</formula>
    </cfRule>
  </conditionalFormatting>
  <conditionalFormatting sqref="H30">
    <cfRule type="expression" dxfId="2" priority="3">
      <formula>H30="Yes"</formula>
    </cfRule>
  </conditionalFormatting>
  <conditionalFormatting sqref="J30">
    <cfRule type="expression" dxfId="1" priority="4">
      <formula>J30="Yes"</formula>
    </cfRule>
    <cfRule type="expression" dxfId="0" priority="5">
      <formula>J30="No"</formula>
    </cfRule>
  </conditionalFormatting>
  <dataValidations count="3">
    <dataValidation type="list" allowBlank="1" sqref="AS5:AS85 R5:R85 AA5:AA85 AJ5:AJ85 I5:I85" xr:uid="{00000000-0002-0000-0300-000000000000}">
      <formula1>"Good finish,Minor defect,Major defect,Discontinued,Not Available"</formula1>
      <formula2>0</formula2>
    </dataValidation>
    <dataValidation type="list" allowBlank="1" sqref="AT5:AT85 P5:Q85 S5:S85 Y5:Z85 AB5:AB85 AH5:AI85 AK5:AK85 AQ5:AR85 G5:H5 H6 G7:H8 H9 G10:H11 H12 G13:H14 H15 G16:H19 H20 G21:H21 H22 G23:H23 H24 G25:H27 H28 J5:J85 G29:H29 G31:H85 H30" xr:uid="{00000000-0002-0000-0300-000001000000}">
      <formula1>"Yes,No"</formula1>
      <formula2>0</formula2>
    </dataValidation>
    <dataValidation type="list" allowBlank="1" sqref="G6 G9 G12 G15 G20 G22 G24 G28 G30" xr:uid="{2214338F-86DC-455E-ABDB-7F4A08831FA1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FF"/>
  </sheetPr>
  <dimension ref="A1:AW168"/>
  <sheetViews>
    <sheetView zoomScaleNormal="100" workbookViewId="0">
      <pane xSplit="4" ySplit="4" topLeftCell="E52" activePane="bottomRight" state="frozen"/>
      <selection pane="topRight" activeCell="E1" sqref="E1"/>
      <selection pane="bottomLeft" activeCell="A5" sqref="A5"/>
      <selection pane="bottomRight" activeCell="F68" sqref="F68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4" t="s">
        <v>944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</row>
    <row r="2" spans="1:49" ht="15" customHeight="1" x14ac:dyDescent="0.3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85"/>
      <c r="AT2" s="85"/>
      <c r="AU2" s="85"/>
      <c r="AV2" s="85"/>
      <c r="AW2" s="85"/>
    </row>
    <row r="3" spans="1:49" ht="19.5" customHeight="1" x14ac:dyDescent="0.3">
      <c r="A3" s="22"/>
      <c r="B3" s="22"/>
      <c r="C3" s="22"/>
      <c r="D3" s="22"/>
      <c r="E3" s="86" t="s">
        <v>34</v>
      </c>
      <c r="F3" s="86"/>
      <c r="G3" s="86"/>
      <c r="H3" s="86"/>
      <c r="I3" s="86"/>
      <c r="J3" s="86"/>
      <c r="K3" s="86"/>
      <c r="L3" s="86"/>
      <c r="M3" s="86"/>
      <c r="N3" s="87" t="s">
        <v>35</v>
      </c>
      <c r="O3" s="87"/>
      <c r="P3" s="87"/>
      <c r="Q3" s="87"/>
      <c r="R3" s="87"/>
      <c r="S3" s="87"/>
      <c r="T3" s="87"/>
      <c r="U3" s="87"/>
      <c r="V3" s="87"/>
      <c r="W3" s="88" t="s">
        <v>36</v>
      </c>
      <c r="X3" s="88"/>
      <c r="Y3" s="88"/>
      <c r="Z3" s="88"/>
      <c r="AA3" s="88"/>
      <c r="AB3" s="88"/>
      <c r="AC3" s="88"/>
      <c r="AD3" s="88"/>
      <c r="AE3" s="88"/>
      <c r="AF3" s="89" t="s">
        <v>37</v>
      </c>
      <c r="AG3" s="89"/>
      <c r="AH3" s="89"/>
      <c r="AI3" s="89"/>
      <c r="AJ3" s="89"/>
      <c r="AK3" s="89"/>
      <c r="AL3" s="89"/>
      <c r="AM3" s="89"/>
      <c r="AN3" s="89"/>
      <c r="AO3" s="90" t="s">
        <v>38</v>
      </c>
      <c r="AP3" s="90"/>
      <c r="AQ3" s="90"/>
      <c r="AR3" s="90"/>
      <c r="AS3" s="90"/>
      <c r="AT3" s="90"/>
      <c r="AU3" s="90"/>
      <c r="AV3" s="90"/>
      <c r="AW3" s="90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945</v>
      </c>
      <c r="C5" s="25" t="s">
        <v>946</v>
      </c>
      <c r="D5" s="23" t="s">
        <v>947</v>
      </c>
      <c r="E5" s="55">
        <v>46125</v>
      </c>
      <c r="F5" s="26" t="s">
        <v>948</v>
      </c>
      <c r="G5" s="26" t="s">
        <v>58</v>
      </c>
      <c r="H5" s="26" t="s">
        <v>56</v>
      </c>
      <c r="I5" s="26" t="s">
        <v>70</v>
      </c>
      <c r="J5" s="26" t="s">
        <v>58</v>
      </c>
      <c r="K5" s="27"/>
      <c r="L5" s="28" t="s">
        <v>949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950</v>
      </c>
      <c r="C6" s="44" t="s">
        <v>951</v>
      </c>
      <c r="D6" s="42" t="s">
        <v>947</v>
      </c>
      <c r="E6" s="55">
        <v>46125</v>
      </c>
      <c r="F6" s="26" t="s">
        <v>948</v>
      </c>
      <c r="G6" s="26" t="s">
        <v>58</v>
      </c>
      <c r="H6" s="26" t="s">
        <v>56</v>
      </c>
      <c r="I6" s="26" t="s">
        <v>70</v>
      </c>
      <c r="J6" s="26" t="s">
        <v>58</v>
      </c>
      <c r="K6" s="27"/>
      <c r="L6" s="28" t="s">
        <v>949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952</v>
      </c>
      <c r="C7" s="25" t="s">
        <v>953</v>
      </c>
      <c r="D7" s="23" t="s">
        <v>947</v>
      </c>
      <c r="E7" s="55">
        <v>46125</v>
      </c>
      <c r="F7" s="26" t="s">
        <v>948</v>
      </c>
      <c r="G7" s="26" t="s">
        <v>58</v>
      </c>
      <c r="H7" s="26" t="s">
        <v>56</v>
      </c>
      <c r="I7" s="26" t="s">
        <v>70</v>
      </c>
      <c r="J7" s="26" t="s">
        <v>58</v>
      </c>
      <c r="K7" s="27"/>
      <c r="L7" s="28" t="s">
        <v>949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954</v>
      </c>
      <c r="C8" s="44" t="s">
        <v>955</v>
      </c>
      <c r="D8" s="42" t="s">
        <v>947</v>
      </c>
      <c r="E8" s="55">
        <v>46125</v>
      </c>
      <c r="F8" s="26" t="s">
        <v>948</v>
      </c>
      <c r="G8" s="26" t="s">
        <v>58</v>
      </c>
      <c r="H8" s="26" t="s">
        <v>56</v>
      </c>
      <c r="I8" s="26" t="s">
        <v>70</v>
      </c>
      <c r="J8" s="26" t="s">
        <v>58</v>
      </c>
      <c r="K8" s="27"/>
      <c r="L8" s="28" t="s">
        <v>949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956</v>
      </c>
      <c r="C9" s="25" t="s">
        <v>957</v>
      </c>
      <c r="D9" s="23" t="s">
        <v>947</v>
      </c>
      <c r="E9" s="55">
        <v>46125</v>
      </c>
      <c r="F9" s="26" t="s">
        <v>948</v>
      </c>
      <c r="G9" s="26" t="s">
        <v>58</v>
      </c>
      <c r="H9" s="26" t="s">
        <v>56</v>
      </c>
      <c r="I9" s="26" t="s">
        <v>70</v>
      </c>
      <c r="J9" s="26" t="s">
        <v>58</v>
      </c>
      <c r="K9" s="27"/>
      <c r="L9" s="28" t="s">
        <v>949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958</v>
      </c>
      <c r="C10" s="44" t="s">
        <v>959</v>
      </c>
      <c r="D10" s="42" t="s">
        <v>947</v>
      </c>
      <c r="E10" s="55">
        <v>46125</v>
      </c>
      <c r="F10" s="26" t="s">
        <v>948</v>
      </c>
      <c r="G10" s="26" t="s">
        <v>58</v>
      </c>
      <c r="H10" s="26" t="s">
        <v>56</v>
      </c>
      <c r="I10" s="26" t="s">
        <v>70</v>
      </c>
      <c r="J10" s="26" t="s">
        <v>58</v>
      </c>
      <c r="K10" s="27"/>
      <c r="L10" s="28" t="s">
        <v>949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960</v>
      </c>
      <c r="C11" s="25" t="s">
        <v>961</v>
      </c>
      <c r="D11" s="23" t="s">
        <v>947</v>
      </c>
      <c r="E11" s="55">
        <v>46125</v>
      </c>
      <c r="F11" s="26" t="s">
        <v>948</v>
      </c>
      <c r="G11" s="26" t="s">
        <v>58</v>
      </c>
      <c r="H11" s="26" t="s">
        <v>56</v>
      </c>
      <c r="I11" s="26" t="s">
        <v>70</v>
      </c>
      <c r="J11" s="26" t="s">
        <v>58</v>
      </c>
      <c r="K11" s="27"/>
      <c r="L11" s="28" t="s">
        <v>949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962</v>
      </c>
      <c r="C12" s="44" t="s">
        <v>963</v>
      </c>
      <c r="D12" s="42" t="s">
        <v>947</v>
      </c>
      <c r="E12" s="55">
        <v>46125</v>
      </c>
      <c r="F12" s="26" t="s">
        <v>948</v>
      </c>
      <c r="G12" s="26" t="s">
        <v>58</v>
      </c>
      <c r="H12" s="26" t="s">
        <v>56</v>
      </c>
      <c r="I12" s="26" t="s">
        <v>70</v>
      </c>
      <c r="J12" s="26" t="s">
        <v>58</v>
      </c>
      <c r="K12" s="27"/>
      <c r="L12" s="28" t="s">
        <v>949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964</v>
      </c>
      <c r="C13" s="25" t="s">
        <v>965</v>
      </c>
      <c r="D13" s="23" t="s">
        <v>947</v>
      </c>
      <c r="E13" s="55">
        <v>46125</v>
      </c>
      <c r="F13" s="26" t="s">
        <v>948</v>
      </c>
      <c r="G13" s="26" t="s">
        <v>58</v>
      </c>
      <c r="H13" s="26" t="s">
        <v>56</v>
      </c>
      <c r="I13" s="26" t="s">
        <v>70</v>
      </c>
      <c r="J13" s="26" t="s">
        <v>58</v>
      </c>
      <c r="K13" s="27"/>
      <c r="L13" s="28" t="s">
        <v>949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966</v>
      </c>
      <c r="C14" s="44" t="s">
        <v>967</v>
      </c>
      <c r="D14" s="42" t="s">
        <v>947</v>
      </c>
      <c r="E14" s="55">
        <v>46125</v>
      </c>
      <c r="F14" s="26" t="s">
        <v>948</v>
      </c>
      <c r="G14" s="26" t="s">
        <v>58</v>
      </c>
      <c r="H14" s="26" t="s">
        <v>56</v>
      </c>
      <c r="I14" s="26" t="s">
        <v>70</v>
      </c>
      <c r="J14" s="26" t="s">
        <v>58</v>
      </c>
      <c r="K14" s="27"/>
      <c r="L14" s="28" t="s">
        <v>949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968</v>
      </c>
      <c r="C15" s="25" t="s">
        <v>969</v>
      </c>
      <c r="D15" s="23" t="s">
        <v>947</v>
      </c>
      <c r="E15" s="55">
        <v>46125</v>
      </c>
      <c r="F15" s="26" t="s">
        <v>948</v>
      </c>
      <c r="G15" s="26" t="s">
        <v>58</v>
      </c>
      <c r="H15" s="26" t="s">
        <v>56</v>
      </c>
      <c r="I15" s="26" t="s">
        <v>70</v>
      </c>
      <c r="J15" s="26" t="s">
        <v>58</v>
      </c>
      <c r="K15" s="27"/>
      <c r="L15" s="28" t="s">
        <v>949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970</v>
      </c>
      <c r="C16" s="44" t="s">
        <v>971</v>
      </c>
      <c r="D16" s="42" t="s">
        <v>947</v>
      </c>
      <c r="E16" s="55">
        <v>46125</v>
      </c>
      <c r="F16" s="26" t="s">
        <v>948</v>
      </c>
      <c r="G16" s="26" t="s">
        <v>58</v>
      </c>
      <c r="H16" s="26" t="s">
        <v>56</v>
      </c>
      <c r="I16" s="26" t="s">
        <v>70</v>
      </c>
      <c r="J16" s="26" t="s">
        <v>58</v>
      </c>
      <c r="K16" s="27"/>
      <c r="L16" s="28" t="s">
        <v>949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972</v>
      </c>
      <c r="C17" s="25" t="s">
        <v>973</v>
      </c>
      <c r="D17" s="23" t="s">
        <v>947</v>
      </c>
      <c r="E17" s="55">
        <v>46125</v>
      </c>
      <c r="F17" s="26" t="s">
        <v>948</v>
      </c>
      <c r="G17" s="26" t="s">
        <v>58</v>
      </c>
      <c r="H17" s="26" t="s">
        <v>56</v>
      </c>
      <c r="I17" s="26" t="s">
        <v>70</v>
      </c>
      <c r="J17" s="26" t="s">
        <v>58</v>
      </c>
      <c r="K17" s="27"/>
      <c r="L17" s="28" t="s">
        <v>949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974</v>
      </c>
      <c r="C18" s="44" t="s">
        <v>975</v>
      </c>
      <c r="D18" s="42" t="s">
        <v>947</v>
      </c>
      <c r="E18" s="55">
        <v>46125</v>
      </c>
      <c r="F18" s="26" t="s">
        <v>948</v>
      </c>
      <c r="G18" s="26" t="s">
        <v>58</v>
      </c>
      <c r="H18" s="26" t="s">
        <v>56</v>
      </c>
      <c r="I18" s="26" t="s">
        <v>70</v>
      </c>
      <c r="J18" s="26" t="s">
        <v>58</v>
      </c>
      <c r="K18" s="27"/>
      <c r="L18" s="28" t="s">
        <v>949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976</v>
      </c>
      <c r="C19" s="25" t="s">
        <v>977</v>
      </c>
      <c r="D19" s="23" t="s">
        <v>947</v>
      </c>
      <c r="E19" s="55">
        <v>46125</v>
      </c>
      <c r="F19" s="26" t="s">
        <v>948</v>
      </c>
      <c r="G19" s="26" t="s">
        <v>58</v>
      </c>
      <c r="H19" s="26" t="s">
        <v>56</v>
      </c>
      <c r="I19" s="26" t="s">
        <v>70</v>
      </c>
      <c r="J19" s="26" t="s">
        <v>58</v>
      </c>
      <c r="K19" s="27"/>
      <c r="L19" s="28" t="s">
        <v>949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978</v>
      </c>
      <c r="C20" s="44" t="s">
        <v>979</v>
      </c>
      <c r="D20" s="42" t="s">
        <v>947</v>
      </c>
      <c r="E20" s="55">
        <v>46125</v>
      </c>
      <c r="F20" s="26" t="s">
        <v>948</v>
      </c>
      <c r="G20" s="26" t="s">
        <v>58</v>
      </c>
      <c r="H20" s="26" t="s">
        <v>56</v>
      </c>
      <c r="I20" s="26" t="s">
        <v>70</v>
      </c>
      <c r="J20" s="26" t="s">
        <v>58</v>
      </c>
      <c r="K20" s="27"/>
      <c r="L20" s="28" t="s">
        <v>949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980</v>
      </c>
      <c r="C21" s="25" t="s">
        <v>981</v>
      </c>
      <c r="D21" s="23" t="s">
        <v>947</v>
      </c>
      <c r="E21" s="55">
        <v>46125</v>
      </c>
      <c r="F21" s="26" t="s">
        <v>948</v>
      </c>
      <c r="G21" s="26" t="s">
        <v>58</v>
      </c>
      <c r="H21" s="26" t="s">
        <v>56</v>
      </c>
      <c r="I21" s="26" t="s">
        <v>70</v>
      </c>
      <c r="J21" s="26" t="s">
        <v>58</v>
      </c>
      <c r="K21" s="27"/>
      <c r="L21" s="28" t="s">
        <v>949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982</v>
      </c>
      <c r="C22" s="44" t="s">
        <v>983</v>
      </c>
      <c r="D22" s="42" t="s">
        <v>947</v>
      </c>
      <c r="E22" s="55">
        <v>46125</v>
      </c>
      <c r="F22" s="26" t="s">
        <v>948</v>
      </c>
      <c r="G22" s="26" t="s">
        <v>58</v>
      </c>
      <c r="H22" s="26" t="s">
        <v>56</v>
      </c>
      <c r="I22" s="26" t="s">
        <v>70</v>
      </c>
      <c r="J22" s="26" t="s">
        <v>58</v>
      </c>
      <c r="K22" s="27"/>
      <c r="L22" s="28" t="s">
        <v>949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984</v>
      </c>
      <c r="C23" s="25" t="s">
        <v>985</v>
      </c>
      <c r="D23" s="23" t="s">
        <v>947</v>
      </c>
      <c r="E23" s="55">
        <v>46125</v>
      </c>
      <c r="F23" s="26" t="s">
        <v>948</v>
      </c>
      <c r="G23" s="26" t="s">
        <v>58</v>
      </c>
      <c r="H23" s="26" t="s">
        <v>56</v>
      </c>
      <c r="I23" s="26" t="s">
        <v>70</v>
      </c>
      <c r="J23" s="26" t="s">
        <v>58</v>
      </c>
      <c r="K23" s="27"/>
      <c r="L23" s="28" t="s">
        <v>949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986</v>
      </c>
      <c r="C24" s="44" t="s">
        <v>987</v>
      </c>
      <c r="D24" s="42" t="s">
        <v>947</v>
      </c>
      <c r="E24" s="55">
        <v>46125</v>
      </c>
      <c r="F24" s="26" t="s">
        <v>948</v>
      </c>
      <c r="G24" s="26" t="s">
        <v>58</v>
      </c>
      <c r="H24" s="26" t="s">
        <v>56</v>
      </c>
      <c r="I24" s="26" t="s">
        <v>70</v>
      </c>
      <c r="J24" s="26" t="s">
        <v>58</v>
      </c>
      <c r="K24" s="27"/>
      <c r="L24" s="28" t="s">
        <v>949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988</v>
      </c>
      <c r="C25" s="25" t="s">
        <v>989</v>
      </c>
      <c r="D25" s="23" t="s">
        <v>947</v>
      </c>
      <c r="E25" s="55">
        <v>46125</v>
      </c>
      <c r="F25" s="26" t="s">
        <v>948</v>
      </c>
      <c r="G25" s="26" t="s">
        <v>58</v>
      </c>
      <c r="H25" s="26" t="s">
        <v>56</v>
      </c>
      <c r="I25" s="26" t="s">
        <v>70</v>
      </c>
      <c r="J25" s="26" t="s">
        <v>58</v>
      </c>
      <c r="K25" s="27"/>
      <c r="L25" s="28" t="s">
        <v>949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990</v>
      </c>
      <c r="C26" s="44" t="s">
        <v>991</v>
      </c>
      <c r="D26" s="42" t="s">
        <v>947</v>
      </c>
      <c r="E26" s="55">
        <v>46125</v>
      </c>
      <c r="F26" s="26" t="s">
        <v>948</v>
      </c>
      <c r="G26" s="26" t="s">
        <v>58</v>
      </c>
      <c r="H26" s="26" t="s">
        <v>56</v>
      </c>
      <c r="I26" s="26" t="s">
        <v>70</v>
      </c>
      <c r="J26" s="26" t="s">
        <v>58</v>
      </c>
      <c r="K26" s="27"/>
      <c r="L26" s="28" t="s">
        <v>949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992</v>
      </c>
      <c r="C27" s="25" t="s">
        <v>993</v>
      </c>
      <c r="D27" s="23" t="s">
        <v>947</v>
      </c>
      <c r="E27" s="55">
        <v>46125</v>
      </c>
      <c r="F27" s="26" t="s">
        <v>948</v>
      </c>
      <c r="G27" s="26" t="s">
        <v>58</v>
      </c>
      <c r="H27" s="26" t="s">
        <v>56</v>
      </c>
      <c r="I27" s="26" t="s">
        <v>70</v>
      </c>
      <c r="J27" s="26" t="s">
        <v>58</v>
      </c>
      <c r="K27" s="27"/>
      <c r="L27" s="28" t="s">
        <v>949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994</v>
      </c>
      <c r="C28" s="44" t="s">
        <v>995</v>
      </c>
      <c r="D28" s="42" t="s">
        <v>947</v>
      </c>
      <c r="E28" s="55">
        <v>46125</v>
      </c>
      <c r="F28" s="26" t="s">
        <v>948</v>
      </c>
      <c r="G28" s="26" t="s">
        <v>58</v>
      </c>
      <c r="H28" s="26" t="s">
        <v>56</v>
      </c>
      <c r="I28" s="26" t="s">
        <v>70</v>
      </c>
      <c r="J28" s="26" t="s">
        <v>58</v>
      </c>
      <c r="K28" s="27"/>
      <c r="L28" s="28" t="s">
        <v>949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996</v>
      </c>
      <c r="C29" s="25" t="s">
        <v>997</v>
      </c>
      <c r="D29" s="23" t="s">
        <v>947</v>
      </c>
      <c r="E29" s="55">
        <v>46125</v>
      </c>
      <c r="F29" s="26" t="s">
        <v>948</v>
      </c>
      <c r="G29" s="26" t="s">
        <v>58</v>
      </c>
      <c r="H29" s="26" t="s">
        <v>56</v>
      </c>
      <c r="I29" s="26" t="s">
        <v>70</v>
      </c>
      <c r="J29" s="26" t="s">
        <v>58</v>
      </c>
      <c r="K29" s="27"/>
      <c r="L29" s="28" t="s">
        <v>949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998</v>
      </c>
      <c r="C30" s="44" t="s">
        <v>999</v>
      </c>
      <c r="D30" s="42" t="s">
        <v>947</v>
      </c>
      <c r="E30" s="55">
        <v>46125</v>
      </c>
      <c r="F30" s="26" t="s">
        <v>948</v>
      </c>
      <c r="G30" s="26" t="s">
        <v>58</v>
      </c>
      <c r="H30" s="26" t="s">
        <v>56</v>
      </c>
      <c r="I30" s="26" t="s">
        <v>70</v>
      </c>
      <c r="J30" s="26" t="s">
        <v>58</v>
      </c>
      <c r="K30" s="27"/>
      <c r="L30" s="28" t="s">
        <v>949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1000</v>
      </c>
      <c r="C31" s="25" t="s">
        <v>1001</v>
      </c>
      <c r="D31" s="23" t="s">
        <v>947</v>
      </c>
      <c r="E31" s="55">
        <v>46125</v>
      </c>
      <c r="F31" s="26" t="s">
        <v>948</v>
      </c>
      <c r="G31" s="26" t="s">
        <v>58</v>
      </c>
      <c r="H31" s="26" t="s">
        <v>56</v>
      </c>
      <c r="I31" s="26" t="s">
        <v>70</v>
      </c>
      <c r="J31" s="26" t="s">
        <v>58</v>
      </c>
      <c r="K31" s="27"/>
      <c r="L31" s="28" t="s">
        <v>949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1002</v>
      </c>
      <c r="C32" s="44" t="s">
        <v>1003</v>
      </c>
      <c r="D32" s="42" t="s">
        <v>947</v>
      </c>
      <c r="E32" s="55">
        <v>46125</v>
      </c>
      <c r="F32" s="26" t="s">
        <v>948</v>
      </c>
      <c r="G32" s="26" t="s">
        <v>58</v>
      </c>
      <c r="H32" s="26" t="s">
        <v>56</v>
      </c>
      <c r="I32" s="26" t="s">
        <v>70</v>
      </c>
      <c r="J32" s="26" t="s">
        <v>58</v>
      </c>
      <c r="K32" s="27"/>
      <c r="L32" s="28" t="s">
        <v>949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1004</v>
      </c>
      <c r="C33" s="25" t="s">
        <v>1005</v>
      </c>
      <c r="D33" s="23" t="s">
        <v>947</v>
      </c>
      <c r="E33" s="55">
        <v>46125</v>
      </c>
      <c r="F33" s="26" t="s">
        <v>948</v>
      </c>
      <c r="G33" s="26" t="s">
        <v>58</v>
      </c>
      <c r="H33" s="26" t="s">
        <v>56</v>
      </c>
      <c r="I33" s="26" t="s">
        <v>70</v>
      </c>
      <c r="J33" s="26" t="s">
        <v>58</v>
      </c>
      <c r="K33" s="27"/>
      <c r="L33" s="28" t="s">
        <v>949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1006</v>
      </c>
      <c r="C34" s="44" t="s">
        <v>1007</v>
      </c>
      <c r="D34" s="42" t="s">
        <v>947</v>
      </c>
      <c r="E34" s="55">
        <v>46125</v>
      </c>
      <c r="F34" s="26" t="s">
        <v>948</v>
      </c>
      <c r="G34" s="26" t="s">
        <v>58</v>
      </c>
      <c r="H34" s="26" t="s">
        <v>56</v>
      </c>
      <c r="I34" s="26" t="s">
        <v>70</v>
      </c>
      <c r="J34" s="26" t="s">
        <v>58</v>
      </c>
      <c r="K34" s="27"/>
      <c r="L34" s="28" t="s">
        <v>949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1008</v>
      </c>
      <c r="C35" s="25" t="s">
        <v>1009</v>
      </c>
      <c r="D35" s="23" t="s">
        <v>947</v>
      </c>
      <c r="E35" s="55">
        <v>46125</v>
      </c>
      <c r="F35" s="26" t="s">
        <v>948</v>
      </c>
      <c r="G35" s="26" t="s">
        <v>58</v>
      </c>
      <c r="H35" s="26" t="s">
        <v>56</v>
      </c>
      <c r="I35" s="26" t="s">
        <v>70</v>
      </c>
      <c r="J35" s="26" t="s">
        <v>58</v>
      </c>
      <c r="K35" s="27"/>
      <c r="L35" s="28" t="s">
        <v>949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1010</v>
      </c>
      <c r="C36" s="44" t="s">
        <v>1011</v>
      </c>
      <c r="D36" s="42" t="s">
        <v>947</v>
      </c>
      <c r="E36" s="55">
        <v>46125</v>
      </c>
      <c r="F36" s="26" t="s">
        <v>948</v>
      </c>
      <c r="G36" s="26" t="s">
        <v>58</v>
      </c>
      <c r="H36" s="26" t="s">
        <v>56</v>
      </c>
      <c r="I36" s="26" t="s">
        <v>70</v>
      </c>
      <c r="J36" s="26" t="s">
        <v>58</v>
      </c>
      <c r="K36" s="27"/>
      <c r="L36" s="28" t="s">
        <v>949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1012</v>
      </c>
      <c r="C37" s="25" t="s">
        <v>1013</v>
      </c>
      <c r="D37" s="23" t="s">
        <v>947</v>
      </c>
      <c r="E37" s="55">
        <v>46125</v>
      </c>
      <c r="F37" s="26" t="s">
        <v>948</v>
      </c>
      <c r="G37" s="26" t="s">
        <v>58</v>
      </c>
      <c r="H37" s="26" t="s">
        <v>56</v>
      </c>
      <c r="I37" s="26" t="s">
        <v>70</v>
      </c>
      <c r="J37" s="26" t="s">
        <v>58</v>
      </c>
      <c r="K37" s="27"/>
      <c r="L37" s="28" t="s">
        <v>949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1014</v>
      </c>
      <c r="C38" s="44" t="s">
        <v>1015</v>
      </c>
      <c r="D38" s="42" t="s">
        <v>947</v>
      </c>
      <c r="E38" s="55">
        <v>46125</v>
      </c>
      <c r="F38" s="26" t="s">
        <v>948</v>
      </c>
      <c r="G38" s="26" t="s">
        <v>58</v>
      </c>
      <c r="H38" s="26" t="s">
        <v>56</v>
      </c>
      <c r="I38" s="26" t="s">
        <v>70</v>
      </c>
      <c r="J38" s="26" t="s">
        <v>58</v>
      </c>
      <c r="K38" s="27"/>
      <c r="L38" s="28" t="s">
        <v>949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4.25" customHeight="1" x14ac:dyDescent="0.3">
      <c r="A39" s="23">
        <v>35</v>
      </c>
      <c r="B39" s="24" t="s">
        <v>1016</v>
      </c>
      <c r="C39" s="25" t="s">
        <v>1017</v>
      </c>
      <c r="D39" s="23" t="s">
        <v>947</v>
      </c>
      <c r="E39" s="55">
        <v>46125</v>
      </c>
      <c r="F39" s="26" t="s">
        <v>948</v>
      </c>
      <c r="G39" s="26" t="s">
        <v>58</v>
      </c>
      <c r="H39" s="26" t="s">
        <v>56</v>
      </c>
      <c r="I39" s="26" t="s">
        <v>70</v>
      </c>
      <c r="J39" s="26" t="s">
        <v>58</v>
      </c>
      <c r="K39" s="27"/>
      <c r="L39" s="28" t="s">
        <v>949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4.25" customHeight="1" x14ac:dyDescent="0.3">
      <c r="A40" s="42">
        <v>36</v>
      </c>
      <c r="B40" s="43" t="s">
        <v>1018</v>
      </c>
      <c r="C40" s="44" t="s">
        <v>1019</v>
      </c>
      <c r="D40" s="42" t="s">
        <v>947</v>
      </c>
      <c r="E40" s="55">
        <v>46125</v>
      </c>
      <c r="F40" s="26" t="s">
        <v>948</v>
      </c>
      <c r="G40" s="26" t="s">
        <v>58</v>
      </c>
      <c r="H40" s="26" t="s">
        <v>56</v>
      </c>
      <c r="I40" s="26" t="s">
        <v>70</v>
      </c>
      <c r="J40" s="26" t="s">
        <v>58</v>
      </c>
      <c r="K40" s="27"/>
      <c r="L40" s="28" t="s">
        <v>949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4.25" customHeight="1" x14ac:dyDescent="0.3">
      <c r="A41" s="23">
        <v>37</v>
      </c>
      <c r="B41" s="24" t="s">
        <v>1020</v>
      </c>
      <c r="C41" s="25" t="s">
        <v>1021</v>
      </c>
      <c r="D41" s="23" t="s">
        <v>947</v>
      </c>
      <c r="E41" s="55">
        <v>46125</v>
      </c>
      <c r="F41" s="26" t="s">
        <v>948</v>
      </c>
      <c r="G41" s="26" t="s">
        <v>58</v>
      </c>
      <c r="H41" s="26" t="s">
        <v>56</v>
      </c>
      <c r="I41" s="26" t="s">
        <v>70</v>
      </c>
      <c r="J41" s="26" t="s">
        <v>58</v>
      </c>
      <c r="K41" s="27"/>
      <c r="L41" s="28" t="s">
        <v>949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4.25" customHeight="1" x14ac:dyDescent="0.3">
      <c r="A42" s="42">
        <v>38</v>
      </c>
      <c r="B42" s="43" t="s">
        <v>1022</v>
      </c>
      <c r="C42" s="44" t="s">
        <v>1023</v>
      </c>
      <c r="D42" s="42" t="s">
        <v>947</v>
      </c>
      <c r="E42" s="55">
        <v>46125</v>
      </c>
      <c r="F42" s="26" t="s">
        <v>948</v>
      </c>
      <c r="G42" s="26" t="s">
        <v>58</v>
      </c>
      <c r="H42" s="26" t="s">
        <v>56</v>
      </c>
      <c r="I42" s="26" t="s">
        <v>70</v>
      </c>
      <c r="J42" s="26" t="s">
        <v>58</v>
      </c>
      <c r="K42" s="27"/>
      <c r="L42" s="28" t="s">
        <v>949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4.25" customHeight="1" x14ac:dyDescent="0.3">
      <c r="A43" s="23">
        <v>39</v>
      </c>
      <c r="B43" s="24" t="s">
        <v>1024</v>
      </c>
      <c r="C43" s="25" t="s">
        <v>1025</v>
      </c>
      <c r="D43" s="23" t="s">
        <v>947</v>
      </c>
      <c r="E43" s="55">
        <v>46125</v>
      </c>
      <c r="F43" s="26" t="s">
        <v>948</v>
      </c>
      <c r="G43" s="26" t="s">
        <v>58</v>
      </c>
      <c r="H43" s="26" t="s">
        <v>56</v>
      </c>
      <c r="I43" s="26" t="s">
        <v>70</v>
      </c>
      <c r="J43" s="26" t="s">
        <v>58</v>
      </c>
      <c r="K43" s="27"/>
      <c r="L43" s="28" t="s">
        <v>949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4.25" customHeight="1" x14ac:dyDescent="0.3">
      <c r="A44" s="42">
        <v>40</v>
      </c>
      <c r="B44" s="43" t="s">
        <v>1026</v>
      </c>
      <c r="C44" s="44" t="s">
        <v>1027</v>
      </c>
      <c r="D44" s="42" t="s">
        <v>947</v>
      </c>
      <c r="E44" s="55">
        <v>46125</v>
      </c>
      <c r="F44" s="26" t="s">
        <v>948</v>
      </c>
      <c r="G44" s="26" t="s">
        <v>58</v>
      </c>
      <c r="H44" s="26" t="s">
        <v>56</v>
      </c>
      <c r="I44" s="26" t="s">
        <v>70</v>
      </c>
      <c r="J44" s="26" t="s">
        <v>58</v>
      </c>
      <c r="K44" s="27"/>
      <c r="L44" s="28" t="s">
        <v>949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4.25" customHeight="1" x14ac:dyDescent="0.3">
      <c r="A45" s="23">
        <v>41</v>
      </c>
      <c r="B45" s="24" t="s">
        <v>1028</v>
      </c>
      <c r="C45" s="25" t="s">
        <v>1029</v>
      </c>
      <c r="D45" s="23" t="s">
        <v>947</v>
      </c>
      <c r="E45" s="55">
        <v>46125</v>
      </c>
      <c r="F45" s="26" t="s">
        <v>948</v>
      </c>
      <c r="G45" s="26" t="s">
        <v>58</v>
      </c>
      <c r="H45" s="26" t="s">
        <v>56</v>
      </c>
      <c r="I45" s="26" t="s">
        <v>70</v>
      </c>
      <c r="J45" s="26" t="s">
        <v>58</v>
      </c>
      <c r="K45" s="27"/>
      <c r="L45" s="28" t="s">
        <v>949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4.25" customHeight="1" x14ac:dyDescent="0.3">
      <c r="A46" s="42">
        <v>42</v>
      </c>
      <c r="B46" s="43" t="s">
        <v>1030</v>
      </c>
      <c r="C46" s="44" t="s">
        <v>1031</v>
      </c>
      <c r="D46" s="42" t="s">
        <v>947</v>
      </c>
      <c r="E46" s="55">
        <v>46125</v>
      </c>
      <c r="F46" s="26" t="s">
        <v>948</v>
      </c>
      <c r="G46" s="26" t="s">
        <v>58</v>
      </c>
      <c r="H46" s="26" t="s">
        <v>56</v>
      </c>
      <c r="I46" s="26" t="s">
        <v>70</v>
      </c>
      <c r="J46" s="26" t="s">
        <v>58</v>
      </c>
      <c r="K46" s="27"/>
      <c r="L46" s="28" t="s">
        <v>949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4.25" customHeight="1" x14ac:dyDescent="0.3">
      <c r="A47" s="23">
        <v>43</v>
      </c>
      <c r="B47" s="24" t="s">
        <v>1032</v>
      </c>
      <c r="C47" s="25" t="s">
        <v>1033</v>
      </c>
      <c r="D47" s="23" t="s">
        <v>947</v>
      </c>
      <c r="E47" s="55">
        <v>46125</v>
      </c>
      <c r="F47" s="26" t="s">
        <v>948</v>
      </c>
      <c r="G47" s="26" t="s">
        <v>58</v>
      </c>
      <c r="H47" s="26" t="s">
        <v>56</v>
      </c>
      <c r="I47" s="26" t="s">
        <v>70</v>
      </c>
      <c r="J47" s="26" t="s">
        <v>58</v>
      </c>
      <c r="K47" s="27"/>
      <c r="L47" s="28" t="s">
        <v>949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4.25" customHeight="1" x14ac:dyDescent="0.3">
      <c r="A48" s="42">
        <v>44</v>
      </c>
      <c r="B48" s="43" t="s">
        <v>1034</v>
      </c>
      <c r="C48" s="44" t="s">
        <v>1035</v>
      </c>
      <c r="D48" s="42" t="s">
        <v>947</v>
      </c>
      <c r="E48" s="55">
        <v>46125</v>
      </c>
      <c r="F48" s="26" t="s">
        <v>948</v>
      </c>
      <c r="G48" s="26" t="s">
        <v>58</v>
      </c>
      <c r="H48" s="26" t="s">
        <v>56</v>
      </c>
      <c r="I48" s="26" t="s">
        <v>70</v>
      </c>
      <c r="J48" s="26" t="s">
        <v>58</v>
      </c>
      <c r="K48" s="27"/>
      <c r="L48" s="28" t="s">
        <v>949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4.25" customHeight="1" x14ac:dyDescent="0.3">
      <c r="A49" s="23">
        <v>45</v>
      </c>
      <c r="B49" s="24" t="s">
        <v>1036</v>
      </c>
      <c r="C49" s="25" t="s">
        <v>1037</v>
      </c>
      <c r="D49" s="23" t="s">
        <v>947</v>
      </c>
      <c r="E49" s="55">
        <v>46125</v>
      </c>
      <c r="F49" s="26" t="s">
        <v>948</v>
      </c>
      <c r="G49" s="26" t="s">
        <v>58</v>
      </c>
      <c r="H49" s="26" t="s">
        <v>56</v>
      </c>
      <c r="I49" s="26" t="s">
        <v>70</v>
      </c>
      <c r="J49" s="26" t="s">
        <v>58</v>
      </c>
      <c r="K49" s="27"/>
      <c r="L49" s="28" t="s">
        <v>949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4.25" customHeight="1" x14ac:dyDescent="0.3">
      <c r="A50" s="42">
        <v>46</v>
      </c>
      <c r="B50" s="43" t="s">
        <v>1038</v>
      </c>
      <c r="C50" s="44" t="s">
        <v>1039</v>
      </c>
      <c r="D50" s="42" t="s">
        <v>947</v>
      </c>
      <c r="E50" s="55">
        <v>46125</v>
      </c>
      <c r="F50" s="26" t="s">
        <v>948</v>
      </c>
      <c r="G50" s="26" t="s">
        <v>58</v>
      </c>
      <c r="H50" s="26" t="s">
        <v>56</v>
      </c>
      <c r="I50" s="26" t="s">
        <v>70</v>
      </c>
      <c r="J50" s="26" t="s">
        <v>58</v>
      </c>
      <c r="K50" s="27"/>
      <c r="L50" s="28" t="s">
        <v>949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4.25" customHeight="1" x14ac:dyDescent="0.3">
      <c r="A51" s="23">
        <v>47</v>
      </c>
      <c r="B51" s="24" t="s">
        <v>1040</v>
      </c>
      <c r="C51" s="25" t="s">
        <v>1041</v>
      </c>
      <c r="D51" s="23" t="s">
        <v>947</v>
      </c>
      <c r="E51" s="55">
        <v>46125</v>
      </c>
      <c r="F51" s="26" t="s">
        <v>948</v>
      </c>
      <c r="G51" s="26" t="s">
        <v>58</v>
      </c>
      <c r="H51" s="26" t="s">
        <v>56</v>
      </c>
      <c r="I51" s="26" t="s">
        <v>70</v>
      </c>
      <c r="J51" s="26" t="s">
        <v>58</v>
      </c>
      <c r="K51" s="27"/>
      <c r="L51" s="28" t="s">
        <v>949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4.25" customHeight="1" x14ac:dyDescent="0.3">
      <c r="A52" s="42">
        <v>48</v>
      </c>
      <c r="B52" s="43" t="s">
        <v>1042</v>
      </c>
      <c r="C52" s="44" t="s">
        <v>1043</v>
      </c>
      <c r="D52" s="42" t="s">
        <v>947</v>
      </c>
      <c r="E52" s="55">
        <v>46125</v>
      </c>
      <c r="F52" s="26" t="s">
        <v>948</v>
      </c>
      <c r="G52" s="26" t="s">
        <v>58</v>
      </c>
      <c r="H52" s="26" t="s">
        <v>56</v>
      </c>
      <c r="I52" s="26" t="s">
        <v>70</v>
      </c>
      <c r="J52" s="26" t="s">
        <v>58</v>
      </c>
      <c r="K52" s="27"/>
      <c r="L52" s="28" t="s">
        <v>949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4.25" customHeight="1" x14ac:dyDescent="0.3">
      <c r="A53" s="23">
        <v>49</v>
      </c>
      <c r="B53" s="24" t="s">
        <v>1044</v>
      </c>
      <c r="C53" s="25" t="s">
        <v>1045</v>
      </c>
      <c r="D53" s="23" t="s">
        <v>947</v>
      </c>
      <c r="E53" s="55">
        <v>46125</v>
      </c>
      <c r="F53" s="26" t="s">
        <v>948</v>
      </c>
      <c r="G53" s="26" t="s">
        <v>58</v>
      </c>
      <c r="H53" s="26" t="s">
        <v>56</v>
      </c>
      <c r="I53" s="26" t="s">
        <v>70</v>
      </c>
      <c r="J53" s="26" t="s">
        <v>58</v>
      </c>
      <c r="K53" s="27"/>
      <c r="L53" s="28" t="s">
        <v>949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4.25" customHeight="1" x14ac:dyDescent="0.3">
      <c r="A54" s="42">
        <v>50</v>
      </c>
      <c r="B54" s="43" t="s">
        <v>1046</v>
      </c>
      <c r="C54" s="44" t="s">
        <v>1047</v>
      </c>
      <c r="D54" s="42" t="s">
        <v>1048</v>
      </c>
      <c r="E54" s="55">
        <v>46125</v>
      </c>
      <c r="F54" s="26" t="s">
        <v>948</v>
      </c>
      <c r="G54" s="26" t="s">
        <v>58</v>
      </c>
      <c r="H54" s="26" t="s">
        <v>56</v>
      </c>
      <c r="I54" s="26" t="s">
        <v>70</v>
      </c>
      <c r="J54" s="26" t="s">
        <v>58</v>
      </c>
      <c r="K54" s="27"/>
      <c r="L54" s="28" t="s">
        <v>949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4.25" customHeight="1" x14ac:dyDescent="0.3">
      <c r="A55" s="23">
        <v>51</v>
      </c>
      <c r="B55" s="24" t="s">
        <v>1049</v>
      </c>
      <c r="C55" s="25" t="s">
        <v>1050</v>
      </c>
      <c r="D55" s="23" t="s">
        <v>1048</v>
      </c>
      <c r="E55" s="55">
        <v>46125</v>
      </c>
      <c r="F55" s="26" t="s">
        <v>948</v>
      </c>
      <c r="G55" s="26" t="s">
        <v>58</v>
      </c>
      <c r="H55" s="26" t="s">
        <v>56</v>
      </c>
      <c r="I55" s="26" t="s">
        <v>70</v>
      </c>
      <c r="J55" s="26" t="s">
        <v>58</v>
      </c>
      <c r="K55" s="27"/>
      <c r="L55" s="28" t="s">
        <v>949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4.25" customHeight="1" x14ac:dyDescent="0.3">
      <c r="A56" s="42">
        <v>52</v>
      </c>
      <c r="B56" s="43" t="s">
        <v>1051</v>
      </c>
      <c r="C56" s="44" t="s">
        <v>1052</v>
      </c>
      <c r="D56" s="42" t="s">
        <v>1048</v>
      </c>
      <c r="E56" s="55">
        <v>46125</v>
      </c>
      <c r="F56" s="26" t="s">
        <v>948</v>
      </c>
      <c r="G56" s="26" t="s">
        <v>56</v>
      </c>
      <c r="H56" s="26" t="s">
        <v>56</v>
      </c>
      <c r="I56" s="26" t="s">
        <v>57</v>
      </c>
      <c r="J56" s="26" t="s">
        <v>56</v>
      </c>
      <c r="K56" s="27" t="s">
        <v>1053</v>
      </c>
      <c r="L56" s="28" t="s">
        <v>58</v>
      </c>
      <c r="M56" s="29" t="str">
        <f t="shared" si="5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4.25" customHeight="1" x14ac:dyDescent="0.3">
      <c r="A57" s="23">
        <v>53</v>
      </c>
      <c r="B57" s="24" t="s">
        <v>1054</v>
      </c>
      <c r="C57" s="25" t="s">
        <v>1055</v>
      </c>
      <c r="D57" s="23" t="s">
        <v>1048</v>
      </c>
      <c r="E57" s="55">
        <v>46125</v>
      </c>
      <c r="F57" s="26" t="s">
        <v>948</v>
      </c>
      <c r="G57" s="26" t="s">
        <v>58</v>
      </c>
      <c r="H57" s="26" t="s">
        <v>56</v>
      </c>
      <c r="I57" s="26" t="s">
        <v>70</v>
      </c>
      <c r="J57" s="26" t="s">
        <v>58</v>
      </c>
      <c r="K57" s="27"/>
      <c r="L57" s="28" t="s">
        <v>949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4.25" customHeight="1" x14ac:dyDescent="0.3">
      <c r="A58" s="42">
        <v>54</v>
      </c>
      <c r="B58" s="43" t="s">
        <v>1056</v>
      </c>
      <c r="C58" s="44" t="s">
        <v>1057</v>
      </c>
      <c r="D58" s="42" t="s">
        <v>1048</v>
      </c>
      <c r="E58" s="55">
        <v>46125</v>
      </c>
      <c r="F58" s="26" t="s">
        <v>948</v>
      </c>
      <c r="G58" s="26" t="s">
        <v>56</v>
      </c>
      <c r="H58" s="26" t="s">
        <v>56</v>
      </c>
      <c r="I58" s="26" t="s">
        <v>57</v>
      </c>
      <c r="J58" s="26" t="s">
        <v>56</v>
      </c>
      <c r="K58" s="27" t="s">
        <v>1053</v>
      </c>
      <c r="L58" s="28" t="s">
        <v>58</v>
      </c>
      <c r="M58" s="29" t="str">
        <f t="shared" si="5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4.25" customHeight="1" x14ac:dyDescent="0.3">
      <c r="A59" s="23">
        <v>55</v>
      </c>
      <c r="B59" s="24" t="s">
        <v>1058</v>
      </c>
      <c r="C59" s="25" t="s">
        <v>1059</v>
      </c>
      <c r="D59" s="23" t="s">
        <v>1048</v>
      </c>
      <c r="E59" s="55">
        <v>46125</v>
      </c>
      <c r="F59" s="26" t="s">
        <v>948</v>
      </c>
      <c r="G59" s="26" t="s">
        <v>58</v>
      </c>
      <c r="H59" s="26" t="s">
        <v>56</v>
      </c>
      <c r="I59" s="26" t="s">
        <v>70</v>
      </c>
      <c r="J59" s="26" t="s">
        <v>58</v>
      </c>
      <c r="K59" s="27"/>
      <c r="L59" s="28" t="s">
        <v>949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4.25" customHeight="1" x14ac:dyDescent="0.3">
      <c r="A60" s="42">
        <v>56</v>
      </c>
      <c r="B60" s="43" t="s">
        <v>1060</v>
      </c>
      <c r="C60" s="44" t="s">
        <v>1061</v>
      </c>
      <c r="D60" s="42" t="s">
        <v>1048</v>
      </c>
      <c r="E60" s="55">
        <v>46125</v>
      </c>
      <c r="F60" s="26" t="s">
        <v>948</v>
      </c>
      <c r="G60" s="26" t="s">
        <v>56</v>
      </c>
      <c r="H60" s="26" t="s">
        <v>56</v>
      </c>
      <c r="I60" s="26" t="s">
        <v>57</v>
      </c>
      <c r="J60" s="26" t="s">
        <v>56</v>
      </c>
      <c r="K60" s="27" t="s">
        <v>1053</v>
      </c>
      <c r="L60" s="28" t="s">
        <v>58</v>
      </c>
      <c r="M60" s="29" t="str">
        <f t="shared" si="5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4.25" customHeight="1" x14ac:dyDescent="0.3">
      <c r="A61" s="23">
        <v>57</v>
      </c>
      <c r="B61" s="24" t="s">
        <v>1062</v>
      </c>
      <c r="C61" s="25" t="s">
        <v>1063</v>
      </c>
      <c r="D61" s="23" t="s">
        <v>1048</v>
      </c>
      <c r="E61" s="55">
        <v>46125</v>
      </c>
      <c r="F61" s="26" t="s">
        <v>948</v>
      </c>
      <c r="G61" s="26" t="s">
        <v>56</v>
      </c>
      <c r="H61" s="26" t="s">
        <v>56</v>
      </c>
      <c r="I61" s="26" t="s">
        <v>57</v>
      </c>
      <c r="J61" s="26" t="s">
        <v>56</v>
      </c>
      <c r="K61" s="27" t="s">
        <v>1053</v>
      </c>
      <c r="L61" s="28" t="s">
        <v>58</v>
      </c>
      <c r="M61" s="29" t="str">
        <f t="shared" si="5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4.25" customHeight="1" x14ac:dyDescent="0.3">
      <c r="A62" s="42">
        <v>58</v>
      </c>
      <c r="B62" s="43" t="s">
        <v>1064</v>
      </c>
      <c r="C62" s="44" t="s">
        <v>1065</v>
      </c>
      <c r="D62" s="42" t="s">
        <v>1048</v>
      </c>
      <c r="E62" s="55">
        <v>46125</v>
      </c>
      <c r="F62" s="26" t="s">
        <v>948</v>
      </c>
      <c r="G62" s="26" t="s">
        <v>56</v>
      </c>
      <c r="H62" s="26" t="s">
        <v>56</v>
      </c>
      <c r="I62" s="26" t="s">
        <v>57</v>
      </c>
      <c r="J62" s="26" t="s">
        <v>56</v>
      </c>
      <c r="K62" s="27" t="s">
        <v>1053</v>
      </c>
      <c r="L62" s="28" t="s">
        <v>58</v>
      </c>
      <c r="M62" s="29" t="str">
        <f t="shared" si="5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4.25" customHeight="1" x14ac:dyDescent="0.3">
      <c r="A63" s="23">
        <v>59</v>
      </c>
      <c r="B63" s="24" t="s">
        <v>1066</v>
      </c>
      <c r="C63" s="25" t="s">
        <v>1067</v>
      </c>
      <c r="D63" s="23" t="s">
        <v>1048</v>
      </c>
      <c r="E63" s="55">
        <v>46125</v>
      </c>
      <c r="F63" s="26" t="s">
        <v>948</v>
      </c>
      <c r="G63" s="26" t="s">
        <v>58</v>
      </c>
      <c r="H63" s="26" t="s">
        <v>56</v>
      </c>
      <c r="I63" s="26" t="s">
        <v>1068</v>
      </c>
      <c r="J63" s="26" t="s">
        <v>56</v>
      </c>
      <c r="K63" s="27" t="s">
        <v>1069</v>
      </c>
      <c r="L63" s="28" t="s">
        <v>58</v>
      </c>
      <c r="M63" s="29" t="str">
        <f t="shared" si="5"/>
        <v>⚠ Check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4.25" customHeight="1" x14ac:dyDescent="0.3">
      <c r="A64" s="42">
        <v>60</v>
      </c>
      <c r="B64" s="43" t="s">
        <v>1070</v>
      </c>
      <c r="C64" s="44" t="s">
        <v>1071</v>
      </c>
      <c r="D64" s="42" t="s">
        <v>1048</v>
      </c>
      <c r="E64" s="55">
        <v>46125</v>
      </c>
      <c r="F64" s="26" t="s">
        <v>948</v>
      </c>
      <c r="G64" s="26" t="s">
        <v>58</v>
      </c>
      <c r="H64" s="26" t="s">
        <v>56</v>
      </c>
      <c r="I64" s="26" t="s">
        <v>70</v>
      </c>
      <c r="J64" s="26" t="s">
        <v>58</v>
      </c>
      <c r="K64" s="27"/>
      <c r="L64" s="28" t="s">
        <v>949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4.25" customHeight="1" x14ac:dyDescent="0.3">
      <c r="A65" s="23">
        <v>61</v>
      </c>
      <c r="B65" s="24" t="s">
        <v>1072</v>
      </c>
      <c r="C65" s="25" t="s">
        <v>1073</v>
      </c>
      <c r="D65" s="23" t="s">
        <v>1048</v>
      </c>
      <c r="E65" s="55">
        <v>46125</v>
      </c>
      <c r="F65" s="26" t="s">
        <v>948</v>
      </c>
      <c r="G65" s="26" t="s">
        <v>58</v>
      </c>
      <c r="H65" s="26" t="s">
        <v>56</v>
      </c>
      <c r="I65" s="26" t="s">
        <v>70</v>
      </c>
      <c r="J65" s="26" t="s">
        <v>58</v>
      </c>
      <c r="K65" s="27"/>
      <c r="L65" s="28" t="s">
        <v>949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4.25" customHeight="1" x14ac:dyDescent="0.3">
      <c r="A66" s="42">
        <v>62</v>
      </c>
      <c r="B66" s="43" t="s">
        <v>1074</v>
      </c>
      <c r="C66" s="44" t="s">
        <v>1075</v>
      </c>
      <c r="D66" s="42" t="s">
        <v>1048</v>
      </c>
      <c r="E66" s="55">
        <v>46125</v>
      </c>
      <c r="F66" s="26" t="s">
        <v>948</v>
      </c>
      <c r="G66" s="26" t="s">
        <v>58</v>
      </c>
      <c r="H66" s="26" t="s">
        <v>56</v>
      </c>
      <c r="I66" s="26" t="s">
        <v>70</v>
      </c>
      <c r="J66" s="26" t="s">
        <v>58</v>
      </c>
      <c r="K66" s="27"/>
      <c r="L66" s="28" t="s">
        <v>949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4.25" customHeight="1" x14ac:dyDescent="0.3">
      <c r="A67" s="23">
        <v>63</v>
      </c>
      <c r="B67" s="24" t="s">
        <v>1076</v>
      </c>
      <c r="C67" s="25" t="s">
        <v>1077</v>
      </c>
      <c r="D67" s="23" t="s">
        <v>1048</v>
      </c>
      <c r="E67" s="55">
        <v>46125</v>
      </c>
      <c r="F67" s="26" t="s">
        <v>948</v>
      </c>
      <c r="G67" s="26" t="s">
        <v>58</v>
      </c>
      <c r="H67" s="26" t="s">
        <v>56</v>
      </c>
      <c r="I67" s="26" t="s">
        <v>70</v>
      </c>
      <c r="J67" s="26" t="s">
        <v>58</v>
      </c>
      <c r="K67" s="27"/>
      <c r="L67" s="28" t="s">
        <v>949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4.25" customHeight="1" x14ac:dyDescent="0.3">
      <c r="A68" s="42">
        <v>64</v>
      </c>
      <c r="B68" s="43" t="s">
        <v>1078</v>
      </c>
      <c r="C68" s="44" t="s">
        <v>1079</v>
      </c>
      <c r="D68" s="42" t="s">
        <v>1048</v>
      </c>
      <c r="E68" s="55">
        <v>46125</v>
      </c>
      <c r="F68" s="26" t="s">
        <v>948</v>
      </c>
      <c r="G68" s="26" t="s">
        <v>58</v>
      </c>
      <c r="H68" s="26" t="s">
        <v>56</v>
      </c>
      <c r="I68" s="26" t="s">
        <v>70</v>
      </c>
      <c r="J68" s="26" t="s">
        <v>58</v>
      </c>
      <c r="K68" s="27"/>
      <c r="L68" s="28" t="s">
        <v>949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4.25" customHeight="1" x14ac:dyDescent="0.3">
      <c r="A69" s="23">
        <v>65</v>
      </c>
      <c r="B69" s="24" t="s">
        <v>1080</v>
      </c>
      <c r="C69" s="25" t="s">
        <v>1081</v>
      </c>
      <c r="D69" s="23" t="s">
        <v>1048</v>
      </c>
      <c r="E69" s="55">
        <v>46125</v>
      </c>
      <c r="F69" s="26" t="s">
        <v>948</v>
      </c>
      <c r="G69" s="26" t="s">
        <v>58</v>
      </c>
      <c r="H69" s="26" t="s">
        <v>56</v>
      </c>
      <c r="I69" s="26" t="s">
        <v>70</v>
      </c>
      <c r="J69" s="26" t="s">
        <v>58</v>
      </c>
      <c r="K69" s="27"/>
      <c r="L69" s="28" t="s">
        <v>949</v>
      </c>
      <c r="M69" s="29" t="str">
        <f t="shared" ref="M69:M10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1082</v>
      </c>
      <c r="C70" s="44" t="s">
        <v>1083</v>
      </c>
      <c r="D70" s="42" t="s">
        <v>1048</v>
      </c>
      <c r="E70" s="55">
        <v>46125</v>
      </c>
      <c r="F70" s="26" t="s">
        <v>948</v>
      </c>
      <c r="G70" s="26" t="s">
        <v>58</v>
      </c>
      <c r="H70" s="26" t="s">
        <v>56</v>
      </c>
      <c r="I70" s="26" t="s">
        <v>70</v>
      </c>
      <c r="J70" s="26" t="s">
        <v>58</v>
      </c>
      <c r="K70" s="27"/>
      <c r="L70" s="28" t="s">
        <v>949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4.25" customHeight="1" x14ac:dyDescent="0.3">
      <c r="A71" s="23">
        <v>67</v>
      </c>
      <c r="B71" s="24" t="s">
        <v>1084</v>
      </c>
      <c r="C71" s="25" t="s">
        <v>1085</v>
      </c>
      <c r="D71" s="23" t="s">
        <v>1048</v>
      </c>
      <c r="E71" s="55">
        <v>46125</v>
      </c>
      <c r="F71" s="26" t="s">
        <v>948</v>
      </c>
      <c r="G71" s="26" t="s">
        <v>58</v>
      </c>
      <c r="H71" s="26" t="s">
        <v>56</v>
      </c>
      <c r="I71" s="26" t="s">
        <v>70</v>
      </c>
      <c r="J71" s="26" t="s">
        <v>58</v>
      </c>
      <c r="K71" s="27"/>
      <c r="L71" s="28" t="s">
        <v>949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4.25" customHeight="1" x14ac:dyDescent="0.3">
      <c r="A72" s="42">
        <v>68</v>
      </c>
      <c r="B72" s="43" t="s">
        <v>1086</v>
      </c>
      <c r="C72" s="44" t="s">
        <v>1087</v>
      </c>
      <c r="D72" s="42" t="s">
        <v>1048</v>
      </c>
      <c r="E72" s="55">
        <v>46125</v>
      </c>
      <c r="F72" s="26" t="s">
        <v>948</v>
      </c>
      <c r="G72" s="26" t="s">
        <v>58</v>
      </c>
      <c r="H72" s="26" t="s">
        <v>56</v>
      </c>
      <c r="I72" s="26" t="s">
        <v>70</v>
      </c>
      <c r="J72" s="26" t="s">
        <v>58</v>
      </c>
      <c r="K72" s="27"/>
      <c r="L72" s="28" t="s">
        <v>949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4.25" customHeight="1" x14ac:dyDescent="0.3">
      <c r="A73" s="23">
        <v>69</v>
      </c>
      <c r="B73" s="24" t="s">
        <v>1088</v>
      </c>
      <c r="C73" s="25" t="s">
        <v>1089</v>
      </c>
      <c r="D73" s="23" t="s">
        <v>1048</v>
      </c>
      <c r="E73" s="55">
        <v>46125</v>
      </c>
      <c r="F73" s="26" t="s">
        <v>948</v>
      </c>
      <c r="G73" s="26" t="s">
        <v>58</v>
      </c>
      <c r="H73" s="26" t="s">
        <v>56</v>
      </c>
      <c r="I73" s="26" t="s">
        <v>70</v>
      </c>
      <c r="J73" s="26" t="s">
        <v>58</v>
      </c>
      <c r="K73" s="27"/>
      <c r="L73" s="28" t="s">
        <v>949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4.25" customHeight="1" x14ac:dyDescent="0.3">
      <c r="A74" s="42">
        <v>70</v>
      </c>
      <c r="B74" s="43" t="s">
        <v>1090</v>
      </c>
      <c r="C74" s="44" t="s">
        <v>1091</v>
      </c>
      <c r="D74" s="42" t="s">
        <v>1048</v>
      </c>
      <c r="E74" s="55">
        <v>46125</v>
      </c>
      <c r="F74" s="26" t="s">
        <v>948</v>
      </c>
      <c r="G74" s="26" t="s">
        <v>58</v>
      </c>
      <c r="H74" s="26" t="s">
        <v>56</v>
      </c>
      <c r="I74" s="26" t="s">
        <v>70</v>
      </c>
      <c r="J74" s="26" t="s">
        <v>58</v>
      </c>
      <c r="K74" s="27"/>
      <c r="L74" s="28" t="s">
        <v>949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4.25" customHeight="1" x14ac:dyDescent="0.3">
      <c r="A75" s="23">
        <v>71</v>
      </c>
      <c r="B75" s="24" t="s">
        <v>1092</v>
      </c>
      <c r="C75" s="25" t="s">
        <v>1093</v>
      </c>
      <c r="D75" s="23" t="s">
        <v>1048</v>
      </c>
      <c r="E75" s="55">
        <v>46125</v>
      </c>
      <c r="F75" s="26" t="s">
        <v>948</v>
      </c>
      <c r="G75" s="26" t="s">
        <v>58</v>
      </c>
      <c r="H75" s="26" t="s">
        <v>56</v>
      </c>
      <c r="I75" s="26" t="s">
        <v>70</v>
      </c>
      <c r="J75" s="26" t="s">
        <v>58</v>
      </c>
      <c r="K75" s="27"/>
      <c r="L75" s="28" t="s">
        <v>949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4.25" customHeight="1" x14ac:dyDescent="0.3">
      <c r="A76" s="42">
        <v>72</v>
      </c>
      <c r="B76" s="43" t="s">
        <v>1094</v>
      </c>
      <c r="C76" s="44" t="s">
        <v>1095</v>
      </c>
      <c r="D76" s="42" t="s">
        <v>1048</v>
      </c>
      <c r="E76" s="55">
        <v>46125</v>
      </c>
      <c r="F76" s="26" t="s">
        <v>948</v>
      </c>
      <c r="G76" s="26" t="s">
        <v>58</v>
      </c>
      <c r="H76" s="26" t="s">
        <v>56</v>
      </c>
      <c r="I76" s="26" t="s">
        <v>70</v>
      </c>
      <c r="J76" s="26" t="s">
        <v>58</v>
      </c>
      <c r="K76" s="27"/>
      <c r="L76" s="28" t="s">
        <v>949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4.25" customHeight="1" x14ac:dyDescent="0.3">
      <c r="A77" s="23">
        <v>73</v>
      </c>
      <c r="B77" s="24" t="s">
        <v>1096</v>
      </c>
      <c r="C77" s="25" t="s">
        <v>1097</v>
      </c>
      <c r="D77" s="23" t="s">
        <v>1048</v>
      </c>
      <c r="E77" s="55">
        <v>46125</v>
      </c>
      <c r="F77" s="26" t="s">
        <v>948</v>
      </c>
      <c r="G77" s="26" t="s">
        <v>58</v>
      </c>
      <c r="H77" s="26" t="s">
        <v>56</v>
      </c>
      <c r="I77" s="26" t="s">
        <v>70</v>
      </c>
      <c r="J77" s="26" t="s">
        <v>58</v>
      </c>
      <c r="K77" s="27"/>
      <c r="L77" s="28" t="s">
        <v>949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4.25" customHeight="1" x14ac:dyDescent="0.3">
      <c r="A78" s="42">
        <v>74</v>
      </c>
      <c r="B78" s="43" t="s">
        <v>1098</v>
      </c>
      <c r="C78" s="44" t="s">
        <v>1099</v>
      </c>
      <c r="D78" s="42" t="s">
        <v>1048</v>
      </c>
      <c r="E78" s="55">
        <v>46125</v>
      </c>
      <c r="F78" s="26" t="s">
        <v>948</v>
      </c>
      <c r="G78" s="26" t="s">
        <v>58</v>
      </c>
      <c r="H78" s="26" t="s">
        <v>56</v>
      </c>
      <c r="I78" s="26" t="s">
        <v>70</v>
      </c>
      <c r="J78" s="26" t="s">
        <v>58</v>
      </c>
      <c r="K78" s="27"/>
      <c r="L78" s="28" t="s">
        <v>949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4.25" customHeight="1" x14ac:dyDescent="0.3">
      <c r="A79" s="23">
        <v>75</v>
      </c>
      <c r="B79" s="24" t="s">
        <v>1100</v>
      </c>
      <c r="C79" s="25" t="s">
        <v>1101</v>
      </c>
      <c r="D79" s="23" t="s">
        <v>1048</v>
      </c>
      <c r="E79" s="55">
        <v>46125</v>
      </c>
      <c r="F79" s="26" t="s">
        <v>948</v>
      </c>
      <c r="G79" s="26" t="s">
        <v>58</v>
      </c>
      <c r="H79" s="26" t="s">
        <v>56</v>
      </c>
      <c r="I79" s="26" t="s">
        <v>70</v>
      </c>
      <c r="J79" s="26" t="s">
        <v>58</v>
      </c>
      <c r="K79" s="27"/>
      <c r="L79" s="28" t="s">
        <v>949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4.25" customHeight="1" x14ac:dyDescent="0.3">
      <c r="A80" s="42">
        <v>76</v>
      </c>
      <c r="B80" s="43" t="s">
        <v>1102</v>
      </c>
      <c r="C80" s="44" t="s">
        <v>1103</v>
      </c>
      <c r="D80" s="42" t="s">
        <v>1048</v>
      </c>
      <c r="E80" s="55">
        <v>46125</v>
      </c>
      <c r="F80" s="26" t="s">
        <v>948</v>
      </c>
      <c r="G80" s="26" t="s">
        <v>58</v>
      </c>
      <c r="H80" s="26" t="s">
        <v>56</v>
      </c>
      <c r="I80" s="26" t="s">
        <v>70</v>
      </c>
      <c r="J80" s="26" t="s">
        <v>58</v>
      </c>
      <c r="K80" s="27"/>
      <c r="L80" s="28" t="s">
        <v>949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4.25" customHeight="1" x14ac:dyDescent="0.3">
      <c r="A81" s="23">
        <v>77</v>
      </c>
      <c r="B81" s="24" t="s">
        <v>1104</v>
      </c>
      <c r="C81" s="25" t="s">
        <v>1105</v>
      </c>
      <c r="D81" s="23" t="s">
        <v>1048</v>
      </c>
      <c r="E81" s="55">
        <v>46125</v>
      </c>
      <c r="F81" s="26" t="s">
        <v>948</v>
      </c>
      <c r="G81" s="26" t="s">
        <v>58</v>
      </c>
      <c r="H81" s="26" t="s">
        <v>56</v>
      </c>
      <c r="I81" s="26" t="s">
        <v>70</v>
      </c>
      <c r="J81" s="26" t="s">
        <v>58</v>
      </c>
      <c r="K81" s="27"/>
      <c r="L81" s="28" t="s">
        <v>949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4.25" customHeight="1" x14ac:dyDescent="0.3">
      <c r="A82" s="42">
        <v>78</v>
      </c>
      <c r="B82" s="43" t="s">
        <v>1106</v>
      </c>
      <c r="C82" s="44" t="s">
        <v>1107</v>
      </c>
      <c r="D82" s="42" t="s">
        <v>1048</v>
      </c>
      <c r="E82" s="55">
        <v>46125</v>
      </c>
      <c r="F82" s="26" t="s">
        <v>948</v>
      </c>
      <c r="G82" s="26" t="s">
        <v>58</v>
      </c>
      <c r="H82" s="26" t="s">
        <v>56</v>
      </c>
      <c r="I82" s="26" t="s">
        <v>70</v>
      </c>
      <c r="J82" s="26" t="s">
        <v>58</v>
      </c>
      <c r="K82" s="27"/>
      <c r="L82" s="28" t="s">
        <v>949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4.25" customHeight="1" x14ac:dyDescent="0.3">
      <c r="A83" s="23">
        <v>79</v>
      </c>
      <c r="B83" s="24" t="s">
        <v>1108</v>
      </c>
      <c r="C83" s="25" t="s">
        <v>1109</v>
      </c>
      <c r="D83" s="23" t="s">
        <v>1048</v>
      </c>
      <c r="E83" s="55">
        <v>46125</v>
      </c>
      <c r="F83" s="26" t="s">
        <v>948</v>
      </c>
      <c r="G83" s="26" t="s">
        <v>58</v>
      </c>
      <c r="H83" s="26" t="s">
        <v>56</v>
      </c>
      <c r="I83" s="26" t="s">
        <v>70</v>
      </c>
      <c r="J83" s="26" t="s">
        <v>58</v>
      </c>
      <c r="K83" s="27"/>
      <c r="L83" s="28" t="s">
        <v>949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4.25" customHeight="1" x14ac:dyDescent="0.3">
      <c r="A84" s="42">
        <v>80</v>
      </c>
      <c r="B84" s="43" t="s">
        <v>1110</v>
      </c>
      <c r="C84" s="44" t="s">
        <v>1111</v>
      </c>
      <c r="D84" s="42" t="s">
        <v>1048</v>
      </c>
      <c r="E84" s="55">
        <v>46125</v>
      </c>
      <c r="F84" s="26" t="s">
        <v>948</v>
      </c>
      <c r="G84" s="26" t="s">
        <v>58</v>
      </c>
      <c r="H84" s="26" t="s">
        <v>56</v>
      </c>
      <c r="I84" s="26" t="s">
        <v>70</v>
      </c>
      <c r="J84" s="26" t="s">
        <v>58</v>
      </c>
      <c r="K84" s="27"/>
      <c r="L84" s="28" t="s">
        <v>949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4.25" customHeight="1" x14ac:dyDescent="0.3">
      <c r="A85" s="23">
        <v>81</v>
      </c>
      <c r="B85" s="24" t="s">
        <v>1112</v>
      </c>
      <c r="C85" s="25" t="s">
        <v>1113</v>
      </c>
      <c r="D85" s="23" t="s">
        <v>1048</v>
      </c>
      <c r="E85" s="55">
        <v>46125</v>
      </c>
      <c r="F85" s="26" t="s">
        <v>948</v>
      </c>
      <c r="G85" s="26" t="s">
        <v>56</v>
      </c>
      <c r="H85" s="26" t="s">
        <v>56</v>
      </c>
      <c r="I85" s="26" t="s">
        <v>57</v>
      </c>
      <c r="J85" s="26" t="s">
        <v>56</v>
      </c>
      <c r="K85" s="27" t="s">
        <v>1053</v>
      </c>
      <c r="L85" s="28" t="s">
        <v>58</v>
      </c>
      <c r="M85" s="29" t="str">
        <f t="shared" si="10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4.25" customHeight="1" x14ac:dyDescent="0.3">
      <c r="A86" s="42">
        <v>82</v>
      </c>
      <c r="B86" s="43" t="s">
        <v>1114</v>
      </c>
      <c r="C86" s="44" t="s">
        <v>1115</v>
      </c>
      <c r="D86" s="42" t="s">
        <v>1048</v>
      </c>
      <c r="E86" s="55">
        <v>46125</v>
      </c>
      <c r="F86" s="26" t="s">
        <v>948</v>
      </c>
      <c r="G86" s="26" t="s">
        <v>58</v>
      </c>
      <c r="H86" s="26" t="s">
        <v>56</v>
      </c>
      <c r="I86" s="26" t="s">
        <v>70</v>
      </c>
      <c r="J86" s="26" t="s">
        <v>58</v>
      </c>
      <c r="K86" s="27"/>
      <c r="L86" s="28" t="s">
        <v>949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4.25" customHeight="1" x14ac:dyDescent="0.3">
      <c r="A87" s="23">
        <v>83</v>
      </c>
      <c r="B87" s="24" t="s">
        <v>1116</v>
      </c>
      <c r="C87" s="25" t="s">
        <v>1117</v>
      </c>
      <c r="D87" s="23" t="s">
        <v>1048</v>
      </c>
      <c r="E87" s="55">
        <v>46125</v>
      </c>
      <c r="F87" s="26" t="s">
        <v>948</v>
      </c>
      <c r="G87" s="26" t="s">
        <v>58</v>
      </c>
      <c r="H87" s="26" t="s">
        <v>56</v>
      </c>
      <c r="I87" s="26" t="s">
        <v>70</v>
      </c>
      <c r="J87" s="26" t="s">
        <v>58</v>
      </c>
      <c r="K87" s="27"/>
      <c r="L87" s="28" t="s">
        <v>949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4.25" customHeight="1" x14ac:dyDescent="0.3">
      <c r="A88" s="42">
        <v>84</v>
      </c>
      <c r="B88" s="43" t="s">
        <v>1118</v>
      </c>
      <c r="C88" s="44" t="s">
        <v>1119</v>
      </c>
      <c r="D88" s="42" t="s">
        <v>1048</v>
      </c>
      <c r="E88" s="55">
        <v>46125</v>
      </c>
      <c r="F88" s="26" t="s">
        <v>948</v>
      </c>
      <c r="G88" s="26" t="s">
        <v>58</v>
      </c>
      <c r="H88" s="26" t="s">
        <v>56</v>
      </c>
      <c r="I88" s="26" t="s">
        <v>70</v>
      </c>
      <c r="J88" s="26" t="s">
        <v>58</v>
      </c>
      <c r="K88" s="27"/>
      <c r="L88" s="28" t="s">
        <v>949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4.25" customHeight="1" x14ac:dyDescent="0.3">
      <c r="A89" s="23">
        <v>85</v>
      </c>
      <c r="B89" s="24" t="s">
        <v>1120</v>
      </c>
      <c r="C89" s="25" t="s">
        <v>1121</v>
      </c>
      <c r="D89" s="23" t="s">
        <v>1048</v>
      </c>
      <c r="E89" s="55">
        <v>46125</v>
      </c>
      <c r="F89" s="26" t="s">
        <v>948</v>
      </c>
      <c r="G89" s="26" t="s">
        <v>58</v>
      </c>
      <c r="H89" s="26" t="s">
        <v>56</v>
      </c>
      <c r="I89" s="26" t="s">
        <v>70</v>
      </c>
      <c r="J89" s="26" t="s">
        <v>58</v>
      </c>
      <c r="K89" s="27"/>
      <c r="L89" s="28" t="s">
        <v>949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4.25" customHeight="1" x14ac:dyDescent="0.3">
      <c r="A90" s="42">
        <v>86</v>
      </c>
      <c r="B90" s="43" t="s">
        <v>1122</v>
      </c>
      <c r="C90" s="44" t="s">
        <v>1123</v>
      </c>
      <c r="D90" s="42" t="s">
        <v>1048</v>
      </c>
      <c r="E90" s="55">
        <v>46125</v>
      </c>
      <c r="F90" s="26" t="s">
        <v>948</v>
      </c>
      <c r="G90" s="26" t="s">
        <v>56</v>
      </c>
      <c r="H90" s="26" t="s">
        <v>56</v>
      </c>
      <c r="I90" s="26" t="s">
        <v>57</v>
      </c>
      <c r="J90" s="26" t="s">
        <v>56</v>
      </c>
      <c r="K90" s="27" t="s">
        <v>1053</v>
      </c>
      <c r="L90" s="28" t="s">
        <v>58</v>
      </c>
      <c r="M90" s="29" t="str">
        <f t="shared" si="10"/>
        <v>⚠ Missing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4.25" customHeight="1" x14ac:dyDescent="0.3">
      <c r="A91" s="23">
        <v>87</v>
      </c>
      <c r="B91" s="24" t="s">
        <v>1124</v>
      </c>
      <c r="C91" s="25" t="s">
        <v>1125</v>
      </c>
      <c r="D91" s="23" t="s">
        <v>1048</v>
      </c>
      <c r="E91" s="55">
        <v>46125</v>
      </c>
      <c r="F91" s="26" t="s">
        <v>948</v>
      </c>
      <c r="G91" s="26" t="s">
        <v>58</v>
      </c>
      <c r="H91" s="26" t="s">
        <v>56</v>
      </c>
      <c r="I91" s="26" t="s">
        <v>70</v>
      </c>
      <c r="J91" s="26" t="s">
        <v>58</v>
      </c>
      <c r="K91" s="27"/>
      <c r="L91" s="28" t="s">
        <v>949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4.25" customHeight="1" x14ac:dyDescent="0.3">
      <c r="A92" s="42">
        <v>88</v>
      </c>
      <c r="B92" s="43" t="s">
        <v>1126</v>
      </c>
      <c r="C92" s="44" t="s">
        <v>1127</v>
      </c>
      <c r="D92" s="42" t="s">
        <v>1048</v>
      </c>
      <c r="E92" s="55">
        <v>46125</v>
      </c>
      <c r="F92" s="26" t="s">
        <v>948</v>
      </c>
      <c r="G92" s="26" t="s">
        <v>56</v>
      </c>
      <c r="H92" s="26" t="s">
        <v>56</v>
      </c>
      <c r="I92" s="26" t="s">
        <v>57</v>
      </c>
      <c r="J92" s="26" t="s">
        <v>56</v>
      </c>
      <c r="K92" s="27" t="s">
        <v>1053</v>
      </c>
      <c r="L92" s="28" t="s">
        <v>58</v>
      </c>
      <c r="M92" s="29" t="str">
        <f t="shared" si="10"/>
        <v>⚠ Missing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4.25" customHeight="1" x14ac:dyDescent="0.3">
      <c r="A93" s="23">
        <v>89</v>
      </c>
      <c r="B93" s="24" t="s">
        <v>1128</v>
      </c>
      <c r="C93" s="25" t="s">
        <v>1129</v>
      </c>
      <c r="D93" s="23" t="s">
        <v>1048</v>
      </c>
      <c r="E93" s="55">
        <v>46125</v>
      </c>
      <c r="F93" s="26" t="s">
        <v>948</v>
      </c>
      <c r="G93" s="26" t="s">
        <v>58</v>
      </c>
      <c r="H93" s="26" t="s">
        <v>56</v>
      </c>
      <c r="I93" s="26" t="s">
        <v>70</v>
      </c>
      <c r="J93" s="26" t="s">
        <v>58</v>
      </c>
      <c r="K93" s="27"/>
      <c r="L93" s="28" t="s">
        <v>949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4.25" customHeight="1" x14ac:dyDescent="0.3">
      <c r="A94" s="42">
        <v>90</v>
      </c>
      <c r="B94" s="43" t="s">
        <v>1130</v>
      </c>
      <c r="C94" s="44" t="s">
        <v>1131</v>
      </c>
      <c r="D94" s="42" t="s">
        <v>1048</v>
      </c>
      <c r="E94" s="55">
        <v>46125</v>
      </c>
      <c r="F94" s="26" t="s">
        <v>948</v>
      </c>
      <c r="G94" s="26" t="s">
        <v>56</v>
      </c>
      <c r="H94" s="26" t="s">
        <v>56</v>
      </c>
      <c r="I94" s="26" t="s">
        <v>57</v>
      </c>
      <c r="J94" s="26" t="s">
        <v>56</v>
      </c>
      <c r="K94" s="27" t="s">
        <v>1053</v>
      </c>
      <c r="L94" s="28" t="s">
        <v>58</v>
      </c>
      <c r="M94" s="29" t="str">
        <f t="shared" si="10"/>
        <v>⚠ Missing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4.25" customHeight="1" x14ac:dyDescent="0.3">
      <c r="A95" s="23">
        <v>91</v>
      </c>
      <c r="B95" s="24" t="s">
        <v>1132</v>
      </c>
      <c r="C95" s="25" t="s">
        <v>1133</v>
      </c>
      <c r="D95" s="23" t="s">
        <v>1048</v>
      </c>
      <c r="E95" s="55">
        <v>46125</v>
      </c>
      <c r="F95" s="26" t="s">
        <v>948</v>
      </c>
      <c r="G95" s="26" t="s">
        <v>58</v>
      </c>
      <c r="H95" s="26" t="s">
        <v>56</v>
      </c>
      <c r="I95" s="26" t="s">
        <v>70</v>
      </c>
      <c r="J95" s="26" t="s">
        <v>58</v>
      </c>
      <c r="K95" s="27"/>
      <c r="L95" s="28" t="s">
        <v>949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4.25" customHeight="1" x14ac:dyDescent="0.3">
      <c r="A96" s="42">
        <v>92</v>
      </c>
      <c r="B96" s="43" t="s">
        <v>1134</v>
      </c>
      <c r="C96" s="44" t="s">
        <v>1135</v>
      </c>
      <c r="D96" s="42" t="s">
        <v>1048</v>
      </c>
      <c r="E96" s="55">
        <v>46125</v>
      </c>
      <c r="F96" s="26" t="s">
        <v>948</v>
      </c>
      <c r="G96" s="26" t="s">
        <v>58</v>
      </c>
      <c r="H96" s="26" t="s">
        <v>56</v>
      </c>
      <c r="I96" s="26" t="s">
        <v>70</v>
      </c>
      <c r="J96" s="26" t="s">
        <v>58</v>
      </c>
      <c r="K96" s="27"/>
      <c r="L96" s="28" t="s">
        <v>949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4.25" customHeight="1" x14ac:dyDescent="0.3">
      <c r="A97" s="23">
        <v>93</v>
      </c>
      <c r="B97" s="24" t="s">
        <v>1136</v>
      </c>
      <c r="C97" s="25" t="s">
        <v>1137</v>
      </c>
      <c r="D97" s="23" t="s">
        <v>1048</v>
      </c>
      <c r="E97" s="55">
        <v>46125</v>
      </c>
      <c r="F97" s="26" t="s">
        <v>948</v>
      </c>
      <c r="G97" s="26" t="s">
        <v>58</v>
      </c>
      <c r="H97" s="26" t="s">
        <v>56</v>
      </c>
      <c r="I97" s="26" t="s">
        <v>70</v>
      </c>
      <c r="J97" s="26" t="s">
        <v>58</v>
      </c>
      <c r="K97" s="27"/>
      <c r="L97" s="28" t="s">
        <v>949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4.25" customHeight="1" x14ac:dyDescent="0.3">
      <c r="A98" s="42">
        <v>94</v>
      </c>
      <c r="B98" s="43" t="s">
        <v>1138</v>
      </c>
      <c r="C98" s="44" t="s">
        <v>1139</v>
      </c>
      <c r="D98" s="42" t="s">
        <v>1048</v>
      </c>
      <c r="E98" s="55">
        <v>46125</v>
      </c>
      <c r="F98" s="26" t="s">
        <v>948</v>
      </c>
      <c r="G98" s="26" t="s">
        <v>58</v>
      </c>
      <c r="H98" s="26" t="s">
        <v>56</v>
      </c>
      <c r="I98" s="26" t="s">
        <v>70</v>
      </c>
      <c r="J98" s="26" t="s">
        <v>58</v>
      </c>
      <c r="K98" s="27"/>
      <c r="L98" s="28" t="s">
        <v>949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4.25" customHeight="1" x14ac:dyDescent="0.3">
      <c r="A99" s="23">
        <v>95</v>
      </c>
      <c r="B99" s="24" t="s">
        <v>1140</v>
      </c>
      <c r="C99" s="25" t="s">
        <v>1141</v>
      </c>
      <c r="D99" s="23" t="s">
        <v>1048</v>
      </c>
      <c r="E99" s="55">
        <v>46125</v>
      </c>
      <c r="F99" s="26" t="s">
        <v>948</v>
      </c>
      <c r="G99" s="26" t="s">
        <v>58</v>
      </c>
      <c r="H99" s="26" t="s">
        <v>56</v>
      </c>
      <c r="I99" s="26" t="s">
        <v>70</v>
      </c>
      <c r="J99" s="26" t="s">
        <v>58</v>
      </c>
      <c r="K99" s="27"/>
      <c r="L99" s="28" t="s">
        <v>949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4.25" customHeight="1" x14ac:dyDescent="0.3">
      <c r="A100" s="42">
        <v>96</v>
      </c>
      <c r="B100" s="43" t="s">
        <v>1142</v>
      </c>
      <c r="C100" s="44" t="s">
        <v>1143</v>
      </c>
      <c r="D100" s="42" t="s">
        <v>1048</v>
      </c>
      <c r="E100" s="55">
        <v>46125</v>
      </c>
      <c r="F100" s="26" t="s">
        <v>948</v>
      </c>
      <c r="G100" s="26" t="s">
        <v>58</v>
      </c>
      <c r="H100" s="26" t="s">
        <v>56</v>
      </c>
      <c r="I100" s="26" t="s">
        <v>70</v>
      </c>
      <c r="J100" s="26" t="s">
        <v>58</v>
      </c>
      <c r="K100" s="27"/>
      <c r="L100" s="28" t="s">
        <v>949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4.25" customHeight="1" x14ac:dyDescent="0.3">
      <c r="A101" s="23">
        <v>97</v>
      </c>
      <c r="B101" s="24" t="s">
        <v>1144</v>
      </c>
      <c r="C101" s="25" t="s">
        <v>1145</v>
      </c>
      <c r="D101" s="23" t="s">
        <v>1048</v>
      </c>
      <c r="E101" s="55">
        <v>46125</v>
      </c>
      <c r="F101" s="26" t="s">
        <v>948</v>
      </c>
      <c r="G101" s="26" t="s">
        <v>58</v>
      </c>
      <c r="H101" s="26" t="s">
        <v>56</v>
      </c>
      <c r="I101" s="26" t="s">
        <v>70</v>
      </c>
      <c r="J101" s="26" t="s">
        <v>58</v>
      </c>
      <c r="K101" s="27"/>
      <c r="L101" s="28" t="s">
        <v>949</v>
      </c>
      <c r="M101" s="29" t="str">
        <f t="shared" ref="M101:M132" si="15">IF(E101="","",IF(H101="Yes","❌ Disc",IF(G101="No","⚠ Missing",IF(J101="Yes","✓ OK","⚠ Check"))))</f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4.25" customHeight="1" x14ac:dyDescent="0.3">
      <c r="A102" s="42">
        <v>98</v>
      </c>
      <c r="B102" s="43" t="s">
        <v>1146</v>
      </c>
      <c r="C102" s="44" t="s">
        <v>1147</v>
      </c>
      <c r="D102" s="42" t="s">
        <v>1048</v>
      </c>
      <c r="E102" s="55">
        <v>46125</v>
      </c>
      <c r="F102" s="26" t="s">
        <v>948</v>
      </c>
      <c r="G102" s="26" t="s">
        <v>58</v>
      </c>
      <c r="H102" s="26" t="s">
        <v>56</v>
      </c>
      <c r="I102" s="26" t="s">
        <v>70</v>
      </c>
      <c r="J102" s="26" t="s">
        <v>58</v>
      </c>
      <c r="K102" s="27"/>
      <c r="L102" s="28" t="s">
        <v>949</v>
      </c>
      <c r="M102" s="29" t="str">
        <f t="shared" si="1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4.25" customHeight="1" x14ac:dyDescent="0.3">
      <c r="A103" s="23">
        <v>99</v>
      </c>
      <c r="B103" s="24" t="s">
        <v>1148</v>
      </c>
      <c r="C103" s="25" t="s">
        <v>1149</v>
      </c>
      <c r="D103" s="23" t="s">
        <v>1048</v>
      </c>
      <c r="E103" s="55">
        <v>46125</v>
      </c>
      <c r="F103" s="26" t="s">
        <v>948</v>
      </c>
      <c r="G103" s="26" t="s">
        <v>58</v>
      </c>
      <c r="H103" s="26" t="s">
        <v>56</v>
      </c>
      <c r="I103" s="26" t="s">
        <v>70</v>
      </c>
      <c r="J103" s="26" t="s">
        <v>58</v>
      </c>
      <c r="K103" s="27"/>
      <c r="L103" s="28" t="s">
        <v>949</v>
      </c>
      <c r="M103" s="29" t="str">
        <f t="shared" si="1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4.25" customHeight="1" x14ac:dyDescent="0.3">
      <c r="A104" s="42">
        <v>100</v>
      </c>
      <c r="B104" s="43" t="s">
        <v>1150</v>
      </c>
      <c r="C104" s="44" t="s">
        <v>1151</v>
      </c>
      <c r="D104" s="42" t="s">
        <v>1048</v>
      </c>
      <c r="E104" s="55">
        <v>46125</v>
      </c>
      <c r="F104" s="26" t="s">
        <v>948</v>
      </c>
      <c r="G104" s="26" t="s">
        <v>58</v>
      </c>
      <c r="H104" s="26" t="s">
        <v>56</v>
      </c>
      <c r="I104" s="26" t="s">
        <v>70</v>
      </c>
      <c r="J104" s="26" t="s">
        <v>58</v>
      </c>
      <c r="K104" s="27"/>
      <c r="L104" s="28" t="s">
        <v>949</v>
      </c>
      <c r="M104" s="29" t="str">
        <f t="shared" si="1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4.25" customHeight="1" x14ac:dyDescent="0.3">
      <c r="A105" s="23">
        <v>101</v>
      </c>
      <c r="B105" s="24" t="s">
        <v>1152</v>
      </c>
      <c r="C105" s="25" t="s">
        <v>1153</v>
      </c>
      <c r="D105" s="23" t="s">
        <v>1048</v>
      </c>
      <c r="E105" s="55">
        <v>46125</v>
      </c>
      <c r="F105" s="26" t="s">
        <v>948</v>
      </c>
      <c r="G105" s="26" t="s">
        <v>58</v>
      </c>
      <c r="H105" s="26" t="s">
        <v>56</v>
      </c>
      <c r="I105" s="26" t="s">
        <v>70</v>
      </c>
      <c r="J105" s="26" t="s">
        <v>58</v>
      </c>
      <c r="K105" s="27"/>
      <c r="L105" s="28" t="s">
        <v>949</v>
      </c>
      <c r="M105" s="29" t="str">
        <f t="shared" si="1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4.25" customHeight="1" x14ac:dyDescent="0.3">
      <c r="A106" s="42">
        <v>102</v>
      </c>
      <c r="B106" s="43" t="s">
        <v>1154</v>
      </c>
      <c r="C106" s="44" t="s">
        <v>1155</v>
      </c>
      <c r="D106" s="42" t="s">
        <v>1048</v>
      </c>
      <c r="E106" s="55">
        <v>46125</v>
      </c>
      <c r="F106" s="26" t="s">
        <v>948</v>
      </c>
      <c r="G106" s="26" t="s">
        <v>58</v>
      </c>
      <c r="H106" s="26" t="s">
        <v>56</v>
      </c>
      <c r="I106" s="26" t="s">
        <v>70</v>
      </c>
      <c r="J106" s="26" t="s">
        <v>58</v>
      </c>
      <c r="K106" s="27"/>
      <c r="L106" s="28" t="s">
        <v>949</v>
      </c>
      <c r="M106" s="29" t="str">
        <f t="shared" si="1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4.25" customHeight="1" x14ac:dyDescent="0.3">
      <c r="A107" s="23">
        <v>103</v>
      </c>
      <c r="B107" s="24" t="s">
        <v>1156</v>
      </c>
      <c r="C107" s="25" t="s">
        <v>1157</v>
      </c>
      <c r="D107" s="23" t="s">
        <v>1048</v>
      </c>
      <c r="E107" s="55">
        <v>46125</v>
      </c>
      <c r="F107" s="26" t="s">
        <v>948</v>
      </c>
      <c r="G107" s="26" t="s">
        <v>56</v>
      </c>
      <c r="H107" s="26" t="s">
        <v>56</v>
      </c>
      <c r="I107" s="26" t="s">
        <v>57</v>
      </c>
      <c r="J107" s="26" t="s">
        <v>56</v>
      </c>
      <c r="K107" s="27" t="s">
        <v>1053</v>
      </c>
      <c r="L107" s="28" t="s">
        <v>58</v>
      </c>
      <c r="M107" s="29" t="str">
        <f t="shared" si="15"/>
        <v>⚠ Missing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4.25" customHeight="1" x14ac:dyDescent="0.3">
      <c r="A108" s="42">
        <v>104</v>
      </c>
      <c r="B108" s="43" t="s">
        <v>1158</v>
      </c>
      <c r="C108" s="44" t="s">
        <v>1159</v>
      </c>
      <c r="D108" s="42" t="s">
        <v>1048</v>
      </c>
      <c r="E108" s="55">
        <v>46125</v>
      </c>
      <c r="F108" s="26" t="s">
        <v>948</v>
      </c>
      <c r="G108" s="26" t="s">
        <v>56</v>
      </c>
      <c r="H108" s="26" t="s">
        <v>56</v>
      </c>
      <c r="I108" s="26" t="s">
        <v>57</v>
      </c>
      <c r="J108" s="26" t="s">
        <v>56</v>
      </c>
      <c r="K108" s="27" t="s">
        <v>1053</v>
      </c>
      <c r="L108" s="28" t="s">
        <v>58</v>
      </c>
      <c r="M108" s="29" t="str">
        <f t="shared" si="15"/>
        <v>⚠ Missing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4.25" customHeight="1" x14ac:dyDescent="0.3">
      <c r="A109" s="23">
        <v>105</v>
      </c>
      <c r="B109" s="24" t="s">
        <v>1160</v>
      </c>
      <c r="C109" s="25" t="s">
        <v>1161</v>
      </c>
      <c r="D109" s="23" t="s">
        <v>1048</v>
      </c>
      <c r="E109" s="55">
        <v>46125</v>
      </c>
      <c r="F109" s="26" t="s">
        <v>948</v>
      </c>
      <c r="G109" s="26" t="s">
        <v>56</v>
      </c>
      <c r="H109" s="26" t="s">
        <v>56</v>
      </c>
      <c r="I109" s="26" t="s">
        <v>57</v>
      </c>
      <c r="J109" s="26" t="s">
        <v>56</v>
      </c>
      <c r="K109" s="27" t="s">
        <v>1053</v>
      </c>
      <c r="L109" s="28" t="s">
        <v>58</v>
      </c>
      <c r="M109" s="29" t="str">
        <f t="shared" si="15"/>
        <v>⚠ Missing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4.25" customHeight="1" x14ac:dyDescent="0.3">
      <c r="A110" s="42">
        <v>106</v>
      </c>
      <c r="B110" s="43" t="s">
        <v>1162</v>
      </c>
      <c r="C110" s="44" t="s">
        <v>1163</v>
      </c>
      <c r="D110" s="42" t="s">
        <v>1048</v>
      </c>
      <c r="E110" s="55">
        <v>46125</v>
      </c>
      <c r="F110" s="26" t="s">
        <v>948</v>
      </c>
      <c r="G110" s="26" t="s">
        <v>56</v>
      </c>
      <c r="H110" s="26" t="s">
        <v>56</v>
      </c>
      <c r="I110" s="26" t="s">
        <v>57</v>
      </c>
      <c r="J110" s="26" t="s">
        <v>56</v>
      </c>
      <c r="K110" s="27" t="s">
        <v>1053</v>
      </c>
      <c r="L110" s="28" t="s">
        <v>58</v>
      </c>
      <c r="M110" s="29" t="str">
        <f t="shared" si="15"/>
        <v>⚠ Missing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4.25" customHeight="1" x14ac:dyDescent="0.3">
      <c r="A111" s="23">
        <v>107</v>
      </c>
      <c r="B111" s="24" t="s">
        <v>1164</v>
      </c>
      <c r="C111" s="25" t="s">
        <v>1165</v>
      </c>
      <c r="D111" s="23" t="s">
        <v>1048</v>
      </c>
      <c r="E111" s="55">
        <v>46125</v>
      </c>
      <c r="F111" s="26" t="s">
        <v>948</v>
      </c>
      <c r="G111" s="26" t="s">
        <v>56</v>
      </c>
      <c r="H111" s="26" t="s">
        <v>56</v>
      </c>
      <c r="I111" s="26" t="s">
        <v>57</v>
      </c>
      <c r="J111" s="26" t="s">
        <v>56</v>
      </c>
      <c r="K111" s="27" t="s">
        <v>1053</v>
      </c>
      <c r="L111" s="28" t="s">
        <v>58</v>
      </c>
      <c r="M111" s="29" t="str">
        <f t="shared" si="15"/>
        <v>⚠ Missing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4.25" customHeight="1" x14ac:dyDescent="0.3">
      <c r="A112" s="42">
        <v>108</v>
      </c>
      <c r="B112" s="43" t="s">
        <v>1166</v>
      </c>
      <c r="C112" s="44" t="s">
        <v>1167</v>
      </c>
      <c r="D112" s="42" t="s">
        <v>1048</v>
      </c>
      <c r="E112" s="55">
        <v>46125</v>
      </c>
      <c r="F112" s="26" t="s">
        <v>948</v>
      </c>
      <c r="G112" s="26" t="s">
        <v>58</v>
      </c>
      <c r="H112" s="26" t="s">
        <v>56</v>
      </c>
      <c r="I112" s="26" t="s">
        <v>70</v>
      </c>
      <c r="J112" s="26" t="s">
        <v>58</v>
      </c>
      <c r="K112" s="27"/>
      <c r="L112" s="28" t="s">
        <v>949</v>
      </c>
      <c r="M112" s="29" t="str">
        <f t="shared" si="1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4.25" customHeight="1" x14ac:dyDescent="0.3">
      <c r="A113" s="23">
        <v>109</v>
      </c>
      <c r="B113" s="24" t="s">
        <v>1168</v>
      </c>
      <c r="C113" s="25" t="s">
        <v>1169</v>
      </c>
      <c r="D113" s="23" t="s">
        <v>1048</v>
      </c>
      <c r="E113" s="55">
        <v>46125</v>
      </c>
      <c r="F113" s="26" t="s">
        <v>948</v>
      </c>
      <c r="G113" s="26" t="s">
        <v>56</v>
      </c>
      <c r="H113" s="26" t="s">
        <v>56</v>
      </c>
      <c r="I113" s="26" t="s">
        <v>57</v>
      </c>
      <c r="J113" s="26" t="s">
        <v>56</v>
      </c>
      <c r="K113" s="27" t="s">
        <v>1053</v>
      </c>
      <c r="L113" s="28" t="s">
        <v>58</v>
      </c>
      <c r="M113" s="29" t="str">
        <f t="shared" si="15"/>
        <v>⚠ Missing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4.25" customHeight="1" x14ac:dyDescent="0.3">
      <c r="A114" s="42">
        <v>110</v>
      </c>
      <c r="B114" s="43" t="s">
        <v>1170</v>
      </c>
      <c r="C114" s="44" t="s">
        <v>1171</v>
      </c>
      <c r="D114" s="42" t="s">
        <v>1048</v>
      </c>
      <c r="E114" s="55">
        <v>46125</v>
      </c>
      <c r="F114" s="26" t="s">
        <v>948</v>
      </c>
      <c r="G114" s="26" t="s">
        <v>56</v>
      </c>
      <c r="H114" s="26" t="s">
        <v>56</v>
      </c>
      <c r="I114" s="26" t="s">
        <v>57</v>
      </c>
      <c r="J114" s="26" t="s">
        <v>56</v>
      </c>
      <c r="K114" s="27" t="s">
        <v>1053</v>
      </c>
      <c r="L114" s="28" t="s">
        <v>58</v>
      </c>
      <c r="M114" s="29" t="str">
        <f t="shared" si="15"/>
        <v>⚠ Missing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4.25" customHeight="1" x14ac:dyDescent="0.3">
      <c r="A115" s="23">
        <v>111</v>
      </c>
      <c r="B115" s="24" t="s">
        <v>1172</v>
      </c>
      <c r="C115" s="25" t="s">
        <v>1173</v>
      </c>
      <c r="D115" s="23" t="s">
        <v>1048</v>
      </c>
      <c r="E115" s="55">
        <v>46125</v>
      </c>
      <c r="F115" s="26" t="s">
        <v>948</v>
      </c>
      <c r="G115" s="26" t="s">
        <v>58</v>
      </c>
      <c r="H115" s="26" t="s">
        <v>56</v>
      </c>
      <c r="I115" s="26" t="s">
        <v>70</v>
      </c>
      <c r="J115" s="26" t="s">
        <v>58</v>
      </c>
      <c r="K115" s="27"/>
      <c r="L115" s="28" t="s">
        <v>949</v>
      </c>
      <c r="M115" s="29" t="str">
        <f t="shared" si="1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4.25" customHeight="1" x14ac:dyDescent="0.3">
      <c r="A116" s="42">
        <v>112</v>
      </c>
      <c r="B116" s="43" t="s">
        <v>1174</v>
      </c>
      <c r="C116" s="44" t="s">
        <v>1175</v>
      </c>
      <c r="D116" s="42" t="s">
        <v>1048</v>
      </c>
      <c r="E116" s="55">
        <v>46125</v>
      </c>
      <c r="F116" s="26" t="s">
        <v>948</v>
      </c>
      <c r="G116" s="26" t="s">
        <v>58</v>
      </c>
      <c r="H116" s="26" t="s">
        <v>56</v>
      </c>
      <c r="I116" s="26" t="s">
        <v>70</v>
      </c>
      <c r="J116" s="26" t="s">
        <v>58</v>
      </c>
      <c r="K116" s="27"/>
      <c r="L116" s="28" t="s">
        <v>949</v>
      </c>
      <c r="M116" s="29" t="str">
        <f t="shared" si="1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4.25" customHeight="1" x14ac:dyDescent="0.3">
      <c r="A117" s="23">
        <v>113</v>
      </c>
      <c r="B117" s="24" t="s">
        <v>1176</v>
      </c>
      <c r="C117" s="25" t="s">
        <v>1177</v>
      </c>
      <c r="D117" s="23" t="s">
        <v>1048</v>
      </c>
      <c r="E117" s="55">
        <v>46125</v>
      </c>
      <c r="F117" s="26" t="s">
        <v>948</v>
      </c>
      <c r="G117" s="26" t="s">
        <v>58</v>
      </c>
      <c r="H117" s="26" t="s">
        <v>56</v>
      </c>
      <c r="I117" s="26" t="s">
        <v>70</v>
      </c>
      <c r="J117" s="26" t="s">
        <v>58</v>
      </c>
      <c r="K117" s="27"/>
      <c r="L117" s="28" t="s">
        <v>949</v>
      </c>
      <c r="M117" s="29" t="str">
        <f t="shared" si="1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4.25" customHeight="1" x14ac:dyDescent="0.3">
      <c r="A118" s="42">
        <v>114</v>
      </c>
      <c r="B118" s="43" t="s">
        <v>1178</v>
      </c>
      <c r="C118" s="44" t="s">
        <v>1179</v>
      </c>
      <c r="D118" s="42" t="s">
        <v>1048</v>
      </c>
      <c r="E118" s="55">
        <v>46125</v>
      </c>
      <c r="F118" s="26" t="s">
        <v>948</v>
      </c>
      <c r="G118" s="26" t="s">
        <v>58</v>
      </c>
      <c r="H118" s="26" t="s">
        <v>56</v>
      </c>
      <c r="I118" s="26" t="s">
        <v>70</v>
      </c>
      <c r="J118" s="26" t="s">
        <v>58</v>
      </c>
      <c r="K118" s="27"/>
      <c r="L118" s="28" t="s">
        <v>949</v>
      </c>
      <c r="M118" s="29" t="str">
        <f t="shared" si="1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4.25" customHeight="1" x14ac:dyDescent="0.3">
      <c r="A119" s="23">
        <v>115</v>
      </c>
      <c r="B119" s="24" t="s">
        <v>1180</v>
      </c>
      <c r="C119" s="25" t="s">
        <v>1181</v>
      </c>
      <c r="D119" s="23" t="s">
        <v>1048</v>
      </c>
      <c r="E119" s="55">
        <v>46125</v>
      </c>
      <c r="F119" s="26" t="s">
        <v>948</v>
      </c>
      <c r="G119" s="26" t="s">
        <v>56</v>
      </c>
      <c r="H119" s="26" t="s">
        <v>56</v>
      </c>
      <c r="I119" s="26" t="s">
        <v>57</v>
      </c>
      <c r="J119" s="26" t="s">
        <v>56</v>
      </c>
      <c r="K119" s="27" t="s">
        <v>1053</v>
      </c>
      <c r="L119" s="28" t="s">
        <v>58</v>
      </c>
      <c r="M119" s="29" t="str">
        <f t="shared" si="15"/>
        <v>⚠ Missing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4.25" customHeight="1" x14ac:dyDescent="0.3">
      <c r="A120" s="42">
        <v>116</v>
      </c>
      <c r="B120" s="43" t="s">
        <v>1182</v>
      </c>
      <c r="C120" s="44" t="s">
        <v>1183</v>
      </c>
      <c r="D120" s="42" t="s">
        <v>1048</v>
      </c>
      <c r="E120" s="55">
        <v>46125</v>
      </c>
      <c r="F120" s="26" t="s">
        <v>948</v>
      </c>
      <c r="G120" s="26" t="s">
        <v>58</v>
      </c>
      <c r="H120" s="26" t="s">
        <v>56</v>
      </c>
      <c r="I120" s="26" t="s">
        <v>70</v>
      </c>
      <c r="J120" s="26" t="s">
        <v>58</v>
      </c>
      <c r="K120" s="27"/>
      <c r="L120" s="28" t="s">
        <v>949</v>
      </c>
      <c r="M120" s="29" t="str">
        <f t="shared" si="1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4.25" customHeight="1" x14ac:dyDescent="0.3">
      <c r="A121" s="23">
        <v>117</v>
      </c>
      <c r="B121" s="24" t="s">
        <v>1184</v>
      </c>
      <c r="C121" s="25" t="s">
        <v>1185</v>
      </c>
      <c r="D121" s="23" t="s">
        <v>1048</v>
      </c>
      <c r="E121" s="55">
        <v>46125</v>
      </c>
      <c r="F121" s="26" t="s">
        <v>948</v>
      </c>
      <c r="G121" s="26" t="s">
        <v>56</v>
      </c>
      <c r="H121" s="26" t="s">
        <v>56</v>
      </c>
      <c r="I121" s="26" t="s">
        <v>57</v>
      </c>
      <c r="J121" s="26" t="s">
        <v>56</v>
      </c>
      <c r="K121" s="27" t="s">
        <v>1053</v>
      </c>
      <c r="L121" s="28" t="s">
        <v>58</v>
      </c>
      <c r="M121" s="29" t="str">
        <f t="shared" si="15"/>
        <v>⚠ Missing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4.25" customHeight="1" x14ac:dyDescent="0.3">
      <c r="A122" s="42">
        <v>118</v>
      </c>
      <c r="B122" s="43" t="s">
        <v>1186</v>
      </c>
      <c r="C122" s="44" t="s">
        <v>1187</v>
      </c>
      <c r="D122" s="42" t="s">
        <v>1048</v>
      </c>
      <c r="E122" s="55">
        <v>46125</v>
      </c>
      <c r="F122" s="26" t="s">
        <v>948</v>
      </c>
      <c r="G122" s="26" t="s">
        <v>58</v>
      </c>
      <c r="H122" s="26" t="s">
        <v>56</v>
      </c>
      <c r="I122" s="26" t="s">
        <v>70</v>
      </c>
      <c r="J122" s="26" t="s">
        <v>58</v>
      </c>
      <c r="K122" s="27"/>
      <c r="L122" s="28" t="s">
        <v>949</v>
      </c>
      <c r="M122" s="29" t="str">
        <f t="shared" si="1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4.25" customHeight="1" x14ac:dyDescent="0.3">
      <c r="A123" s="23">
        <v>119</v>
      </c>
      <c r="B123" s="24" t="s">
        <v>1188</v>
      </c>
      <c r="C123" s="25" t="s">
        <v>1189</v>
      </c>
      <c r="D123" s="23" t="s">
        <v>1048</v>
      </c>
      <c r="E123" s="55">
        <v>46125</v>
      </c>
      <c r="F123" s="26" t="s">
        <v>948</v>
      </c>
      <c r="G123" s="26" t="s">
        <v>58</v>
      </c>
      <c r="H123" s="26" t="s">
        <v>56</v>
      </c>
      <c r="I123" s="26" t="s">
        <v>70</v>
      </c>
      <c r="J123" s="26" t="s">
        <v>58</v>
      </c>
      <c r="K123" s="27"/>
      <c r="L123" s="28" t="s">
        <v>949</v>
      </c>
      <c r="M123" s="29" t="str">
        <f t="shared" si="1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4.25" customHeight="1" x14ac:dyDescent="0.3">
      <c r="A124" s="42">
        <v>120</v>
      </c>
      <c r="B124" s="43" t="s">
        <v>1190</v>
      </c>
      <c r="C124" s="44" t="s">
        <v>1191</v>
      </c>
      <c r="D124" s="42" t="s">
        <v>1048</v>
      </c>
      <c r="E124" s="55">
        <v>46125</v>
      </c>
      <c r="F124" s="26" t="s">
        <v>948</v>
      </c>
      <c r="G124" s="26" t="s">
        <v>58</v>
      </c>
      <c r="H124" s="26" t="s">
        <v>56</v>
      </c>
      <c r="I124" s="26" t="s">
        <v>70</v>
      </c>
      <c r="J124" s="26" t="s">
        <v>58</v>
      </c>
      <c r="K124" s="27"/>
      <c r="L124" s="28" t="s">
        <v>949</v>
      </c>
      <c r="M124" s="29" t="str">
        <f t="shared" si="1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4.25" customHeight="1" x14ac:dyDescent="0.3">
      <c r="A125" s="23">
        <v>121</v>
      </c>
      <c r="B125" s="24" t="s">
        <v>1192</v>
      </c>
      <c r="C125" s="25" t="s">
        <v>1193</v>
      </c>
      <c r="D125" s="23" t="s">
        <v>1048</v>
      </c>
      <c r="E125" s="55">
        <v>46125</v>
      </c>
      <c r="F125" s="26" t="s">
        <v>948</v>
      </c>
      <c r="G125" s="26" t="s">
        <v>56</v>
      </c>
      <c r="H125" s="26" t="s">
        <v>56</v>
      </c>
      <c r="I125" s="26" t="s">
        <v>57</v>
      </c>
      <c r="J125" s="26" t="s">
        <v>56</v>
      </c>
      <c r="K125" s="27" t="s">
        <v>1053</v>
      </c>
      <c r="L125" s="28" t="s">
        <v>58</v>
      </c>
      <c r="M125" s="29" t="str">
        <f t="shared" si="15"/>
        <v>⚠ Missing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4.25" customHeight="1" x14ac:dyDescent="0.3">
      <c r="A126" s="42">
        <v>122</v>
      </c>
      <c r="B126" s="43" t="s">
        <v>1194</v>
      </c>
      <c r="C126" s="44" t="s">
        <v>1195</v>
      </c>
      <c r="D126" s="42" t="s">
        <v>1048</v>
      </c>
      <c r="E126" s="55">
        <v>46125</v>
      </c>
      <c r="F126" s="26" t="s">
        <v>948</v>
      </c>
      <c r="G126" s="26" t="s">
        <v>58</v>
      </c>
      <c r="H126" s="26" t="s">
        <v>56</v>
      </c>
      <c r="I126" s="26" t="s">
        <v>70</v>
      </c>
      <c r="J126" s="26" t="s">
        <v>58</v>
      </c>
      <c r="K126" s="27"/>
      <c r="L126" s="28" t="s">
        <v>949</v>
      </c>
      <c r="M126" s="29" t="str">
        <f t="shared" si="1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4.25" customHeight="1" x14ac:dyDescent="0.3">
      <c r="A127" s="23">
        <v>123</v>
      </c>
      <c r="B127" s="24" t="s">
        <v>1196</v>
      </c>
      <c r="C127" s="25" t="s">
        <v>1197</v>
      </c>
      <c r="D127" s="23" t="s">
        <v>1048</v>
      </c>
      <c r="E127" s="55">
        <v>46125</v>
      </c>
      <c r="F127" s="26" t="s">
        <v>948</v>
      </c>
      <c r="G127" s="26" t="s">
        <v>58</v>
      </c>
      <c r="H127" s="26" t="s">
        <v>56</v>
      </c>
      <c r="I127" s="26" t="s">
        <v>70</v>
      </c>
      <c r="J127" s="26" t="s">
        <v>58</v>
      </c>
      <c r="K127" s="27"/>
      <c r="L127" s="28" t="s">
        <v>949</v>
      </c>
      <c r="M127" s="29" t="str">
        <f t="shared" si="1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4.25" customHeight="1" x14ac:dyDescent="0.3">
      <c r="A128" s="42">
        <v>124</v>
      </c>
      <c r="B128" s="43" t="s">
        <v>1198</v>
      </c>
      <c r="C128" s="44" t="s">
        <v>1199</v>
      </c>
      <c r="D128" s="42" t="s">
        <v>1048</v>
      </c>
      <c r="E128" s="55">
        <v>46125</v>
      </c>
      <c r="F128" s="26" t="s">
        <v>948</v>
      </c>
      <c r="G128" s="26" t="s">
        <v>58</v>
      </c>
      <c r="H128" s="26" t="s">
        <v>56</v>
      </c>
      <c r="I128" s="26" t="s">
        <v>70</v>
      </c>
      <c r="J128" s="26" t="s">
        <v>58</v>
      </c>
      <c r="K128" s="27"/>
      <c r="L128" s="28" t="s">
        <v>949</v>
      </c>
      <c r="M128" s="29" t="str">
        <f t="shared" si="1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4.25" customHeight="1" x14ac:dyDescent="0.3">
      <c r="A129" s="23">
        <v>125</v>
      </c>
      <c r="B129" s="24" t="s">
        <v>1200</v>
      </c>
      <c r="C129" s="25" t="s">
        <v>1201</v>
      </c>
      <c r="D129" s="23" t="s">
        <v>1048</v>
      </c>
      <c r="E129" s="55">
        <v>46125</v>
      </c>
      <c r="F129" s="26" t="s">
        <v>948</v>
      </c>
      <c r="G129" s="26" t="s">
        <v>56</v>
      </c>
      <c r="H129" s="26" t="s">
        <v>56</v>
      </c>
      <c r="I129" s="26" t="s">
        <v>57</v>
      </c>
      <c r="J129" s="26" t="s">
        <v>56</v>
      </c>
      <c r="K129" s="27" t="s">
        <v>1053</v>
      </c>
      <c r="L129" s="28" t="s">
        <v>58</v>
      </c>
      <c r="M129" s="29" t="str">
        <f t="shared" si="15"/>
        <v>⚠ Missing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4.25" customHeight="1" x14ac:dyDescent="0.3">
      <c r="A130" s="42">
        <v>126</v>
      </c>
      <c r="B130" s="43" t="s">
        <v>1202</v>
      </c>
      <c r="C130" s="44" t="s">
        <v>1203</v>
      </c>
      <c r="D130" s="42" t="s">
        <v>1048</v>
      </c>
      <c r="E130" s="55">
        <v>46125</v>
      </c>
      <c r="F130" s="26" t="s">
        <v>948</v>
      </c>
      <c r="G130" s="26" t="s">
        <v>56</v>
      </c>
      <c r="H130" s="26" t="s">
        <v>56</v>
      </c>
      <c r="I130" s="26" t="s">
        <v>57</v>
      </c>
      <c r="J130" s="26" t="s">
        <v>56</v>
      </c>
      <c r="K130" s="27" t="s">
        <v>1053</v>
      </c>
      <c r="L130" s="28" t="s">
        <v>58</v>
      </c>
      <c r="M130" s="29" t="str">
        <f t="shared" si="15"/>
        <v>⚠ Missing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4.25" customHeight="1" x14ac:dyDescent="0.3">
      <c r="A131" s="23">
        <v>127</v>
      </c>
      <c r="B131" s="24" t="s">
        <v>1204</v>
      </c>
      <c r="C131" s="25" t="s">
        <v>1205</v>
      </c>
      <c r="D131" s="23" t="s">
        <v>1048</v>
      </c>
      <c r="E131" s="55">
        <v>46125</v>
      </c>
      <c r="F131" s="26" t="s">
        <v>948</v>
      </c>
      <c r="G131" s="26" t="s">
        <v>56</v>
      </c>
      <c r="H131" s="26" t="s">
        <v>56</v>
      </c>
      <c r="I131" s="26" t="s">
        <v>57</v>
      </c>
      <c r="J131" s="26" t="s">
        <v>56</v>
      </c>
      <c r="K131" s="27" t="s">
        <v>1053</v>
      </c>
      <c r="L131" s="28" t="s">
        <v>58</v>
      </c>
      <c r="M131" s="29" t="str">
        <f t="shared" si="15"/>
        <v>⚠ Missing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4.25" customHeight="1" x14ac:dyDescent="0.3">
      <c r="A132" s="42">
        <v>128</v>
      </c>
      <c r="B132" s="43" t="s">
        <v>1206</v>
      </c>
      <c r="C132" s="44" t="s">
        <v>1207</v>
      </c>
      <c r="D132" s="42" t="s">
        <v>1048</v>
      </c>
      <c r="E132" s="55">
        <v>46125</v>
      </c>
      <c r="F132" s="26" t="s">
        <v>948</v>
      </c>
      <c r="G132" s="26" t="s">
        <v>58</v>
      </c>
      <c r="H132" s="26" t="s">
        <v>56</v>
      </c>
      <c r="I132" s="26" t="s">
        <v>70</v>
      </c>
      <c r="J132" s="26" t="s">
        <v>58</v>
      </c>
      <c r="K132" s="27"/>
      <c r="L132" s="28" t="s">
        <v>949</v>
      </c>
      <c r="M132" s="29" t="str">
        <f t="shared" si="1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4.25" customHeight="1" x14ac:dyDescent="0.3">
      <c r="A133" s="23">
        <v>129</v>
      </c>
      <c r="B133" s="24" t="s">
        <v>1208</v>
      </c>
      <c r="C133" s="25" t="s">
        <v>1209</v>
      </c>
      <c r="D133" s="23" t="s">
        <v>1048</v>
      </c>
      <c r="E133" s="55">
        <v>46125</v>
      </c>
      <c r="F133" s="26" t="s">
        <v>948</v>
      </c>
      <c r="G133" s="26" t="s">
        <v>58</v>
      </c>
      <c r="H133" s="26" t="s">
        <v>56</v>
      </c>
      <c r="I133" s="26" t="s">
        <v>70</v>
      </c>
      <c r="J133" s="26" t="s">
        <v>58</v>
      </c>
      <c r="K133" s="27"/>
      <c r="L133" s="28" t="s">
        <v>949</v>
      </c>
      <c r="M133" s="29" t="str">
        <f t="shared" ref="M133:M168" si="2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4.25" customHeight="1" x14ac:dyDescent="0.3">
      <c r="A134" s="42">
        <v>130</v>
      </c>
      <c r="B134" s="43" t="s">
        <v>1210</v>
      </c>
      <c r="C134" s="44" t="s">
        <v>1211</v>
      </c>
      <c r="D134" s="42" t="s">
        <v>1048</v>
      </c>
      <c r="E134" s="55">
        <v>46125</v>
      </c>
      <c r="F134" s="26" t="s">
        <v>948</v>
      </c>
      <c r="G134" s="26" t="s">
        <v>56</v>
      </c>
      <c r="H134" s="26" t="s">
        <v>56</v>
      </c>
      <c r="I134" s="26" t="s">
        <v>57</v>
      </c>
      <c r="J134" s="26" t="s">
        <v>56</v>
      </c>
      <c r="K134" s="27" t="s">
        <v>1053</v>
      </c>
      <c r="L134" s="28" t="s">
        <v>58</v>
      </c>
      <c r="M134" s="29" t="str">
        <f t="shared" si="20"/>
        <v>⚠ Missing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4.25" customHeight="1" x14ac:dyDescent="0.3">
      <c r="A135" s="23">
        <v>131</v>
      </c>
      <c r="B135" s="24" t="s">
        <v>1212</v>
      </c>
      <c r="C135" s="25" t="s">
        <v>1213</v>
      </c>
      <c r="D135" s="23" t="s">
        <v>1048</v>
      </c>
      <c r="E135" s="55">
        <v>46125</v>
      </c>
      <c r="F135" s="26" t="s">
        <v>948</v>
      </c>
      <c r="G135" s="26" t="s">
        <v>58</v>
      </c>
      <c r="H135" s="26" t="s">
        <v>56</v>
      </c>
      <c r="I135" s="26" t="s">
        <v>70</v>
      </c>
      <c r="J135" s="26" t="s">
        <v>58</v>
      </c>
      <c r="K135" s="27"/>
      <c r="L135" s="28" t="s">
        <v>949</v>
      </c>
      <c r="M135" s="29" t="str">
        <f t="shared" si="2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4.25" customHeight="1" x14ac:dyDescent="0.3">
      <c r="A136" s="42">
        <v>132</v>
      </c>
      <c r="B136" s="43" t="s">
        <v>1214</v>
      </c>
      <c r="C136" s="44" t="s">
        <v>1215</v>
      </c>
      <c r="D136" s="42" t="s">
        <v>1048</v>
      </c>
      <c r="E136" s="55">
        <v>46125</v>
      </c>
      <c r="F136" s="26" t="s">
        <v>948</v>
      </c>
      <c r="G136" s="26" t="s">
        <v>58</v>
      </c>
      <c r="H136" s="26" t="s">
        <v>56</v>
      </c>
      <c r="I136" s="26" t="s">
        <v>70</v>
      </c>
      <c r="J136" s="26" t="s">
        <v>58</v>
      </c>
      <c r="K136" s="27"/>
      <c r="L136" s="28" t="s">
        <v>949</v>
      </c>
      <c r="M136" s="29" t="str">
        <f t="shared" si="2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4.25" customHeight="1" x14ac:dyDescent="0.3">
      <c r="A137" s="23">
        <v>133</v>
      </c>
      <c r="B137" s="24" t="s">
        <v>1216</v>
      </c>
      <c r="C137" s="25" t="s">
        <v>1217</v>
      </c>
      <c r="D137" s="23" t="s">
        <v>1048</v>
      </c>
      <c r="E137" s="55">
        <v>46125</v>
      </c>
      <c r="F137" s="26" t="s">
        <v>948</v>
      </c>
      <c r="G137" s="26" t="s">
        <v>58</v>
      </c>
      <c r="H137" s="26" t="s">
        <v>56</v>
      </c>
      <c r="I137" s="26" t="s">
        <v>70</v>
      </c>
      <c r="J137" s="26" t="s">
        <v>58</v>
      </c>
      <c r="K137" s="27"/>
      <c r="L137" s="28" t="s">
        <v>949</v>
      </c>
      <c r="M137" s="29" t="str">
        <f t="shared" si="2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4.25" customHeight="1" x14ac:dyDescent="0.3">
      <c r="A138" s="42">
        <v>134</v>
      </c>
      <c r="B138" s="43" t="s">
        <v>1218</v>
      </c>
      <c r="C138" s="44" t="s">
        <v>1219</v>
      </c>
      <c r="D138" s="42" t="s">
        <v>1048</v>
      </c>
      <c r="E138" s="55">
        <v>46125</v>
      </c>
      <c r="F138" s="26" t="s">
        <v>948</v>
      </c>
      <c r="G138" s="26" t="s">
        <v>58</v>
      </c>
      <c r="H138" s="26" t="s">
        <v>56</v>
      </c>
      <c r="I138" s="26" t="s">
        <v>70</v>
      </c>
      <c r="J138" s="26" t="s">
        <v>58</v>
      </c>
      <c r="K138" s="27"/>
      <c r="L138" s="28" t="s">
        <v>949</v>
      </c>
      <c r="M138" s="29" t="str">
        <f t="shared" si="2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4.25" customHeight="1" x14ac:dyDescent="0.3">
      <c r="A139" s="23">
        <v>135</v>
      </c>
      <c r="B139" s="24" t="s">
        <v>1220</v>
      </c>
      <c r="C139" s="25" t="s">
        <v>1221</v>
      </c>
      <c r="D139" s="23" t="s">
        <v>1048</v>
      </c>
      <c r="E139" s="55">
        <v>46125</v>
      </c>
      <c r="F139" s="26" t="s">
        <v>948</v>
      </c>
      <c r="G139" s="26" t="s">
        <v>58</v>
      </c>
      <c r="H139" s="26" t="s">
        <v>56</v>
      </c>
      <c r="I139" s="26" t="s">
        <v>70</v>
      </c>
      <c r="J139" s="26" t="s">
        <v>58</v>
      </c>
      <c r="K139" s="27"/>
      <c r="L139" s="28" t="s">
        <v>949</v>
      </c>
      <c r="M139" s="29" t="str">
        <f t="shared" si="2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4.25" customHeight="1" x14ac:dyDescent="0.3">
      <c r="A140" s="42">
        <v>136</v>
      </c>
      <c r="B140" s="43" t="s">
        <v>1222</v>
      </c>
      <c r="C140" s="44" t="s">
        <v>1223</v>
      </c>
      <c r="D140" s="42" t="s">
        <v>1048</v>
      </c>
      <c r="E140" s="55">
        <v>46125</v>
      </c>
      <c r="F140" s="26" t="s">
        <v>948</v>
      </c>
      <c r="G140" s="26" t="s">
        <v>58</v>
      </c>
      <c r="H140" s="26" t="s">
        <v>56</v>
      </c>
      <c r="I140" s="26" t="s">
        <v>70</v>
      </c>
      <c r="J140" s="26" t="s">
        <v>58</v>
      </c>
      <c r="K140" s="27"/>
      <c r="L140" s="28" t="s">
        <v>949</v>
      </c>
      <c r="M140" s="29" t="str">
        <f t="shared" si="2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4.25" customHeight="1" x14ac:dyDescent="0.3">
      <c r="A141" s="23">
        <v>137</v>
      </c>
      <c r="B141" s="24" t="s">
        <v>1224</v>
      </c>
      <c r="C141" s="25" t="s">
        <v>1225</v>
      </c>
      <c r="D141" s="23" t="s">
        <v>1048</v>
      </c>
      <c r="E141" s="55">
        <v>46125</v>
      </c>
      <c r="F141" s="26" t="s">
        <v>948</v>
      </c>
      <c r="G141" s="26" t="s">
        <v>58</v>
      </c>
      <c r="H141" s="26" t="s">
        <v>56</v>
      </c>
      <c r="I141" s="26" t="s">
        <v>70</v>
      </c>
      <c r="J141" s="26" t="s">
        <v>58</v>
      </c>
      <c r="K141" s="27"/>
      <c r="L141" s="28" t="s">
        <v>949</v>
      </c>
      <c r="M141" s="29" t="str">
        <f t="shared" si="2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4.25" customHeight="1" x14ac:dyDescent="0.3">
      <c r="A142" s="42">
        <v>138</v>
      </c>
      <c r="B142" s="43" t="s">
        <v>1226</v>
      </c>
      <c r="C142" s="44" t="s">
        <v>1227</v>
      </c>
      <c r="D142" s="42" t="s">
        <v>1048</v>
      </c>
      <c r="E142" s="55">
        <v>46125</v>
      </c>
      <c r="F142" s="26" t="s">
        <v>948</v>
      </c>
      <c r="G142" s="26" t="s">
        <v>58</v>
      </c>
      <c r="H142" s="26" t="s">
        <v>56</v>
      </c>
      <c r="I142" s="26" t="s">
        <v>70</v>
      </c>
      <c r="J142" s="26" t="s">
        <v>58</v>
      </c>
      <c r="K142" s="27"/>
      <c r="L142" s="28" t="s">
        <v>949</v>
      </c>
      <c r="M142" s="29" t="str">
        <f t="shared" si="2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4.25" customHeight="1" x14ac:dyDescent="0.3">
      <c r="A143" s="23">
        <v>139</v>
      </c>
      <c r="B143" s="24" t="s">
        <v>1228</v>
      </c>
      <c r="C143" s="25" t="s">
        <v>1229</v>
      </c>
      <c r="D143" s="23" t="s">
        <v>1048</v>
      </c>
      <c r="E143" s="55">
        <v>46125</v>
      </c>
      <c r="F143" s="26" t="s">
        <v>948</v>
      </c>
      <c r="G143" s="26" t="s">
        <v>58</v>
      </c>
      <c r="H143" s="26" t="s">
        <v>56</v>
      </c>
      <c r="I143" s="26" t="s">
        <v>70</v>
      </c>
      <c r="J143" s="26" t="s">
        <v>58</v>
      </c>
      <c r="K143" s="27"/>
      <c r="L143" s="28" t="s">
        <v>949</v>
      </c>
      <c r="M143" s="29" t="str">
        <f t="shared" si="2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4.25" customHeight="1" x14ac:dyDescent="0.3">
      <c r="A144" s="42">
        <v>140</v>
      </c>
      <c r="B144" s="43" t="s">
        <v>1230</v>
      </c>
      <c r="C144" s="44" t="s">
        <v>1231</v>
      </c>
      <c r="D144" s="42" t="s">
        <v>1048</v>
      </c>
      <c r="E144" s="55">
        <v>46125</v>
      </c>
      <c r="F144" s="26" t="s">
        <v>948</v>
      </c>
      <c r="G144" s="26" t="s">
        <v>58</v>
      </c>
      <c r="H144" s="26" t="s">
        <v>56</v>
      </c>
      <c r="I144" s="26" t="s">
        <v>70</v>
      </c>
      <c r="J144" s="26" t="s">
        <v>58</v>
      </c>
      <c r="K144" s="27"/>
      <c r="L144" s="28" t="s">
        <v>949</v>
      </c>
      <c r="M144" s="29" t="str">
        <f t="shared" si="2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4.25" customHeight="1" x14ac:dyDescent="0.3">
      <c r="A145" s="23">
        <v>141</v>
      </c>
      <c r="B145" s="24" t="s">
        <v>1232</v>
      </c>
      <c r="C145" s="25" t="s">
        <v>1233</v>
      </c>
      <c r="D145" s="23" t="s">
        <v>1048</v>
      </c>
      <c r="E145" s="55">
        <v>46125</v>
      </c>
      <c r="F145" s="26" t="s">
        <v>948</v>
      </c>
      <c r="G145" s="26" t="s">
        <v>58</v>
      </c>
      <c r="H145" s="26" t="s">
        <v>56</v>
      </c>
      <c r="I145" s="26" t="s">
        <v>70</v>
      </c>
      <c r="J145" s="26" t="s">
        <v>58</v>
      </c>
      <c r="K145" s="27"/>
      <c r="L145" s="28" t="s">
        <v>949</v>
      </c>
      <c r="M145" s="29" t="str">
        <f t="shared" si="2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4.25" customHeight="1" x14ac:dyDescent="0.3">
      <c r="A146" s="42">
        <v>142</v>
      </c>
      <c r="B146" s="43" t="s">
        <v>1234</v>
      </c>
      <c r="C146" s="44" t="s">
        <v>1235</v>
      </c>
      <c r="D146" s="42" t="s">
        <v>1048</v>
      </c>
      <c r="E146" s="55">
        <v>46125</v>
      </c>
      <c r="F146" s="26" t="s">
        <v>948</v>
      </c>
      <c r="G146" s="26" t="s">
        <v>56</v>
      </c>
      <c r="H146" s="26" t="s">
        <v>56</v>
      </c>
      <c r="I146" s="26" t="s">
        <v>57</v>
      </c>
      <c r="J146" s="26" t="s">
        <v>56</v>
      </c>
      <c r="K146" s="27" t="s">
        <v>1053</v>
      </c>
      <c r="L146" s="28" t="s">
        <v>58</v>
      </c>
      <c r="M146" s="29" t="str">
        <f t="shared" si="20"/>
        <v>⚠ Missing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4.25" customHeight="1" x14ac:dyDescent="0.3">
      <c r="A147" s="23">
        <v>143</v>
      </c>
      <c r="B147" s="24" t="s">
        <v>1236</v>
      </c>
      <c r="C147" s="25" t="s">
        <v>1237</v>
      </c>
      <c r="D147" s="23" t="s">
        <v>1048</v>
      </c>
      <c r="E147" s="55">
        <v>46125</v>
      </c>
      <c r="F147" s="26" t="s">
        <v>948</v>
      </c>
      <c r="G147" s="26" t="s">
        <v>58</v>
      </c>
      <c r="H147" s="26" t="s">
        <v>56</v>
      </c>
      <c r="I147" s="26" t="s">
        <v>70</v>
      </c>
      <c r="J147" s="26" t="s">
        <v>58</v>
      </c>
      <c r="K147" s="27"/>
      <c r="L147" s="28" t="s">
        <v>949</v>
      </c>
      <c r="M147" s="29" t="str">
        <f t="shared" si="2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4.25" customHeight="1" x14ac:dyDescent="0.3">
      <c r="A148" s="42">
        <v>144</v>
      </c>
      <c r="B148" s="43" t="s">
        <v>1238</v>
      </c>
      <c r="C148" s="44" t="s">
        <v>1239</v>
      </c>
      <c r="D148" s="42" t="s">
        <v>1048</v>
      </c>
      <c r="E148" s="55">
        <v>46125</v>
      </c>
      <c r="F148" s="26" t="s">
        <v>948</v>
      </c>
      <c r="G148" s="26" t="s">
        <v>58</v>
      </c>
      <c r="H148" s="26" t="s">
        <v>56</v>
      </c>
      <c r="I148" s="26" t="s">
        <v>70</v>
      </c>
      <c r="J148" s="26" t="s">
        <v>58</v>
      </c>
      <c r="K148" s="27"/>
      <c r="L148" s="28" t="s">
        <v>949</v>
      </c>
      <c r="M148" s="29" t="str">
        <f t="shared" si="2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4.25" customHeight="1" x14ac:dyDescent="0.3">
      <c r="A149" s="23">
        <v>145</v>
      </c>
      <c r="B149" s="24" t="s">
        <v>1240</v>
      </c>
      <c r="C149" s="25" t="s">
        <v>1241</v>
      </c>
      <c r="D149" s="23" t="s">
        <v>1048</v>
      </c>
      <c r="E149" s="55">
        <v>46125</v>
      </c>
      <c r="F149" s="26" t="s">
        <v>948</v>
      </c>
      <c r="G149" s="26" t="s">
        <v>58</v>
      </c>
      <c r="H149" s="26" t="s">
        <v>56</v>
      </c>
      <c r="I149" s="26" t="s">
        <v>70</v>
      </c>
      <c r="J149" s="26" t="s">
        <v>58</v>
      </c>
      <c r="K149" s="27"/>
      <c r="L149" s="28" t="s">
        <v>949</v>
      </c>
      <c r="M149" s="29" t="str">
        <f t="shared" si="2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4.25" customHeight="1" x14ac:dyDescent="0.3">
      <c r="A150" s="42">
        <v>146</v>
      </c>
      <c r="B150" s="43" t="s">
        <v>1242</v>
      </c>
      <c r="C150" s="44" t="s">
        <v>1243</v>
      </c>
      <c r="D150" s="42" t="s">
        <v>1048</v>
      </c>
      <c r="E150" s="55">
        <v>46125</v>
      </c>
      <c r="F150" s="26" t="s">
        <v>948</v>
      </c>
      <c r="G150" s="26" t="s">
        <v>58</v>
      </c>
      <c r="H150" s="26" t="s">
        <v>56</v>
      </c>
      <c r="I150" s="26" t="s">
        <v>70</v>
      </c>
      <c r="J150" s="26" t="s">
        <v>58</v>
      </c>
      <c r="K150" s="27"/>
      <c r="L150" s="28" t="s">
        <v>949</v>
      </c>
      <c r="M150" s="29" t="str">
        <f t="shared" si="2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4.25" customHeight="1" x14ac:dyDescent="0.3">
      <c r="A151" s="23">
        <v>147</v>
      </c>
      <c r="B151" s="24" t="s">
        <v>1244</v>
      </c>
      <c r="C151" s="25" t="s">
        <v>1245</v>
      </c>
      <c r="D151" s="23" t="s">
        <v>1048</v>
      </c>
      <c r="E151" s="55">
        <v>46125</v>
      </c>
      <c r="F151" s="26" t="s">
        <v>948</v>
      </c>
      <c r="G151" s="26" t="s">
        <v>56</v>
      </c>
      <c r="H151" s="26" t="s">
        <v>56</v>
      </c>
      <c r="I151" s="26" t="s">
        <v>57</v>
      </c>
      <c r="J151" s="26" t="s">
        <v>56</v>
      </c>
      <c r="K151" s="27" t="s">
        <v>1053</v>
      </c>
      <c r="L151" s="28" t="s">
        <v>58</v>
      </c>
      <c r="M151" s="29" t="str">
        <f t="shared" si="20"/>
        <v>⚠ Missing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4.25" customHeight="1" x14ac:dyDescent="0.3">
      <c r="A152" s="42">
        <v>148</v>
      </c>
      <c r="B152" s="43" t="s">
        <v>1246</v>
      </c>
      <c r="C152" s="44" t="s">
        <v>1247</v>
      </c>
      <c r="D152" s="42" t="s">
        <v>1048</v>
      </c>
      <c r="E152" s="55">
        <v>46125</v>
      </c>
      <c r="F152" s="26" t="s">
        <v>948</v>
      </c>
      <c r="G152" s="26" t="s">
        <v>58</v>
      </c>
      <c r="H152" s="26" t="s">
        <v>56</v>
      </c>
      <c r="I152" s="26" t="s">
        <v>70</v>
      </c>
      <c r="J152" s="26" t="s">
        <v>58</v>
      </c>
      <c r="K152" s="27"/>
      <c r="L152" s="28" t="s">
        <v>949</v>
      </c>
      <c r="M152" s="29" t="str">
        <f t="shared" si="2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4.25" customHeight="1" x14ac:dyDescent="0.3">
      <c r="A153" s="23">
        <v>149</v>
      </c>
      <c r="B153" s="24" t="s">
        <v>1248</v>
      </c>
      <c r="C153" s="25" t="s">
        <v>1249</v>
      </c>
      <c r="D153" s="23" t="s">
        <v>1048</v>
      </c>
      <c r="E153" s="55">
        <v>46125</v>
      </c>
      <c r="F153" s="26" t="s">
        <v>948</v>
      </c>
      <c r="G153" s="26" t="s">
        <v>58</v>
      </c>
      <c r="H153" s="26" t="s">
        <v>56</v>
      </c>
      <c r="I153" s="26" t="s">
        <v>70</v>
      </c>
      <c r="J153" s="26" t="s">
        <v>58</v>
      </c>
      <c r="K153" s="27"/>
      <c r="L153" s="28" t="s">
        <v>949</v>
      </c>
      <c r="M153" s="29" t="str">
        <f t="shared" si="2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4.25" customHeight="1" x14ac:dyDescent="0.3">
      <c r="A154" s="42">
        <v>150</v>
      </c>
      <c r="B154" s="43" t="s">
        <v>1250</v>
      </c>
      <c r="C154" s="44" t="s">
        <v>1251</v>
      </c>
      <c r="D154" s="42" t="s">
        <v>1048</v>
      </c>
      <c r="E154" s="55">
        <v>46125</v>
      </c>
      <c r="F154" s="26" t="s">
        <v>948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 t="s">
        <v>1053</v>
      </c>
      <c r="L154" s="28" t="s">
        <v>58</v>
      </c>
      <c r="M154" s="29" t="str">
        <f t="shared" si="2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4.25" customHeight="1" x14ac:dyDescent="0.3">
      <c r="A155" s="23">
        <v>151</v>
      </c>
      <c r="B155" s="24" t="s">
        <v>1252</v>
      </c>
      <c r="C155" s="25" t="s">
        <v>1253</v>
      </c>
      <c r="D155" s="23" t="s">
        <v>1048</v>
      </c>
      <c r="E155" s="55">
        <v>46125</v>
      </c>
      <c r="F155" s="26" t="s">
        <v>948</v>
      </c>
      <c r="G155" s="26" t="s">
        <v>58</v>
      </c>
      <c r="H155" s="26" t="s">
        <v>56</v>
      </c>
      <c r="I155" s="26" t="s">
        <v>70</v>
      </c>
      <c r="J155" s="26" t="s">
        <v>58</v>
      </c>
      <c r="K155" s="27"/>
      <c r="L155" s="28" t="s">
        <v>949</v>
      </c>
      <c r="M155" s="29" t="str">
        <f t="shared" si="2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4.25" customHeight="1" x14ac:dyDescent="0.3">
      <c r="A156" s="42">
        <v>152</v>
      </c>
      <c r="B156" s="43" t="s">
        <v>1254</v>
      </c>
      <c r="C156" s="44" t="s">
        <v>1255</v>
      </c>
      <c r="D156" s="42" t="s">
        <v>1048</v>
      </c>
      <c r="E156" s="55">
        <v>46125</v>
      </c>
      <c r="F156" s="26" t="s">
        <v>948</v>
      </c>
      <c r="G156" s="26" t="s">
        <v>58</v>
      </c>
      <c r="H156" s="26" t="s">
        <v>56</v>
      </c>
      <c r="I156" s="26" t="s">
        <v>70</v>
      </c>
      <c r="J156" s="26" t="s">
        <v>58</v>
      </c>
      <c r="K156" s="27"/>
      <c r="L156" s="28" t="s">
        <v>949</v>
      </c>
      <c r="M156" s="29" t="str">
        <f t="shared" si="2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4.25" customHeight="1" x14ac:dyDescent="0.3">
      <c r="A157" s="23">
        <v>153</v>
      </c>
      <c r="B157" s="24" t="s">
        <v>1256</v>
      </c>
      <c r="C157" s="25" t="s">
        <v>1257</v>
      </c>
      <c r="D157" s="23" t="s">
        <v>1048</v>
      </c>
      <c r="E157" s="55">
        <v>46125</v>
      </c>
      <c r="F157" s="26" t="s">
        <v>948</v>
      </c>
      <c r="G157" s="26" t="s">
        <v>58</v>
      </c>
      <c r="H157" s="26" t="s">
        <v>56</v>
      </c>
      <c r="I157" s="26" t="s">
        <v>70</v>
      </c>
      <c r="J157" s="26" t="s">
        <v>58</v>
      </c>
      <c r="K157" s="27"/>
      <c r="L157" s="28" t="s">
        <v>949</v>
      </c>
      <c r="M157" s="29" t="str">
        <f t="shared" si="2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4.25" customHeight="1" x14ac:dyDescent="0.3">
      <c r="A158" s="42">
        <v>154</v>
      </c>
      <c r="B158" s="43" t="s">
        <v>1258</v>
      </c>
      <c r="C158" s="44" t="s">
        <v>1259</v>
      </c>
      <c r="D158" s="42" t="s">
        <v>1048</v>
      </c>
      <c r="E158" s="55">
        <v>46125</v>
      </c>
      <c r="F158" s="26" t="s">
        <v>948</v>
      </c>
      <c r="G158" s="26" t="s">
        <v>58</v>
      </c>
      <c r="H158" s="26" t="s">
        <v>56</v>
      </c>
      <c r="I158" s="26" t="s">
        <v>70</v>
      </c>
      <c r="J158" s="26" t="s">
        <v>58</v>
      </c>
      <c r="K158" s="27"/>
      <c r="L158" s="28" t="s">
        <v>949</v>
      </c>
      <c r="M158" s="29" t="str">
        <f t="shared" si="2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4.25" customHeight="1" x14ac:dyDescent="0.3">
      <c r="A159" s="23">
        <v>155</v>
      </c>
      <c r="B159" s="24" t="s">
        <v>1260</v>
      </c>
      <c r="C159" s="25" t="s">
        <v>1261</v>
      </c>
      <c r="D159" s="23" t="s">
        <v>1048</v>
      </c>
      <c r="E159" s="55">
        <v>46125</v>
      </c>
      <c r="F159" s="26" t="s">
        <v>948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 t="s">
        <v>1053</v>
      </c>
      <c r="L159" s="28" t="s">
        <v>58</v>
      </c>
      <c r="M159" s="29" t="str">
        <f t="shared" si="2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4.25" customHeight="1" x14ac:dyDescent="0.3">
      <c r="A160" s="42">
        <v>156</v>
      </c>
      <c r="B160" s="43" t="s">
        <v>1262</v>
      </c>
      <c r="C160" s="44" t="s">
        <v>1263</v>
      </c>
      <c r="D160" s="42" t="s">
        <v>1048</v>
      </c>
      <c r="E160" s="55">
        <v>46125</v>
      </c>
      <c r="F160" s="26" t="s">
        <v>948</v>
      </c>
      <c r="G160" s="26" t="s">
        <v>58</v>
      </c>
      <c r="H160" s="26" t="s">
        <v>56</v>
      </c>
      <c r="I160" s="26" t="s">
        <v>70</v>
      </c>
      <c r="J160" s="26" t="s">
        <v>58</v>
      </c>
      <c r="K160" s="27"/>
      <c r="L160" s="28" t="s">
        <v>949</v>
      </c>
      <c r="M160" s="29" t="str">
        <f t="shared" si="2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4.25" customHeight="1" x14ac:dyDescent="0.3">
      <c r="A161" s="23">
        <v>157</v>
      </c>
      <c r="B161" s="24" t="s">
        <v>1264</v>
      </c>
      <c r="C161" s="25" t="s">
        <v>1265</v>
      </c>
      <c r="D161" s="23" t="s">
        <v>1048</v>
      </c>
      <c r="E161" s="55">
        <v>46125</v>
      </c>
      <c r="F161" s="26" t="s">
        <v>948</v>
      </c>
      <c r="G161" s="26" t="s">
        <v>58</v>
      </c>
      <c r="H161" s="26" t="s">
        <v>56</v>
      </c>
      <c r="I161" s="26" t="s">
        <v>70</v>
      </c>
      <c r="J161" s="26" t="s">
        <v>58</v>
      </c>
      <c r="K161" s="27"/>
      <c r="L161" s="28" t="s">
        <v>949</v>
      </c>
      <c r="M161" s="29" t="str">
        <f t="shared" si="2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4.25" customHeight="1" x14ac:dyDescent="0.3">
      <c r="A162" s="42">
        <v>158</v>
      </c>
      <c r="B162" s="43" t="s">
        <v>1266</v>
      </c>
      <c r="C162" s="44" t="s">
        <v>1267</v>
      </c>
      <c r="D162" s="42" t="s">
        <v>1048</v>
      </c>
      <c r="E162" s="55">
        <v>46125</v>
      </c>
      <c r="F162" s="26" t="s">
        <v>948</v>
      </c>
      <c r="G162" s="26" t="s">
        <v>58</v>
      </c>
      <c r="H162" s="26" t="s">
        <v>56</v>
      </c>
      <c r="I162" s="26" t="s">
        <v>70</v>
      </c>
      <c r="J162" s="26" t="s">
        <v>58</v>
      </c>
      <c r="K162" s="27"/>
      <c r="L162" s="28" t="s">
        <v>949</v>
      </c>
      <c r="M162" s="29" t="str">
        <f t="shared" si="2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4.25" customHeight="1" x14ac:dyDescent="0.3">
      <c r="A163" s="23">
        <v>159</v>
      </c>
      <c r="B163" s="24" t="s">
        <v>1268</v>
      </c>
      <c r="C163" s="25" t="s">
        <v>1269</v>
      </c>
      <c r="D163" s="23" t="s">
        <v>1048</v>
      </c>
      <c r="E163" s="55">
        <v>46125</v>
      </c>
      <c r="F163" s="26" t="s">
        <v>948</v>
      </c>
      <c r="G163" s="26" t="s">
        <v>58</v>
      </c>
      <c r="H163" s="26" t="s">
        <v>56</v>
      </c>
      <c r="I163" s="26" t="s">
        <v>70</v>
      </c>
      <c r="J163" s="26" t="s">
        <v>58</v>
      </c>
      <c r="K163" s="27"/>
      <c r="L163" s="28" t="s">
        <v>949</v>
      </c>
      <c r="M163" s="29" t="str">
        <f t="shared" si="2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4.25" customHeight="1" x14ac:dyDescent="0.3">
      <c r="A164" s="42">
        <v>160</v>
      </c>
      <c r="B164" s="43" t="s">
        <v>1270</v>
      </c>
      <c r="C164" s="44" t="s">
        <v>1271</v>
      </c>
      <c r="D164" s="42" t="s">
        <v>1048</v>
      </c>
      <c r="E164" s="55">
        <v>46125</v>
      </c>
      <c r="F164" s="26" t="s">
        <v>948</v>
      </c>
      <c r="G164" s="26" t="s">
        <v>58</v>
      </c>
      <c r="H164" s="26" t="s">
        <v>56</v>
      </c>
      <c r="I164" s="26" t="s">
        <v>70</v>
      </c>
      <c r="J164" s="26" t="s">
        <v>58</v>
      </c>
      <c r="K164" s="27"/>
      <c r="L164" s="28" t="s">
        <v>949</v>
      </c>
      <c r="M164" s="29" t="str">
        <f t="shared" si="2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4.25" customHeight="1" x14ac:dyDescent="0.3">
      <c r="A165" s="23">
        <v>161</v>
      </c>
      <c r="B165" s="24" t="s">
        <v>1272</v>
      </c>
      <c r="C165" s="25" t="s">
        <v>1273</v>
      </c>
      <c r="D165" s="23" t="s">
        <v>1048</v>
      </c>
      <c r="E165" s="55">
        <v>46125</v>
      </c>
      <c r="F165" s="26" t="s">
        <v>948</v>
      </c>
      <c r="G165" s="26" t="s">
        <v>58</v>
      </c>
      <c r="H165" s="26" t="s">
        <v>56</v>
      </c>
      <c r="I165" s="26" t="s">
        <v>70</v>
      </c>
      <c r="J165" s="26" t="s">
        <v>58</v>
      </c>
      <c r="K165" s="27"/>
      <c r="L165" s="28" t="s">
        <v>949</v>
      </c>
      <c r="M165" s="29" t="str">
        <f t="shared" si="2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4.25" customHeight="1" x14ac:dyDescent="0.3">
      <c r="A166" s="42">
        <v>162</v>
      </c>
      <c r="B166" s="43" t="s">
        <v>1274</v>
      </c>
      <c r="C166" s="44" t="s">
        <v>1275</v>
      </c>
      <c r="D166" s="42" t="s">
        <v>1048</v>
      </c>
      <c r="E166" s="55">
        <v>46125</v>
      </c>
      <c r="F166" s="26" t="s">
        <v>948</v>
      </c>
      <c r="G166" s="26" t="s">
        <v>58</v>
      </c>
      <c r="H166" s="26" t="s">
        <v>56</v>
      </c>
      <c r="I166" s="26" t="s">
        <v>70</v>
      </c>
      <c r="J166" s="26" t="s">
        <v>58</v>
      </c>
      <c r="K166" s="27"/>
      <c r="L166" s="28" t="s">
        <v>949</v>
      </c>
      <c r="M166" s="29" t="str">
        <f t="shared" si="2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4.25" customHeight="1" x14ac:dyDescent="0.3">
      <c r="A167" s="23">
        <v>163</v>
      </c>
      <c r="B167" s="24" t="s">
        <v>1276</v>
      </c>
      <c r="C167" s="25" t="s">
        <v>1277</v>
      </c>
      <c r="D167" s="23" t="s">
        <v>1048</v>
      </c>
      <c r="E167" s="55">
        <v>46125</v>
      </c>
      <c r="F167" s="26" t="s">
        <v>948</v>
      </c>
      <c r="G167" s="26" t="s">
        <v>58</v>
      </c>
      <c r="H167" s="26" t="s">
        <v>56</v>
      </c>
      <c r="I167" s="26" t="s">
        <v>70</v>
      </c>
      <c r="J167" s="26" t="s">
        <v>58</v>
      </c>
      <c r="K167" s="27"/>
      <c r="L167" s="28" t="s">
        <v>949</v>
      </c>
      <c r="M167" s="29" t="str">
        <f t="shared" si="2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4.25" customHeight="1" x14ac:dyDescent="0.3">
      <c r="A168" s="42">
        <v>164</v>
      </c>
      <c r="B168" s="43" t="s">
        <v>1278</v>
      </c>
      <c r="C168" s="44" t="s">
        <v>1279</v>
      </c>
      <c r="D168" s="42" t="s">
        <v>1048</v>
      </c>
      <c r="E168" s="55">
        <v>46125</v>
      </c>
      <c r="F168" s="26" t="s">
        <v>948</v>
      </c>
      <c r="G168" s="26" t="s">
        <v>56</v>
      </c>
      <c r="H168" s="26" t="s">
        <v>56</v>
      </c>
      <c r="I168" s="26" t="s">
        <v>57</v>
      </c>
      <c r="J168" s="26" t="s">
        <v>56</v>
      </c>
      <c r="K168" s="27" t="s">
        <v>1053</v>
      </c>
      <c r="L168" s="28" t="s">
        <v>58</v>
      </c>
      <c r="M168" s="29" t="str">
        <f t="shared" si="20"/>
        <v>⚠ Missing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1-0000-04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168">
    <cfRule type="expression" dxfId="530" priority="1">
      <formula>MOD(ROW(),2)=0</formula>
    </cfRule>
  </conditionalFormatting>
  <conditionalFormatting sqref="F5:AW168">
    <cfRule type="expression" dxfId="529" priority="48">
      <formula>MOD(ROW(),2)=0</formula>
    </cfRule>
  </conditionalFormatting>
  <conditionalFormatting sqref="G5:G168">
    <cfRule type="expression" dxfId="528" priority="7">
      <formula>G5="Yes"</formula>
    </cfRule>
    <cfRule type="expression" dxfId="527" priority="8">
      <formula>G5="No"</formula>
    </cfRule>
  </conditionalFormatting>
  <conditionalFormatting sqref="H5:H168">
    <cfRule type="expression" dxfId="526" priority="9">
      <formula>H5="Yes"</formula>
    </cfRule>
  </conditionalFormatting>
  <conditionalFormatting sqref="J5:J168">
    <cfRule type="expression" dxfId="525" priority="10">
      <formula>J5="Yes"</formula>
    </cfRule>
    <cfRule type="expression" dxfId="524" priority="11">
      <formula>J5="No"</formula>
    </cfRule>
  </conditionalFormatting>
  <conditionalFormatting sqref="M5:M168">
    <cfRule type="expression" dxfId="523" priority="3">
      <formula>M5="✓ OK"</formula>
    </cfRule>
    <cfRule type="expression" dxfId="522" priority="4">
      <formula>M5="❌ Disc"</formula>
    </cfRule>
    <cfRule type="expression" dxfId="521" priority="5">
      <formula>M5="⚠ Missing"</formula>
    </cfRule>
    <cfRule type="expression" dxfId="520" priority="6">
      <formula>M5="⚠ Check"</formula>
    </cfRule>
  </conditionalFormatting>
  <conditionalFormatting sqref="P5:P168">
    <cfRule type="expression" dxfId="519" priority="16">
      <formula>P5="Yes"</formula>
    </cfRule>
    <cfRule type="expression" dxfId="518" priority="17">
      <formula>P5="No"</formula>
    </cfRule>
  </conditionalFormatting>
  <conditionalFormatting sqref="Q5:Q168">
    <cfRule type="expression" dxfId="517" priority="18">
      <formula>Q5="Yes"</formula>
    </cfRule>
  </conditionalFormatting>
  <conditionalFormatting sqref="S5:S168">
    <cfRule type="expression" dxfId="516" priority="19">
      <formula>S5="Yes"</formula>
    </cfRule>
    <cfRule type="expression" dxfId="515" priority="20">
      <formula>S5="No"</formula>
    </cfRule>
  </conditionalFormatting>
  <conditionalFormatting sqref="V5:V168">
    <cfRule type="expression" dxfId="514" priority="12">
      <formula>V5="✓ OK"</formula>
    </cfRule>
    <cfRule type="expression" dxfId="513" priority="13">
      <formula>V5="❌ Disc"</formula>
    </cfRule>
    <cfRule type="expression" dxfId="512" priority="14">
      <formula>V5="⚠ Missing"</formula>
    </cfRule>
    <cfRule type="expression" dxfId="511" priority="15">
      <formula>V5="⚠ Check"</formula>
    </cfRule>
  </conditionalFormatting>
  <conditionalFormatting sqref="Y5:Y168">
    <cfRule type="expression" dxfId="510" priority="26">
      <formula>Y5="No"</formula>
    </cfRule>
    <cfRule type="expression" dxfId="509" priority="25">
      <formula>Y5="Yes"</formula>
    </cfRule>
  </conditionalFormatting>
  <conditionalFormatting sqref="Z5:Z168">
    <cfRule type="expression" dxfId="508" priority="27">
      <formula>Z5="Yes"</formula>
    </cfRule>
  </conditionalFormatting>
  <conditionalFormatting sqref="AB5:AB168">
    <cfRule type="expression" dxfId="507" priority="28">
      <formula>AB5="Yes"</formula>
    </cfRule>
    <cfRule type="expression" dxfId="506" priority="29">
      <formula>AB5="No"</formula>
    </cfRule>
  </conditionalFormatting>
  <conditionalFormatting sqref="AE5:AE168">
    <cfRule type="expression" dxfId="505" priority="21">
      <formula>AE5="✓ OK"</formula>
    </cfRule>
    <cfRule type="expression" dxfId="504" priority="22">
      <formula>AE5="❌ Disc"</formula>
    </cfRule>
    <cfRule type="expression" dxfId="503" priority="23">
      <formula>AE5="⚠ Missing"</formula>
    </cfRule>
    <cfRule type="expression" dxfId="502" priority="24">
      <formula>AE5="⚠ Check"</formula>
    </cfRule>
  </conditionalFormatting>
  <conditionalFormatting sqref="AH5:AH168">
    <cfRule type="expression" dxfId="501" priority="34">
      <formula>AH5="Yes"</formula>
    </cfRule>
    <cfRule type="expression" dxfId="500" priority="35">
      <formula>AH5="No"</formula>
    </cfRule>
  </conditionalFormatting>
  <conditionalFormatting sqref="AI5:AI168">
    <cfRule type="expression" dxfId="499" priority="36">
      <formula>AI5="Yes"</formula>
    </cfRule>
  </conditionalFormatting>
  <conditionalFormatting sqref="AK5:AK168">
    <cfRule type="expression" dxfId="498" priority="37">
      <formula>AK5="Yes"</formula>
    </cfRule>
    <cfRule type="expression" dxfId="497" priority="38">
      <formula>AK5="No"</formula>
    </cfRule>
  </conditionalFormatting>
  <conditionalFormatting sqref="AN5:AN168">
    <cfRule type="expression" dxfId="496" priority="30">
      <formula>AN5="✓ OK"</formula>
    </cfRule>
    <cfRule type="expression" dxfId="495" priority="31">
      <formula>AN5="❌ Disc"</formula>
    </cfRule>
    <cfRule type="expression" dxfId="494" priority="32">
      <formula>AN5="⚠ Missing"</formula>
    </cfRule>
    <cfRule type="expression" dxfId="493" priority="33">
      <formula>AN5="⚠ Check"</formula>
    </cfRule>
  </conditionalFormatting>
  <conditionalFormatting sqref="AQ5:AQ168">
    <cfRule type="expression" dxfId="492" priority="44">
      <formula>AQ5="No"</formula>
    </cfRule>
    <cfRule type="expression" dxfId="491" priority="43">
      <formula>AQ5="Yes"</formula>
    </cfRule>
  </conditionalFormatting>
  <conditionalFormatting sqref="AR5:AR168">
    <cfRule type="expression" dxfId="490" priority="45">
      <formula>AR5="Yes"</formula>
    </cfRule>
  </conditionalFormatting>
  <conditionalFormatting sqref="AT5:AT168">
    <cfRule type="expression" dxfId="489" priority="46">
      <formula>AT5="Yes"</formula>
    </cfRule>
    <cfRule type="expression" dxfId="488" priority="47">
      <formula>AT5="No"</formula>
    </cfRule>
  </conditionalFormatting>
  <conditionalFormatting sqref="AW5:AW168">
    <cfRule type="expression" dxfId="487" priority="39">
      <formula>AW5="✓ OK"</formula>
    </cfRule>
    <cfRule type="expression" dxfId="486" priority="40">
      <formula>AW5="❌ Disc"</formula>
    </cfRule>
    <cfRule type="expression" dxfId="485" priority="41">
      <formula>AW5="⚠ Missing"</formula>
    </cfRule>
    <cfRule type="expression" dxfId="484" priority="42">
      <formula>AW5="⚠ Check"</formula>
    </cfRule>
  </conditionalFormatting>
  <dataValidations count="2">
    <dataValidation type="list" allowBlank="1" sqref="AS5:AS168 R5:R168 AA5:AA168 AJ5:AJ168 I5:I168" xr:uid="{00000000-0002-0000-0400-000000000000}">
      <formula1>"Good finish,Minor defect,Major defect,Discontinued,Not Available"</formula1>
      <formula2>0</formula2>
    </dataValidation>
    <dataValidation type="list" allowBlank="1" sqref="AT5:AT168 G5:H168 P5:Q168 S5:S168 Y5:Z168 AB5:AB168 AH5:AI168 AK5:AK168 AQ5:AR168 J5:J16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FF"/>
  </sheetPr>
  <dimension ref="A1:AW1413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4" sqref="C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4" t="s">
        <v>1280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</row>
    <row r="2" spans="1:49" ht="15" customHeight="1" x14ac:dyDescent="0.3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85"/>
      <c r="AT2" s="85"/>
      <c r="AU2" s="85"/>
      <c r="AV2" s="85"/>
      <c r="AW2" s="85"/>
    </row>
    <row r="3" spans="1:49" ht="19.5" customHeight="1" x14ac:dyDescent="0.3">
      <c r="A3" s="22"/>
      <c r="B3" s="22"/>
      <c r="C3" s="22"/>
      <c r="D3" s="22"/>
      <c r="E3" s="86" t="s">
        <v>34</v>
      </c>
      <c r="F3" s="86"/>
      <c r="G3" s="86"/>
      <c r="H3" s="86"/>
      <c r="I3" s="86"/>
      <c r="J3" s="86"/>
      <c r="K3" s="86"/>
      <c r="L3" s="86"/>
      <c r="M3" s="86"/>
      <c r="N3" s="87" t="s">
        <v>35</v>
      </c>
      <c r="O3" s="87"/>
      <c r="P3" s="87"/>
      <c r="Q3" s="87"/>
      <c r="R3" s="87"/>
      <c r="S3" s="87"/>
      <c r="T3" s="87"/>
      <c r="U3" s="87"/>
      <c r="V3" s="87"/>
      <c r="W3" s="88" t="s">
        <v>36</v>
      </c>
      <c r="X3" s="88"/>
      <c r="Y3" s="88"/>
      <c r="Z3" s="88"/>
      <c r="AA3" s="88"/>
      <c r="AB3" s="88"/>
      <c r="AC3" s="88"/>
      <c r="AD3" s="88"/>
      <c r="AE3" s="88"/>
      <c r="AF3" s="89" t="s">
        <v>37</v>
      </c>
      <c r="AG3" s="89"/>
      <c r="AH3" s="89"/>
      <c r="AI3" s="89"/>
      <c r="AJ3" s="89"/>
      <c r="AK3" s="89"/>
      <c r="AL3" s="89"/>
      <c r="AM3" s="89"/>
      <c r="AN3" s="89"/>
      <c r="AO3" s="90" t="s">
        <v>38</v>
      </c>
      <c r="AP3" s="90"/>
      <c r="AQ3" s="90"/>
      <c r="AR3" s="90"/>
      <c r="AS3" s="90"/>
      <c r="AT3" s="90"/>
      <c r="AU3" s="90"/>
      <c r="AV3" s="90"/>
      <c r="AW3" s="90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1281</v>
      </c>
      <c r="C5" s="25" t="s">
        <v>1282</v>
      </c>
      <c r="D5" s="23" t="s">
        <v>1283</v>
      </c>
      <c r="E5" s="55">
        <v>46125</v>
      </c>
      <c r="F5" s="26" t="s">
        <v>948</v>
      </c>
      <c r="G5" s="26" t="s">
        <v>58</v>
      </c>
      <c r="H5" s="26" t="s">
        <v>56</v>
      </c>
      <c r="I5" s="26" t="s">
        <v>1284</v>
      </c>
      <c r="J5" s="26" t="s">
        <v>58</v>
      </c>
      <c r="K5" s="27"/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1285</v>
      </c>
      <c r="C6" s="44" t="s">
        <v>1286</v>
      </c>
      <c r="D6" s="42" t="s">
        <v>1283</v>
      </c>
      <c r="E6" s="55">
        <v>46125</v>
      </c>
      <c r="F6" s="26" t="s">
        <v>948</v>
      </c>
      <c r="G6" s="26" t="s">
        <v>58</v>
      </c>
      <c r="H6" s="26" t="s">
        <v>56</v>
      </c>
      <c r="I6" s="26" t="s">
        <v>1284</v>
      </c>
      <c r="J6" s="26" t="s">
        <v>58</v>
      </c>
      <c r="K6" s="27"/>
      <c r="L6" s="28" t="s">
        <v>56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1287</v>
      </c>
      <c r="C7" s="25" t="s">
        <v>1288</v>
      </c>
      <c r="D7" s="23" t="s">
        <v>1283</v>
      </c>
      <c r="E7" s="55">
        <v>46125</v>
      </c>
      <c r="F7" s="26" t="s">
        <v>948</v>
      </c>
      <c r="G7" s="26" t="s">
        <v>58</v>
      </c>
      <c r="H7" s="26" t="s">
        <v>56</v>
      </c>
      <c r="I7" s="26" t="s">
        <v>1284</v>
      </c>
      <c r="J7" s="26" t="s">
        <v>58</v>
      </c>
      <c r="K7" s="27"/>
      <c r="L7" s="28" t="s">
        <v>56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1289</v>
      </c>
      <c r="C8" s="44" t="s">
        <v>1290</v>
      </c>
      <c r="D8" s="42" t="s">
        <v>1283</v>
      </c>
      <c r="E8" s="55">
        <v>46125</v>
      </c>
      <c r="F8" s="26" t="s">
        <v>948</v>
      </c>
      <c r="G8" s="26" t="s">
        <v>58</v>
      </c>
      <c r="H8" s="26" t="s">
        <v>56</v>
      </c>
      <c r="I8" s="26" t="s">
        <v>1284</v>
      </c>
      <c r="J8" s="26" t="s">
        <v>58</v>
      </c>
      <c r="K8" s="27"/>
      <c r="L8" s="28" t="s">
        <v>56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1291</v>
      </c>
      <c r="C9" s="25" t="s">
        <v>1292</v>
      </c>
      <c r="D9" s="23" t="s">
        <v>1283</v>
      </c>
      <c r="E9" s="55">
        <v>46125</v>
      </c>
      <c r="F9" s="26" t="s">
        <v>948</v>
      </c>
      <c r="G9" s="26" t="s">
        <v>58</v>
      </c>
      <c r="H9" s="26" t="s">
        <v>56</v>
      </c>
      <c r="I9" s="26" t="s">
        <v>1284</v>
      </c>
      <c r="J9" s="26" t="s">
        <v>58</v>
      </c>
      <c r="K9" s="27"/>
      <c r="L9" s="28" t="s">
        <v>56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1293</v>
      </c>
      <c r="C10" s="44" t="s">
        <v>1294</v>
      </c>
      <c r="D10" s="42" t="s">
        <v>1283</v>
      </c>
      <c r="E10" s="55">
        <v>46125</v>
      </c>
      <c r="F10" s="26" t="s">
        <v>948</v>
      </c>
      <c r="G10" s="26" t="s">
        <v>58</v>
      </c>
      <c r="H10" s="26" t="s">
        <v>56</v>
      </c>
      <c r="I10" s="26" t="s">
        <v>1284</v>
      </c>
      <c r="J10" s="26" t="s">
        <v>58</v>
      </c>
      <c r="K10" s="27"/>
      <c r="L10" s="28" t="s">
        <v>56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1295</v>
      </c>
      <c r="C11" s="25" t="s">
        <v>1296</v>
      </c>
      <c r="D11" s="23" t="s">
        <v>1283</v>
      </c>
      <c r="E11" s="55">
        <v>46125</v>
      </c>
      <c r="F11" s="26" t="s">
        <v>948</v>
      </c>
      <c r="G11" s="26" t="s">
        <v>58</v>
      </c>
      <c r="H11" s="26" t="s">
        <v>56</v>
      </c>
      <c r="I11" s="26" t="s">
        <v>1284</v>
      </c>
      <c r="J11" s="26" t="s">
        <v>58</v>
      </c>
      <c r="K11" s="27"/>
      <c r="L11" s="28" t="s">
        <v>56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1297</v>
      </c>
      <c r="C12" s="44" t="s">
        <v>1298</v>
      </c>
      <c r="D12" s="42" t="s">
        <v>1283</v>
      </c>
      <c r="E12" s="55">
        <v>46125</v>
      </c>
      <c r="F12" s="26" t="s">
        <v>948</v>
      </c>
      <c r="G12" s="26" t="s">
        <v>58</v>
      </c>
      <c r="H12" s="26" t="s">
        <v>56</v>
      </c>
      <c r="I12" s="26" t="s">
        <v>1284</v>
      </c>
      <c r="J12" s="26" t="s">
        <v>58</v>
      </c>
      <c r="K12" s="27"/>
      <c r="L12" s="28" t="s">
        <v>56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1299</v>
      </c>
      <c r="C13" s="25" t="s">
        <v>1300</v>
      </c>
      <c r="D13" s="23" t="s">
        <v>1283</v>
      </c>
      <c r="E13" s="55">
        <v>46125</v>
      </c>
      <c r="F13" s="26" t="s">
        <v>948</v>
      </c>
      <c r="G13" s="26" t="s">
        <v>58</v>
      </c>
      <c r="H13" s="26" t="s">
        <v>56</v>
      </c>
      <c r="I13" s="26" t="s">
        <v>1284</v>
      </c>
      <c r="J13" s="26" t="s">
        <v>58</v>
      </c>
      <c r="K13" s="27"/>
      <c r="L13" s="28" t="s">
        <v>56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1301</v>
      </c>
      <c r="C14" s="44" t="s">
        <v>1302</v>
      </c>
      <c r="D14" s="42" t="s">
        <v>1283</v>
      </c>
      <c r="E14" s="55">
        <v>46125</v>
      </c>
      <c r="F14" s="26" t="s">
        <v>948</v>
      </c>
      <c r="G14" s="26" t="s">
        <v>58</v>
      </c>
      <c r="H14" s="26" t="s">
        <v>56</v>
      </c>
      <c r="I14" s="26" t="s">
        <v>1284</v>
      </c>
      <c r="J14" s="26" t="s">
        <v>58</v>
      </c>
      <c r="K14" s="27"/>
      <c r="L14" s="28" t="s">
        <v>56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1303</v>
      </c>
      <c r="C15" s="25" t="s">
        <v>1304</v>
      </c>
      <c r="D15" s="23" t="s">
        <v>1283</v>
      </c>
      <c r="E15" s="55">
        <v>46125</v>
      </c>
      <c r="F15" s="26" t="s">
        <v>948</v>
      </c>
      <c r="G15" s="26" t="s">
        <v>58</v>
      </c>
      <c r="H15" s="26" t="s">
        <v>56</v>
      </c>
      <c r="I15" s="26" t="s">
        <v>1284</v>
      </c>
      <c r="J15" s="26" t="s">
        <v>58</v>
      </c>
      <c r="K15" s="27"/>
      <c r="L15" s="28" t="s">
        <v>56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1305</v>
      </c>
      <c r="C16" s="44" t="s">
        <v>1306</v>
      </c>
      <c r="D16" s="42" t="s">
        <v>1283</v>
      </c>
      <c r="E16" s="55">
        <v>46125</v>
      </c>
      <c r="F16" s="26" t="s">
        <v>948</v>
      </c>
      <c r="G16" s="26" t="s">
        <v>58</v>
      </c>
      <c r="H16" s="26" t="s">
        <v>56</v>
      </c>
      <c r="I16" s="26" t="s">
        <v>1284</v>
      </c>
      <c r="J16" s="26" t="s">
        <v>58</v>
      </c>
      <c r="K16" s="27"/>
      <c r="L16" s="28" t="s">
        <v>56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1307</v>
      </c>
      <c r="C17" s="25" t="s">
        <v>1308</v>
      </c>
      <c r="D17" s="23" t="s">
        <v>1283</v>
      </c>
      <c r="E17" s="55">
        <v>46125</v>
      </c>
      <c r="F17" s="26" t="s">
        <v>948</v>
      </c>
      <c r="G17" s="26" t="s">
        <v>58</v>
      </c>
      <c r="H17" s="26" t="s">
        <v>56</v>
      </c>
      <c r="I17" s="26" t="s">
        <v>1284</v>
      </c>
      <c r="J17" s="26" t="s">
        <v>58</v>
      </c>
      <c r="K17" s="27"/>
      <c r="L17" s="28" t="s">
        <v>56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1309</v>
      </c>
      <c r="C18" s="44" t="s">
        <v>1310</v>
      </c>
      <c r="D18" s="42" t="s">
        <v>1283</v>
      </c>
      <c r="E18" s="55">
        <v>46125</v>
      </c>
      <c r="F18" s="26" t="s">
        <v>948</v>
      </c>
      <c r="G18" s="26" t="s">
        <v>58</v>
      </c>
      <c r="H18" s="26" t="s">
        <v>56</v>
      </c>
      <c r="I18" s="26" t="s">
        <v>1284</v>
      </c>
      <c r="J18" s="26" t="s">
        <v>58</v>
      </c>
      <c r="K18" s="27"/>
      <c r="L18" s="28" t="s">
        <v>56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1311</v>
      </c>
      <c r="C19" s="25" t="s">
        <v>1312</v>
      </c>
      <c r="D19" s="23" t="s">
        <v>1283</v>
      </c>
      <c r="E19" s="55">
        <v>46125</v>
      </c>
      <c r="F19" s="26" t="s">
        <v>948</v>
      </c>
      <c r="G19" s="26" t="s">
        <v>58</v>
      </c>
      <c r="H19" s="26" t="s">
        <v>56</v>
      </c>
      <c r="I19" s="26" t="s">
        <v>1284</v>
      </c>
      <c r="J19" s="26" t="s">
        <v>58</v>
      </c>
      <c r="K19" s="27"/>
      <c r="L19" s="28" t="s">
        <v>56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1313</v>
      </c>
      <c r="C20" s="44" t="s">
        <v>1314</v>
      </c>
      <c r="D20" s="42" t="s">
        <v>1283</v>
      </c>
      <c r="E20" s="55">
        <v>46125</v>
      </c>
      <c r="F20" s="26" t="s">
        <v>948</v>
      </c>
      <c r="G20" s="26" t="s">
        <v>58</v>
      </c>
      <c r="H20" s="26" t="s">
        <v>56</v>
      </c>
      <c r="I20" s="26" t="s">
        <v>1284</v>
      </c>
      <c r="J20" s="26" t="s">
        <v>58</v>
      </c>
      <c r="K20" s="27"/>
      <c r="L20" s="28" t="s">
        <v>56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1315</v>
      </c>
      <c r="C21" s="25" t="s">
        <v>1316</v>
      </c>
      <c r="D21" s="23" t="s">
        <v>1283</v>
      </c>
      <c r="E21" s="55">
        <v>46125</v>
      </c>
      <c r="F21" s="26" t="s">
        <v>948</v>
      </c>
      <c r="G21" s="26" t="s">
        <v>58</v>
      </c>
      <c r="H21" s="26" t="s">
        <v>56</v>
      </c>
      <c r="I21" s="26" t="s">
        <v>1284</v>
      </c>
      <c r="J21" s="26" t="s">
        <v>58</v>
      </c>
      <c r="K21" s="27"/>
      <c r="L21" s="28" t="s">
        <v>56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1317</v>
      </c>
      <c r="C22" s="44" t="s">
        <v>1318</v>
      </c>
      <c r="D22" s="42" t="s">
        <v>1283</v>
      </c>
      <c r="E22" s="55">
        <v>46125</v>
      </c>
      <c r="F22" s="26" t="s">
        <v>948</v>
      </c>
      <c r="G22" s="26" t="s">
        <v>58</v>
      </c>
      <c r="H22" s="26" t="s">
        <v>56</v>
      </c>
      <c r="I22" s="26" t="s">
        <v>1284</v>
      </c>
      <c r="J22" s="26" t="s">
        <v>58</v>
      </c>
      <c r="K22" s="27"/>
      <c r="L22" s="28" t="s">
        <v>56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1319</v>
      </c>
      <c r="C23" s="25" t="s">
        <v>1320</v>
      </c>
      <c r="D23" s="23" t="s">
        <v>1283</v>
      </c>
      <c r="E23" s="55">
        <v>46125</v>
      </c>
      <c r="F23" s="26" t="s">
        <v>948</v>
      </c>
      <c r="G23" s="26" t="s">
        <v>58</v>
      </c>
      <c r="H23" s="26" t="s">
        <v>56</v>
      </c>
      <c r="I23" s="26" t="s">
        <v>1284</v>
      </c>
      <c r="J23" s="26" t="s">
        <v>58</v>
      </c>
      <c r="K23" s="27"/>
      <c r="L23" s="28" t="s">
        <v>56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1321</v>
      </c>
      <c r="C24" s="44" t="s">
        <v>1322</v>
      </c>
      <c r="D24" s="42" t="s">
        <v>1283</v>
      </c>
      <c r="E24" s="55">
        <v>46125</v>
      </c>
      <c r="F24" s="26" t="s">
        <v>948</v>
      </c>
      <c r="G24" s="26" t="s">
        <v>58</v>
      </c>
      <c r="H24" s="26" t="s">
        <v>56</v>
      </c>
      <c r="I24" s="26" t="s">
        <v>1284</v>
      </c>
      <c r="J24" s="26" t="s">
        <v>58</v>
      </c>
      <c r="K24" s="27"/>
      <c r="L24" s="28" t="s">
        <v>56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1323</v>
      </c>
      <c r="C25" s="25" t="s">
        <v>1324</v>
      </c>
      <c r="D25" s="23" t="s">
        <v>1283</v>
      </c>
      <c r="E25" s="55">
        <v>46125</v>
      </c>
      <c r="F25" s="26" t="s">
        <v>948</v>
      </c>
      <c r="G25" s="26" t="s">
        <v>58</v>
      </c>
      <c r="H25" s="26" t="s">
        <v>56</v>
      </c>
      <c r="I25" s="26" t="s">
        <v>1284</v>
      </c>
      <c r="J25" s="26" t="s">
        <v>58</v>
      </c>
      <c r="K25" s="27"/>
      <c r="L25" s="28" t="s">
        <v>56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1325</v>
      </c>
      <c r="C26" s="44" t="s">
        <v>1326</v>
      </c>
      <c r="D26" s="42" t="s">
        <v>1283</v>
      </c>
      <c r="E26" s="55">
        <v>46125</v>
      </c>
      <c r="F26" s="26" t="s">
        <v>948</v>
      </c>
      <c r="G26" s="26" t="s">
        <v>58</v>
      </c>
      <c r="H26" s="26" t="s">
        <v>56</v>
      </c>
      <c r="I26" s="26" t="s">
        <v>1284</v>
      </c>
      <c r="J26" s="26" t="s">
        <v>58</v>
      </c>
      <c r="K26" s="27"/>
      <c r="L26" s="28" t="s">
        <v>56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1327</v>
      </c>
      <c r="C27" s="25" t="s">
        <v>1328</v>
      </c>
      <c r="D27" s="23" t="s">
        <v>1283</v>
      </c>
      <c r="E27" s="55">
        <v>46125</v>
      </c>
      <c r="F27" s="26" t="s">
        <v>948</v>
      </c>
      <c r="G27" s="26" t="s">
        <v>58</v>
      </c>
      <c r="H27" s="26" t="s">
        <v>56</v>
      </c>
      <c r="I27" s="26" t="s">
        <v>1284</v>
      </c>
      <c r="J27" s="26" t="s">
        <v>58</v>
      </c>
      <c r="K27" s="27"/>
      <c r="L27" s="28" t="s">
        <v>56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1329</v>
      </c>
      <c r="C28" s="44" t="s">
        <v>1330</v>
      </c>
      <c r="D28" s="42" t="s">
        <v>1283</v>
      </c>
      <c r="E28" s="55">
        <v>46125</v>
      </c>
      <c r="F28" s="26" t="s">
        <v>948</v>
      </c>
      <c r="G28" s="26" t="s">
        <v>58</v>
      </c>
      <c r="H28" s="26" t="s">
        <v>56</v>
      </c>
      <c r="I28" s="26" t="s">
        <v>1284</v>
      </c>
      <c r="J28" s="26" t="s">
        <v>58</v>
      </c>
      <c r="K28" s="27"/>
      <c r="L28" s="28" t="s">
        <v>56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1331</v>
      </c>
      <c r="C29" s="25" t="s">
        <v>1332</v>
      </c>
      <c r="D29" s="23" t="s">
        <v>1283</v>
      </c>
      <c r="E29" s="55">
        <v>46125</v>
      </c>
      <c r="F29" s="26" t="s">
        <v>948</v>
      </c>
      <c r="G29" s="26" t="s">
        <v>58</v>
      </c>
      <c r="H29" s="26" t="s">
        <v>56</v>
      </c>
      <c r="I29" s="26" t="s">
        <v>1284</v>
      </c>
      <c r="J29" s="26" t="s">
        <v>58</v>
      </c>
      <c r="K29" s="27"/>
      <c r="L29" s="28" t="s">
        <v>56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1333</v>
      </c>
      <c r="C30" s="44" t="s">
        <v>1334</v>
      </c>
      <c r="D30" s="42" t="s">
        <v>1283</v>
      </c>
      <c r="E30" s="55">
        <v>46125</v>
      </c>
      <c r="F30" s="26" t="s">
        <v>948</v>
      </c>
      <c r="G30" s="26" t="s">
        <v>58</v>
      </c>
      <c r="H30" s="26" t="s">
        <v>56</v>
      </c>
      <c r="I30" s="26" t="s">
        <v>1284</v>
      </c>
      <c r="J30" s="26" t="s">
        <v>58</v>
      </c>
      <c r="K30" s="27"/>
      <c r="L30" s="28" t="s">
        <v>56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1335</v>
      </c>
      <c r="C31" s="25" t="s">
        <v>1336</v>
      </c>
      <c r="D31" s="23" t="s">
        <v>1283</v>
      </c>
      <c r="E31" s="55">
        <v>46125</v>
      </c>
      <c r="F31" s="26" t="s">
        <v>948</v>
      </c>
      <c r="G31" s="26" t="s">
        <v>58</v>
      </c>
      <c r="H31" s="26" t="s">
        <v>56</v>
      </c>
      <c r="I31" s="26" t="s">
        <v>1284</v>
      </c>
      <c r="J31" s="26" t="s">
        <v>58</v>
      </c>
      <c r="K31" s="27"/>
      <c r="L31" s="28" t="s">
        <v>56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1337</v>
      </c>
      <c r="C32" s="44" t="s">
        <v>1338</v>
      </c>
      <c r="D32" s="42" t="s">
        <v>1283</v>
      </c>
      <c r="E32" s="55">
        <v>46125</v>
      </c>
      <c r="F32" s="26" t="s">
        <v>948</v>
      </c>
      <c r="G32" s="26" t="s">
        <v>58</v>
      </c>
      <c r="H32" s="26" t="s">
        <v>56</v>
      </c>
      <c r="I32" s="26" t="s">
        <v>1284</v>
      </c>
      <c r="J32" s="26" t="s">
        <v>58</v>
      </c>
      <c r="K32" s="27"/>
      <c r="L32" s="28" t="s">
        <v>56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1339</v>
      </c>
      <c r="C33" s="25" t="s">
        <v>1340</v>
      </c>
      <c r="D33" s="23" t="s">
        <v>1283</v>
      </c>
      <c r="E33" s="55">
        <v>46125</v>
      </c>
      <c r="F33" s="26" t="s">
        <v>948</v>
      </c>
      <c r="G33" s="26" t="s">
        <v>58</v>
      </c>
      <c r="H33" s="26" t="s">
        <v>56</v>
      </c>
      <c r="I33" s="26" t="s">
        <v>1284</v>
      </c>
      <c r="J33" s="26" t="s">
        <v>58</v>
      </c>
      <c r="K33" s="27"/>
      <c r="L33" s="28" t="s">
        <v>56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1341</v>
      </c>
      <c r="C34" s="44" t="s">
        <v>1342</v>
      </c>
      <c r="D34" s="42" t="s">
        <v>1283</v>
      </c>
      <c r="E34" s="55">
        <v>46125</v>
      </c>
      <c r="F34" s="26" t="s">
        <v>948</v>
      </c>
      <c r="G34" s="26" t="s">
        <v>58</v>
      </c>
      <c r="H34" s="26" t="s">
        <v>56</v>
      </c>
      <c r="I34" s="26" t="s">
        <v>1284</v>
      </c>
      <c r="J34" s="26" t="s">
        <v>58</v>
      </c>
      <c r="K34" s="27"/>
      <c r="L34" s="28" t="s">
        <v>56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1343</v>
      </c>
      <c r="C35" s="25" t="s">
        <v>1344</v>
      </c>
      <c r="D35" s="23" t="s">
        <v>1283</v>
      </c>
      <c r="E35" s="55">
        <v>46125</v>
      </c>
      <c r="F35" s="26" t="s">
        <v>948</v>
      </c>
      <c r="G35" s="26" t="s">
        <v>58</v>
      </c>
      <c r="H35" s="26" t="s">
        <v>56</v>
      </c>
      <c r="I35" s="26" t="s">
        <v>1284</v>
      </c>
      <c r="J35" s="26" t="s">
        <v>58</v>
      </c>
      <c r="K35" s="27"/>
      <c r="L35" s="28" t="s">
        <v>56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1345</v>
      </c>
      <c r="C36" s="44" t="s">
        <v>1346</v>
      </c>
      <c r="D36" s="42" t="s">
        <v>1283</v>
      </c>
      <c r="E36" s="55">
        <v>46125</v>
      </c>
      <c r="F36" s="26" t="s">
        <v>948</v>
      </c>
      <c r="G36" s="26" t="s">
        <v>58</v>
      </c>
      <c r="H36" s="26" t="s">
        <v>56</v>
      </c>
      <c r="I36" s="26" t="s">
        <v>1284</v>
      </c>
      <c r="J36" s="26" t="s">
        <v>58</v>
      </c>
      <c r="K36" s="27"/>
      <c r="L36" s="28" t="s">
        <v>56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1347</v>
      </c>
      <c r="C37" s="25" t="s">
        <v>1348</v>
      </c>
      <c r="D37" s="23" t="s">
        <v>1283</v>
      </c>
      <c r="E37" s="55">
        <v>46125</v>
      </c>
      <c r="F37" s="26" t="s">
        <v>948</v>
      </c>
      <c r="G37" s="26" t="s">
        <v>58</v>
      </c>
      <c r="H37" s="26" t="s">
        <v>56</v>
      </c>
      <c r="I37" s="26" t="s">
        <v>1284</v>
      </c>
      <c r="J37" s="26" t="s">
        <v>58</v>
      </c>
      <c r="K37" s="27"/>
      <c r="L37" s="28" t="s">
        <v>56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1349</v>
      </c>
      <c r="C38" s="44" t="s">
        <v>1350</v>
      </c>
      <c r="D38" s="42" t="s">
        <v>1283</v>
      </c>
      <c r="E38" s="55">
        <v>46125</v>
      </c>
      <c r="F38" s="26" t="s">
        <v>948</v>
      </c>
      <c r="G38" s="26" t="s">
        <v>58</v>
      </c>
      <c r="H38" s="26" t="s">
        <v>56</v>
      </c>
      <c r="I38" s="26" t="s">
        <v>1284</v>
      </c>
      <c r="J38" s="26" t="s">
        <v>58</v>
      </c>
      <c r="K38" s="27"/>
      <c r="L38" s="28" t="s">
        <v>56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1351</v>
      </c>
      <c r="C39" s="25" t="s">
        <v>1352</v>
      </c>
      <c r="D39" s="23" t="s">
        <v>1283</v>
      </c>
      <c r="E39" s="55">
        <v>46125</v>
      </c>
      <c r="F39" s="26" t="s">
        <v>948</v>
      </c>
      <c r="G39" s="26" t="s">
        <v>58</v>
      </c>
      <c r="H39" s="26" t="s">
        <v>56</v>
      </c>
      <c r="I39" s="26" t="s">
        <v>1284</v>
      </c>
      <c r="J39" s="26" t="s">
        <v>58</v>
      </c>
      <c r="K39" s="27"/>
      <c r="L39" s="28" t="s">
        <v>56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4.25" customHeight="1" x14ac:dyDescent="0.3">
      <c r="A40" s="42">
        <v>36</v>
      </c>
      <c r="B40" s="43" t="s">
        <v>1353</v>
      </c>
      <c r="C40" s="44" t="s">
        <v>1354</v>
      </c>
      <c r="D40" s="42" t="s">
        <v>1283</v>
      </c>
      <c r="E40" s="55">
        <v>46125</v>
      </c>
      <c r="F40" s="26" t="s">
        <v>948</v>
      </c>
      <c r="G40" s="26" t="s">
        <v>58</v>
      </c>
      <c r="H40" s="26" t="s">
        <v>56</v>
      </c>
      <c r="I40" s="26" t="s">
        <v>1284</v>
      </c>
      <c r="J40" s="26" t="s">
        <v>58</v>
      </c>
      <c r="K40" s="27"/>
      <c r="L40" s="28" t="s">
        <v>56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4.25" customHeight="1" x14ac:dyDescent="0.3">
      <c r="A41" s="23">
        <v>37</v>
      </c>
      <c r="B41" s="24" t="s">
        <v>1355</v>
      </c>
      <c r="C41" s="25" t="s">
        <v>1356</v>
      </c>
      <c r="D41" s="23" t="s">
        <v>1283</v>
      </c>
      <c r="E41" s="55">
        <v>46125</v>
      </c>
      <c r="F41" s="26" t="s">
        <v>948</v>
      </c>
      <c r="G41" s="26" t="s">
        <v>58</v>
      </c>
      <c r="H41" s="26" t="s">
        <v>56</v>
      </c>
      <c r="I41" s="26" t="s">
        <v>1284</v>
      </c>
      <c r="J41" s="26" t="s">
        <v>58</v>
      </c>
      <c r="K41" s="27"/>
      <c r="L41" s="28" t="s">
        <v>56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4.25" customHeight="1" x14ac:dyDescent="0.3">
      <c r="A42" s="42">
        <v>38</v>
      </c>
      <c r="B42" s="43" t="s">
        <v>1357</v>
      </c>
      <c r="C42" s="44" t="s">
        <v>1358</v>
      </c>
      <c r="D42" s="42" t="s">
        <v>1283</v>
      </c>
      <c r="E42" s="55">
        <v>46125</v>
      </c>
      <c r="F42" s="26" t="s">
        <v>948</v>
      </c>
      <c r="G42" s="26" t="s">
        <v>58</v>
      </c>
      <c r="H42" s="26" t="s">
        <v>56</v>
      </c>
      <c r="I42" s="26" t="s">
        <v>1284</v>
      </c>
      <c r="J42" s="26" t="s">
        <v>58</v>
      </c>
      <c r="K42" s="27"/>
      <c r="L42" s="28" t="s">
        <v>56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4.25" customHeight="1" x14ac:dyDescent="0.3">
      <c r="A43" s="23">
        <v>39</v>
      </c>
      <c r="B43" s="24" t="s">
        <v>1359</v>
      </c>
      <c r="C43" s="25" t="s">
        <v>1360</v>
      </c>
      <c r="D43" s="23" t="s">
        <v>1283</v>
      </c>
      <c r="E43" s="55">
        <v>46125</v>
      </c>
      <c r="F43" s="26" t="s">
        <v>948</v>
      </c>
      <c r="G43" s="26" t="s">
        <v>58</v>
      </c>
      <c r="H43" s="26" t="s">
        <v>56</v>
      </c>
      <c r="I43" s="26" t="s">
        <v>1284</v>
      </c>
      <c r="J43" s="26" t="s">
        <v>58</v>
      </c>
      <c r="K43" s="27"/>
      <c r="L43" s="28" t="s">
        <v>56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4.25" customHeight="1" x14ac:dyDescent="0.3">
      <c r="A44" s="42">
        <v>40</v>
      </c>
      <c r="B44" s="43" t="s">
        <v>1361</v>
      </c>
      <c r="C44" s="44" t="s">
        <v>1362</v>
      </c>
      <c r="D44" s="42" t="s">
        <v>1283</v>
      </c>
      <c r="E44" s="55">
        <v>46125</v>
      </c>
      <c r="F44" s="26" t="s">
        <v>948</v>
      </c>
      <c r="G44" s="26" t="s">
        <v>58</v>
      </c>
      <c r="H44" s="26" t="s">
        <v>56</v>
      </c>
      <c r="I44" s="26" t="s">
        <v>1284</v>
      </c>
      <c r="J44" s="26" t="s">
        <v>58</v>
      </c>
      <c r="K44" s="27"/>
      <c r="L44" s="28" t="s">
        <v>56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4.25" customHeight="1" x14ac:dyDescent="0.3">
      <c r="A45" s="23">
        <v>41</v>
      </c>
      <c r="B45" s="24" t="s">
        <v>1363</v>
      </c>
      <c r="C45" s="25" t="s">
        <v>1364</v>
      </c>
      <c r="D45" s="23" t="s">
        <v>1283</v>
      </c>
      <c r="E45" s="55">
        <v>46125</v>
      </c>
      <c r="F45" s="26" t="s">
        <v>948</v>
      </c>
      <c r="G45" s="26" t="s">
        <v>58</v>
      </c>
      <c r="H45" s="26" t="s">
        <v>56</v>
      </c>
      <c r="I45" s="26" t="s">
        <v>1284</v>
      </c>
      <c r="J45" s="26" t="s">
        <v>58</v>
      </c>
      <c r="K45" s="27"/>
      <c r="L45" s="28" t="s">
        <v>56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4.25" customHeight="1" x14ac:dyDescent="0.3">
      <c r="A46" s="42">
        <v>42</v>
      </c>
      <c r="B46" s="43" t="s">
        <v>1365</v>
      </c>
      <c r="C46" s="44" t="s">
        <v>1366</v>
      </c>
      <c r="D46" s="42" t="s">
        <v>1283</v>
      </c>
      <c r="E46" s="55">
        <v>46125</v>
      </c>
      <c r="F46" s="26" t="s">
        <v>948</v>
      </c>
      <c r="G46" s="26" t="s">
        <v>58</v>
      </c>
      <c r="H46" s="26" t="s">
        <v>56</v>
      </c>
      <c r="I46" s="26" t="s">
        <v>1284</v>
      </c>
      <c r="J46" s="26" t="s">
        <v>58</v>
      </c>
      <c r="K46" s="27"/>
      <c r="L46" s="28" t="s">
        <v>56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4.25" customHeight="1" x14ac:dyDescent="0.3">
      <c r="A47" s="23">
        <v>43</v>
      </c>
      <c r="B47" s="24" t="s">
        <v>1367</v>
      </c>
      <c r="C47" s="25" t="s">
        <v>1368</v>
      </c>
      <c r="D47" s="23" t="s">
        <v>1283</v>
      </c>
      <c r="E47" s="55">
        <v>46125</v>
      </c>
      <c r="F47" s="26" t="s">
        <v>948</v>
      </c>
      <c r="G47" s="26" t="s">
        <v>58</v>
      </c>
      <c r="H47" s="26" t="s">
        <v>56</v>
      </c>
      <c r="I47" s="26" t="s">
        <v>1284</v>
      </c>
      <c r="J47" s="26" t="s">
        <v>58</v>
      </c>
      <c r="K47" s="27"/>
      <c r="L47" s="28" t="s">
        <v>56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4.25" customHeight="1" x14ac:dyDescent="0.3">
      <c r="A48" s="42">
        <v>44</v>
      </c>
      <c r="B48" s="43" t="s">
        <v>1369</v>
      </c>
      <c r="C48" s="44" t="s">
        <v>1370</v>
      </c>
      <c r="D48" s="42" t="s">
        <v>1283</v>
      </c>
      <c r="E48" s="55">
        <v>46125</v>
      </c>
      <c r="F48" s="26" t="s">
        <v>948</v>
      </c>
      <c r="G48" s="26" t="s">
        <v>58</v>
      </c>
      <c r="H48" s="26" t="s">
        <v>56</v>
      </c>
      <c r="I48" s="26" t="s">
        <v>1284</v>
      </c>
      <c r="J48" s="26" t="s">
        <v>58</v>
      </c>
      <c r="K48" s="27"/>
      <c r="L48" s="28" t="s">
        <v>56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4.25" customHeight="1" x14ac:dyDescent="0.3">
      <c r="A49" s="23">
        <v>45</v>
      </c>
      <c r="B49" s="24" t="s">
        <v>1371</v>
      </c>
      <c r="C49" s="25" t="s">
        <v>1372</v>
      </c>
      <c r="D49" s="23" t="s">
        <v>1283</v>
      </c>
      <c r="E49" s="55">
        <v>46125</v>
      </c>
      <c r="F49" s="26" t="s">
        <v>948</v>
      </c>
      <c r="G49" s="26" t="s">
        <v>58</v>
      </c>
      <c r="H49" s="26" t="s">
        <v>56</v>
      </c>
      <c r="I49" s="26" t="s">
        <v>1284</v>
      </c>
      <c r="J49" s="26" t="s">
        <v>58</v>
      </c>
      <c r="K49" s="27"/>
      <c r="L49" s="28" t="s">
        <v>56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4.25" customHeight="1" x14ac:dyDescent="0.3">
      <c r="A50" s="42">
        <v>46</v>
      </c>
      <c r="B50" s="43" t="s">
        <v>1373</v>
      </c>
      <c r="C50" s="44" t="s">
        <v>1374</v>
      </c>
      <c r="D50" s="42" t="s">
        <v>1283</v>
      </c>
      <c r="E50" s="55">
        <v>46125</v>
      </c>
      <c r="F50" s="26" t="s">
        <v>948</v>
      </c>
      <c r="G50" s="26" t="s">
        <v>58</v>
      </c>
      <c r="H50" s="26" t="s">
        <v>56</v>
      </c>
      <c r="I50" s="26" t="s">
        <v>1284</v>
      </c>
      <c r="J50" s="26" t="s">
        <v>58</v>
      </c>
      <c r="K50" s="27"/>
      <c r="L50" s="28" t="s">
        <v>56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4.25" customHeight="1" x14ac:dyDescent="0.3">
      <c r="A51" s="23">
        <v>47</v>
      </c>
      <c r="B51" s="24" t="s">
        <v>1375</v>
      </c>
      <c r="C51" s="25" t="s">
        <v>1376</v>
      </c>
      <c r="D51" s="23" t="s">
        <v>1283</v>
      </c>
      <c r="E51" s="55">
        <v>46125</v>
      </c>
      <c r="F51" s="26" t="s">
        <v>948</v>
      </c>
      <c r="G51" s="26" t="s">
        <v>58</v>
      </c>
      <c r="H51" s="26" t="s">
        <v>56</v>
      </c>
      <c r="I51" s="26" t="s">
        <v>1284</v>
      </c>
      <c r="J51" s="26" t="s">
        <v>58</v>
      </c>
      <c r="K51" s="27"/>
      <c r="L51" s="28" t="s">
        <v>56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4.25" customHeight="1" x14ac:dyDescent="0.3">
      <c r="A52" s="42">
        <v>48</v>
      </c>
      <c r="B52" s="43" t="s">
        <v>1377</v>
      </c>
      <c r="C52" s="44" t="s">
        <v>1378</v>
      </c>
      <c r="D52" s="42" t="s">
        <v>1283</v>
      </c>
      <c r="E52" s="55">
        <v>46125</v>
      </c>
      <c r="F52" s="26" t="s">
        <v>948</v>
      </c>
      <c r="G52" s="26" t="s">
        <v>58</v>
      </c>
      <c r="H52" s="26" t="s">
        <v>56</v>
      </c>
      <c r="I52" s="26" t="s">
        <v>1284</v>
      </c>
      <c r="J52" s="26" t="s">
        <v>58</v>
      </c>
      <c r="K52" s="27"/>
      <c r="L52" s="28" t="s">
        <v>56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4.25" customHeight="1" x14ac:dyDescent="0.3">
      <c r="A53" s="23">
        <v>49</v>
      </c>
      <c r="B53" s="24" t="s">
        <v>1379</v>
      </c>
      <c r="C53" s="25" t="s">
        <v>1380</v>
      </c>
      <c r="D53" s="23" t="s">
        <v>1283</v>
      </c>
      <c r="E53" s="55">
        <v>46125</v>
      </c>
      <c r="F53" s="26" t="s">
        <v>948</v>
      </c>
      <c r="G53" s="26" t="s">
        <v>58</v>
      </c>
      <c r="H53" s="26" t="s">
        <v>56</v>
      </c>
      <c r="I53" s="26" t="s">
        <v>1284</v>
      </c>
      <c r="J53" s="26" t="s">
        <v>58</v>
      </c>
      <c r="K53" s="27"/>
      <c r="L53" s="28" t="s">
        <v>56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4.25" customHeight="1" x14ac:dyDescent="0.3">
      <c r="A54" s="42">
        <v>50</v>
      </c>
      <c r="B54" s="43" t="s">
        <v>1381</v>
      </c>
      <c r="C54" s="44" t="s">
        <v>1382</v>
      </c>
      <c r="D54" s="42" t="s">
        <v>1283</v>
      </c>
      <c r="E54" s="55">
        <v>46125</v>
      </c>
      <c r="F54" s="26" t="s">
        <v>948</v>
      </c>
      <c r="G54" s="26" t="s">
        <v>58</v>
      </c>
      <c r="H54" s="26" t="s">
        <v>56</v>
      </c>
      <c r="I54" s="26" t="s">
        <v>1284</v>
      </c>
      <c r="J54" s="26" t="s">
        <v>58</v>
      </c>
      <c r="K54" s="27"/>
      <c r="L54" s="28" t="s">
        <v>56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4.25" customHeight="1" x14ac:dyDescent="0.3">
      <c r="A55" s="23">
        <v>51</v>
      </c>
      <c r="B55" s="24" t="s">
        <v>1383</v>
      </c>
      <c r="C55" s="25" t="s">
        <v>1384</v>
      </c>
      <c r="D55" s="23" t="s">
        <v>1283</v>
      </c>
      <c r="E55" s="55">
        <v>46125</v>
      </c>
      <c r="F55" s="26" t="s">
        <v>948</v>
      </c>
      <c r="G55" s="26" t="s">
        <v>58</v>
      </c>
      <c r="H55" s="26" t="s">
        <v>56</v>
      </c>
      <c r="I55" s="26" t="s">
        <v>1284</v>
      </c>
      <c r="J55" s="26" t="s">
        <v>58</v>
      </c>
      <c r="K55" s="27"/>
      <c r="L55" s="28" t="s">
        <v>56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4.25" customHeight="1" x14ac:dyDescent="0.3">
      <c r="A56" s="42">
        <v>52</v>
      </c>
      <c r="B56" s="43" t="s">
        <v>1385</v>
      </c>
      <c r="C56" s="44" t="s">
        <v>1386</v>
      </c>
      <c r="D56" s="42" t="s">
        <v>1283</v>
      </c>
      <c r="E56" s="55">
        <v>46125</v>
      </c>
      <c r="F56" s="26" t="s">
        <v>948</v>
      </c>
      <c r="G56" s="26" t="s">
        <v>58</v>
      </c>
      <c r="H56" s="26" t="s">
        <v>56</v>
      </c>
      <c r="I56" s="26" t="s">
        <v>1284</v>
      </c>
      <c r="J56" s="26" t="s">
        <v>58</v>
      </c>
      <c r="K56" s="27"/>
      <c r="L56" s="28" t="s">
        <v>56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4.25" customHeight="1" x14ac:dyDescent="0.3">
      <c r="A57" s="23">
        <v>53</v>
      </c>
      <c r="B57" s="24" t="s">
        <v>1387</v>
      </c>
      <c r="C57" s="25" t="s">
        <v>1388</v>
      </c>
      <c r="D57" s="23" t="s">
        <v>1283</v>
      </c>
      <c r="E57" s="55">
        <v>46125</v>
      </c>
      <c r="F57" s="26" t="s">
        <v>948</v>
      </c>
      <c r="G57" s="26" t="s">
        <v>58</v>
      </c>
      <c r="H57" s="26" t="s">
        <v>56</v>
      </c>
      <c r="I57" s="26" t="s">
        <v>1284</v>
      </c>
      <c r="J57" s="26" t="s">
        <v>58</v>
      </c>
      <c r="K57" s="27"/>
      <c r="L57" s="28" t="s">
        <v>56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4.25" customHeight="1" x14ac:dyDescent="0.3">
      <c r="A58" s="42">
        <v>54</v>
      </c>
      <c r="B58" s="43" t="s">
        <v>1389</v>
      </c>
      <c r="C58" s="44" t="s">
        <v>1390</v>
      </c>
      <c r="D58" s="42" t="s">
        <v>1283</v>
      </c>
      <c r="E58" s="55">
        <v>46125</v>
      </c>
      <c r="F58" s="26" t="s">
        <v>948</v>
      </c>
      <c r="G58" s="26" t="s">
        <v>58</v>
      </c>
      <c r="H58" s="26" t="s">
        <v>56</v>
      </c>
      <c r="I58" s="26" t="s">
        <v>1284</v>
      </c>
      <c r="J58" s="26" t="s">
        <v>58</v>
      </c>
      <c r="K58" s="27"/>
      <c r="L58" s="28" t="s">
        <v>56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4.25" customHeight="1" x14ac:dyDescent="0.3">
      <c r="A59" s="23">
        <v>55</v>
      </c>
      <c r="B59" s="24" t="s">
        <v>1391</v>
      </c>
      <c r="C59" s="25" t="s">
        <v>1392</v>
      </c>
      <c r="D59" s="23" t="s">
        <v>1283</v>
      </c>
      <c r="E59" s="55">
        <v>46125</v>
      </c>
      <c r="F59" s="26" t="s">
        <v>948</v>
      </c>
      <c r="G59" s="26" t="s">
        <v>58</v>
      </c>
      <c r="H59" s="26" t="s">
        <v>56</v>
      </c>
      <c r="I59" s="26" t="s">
        <v>1284</v>
      </c>
      <c r="J59" s="26" t="s">
        <v>58</v>
      </c>
      <c r="K59" s="27"/>
      <c r="L59" s="28" t="s">
        <v>56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4.25" customHeight="1" x14ac:dyDescent="0.3">
      <c r="A60" s="42">
        <v>56</v>
      </c>
      <c r="B60" s="43" t="s">
        <v>1393</v>
      </c>
      <c r="C60" s="44" t="s">
        <v>1394</v>
      </c>
      <c r="D60" s="42" t="s">
        <v>1283</v>
      </c>
      <c r="E60" s="55">
        <v>46125</v>
      </c>
      <c r="F60" s="26" t="s">
        <v>948</v>
      </c>
      <c r="G60" s="26" t="s">
        <v>58</v>
      </c>
      <c r="H60" s="26" t="s">
        <v>56</v>
      </c>
      <c r="I60" s="26" t="s">
        <v>1284</v>
      </c>
      <c r="J60" s="26" t="s">
        <v>58</v>
      </c>
      <c r="K60" s="27"/>
      <c r="L60" s="28" t="s">
        <v>56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4.25" customHeight="1" x14ac:dyDescent="0.3">
      <c r="A61" s="23">
        <v>57</v>
      </c>
      <c r="B61" s="24" t="s">
        <v>1395</v>
      </c>
      <c r="C61" s="25" t="s">
        <v>1396</v>
      </c>
      <c r="D61" s="23" t="s">
        <v>1283</v>
      </c>
      <c r="E61" s="55">
        <v>46125</v>
      </c>
      <c r="F61" s="26" t="s">
        <v>948</v>
      </c>
      <c r="G61" s="26" t="s">
        <v>58</v>
      </c>
      <c r="H61" s="26" t="s">
        <v>56</v>
      </c>
      <c r="I61" s="26" t="s">
        <v>1284</v>
      </c>
      <c r="J61" s="26" t="s">
        <v>58</v>
      </c>
      <c r="K61" s="27"/>
      <c r="L61" s="28" t="s">
        <v>56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4.25" customHeight="1" x14ac:dyDescent="0.3">
      <c r="A62" s="42">
        <v>58</v>
      </c>
      <c r="B62" s="43" t="s">
        <v>1397</v>
      </c>
      <c r="C62" s="44" t="s">
        <v>1398</v>
      </c>
      <c r="D62" s="42" t="s">
        <v>1283</v>
      </c>
      <c r="E62" s="55">
        <v>46125</v>
      </c>
      <c r="F62" s="26" t="s">
        <v>948</v>
      </c>
      <c r="G62" s="26" t="s">
        <v>58</v>
      </c>
      <c r="H62" s="26" t="s">
        <v>56</v>
      </c>
      <c r="I62" s="26" t="s">
        <v>1284</v>
      </c>
      <c r="J62" s="26" t="s">
        <v>58</v>
      </c>
      <c r="K62" s="27"/>
      <c r="L62" s="28" t="s">
        <v>56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4.25" customHeight="1" x14ac:dyDescent="0.3">
      <c r="A63" s="23">
        <v>59</v>
      </c>
      <c r="B63" s="24" t="s">
        <v>1399</v>
      </c>
      <c r="C63" s="25" t="s">
        <v>1400</v>
      </c>
      <c r="D63" s="23" t="s">
        <v>1283</v>
      </c>
      <c r="E63" s="55">
        <v>46125</v>
      </c>
      <c r="F63" s="26" t="s">
        <v>948</v>
      </c>
      <c r="G63" s="26" t="s">
        <v>58</v>
      </c>
      <c r="H63" s="26" t="s">
        <v>56</v>
      </c>
      <c r="I63" s="26" t="s">
        <v>1284</v>
      </c>
      <c r="J63" s="26" t="s">
        <v>58</v>
      </c>
      <c r="K63" s="27"/>
      <c r="L63" s="28" t="s">
        <v>56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4.25" customHeight="1" x14ac:dyDescent="0.3">
      <c r="A64" s="42">
        <v>60</v>
      </c>
      <c r="B64" s="43" t="s">
        <v>1401</v>
      </c>
      <c r="C64" s="44" t="s">
        <v>1402</v>
      </c>
      <c r="D64" s="42" t="s">
        <v>1283</v>
      </c>
      <c r="E64" s="55">
        <v>46125</v>
      </c>
      <c r="F64" s="26" t="s">
        <v>948</v>
      </c>
      <c r="G64" s="26" t="s">
        <v>58</v>
      </c>
      <c r="H64" s="26" t="s">
        <v>56</v>
      </c>
      <c r="I64" s="26" t="s">
        <v>1284</v>
      </c>
      <c r="J64" s="26" t="s">
        <v>58</v>
      </c>
      <c r="K64" s="27"/>
      <c r="L64" s="28" t="s">
        <v>56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4.25" customHeight="1" x14ac:dyDescent="0.3">
      <c r="A65" s="23">
        <v>61</v>
      </c>
      <c r="B65" s="24" t="s">
        <v>1403</v>
      </c>
      <c r="C65" s="25" t="s">
        <v>1404</v>
      </c>
      <c r="D65" s="23" t="s">
        <v>1283</v>
      </c>
      <c r="E65" s="55">
        <v>46125</v>
      </c>
      <c r="F65" s="26" t="s">
        <v>948</v>
      </c>
      <c r="G65" s="26" t="s">
        <v>58</v>
      </c>
      <c r="H65" s="26" t="s">
        <v>56</v>
      </c>
      <c r="I65" s="26" t="s">
        <v>1284</v>
      </c>
      <c r="J65" s="26" t="s">
        <v>58</v>
      </c>
      <c r="K65" s="27"/>
      <c r="L65" s="28" t="s">
        <v>56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4.25" customHeight="1" x14ac:dyDescent="0.3">
      <c r="A66" s="42">
        <v>62</v>
      </c>
      <c r="B66" s="43" t="s">
        <v>1405</v>
      </c>
      <c r="C66" s="44" t="s">
        <v>1406</v>
      </c>
      <c r="D66" s="42" t="s">
        <v>1283</v>
      </c>
      <c r="E66" s="55">
        <v>46125</v>
      </c>
      <c r="F66" s="26" t="s">
        <v>948</v>
      </c>
      <c r="G66" s="26" t="s">
        <v>58</v>
      </c>
      <c r="H66" s="26" t="s">
        <v>56</v>
      </c>
      <c r="I66" s="26" t="s">
        <v>1284</v>
      </c>
      <c r="J66" s="26" t="s">
        <v>58</v>
      </c>
      <c r="K66" s="27"/>
      <c r="L66" s="28" t="s">
        <v>56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4.25" customHeight="1" x14ac:dyDescent="0.3">
      <c r="A67" s="23">
        <v>63</v>
      </c>
      <c r="B67" s="24" t="s">
        <v>1407</v>
      </c>
      <c r="C67" s="25" t="s">
        <v>1408</v>
      </c>
      <c r="D67" s="23" t="s">
        <v>1283</v>
      </c>
      <c r="E67" s="55">
        <v>46125</v>
      </c>
      <c r="F67" s="26" t="s">
        <v>948</v>
      </c>
      <c r="G67" s="26" t="s">
        <v>58</v>
      </c>
      <c r="H67" s="26" t="s">
        <v>56</v>
      </c>
      <c r="I67" s="26" t="s">
        <v>1284</v>
      </c>
      <c r="J67" s="26" t="s">
        <v>58</v>
      </c>
      <c r="K67" s="27"/>
      <c r="L67" s="28" t="s">
        <v>56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4.25" customHeight="1" x14ac:dyDescent="0.3">
      <c r="A68" s="42">
        <v>64</v>
      </c>
      <c r="B68" s="43" t="s">
        <v>1409</v>
      </c>
      <c r="C68" s="44" t="s">
        <v>1410</v>
      </c>
      <c r="D68" s="42" t="s">
        <v>1283</v>
      </c>
      <c r="E68" s="55">
        <v>46125</v>
      </c>
      <c r="F68" s="26" t="s">
        <v>948</v>
      </c>
      <c r="G68" s="26" t="s">
        <v>58</v>
      </c>
      <c r="H68" s="26" t="s">
        <v>56</v>
      </c>
      <c r="I68" s="26" t="s">
        <v>1284</v>
      </c>
      <c r="J68" s="26" t="s">
        <v>58</v>
      </c>
      <c r="K68" s="27"/>
      <c r="L68" s="28" t="s">
        <v>56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4.25" customHeight="1" x14ac:dyDescent="0.3">
      <c r="A69" s="23">
        <v>65</v>
      </c>
      <c r="B69" s="24" t="s">
        <v>1411</v>
      </c>
      <c r="C69" s="25" t="s">
        <v>1412</v>
      </c>
      <c r="D69" s="23" t="s">
        <v>1283</v>
      </c>
      <c r="E69" s="55">
        <v>46125</v>
      </c>
      <c r="F69" s="26" t="s">
        <v>948</v>
      </c>
      <c r="G69" s="26" t="s">
        <v>58</v>
      </c>
      <c r="H69" s="26" t="s">
        <v>56</v>
      </c>
      <c r="I69" s="26" t="s">
        <v>1284</v>
      </c>
      <c r="J69" s="26" t="s">
        <v>58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1413</v>
      </c>
      <c r="C70" s="44" t="s">
        <v>1414</v>
      </c>
      <c r="D70" s="42" t="s">
        <v>1283</v>
      </c>
      <c r="E70" s="55">
        <v>46125</v>
      </c>
      <c r="F70" s="26" t="s">
        <v>948</v>
      </c>
      <c r="G70" s="26" t="s">
        <v>58</v>
      </c>
      <c r="H70" s="26" t="s">
        <v>56</v>
      </c>
      <c r="I70" s="26" t="s">
        <v>1284</v>
      </c>
      <c r="J70" s="26" t="s">
        <v>58</v>
      </c>
      <c r="K70" s="27"/>
      <c r="L70" s="28" t="s">
        <v>56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4.25" customHeight="1" x14ac:dyDescent="0.3">
      <c r="A71" s="23">
        <v>67</v>
      </c>
      <c r="B71" s="24" t="s">
        <v>1415</v>
      </c>
      <c r="C71" s="25" t="s">
        <v>1416</v>
      </c>
      <c r="D71" s="23" t="s">
        <v>1283</v>
      </c>
      <c r="E71" s="55">
        <v>46125</v>
      </c>
      <c r="F71" s="26" t="s">
        <v>948</v>
      </c>
      <c r="G71" s="26" t="s">
        <v>58</v>
      </c>
      <c r="H71" s="26" t="s">
        <v>56</v>
      </c>
      <c r="I71" s="26" t="s">
        <v>1284</v>
      </c>
      <c r="J71" s="26" t="s">
        <v>58</v>
      </c>
      <c r="K71" s="27"/>
      <c r="L71" s="28" t="s">
        <v>56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4.25" customHeight="1" x14ac:dyDescent="0.3">
      <c r="A72" s="42">
        <v>68</v>
      </c>
      <c r="B72" s="43" t="s">
        <v>1417</v>
      </c>
      <c r="C72" s="44" t="s">
        <v>1418</v>
      </c>
      <c r="D72" s="42" t="s">
        <v>1283</v>
      </c>
      <c r="E72" s="55">
        <v>46125</v>
      </c>
      <c r="F72" s="26" t="s">
        <v>948</v>
      </c>
      <c r="G72" s="26" t="s">
        <v>58</v>
      </c>
      <c r="H72" s="26" t="s">
        <v>56</v>
      </c>
      <c r="I72" s="26" t="s">
        <v>1284</v>
      </c>
      <c r="J72" s="26" t="s">
        <v>58</v>
      </c>
      <c r="K72" s="27"/>
      <c r="L72" s="28" t="s">
        <v>56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4.25" customHeight="1" x14ac:dyDescent="0.3">
      <c r="A73" s="23">
        <v>69</v>
      </c>
      <c r="B73" s="24" t="s">
        <v>1419</v>
      </c>
      <c r="C73" s="25" t="s">
        <v>1420</v>
      </c>
      <c r="D73" s="23" t="s">
        <v>1283</v>
      </c>
      <c r="E73" s="55">
        <v>46125</v>
      </c>
      <c r="F73" s="26" t="s">
        <v>948</v>
      </c>
      <c r="G73" s="26" t="s">
        <v>58</v>
      </c>
      <c r="H73" s="26" t="s">
        <v>56</v>
      </c>
      <c r="I73" s="26" t="s">
        <v>1284</v>
      </c>
      <c r="J73" s="26" t="s">
        <v>58</v>
      </c>
      <c r="K73" s="27"/>
      <c r="L73" s="28" t="s">
        <v>56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4.25" customHeight="1" x14ac:dyDescent="0.3">
      <c r="A74" s="42">
        <v>70</v>
      </c>
      <c r="B74" s="43" t="s">
        <v>1421</v>
      </c>
      <c r="C74" s="44" t="s">
        <v>1422</v>
      </c>
      <c r="D74" s="42" t="s">
        <v>1283</v>
      </c>
      <c r="E74" s="55">
        <v>46125</v>
      </c>
      <c r="F74" s="26" t="s">
        <v>948</v>
      </c>
      <c r="G74" s="26" t="s">
        <v>58</v>
      </c>
      <c r="H74" s="26" t="s">
        <v>56</v>
      </c>
      <c r="I74" s="26" t="s">
        <v>1284</v>
      </c>
      <c r="J74" s="26" t="s">
        <v>58</v>
      </c>
      <c r="K74" s="27"/>
      <c r="L74" s="28" t="s">
        <v>56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4.25" customHeight="1" x14ac:dyDescent="0.3">
      <c r="A75" s="23">
        <v>71</v>
      </c>
      <c r="B75" s="24" t="s">
        <v>1423</v>
      </c>
      <c r="C75" s="25" t="s">
        <v>1424</v>
      </c>
      <c r="D75" s="23" t="s">
        <v>1283</v>
      </c>
      <c r="E75" s="55">
        <v>46125</v>
      </c>
      <c r="F75" s="26" t="s">
        <v>948</v>
      </c>
      <c r="G75" s="26" t="s">
        <v>58</v>
      </c>
      <c r="H75" s="26" t="s">
        <v>56</v>
      </c>
      <c r="I75" s="26" t="s">
        <v>1284</v>
      </c>
      <c r="J75" s="26" t="s">
        <v>58</v>
      </c>
      <c r="K75" s="27"/>
      <c r="L75" s="28" t="s">
        <v>56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4.25" customHeight="1" x14ac:dyDescent="0.3">
      <c r="A76" s="42">
        <v>72</v>
      </c>
      <c r="B76" s="43" t="s">
        <v>1425</v>
      </c>
      <c r="C76" s="44" t="s">
        <v>1426</v>
      </c>
      <c r="D76" s="42" t="s">
        <v>1283</v>
      </c>
      <c r="E76" s="55">
        <v>46125</v>
      </c>
      <c r="F76" s="26" t="s">
        <v>948</v>
      </c>
      <c r="G76" s="26" t="s">
        <v>58</v>
      </c>
      <c r="H76" s="26" t="s">
        <v>56</v>
      </c>
      <c r="I76" s="26" t="s">
        <v>1284</v>
      </c>
      <c r="J76" s="26" t="s">
        <v>58</v>
      </c>
      <c r="K76" s="27"/>
      <c r="L76" s="28" t="s">
        <v>56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4.25" customHeight="1" x14ac:dyDescent="0.3">
      <c r="A77" s="23">
        <v>73</v>
      </c>
      <c r="B77" s="24" t="s">
        <v>1427</v>
      </c>
      <c r="C77" s="25" t="s">
        <v>1428</v>
      </c>
      <c r="D77" s="23" t="s">
        <v>1283</v>
      </c>
      <c r="E77" s="55">
        <v>46125</v>
      </c>
      <c r="F77" s="26" t="s">
        <v>948</v>
      </c>
      <c r="G77" s="26" t="s">
        <v>58</v>
      </c>
      <c r="H77" s="26" t="s">
        <v>56</v>
      </c>
      <c r="I77" s="26" t="s">
        <v>1284</v>
      </c>
      <c r="J77" s="26" t="s">
        <v>58</v>
      </c>
      <c r="K77" s="27"/>
      <c r="L77" s="28" t="s">
        <v>56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4.25" customHeight="1" x14ac:dyDescent="0.3">
      <c r="A78" s="42">
        <v>74</v>
      </c>
      <c r="B78" s="43" t="s">
        <v>1429</v>
      </c>
      <c r="C78" s="44" t="s">
        <v>1430</v>
      </c>
      <c r="D78" s="42" t="s">
        <v>1283</v>
      </c>
      <c r="E78" s="55">
        <v>46125</v>
      </c>
      <c r="F78" s="26" t="s">
        <v>948</v>
      </c>
      <c r="G78" s="26" t="s">
        <v>58</v>
      </c>
      <c r="H78" s="26" t="s">
        <v>56</v>
      </c>
      <c r="I78" s="26" t="s">
        <v>1284</v>
      </c>
      <c r="J78" s="26" t="s">
        <v>58</v>
      </c>
      <c r="K78" s="27"/>
      <c r="L78" s="28" t="s">
        <v>56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4.25" customHeight="1" x14ac:dyDescent="0.3">
      <c r="A79" s="23">
        <v>75</v>
      </c>
      <c r="B79" s="24" t="s">
        <v>1431</v>
      </c>
      <c r="C79" s="25" t="s">
        <v>1432</v>
      </c>
      <c r="D79" s="23" t="s">
        <v>1283</v>
      </c>
      <c r="E79" s="55">
        <v>46125</v>
      </c>
      <c r="F79" s="26" t="s">
        <v>948</v>
      </c>
      <c r="G79" s="26" t="s">
        <v>58</v>
      </c>
      <c r="H79" s="26" t="s">
        <v>56</v>
      </c>
      <c r="I79" s="26" t="s">
        <v>1284</v>
      </c>
      <c r="J79" s="26" t="s">
        <v>58</v>
      </c>
      <c r="K79" s="27"/>
      <c r="L79" s="28" t="s">
        <v>56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4.25" customHeight="1" x14ac:dyDescent="0.3">
      <c r="A80" s="42">
        <v>76</v>
      </c>
      <c r="B80" s="43" t="s">
        <v>1433</v>
      </c>
      <c r="C80" s="44" t="s">
        <v>1434</v>
      </c>
      <c r="D80" s="42" t="s">
        <v>1283</v>
      </c>
      <c r="E80" s="55">
        <v>46125</v>
      </c>
      <c r="F80" s="26" t="s">
        <v>948</v>
      </c>
      <c r="G80" s="26" t="s">
        <v>58</v>
      </c>
      <c r="H80" s="26" t="s">
        <v>56</v>
      </c>
      <c r="I80" s="26" t="s">
        <v>1284</v>
      </c>
      <c r="J80" s="26" t="s">
        <v>58</v>
      </c>
      <c r="K80" s="27"/>
      <c r="L80" s="28" t="s">
        <v>56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4.25" customHeight="1" x14ac:dyDescent="0.3">
      <c r="A81" s="23">
        <v>77</v>
      </c>
      <c r="B81" s="24" t="s">
        <v>1435</v>
      </c>
      <c r="C81" s="25" t="s">
        <v>1436</v>
      </c>
      <c r="D81" s="23" t="s">
        <v>1283</v>
      </c>
      <c r="E81" s="55">
        <v>46125</v>
      </c>
      <c r="F81" s="26" t="s">
        <v>948</v>
      </c>
      <c r="G81" s="26" t="s">
        <v>58</v>
      </c>
      <c r="H81" s="26" t="s">
        <v>56</v>
      </c>
      <c r="I81" s="26" t="s">
        <v>1284</v>
      </c>
      <c r="J81" s="26" t="s">
        <v>58</v>
      </c>
      <c r="K81" s="27"/>
      <c r="L81" s="28" t="s">
        <v>56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4.25" customHeight="1" x14ac:dyDescent="0.3">
      <c r="A82" s="42">
        <v>78</v>
      </c>
      <c r="B82" s="43" t="s">
        <v>1437</v>
      </c>
      <c r="C82" s="44" t="s">
        <v>1438</v>
      </c>
      <c r="D82" s="42" t="s">
        <v>1283</v>
      </c>
      <c r="E82" s="55">
        <v>46125</v>
      </c>
      <c r="F82" s="26" t="s">
        <v>948</v>
      </c>
      <c r="G82" s="26" t="s">
        <v>58</v>
      </c>
      <c r="H82" s="26" t="s">
        <v>56</v>
      </c>
      <c r="I82" s="26" t="s">
        <v>1284</v>
      </c>
      <c r="J82" s="26" t="s">
        <v>58</v>
      </c>
      <c r="K82" s="27"/>
      <c r="L82" s="28" t="s">
        <v>56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4.25" customHeight="1" x14ac:dyDescent="0.3">
      <c r="A83" s="23">
        <v>79</v>
      </c>
      <c r="B83" s="24" t="s">
        <v>1439</v>
      </c>
      <c r="C83" s="25" t="s">
        <v>1440</v>
      </c>
      <c r="D83" s="23" t="s">
        <v>1283</v>
      </c>
      <c r="E83" s="55">
        <v>46125</v>
      </c>
      <c r="F83" s="26" t="s">
        <v>948</v>
      </c>
      <c r="G83" s="26" t="s">
        <v>58</v>
      </c>
      <c r="H83" s="26" t="s">
        <v>56</v>
      </c>
      <c r="I83" s="26" t="s">
        <v>1284</v>
      </c>
      <c r="J83" s="26" t="s">
        <v>58</v>
      </c>
      <c r="K83" s="27"/>
      <c r="L83" s="28" t="s">
        <v>56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4.25" customHeight="1" x14ac:dyDescent="0.3">
      <c r="A84" s="42">
        <v>80</v>
      </c>
      <c r="B84" s="43" t="s">
        <v>1441</v>
      </c>
      <c r="C84" s="44" t="s">
        <v>1442</v>
      </c>
      <c r="D84" s="42" t="s">
        <v>1283</v>
      </c>
      <c r="E84" s="55">
        <v>46125</v>
      </c>
      <c r="F84" s="26" t="s">
        <v>948</v>
      </c>
      <c r="G84" s="26" t="s">
        <v>58</v>
      </c>
      <c r="H84" s="26" t="s">
        <v>56</v>
      </c>
      <c r="I84" s="26" t="s">
        <v>1284</v>
      </c>
      <c r="J84" s="26" t="s">
        <v>58</v>
      </c>
      <c r="K84" s="27"/>
      <c r="L84" s="28" t="s">
        <v>56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4.25" customHeight="1" x14ac:dyDescent="0.3">
      <c r="A85" s="23">
        <v>81</v>
      </c>
      <c r="B85" s="24" t="s">
        <v>1443</v>
      </c>
      <c r="C85" s="25" t="s">
        <v>1444</v>
      </c>
      <c r="D85" s="23" t="s">
        <v>1283</v>
      </c>
      <c r="E85" s="55">
        <v>46125</v>
      </c>
      <c r="F85" s="26" t="s">
        <v>948</v>
      </c>
      <c r="G85" s="26" t="s">
        <v>58</v>
      </c>
      <c r="H85" s="26" t="s">
        <v>56</v>
      </c>
      <c r="I85" s="26" t="s">
        <v>1284</v>
      </c>
      <c r="J85" s="26" t="s">
        <v>58</v>
      </c>
      <c r="K85" s="27"/>
      <c r="L85" s="28" t="s">
        <v>56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4.25" customHeight="1" x14ac:dyDescent="0.3">
      <c r="A86" s="42">
        <v>82</v>
      </c>
      <c r="B86" s="43" t="s">
        <v>1445</v>
      </c>
      <c r="C86" s="44" t="s">
        <v>1446</v>
      </c>
      <c r="D86" s="42" t="s">
        <v>1283</v>
      </c>
      <c r="E86" s="55">
        <v>46125</v>
      </c>
      <c r="F86" s="26" t="s">
        <v>948</v>
      </c>
      <c r="G86" s="26" t="s">
        <v>58</v>
      </c>
      <c r="H86" s="26" t="s">
        <v>56</v>
      </c>
      <c r="I86" s="26" t="s">
        <v>1284</v>
      </c>
      <c r="J86" s="26" t="s">
        <v>58</v>
      </c>
      <c r="K86" s="27"/>
      <c r="L86" s="28" t="s">
        <v>56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4.25" customHeight="1" x14ac:dyDescent="0.3">
      <c r="A87" s="23">
        <v>83</v>
      </c>
      <c r="B87" s="24" t="s">
        <v>1447</v>
      </c>
      <c r="C87" s="25" t="s">
        <v>1448</v>
      </c>
      <c r="D87" s="23" t="s">
        <v>1283</v>
      </c>
      <c r="E87" s="55">
        <v>46125</v>
      </c>
      <c r="F87" s="26" t="s">
        <v>948</v>
      </c>
      <c r="G87" s="26" t="s">
        <v>58</v>
      </c>
      <c r="H87" s="26" t="s">
        <v>56</v>
      </c>
      <c r="I87" s="26" t="s">
        <v>1284</v>
      </c>
      <c r="J87" s="26" t="s">
        <v>58</v>
      </c>
      <c r="K87" s="27"/>
      <c r="L87" s="28" t="s">
        <v>56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4.25" customHeight="1" x14ac:dyDescent="0.3">
      <c r="A88" s="42">
        <v>84</v>
      </c>
      <c r="B88" s="43" t="s">
        <v>1449</v>
      </c>
      <c r="C88" s="44" t="s">
        <v>1450</v>
      </c>
      <c r="D88" s="42" t="s">
        <v>1283</v>
      </c>
      <c r="E88" s="55">
        <v>46125</v>
      </c>
      <c r="F88" s="26" t="s">
        <v>948</v>
      </c>
      <c r="G88" s="26" t="s">
        <v>58</v>
      </c>
      <c r="H88" s="26" t="s">
        <v>56</v>
      </c>
      <c r="I88" s="26" t="s">
        <v>1284</v>
      </c>
      <c r="J88" s="26" t="s">
        <v>58</v>
      </c>
      <c r="K88" s="27"/>
      <c r="L88" s="28" t="s">
        <v>56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4.25" customHeight="1" x14ac:dyDescent="0.3">
      <c r="A89" s="23">
        <v>85</v>
      </c>
      <c r="B89" s="24" t="s">
        <v>1451</v>
      </c>
      <c r="C89" s="25" t="s">
        <v>1452</v>
      </c>
      <c r="D89" s="23" t="s">
        <v>1283</v>
      </c>
      <c r="E89" s="55">
        <v>46125</v>
      </c>
      <c r="F89" s="26" t="s">
        <v>948</v>
      </c>
      <c r="G89" s="26" t="s">
        <v>58</v>
      </c>
      <c r="H89" s="26" t="s">
        <v>56</v>
      </c>
      <c r="I89" s="26" t="s">
        <v>1284</v>
      </c>
      <c r="J89" s="26" t="s">
        <v>58</v>
      </c>
      <c r="K89" s="27"/>
      <c r="L89" s="28" t="s">
        <v>56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4.25" customHeight="1" x14ac:dyDescent="0.3">
      <c r="A90" s="42">
        <v>86</v>
      </c>
      <c r="B90" s="43" t="s">
        <v>1453</v>
      </c>
      <c r="C90" s="44" t="s">
        <v>1454</v>
      </c>
      <c r="D90" s="42" t="s">
        <v>1283</v>
      </c>
      <c r="E90" s="55">
        <v>46125</v>
      </c>
      <c r="F90" s="26" t="s">
        <v>948</v>
      </c>
      <c r="G90" s="26" t="s">
        <v>58</v>
      </c>
      <c r="H90" s="26" t="s">
        <v>56</v>
      </c>
      <c r="I90" s="26" t="s">
        <v>1284</v>
      </c>
      <c r="J90" s="26" t="s">
        <v>58</v>
      </c>
      <c r="K90" s="27"/>
      <c r="L90" s="28" t="s">
        <v>56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4.25" customHeight="1" x14ac:dyDescent="0.3">
      <c r="A91" s="23">
        <v>87</v>
      </c>
      <c r="B91" s="24" t="s">
        <v>1455</v>
      </c>
      <c r="C91" s="25" t="s">
        <v>1456</v>
      </c>
      <c r="D91" s="23" t="s">
        <v>1283</v>
      </c>
      <c r="E91" s="55">
        <v>46125</v>
      </c>
      <c r="F91" s="26" t="s">
        <v>948</v>
      </c>
      <c r="G91" s="26" t="s">
        <v>58</v>
      </c>
      <c r="H91" s="26" t="s">
        <v>56</v>
      </c>
      <c r="I91" s="26" t="s">
        <v>1284</v>
      </c>
      <c r="J91" s="26" t="s">
        <v>58</v>
      </c>
      <c r="K91" s="27"/>
      <c r="L91" s="28" t="s">
        <v>56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4.25" customHeight="1" x14ac:dyDescent="0.3">
      <c r="A92" s="42">
        <v>88</v>
      </c>
      <c r="B92" s="43" t="s">
        <v>1457</v>
      </c>
      <c r="C92" s="44" t="s">
        <v>1458</v>
      </c>
      <c r="D92" s="42" t="s">
        <v>1283</v>
      </c>
      <c r="E92" s="55">
        <v>46125</v>
      </c>
      <c r="F92" s="26" t="s">
        <v>948</v>
      </c>
      <c r="G92" s="26" t="s">
        <v>58</v>
      </c>
      <c r="H92" s="26" t="s">
        <v>56</v>
      </c>
      <c r="I92" s="26" t="s">
        <v>1284</v>
      </c>
      <c r="J92" s="26" t="s">
        <v>58</v>
      </c>
      <c r="K92" s="27"/>
      <c r="L92" s="28" t="s">
        <v>56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4.25" customHeight="1" x14ac:dyDescent="0.3">
      <c r="A93" s="23">
        <v>89</v>
      </c>
      <c r="B93" s="24" t="s">
        <v>1459</v>
      </c>
      <c r="C93" s="25" t="s">
        <v>1460</v>
      </c>
      <c r="D93" s="23" t="s">
        <v>1283</v>
      </c>
      <c r="E93" s="55">
        <v>46125</v>
      </c>
      <c r="F93" s="26" t="s">
        <v>948</v>
      </c>
      <c r="G93" s="26" t="s">
        <v>58</v>
      </c>
      <c r="H93" s="26" t="s">
        <v>56</v>
      </c>
      <c r="I93" s="26" t="s">
        <v>1284</v>
      </c>
      <c r="J93" s="26" t="s">
        <v>58</v>
      </c>
      <c r="K93" s="27"/>
      <c r="L93" s="28" t="s">
        <v>56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4.25" customHeight="1" x14ac:dyDescent="0.3">
      <c r="A94" s="42">
        <v>90</v>
      </c>
      <c r="B94" s="43" t="s">
        <v>1461</v>
      </c>
      <c r="C94" s="44" t="s">
        <v>1462</v>
      </c>
      <c r="D94" s="42" t="s">
        <v>1283</v>
      </c>
      <c r="E94" s="55">
        <v>46125</v>
      </c>
      <c r="F94" s="26" t="s">
        <v>948</v>
      </c>
      <c r="G94" s="26" t="s">
        <v>58</v>
      </c>
      <c r="H94" s="26" t="s">
        <v>56</v>
      </c>
      <c r="I94" s="26" t="s">
        <v>1284</v>
      </c>
      <c r="J94" s="26" t="s">
        <v>58</v>
      </c>
      <c r="K94" s="27"/>
      <c r="L94" s="28" t="s">
        <v>56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4.25" customHeight="1" x14ac:dyDescent="0.3">
      <c r="A95" s="23">
        <v>91</v>
      </c>
      <c r="B95" s="24" t="s">
        <v>1463</v>
      </c>
      <c r="C95" s="25" t="s">
        <v>1464</v>
      </c>
      <c r="D95" s="23" t="s">
        <v>1283</v>
      </c>
      <c r="E95" s="55">
        <v>46125</v>
      </c>
      <c r="F95" s="26" t="s">
        <v>948</v>
      </c>
      <c r="G95" s="26" t="s">
        <v>58</v>
      </c>
      <c r="H95" s="26" t="s">
        <v>56</v>
      </c>
      <c r="I95" s="26" t="s">
        <v>1284</v>
      </c>
      <c r="J95" s="26" t="s">
        <v>58</v>
      </c>
      <c r="K95" s="27"/>
      <c r="L95" s="28" t="s">
        <v>56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4.25" customHeight="1" x14ac:dyDescent="0.3">
      <c r="A96" s="42">
        <v>92</v>
      </c>
      <c r="B96" s="43" t="s">
        <v>1465</v>
      </c>
      <c r="C96" s="44" t="s">
        <v>1466</v>
      </c>
      <c r="D96" s="42" t="s">
        <v>1283</v>
      </c>
      <c r="E96" s="55">
        <v>46125</v>
      </c>
      <c r="F96" s="26" t="s">
        <v>948</v>
      </c>
      <c r="G96" s="26" t="s">
        <v>58</v>
      </c>
      <c r="H96" s="26" t="s">
        <v>56</v>
      </c>
      <c r="I96" s="26" t="s">
        <v>1284</v>
      </c>
      <c r="J96" s="26" t="s">
        <v>58</v>
      </c>
      <c r="K96" s="27"/>
      <c r="L96" s="28" t="s">
        <v>56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4.25" customHeight="1" x14ac:dyDescent="0.3">
      <c r="A97" s="23">
        <v>93</v>
      </c>
      <c r="B97" s="24" t="s">
        <v>1467</v>
      </c>
      <c r="C97" s="25" t="s">
        <v>1468</v>
      </c>
      <c r="D97" s="23" t="s">
        <v>1283</v>
      </c>
      <c r="E97" s="55">
        <v>46125</v>
      </c>
      <c r="F97" s="26" t="s">
        <v>948</v>
      </c>
      <c r="G97" s="26" t="s">
        <v>58</v>
      </c>
      <c r="H97" s="26" t="s">
        <v>56</v>
      </c>
      <c r="I97" s="26" t="s">
        <v>1284</v>
      </c>
      <c r="J97" s="26" t="s">
        <v>58</v>
      </c>
      <c r="K97" s="27"/>
      <c r="L97" s="28" t="s">
        <v>56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4.25" customHeight="1" x14ac:dyDescent="0.3">
      <c r="A98" s="42">
        <v>94</v>
      </c>
      <c r="B98" s="43" t="s">
        <v>1469</v>
      </c>
      <c r="C98" s="44" t="s">
        <v>1470</v>
      </c>
      <c r="D98" s="42" t="s">
        <v>1283</v>
      </c>
      <c r="E98" s="55">
        <v>46125</v>
      </c>
      <c r="F98" s="26" t="s">
        <v>948</v>
      </c>
      <c r="G98" s="26" t="s">
        <v>58</v>
      </c>
      <c r="H98" s="26" t="s">
        <v>56</v>
      </c>
      <c r="I98" s="26" t="s">
        <v>1284</v>
      </c>
      <c r="J98" s="26" t="s">
        <v>58</v>
      </c>
      <c r="K98" s="27"/>
      <c r="L98" s="28" t="s">
        <v>56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4.25" customHeight="1" x14ac:dyDescent="0.3">
      <c r="A99" s="23">
        <v>95</v>
      </c>
      <c r="B99" s="24" t="s">
        <v>1471</v>
      </c>
      <c r="C99" s="25" t="s">
        <v>1472</v>
      </c>
      <c r="D99" s="23" t="s">
        <v>1283</v>
      </c>
      <c r="E99" s="55">
        <v>46125</v>
      </c>
      <c r="F99" s="26" t="s">
        <v>948</v>
      </c>
      <c r="G99" s="26" t="s">
        <v>58</v>
      </c>
      <c r="H99" s="26" t="s">
        <v>56</v>
      </c>
      <c r="I99" s="26" t="s">
        <v>1284</v>
      </c>
      <c r="J99" s="26" t="s">
        <v>58</v>
      </c>
      <c r="K99" s="27"/>
      <c r="L99" s="28" t="s">
        <v>56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4.25" customHeight="1" x14ac:dyDescent="0.3">
      <c r="A100" s="42">
        <v>96</v>
      </c>
      <c r="B100" s="43" t="s">
        <v>1473</v>
      </c>
      <c r="C100" s="44" t="s">
        <v>1474</v>
      </c>
      <c r="D100" s="42" t="s">
        <v>1283</v>
      </c>
      <c r="E100" s="55">
        <v>46125</v>
      </c>
      <c r="F100" s="26" t="s">
        <v>948</v>
      </c>
      <c r="G100" s="26" t="s">
        <v>58</v>
      </c>
      <c r="H100" s="26" t="s">
        <v>56</v>
      </c>
      <c r="I100" s="26" t="s">
        <v>1284</v>
      </c>
      <c r="J100" s="26" t="s">
        <v>58</v>
      </c>
      <c r="K100" s="27"/>
      <c r="L100" s="28" t="s">
        <v>56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4.25" customHeight="1" x14ac:dyDescent="0.3">
      <c r="A101" s="23">
        <v>97</v>
      </c>
      <c r="B101" s="24" t="s">
        <v>1475</v>
      </c>
      <c r="C101" s="25" t="s">
        <v>1476</v>
      </c>
      <c r="D101" s="23" t="s">
        <v>1283</v>
      </c>
      <c r="E101" s="55">
        <v>46125</v>
      </c>
      <c r="F101" s="26" t="s">
        <v>948</v>
      </c>
      <c r="G101" s="26" t="s">
        <v>58</v>
      </c>
      <c r="H101" s="26" t="s">
        <v>56</v>
      </c>
      <c r="I101" s="26" t="s">
        <v>1284</v>
      </c>
      <c r="J101" s="26" t="s">
        <v>58</v>
      </c>
      <c r="K101" s="27"/>
      <c r="L101" s="28" t="s">
        <v>56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4.25" customHeight="1" x14ac:dyDescent="0.3">
      <c r="A102" s="42">
        <v>98</v>
      </c>
      <c r="B102" s="43" t="s">
        <v>1477</v>
      </c>
      <c r="C102" s="44" t="s">
        <v>1478</v>
      </c>
      <c r="D102" s="42" t="s">
        <v>1283</v>
      </c>
      <c r="E102" s="55">
        <v>46125</v>
      </c>
      <c r="F102" s="26" t="s">
        <v>948</v>
      </c>
      <c r="G102" s="26" t="s">
        <v>58</v>
      </c>
      <c r="H102" s="26" t="s">
        <v>56</v>
      </c>
      <c r="I102" s="26" t="s">
        <v>1284</v>
      </c>
      <c r="J102" s="26" t="s">
        <v>58</v>
      </c>
      <c r="K102" s="27"/>
      <c r="L102" s="28" t="s">
        <v>56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4.25" customHeight="1" x14ac:dyDescent="0.3">
      <c r="A103" s="23">
        <v>99</v>
      </c>
      <c r="B103" s="24" t="s">
        <v>1479</v>
      </c>
      <c r="C103" s="25" t="s">
        <v>1480</v>
      </c>
      <c r="D103" s="23" t="s">
        <v>1283</v>
      </c>
      <c r="E103" s="55">
        <v>46125</v>
      </c>
      <c r="F103" s="26" t="s">
        <v>948</v>
      </c>
      <c r="G103" s="26" t="s">
        <v>58</v>
      </c>
      <c r="H103" s="26" t="s">
        <v>56</v>
      </c>
      <c r="I103" s="26" t="s">
        <v>1284</v>
      </c>
      <c r="J103" s="26" t="s">
        <v>58</v>
      </c>
      <c r="K103" s="27"/>
      <c r="L103" s="28" t="s">
        <v>56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4.25" customHeight="1" x14ac:dyDescent="0.3">
      <c r="A104" s="42">
        <v>100</v>
      </c>
      <c r="B104" s="43" t="s">
        <v>1481</v>
      </c>
      <c r="C104" s="44" t="s">
        <v>1482</v>
      </c>
      <c r="D104" s="42" t="s">
        <v>1283</v>
      </c>
      <c r="E104" s="55">
        <v>46125</v>
      </c>
      <c r="F104" s="26" t="s">
        <v>948</v>
      </c>
      <c r="G104" s="26" t="s">
        <v>58</v>
      </c>
      <c r="H104" s="26" t="s">
        <v>56</v>
      </c>
      <c r="I104" s="26" t="s">
        <v>1284</v>
      </c>
      <c r="J104" s="26" t="s">
        <v>58</v>
      </c>
      <c r="K104" s="27"/>
      <c r="L104" s="28" t="s">
        <v>56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4.25" customHeight="1" x14ac:dyDescent="0.3">
      <c r="A105" s="23">
        <v>101</v>
      </c>
      <c r="B105" s="24" t="s">
        <v>1483</v>
      </c>
      <c r="C105" s="25" t="s">
        <v>1484</v>
      </c>
      <c r="D105" s="23" t="s">
        <v>1283</v>
      </c>
      <c r="E105" s="55">
        <v>46125</v>
      </c>
      <c r="F105" s="26" t="s">
        <v>948</v>
      </c>
      <c r="G105" s="26" t="s">
        <v>58</v>
      </c>
      <c r="H105" s="26" t="s">
        <v>56</v>
      </c>
      <c r="I105" s="26" t="s">
        <v>1284</v>
      </c>
      <c r="J105" s="26" t="s">
        <v>58</v>
      </c>
      <c r="K105" s="27"/>
      <c r="L105" s="28" t="s">
        <v>56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4.25" customHeight="1" x14ac:dyDescent="0.3">
      <c r="A106" s="42">
        <v>102</v>
      </c>
      <c r="B106" s="43" t="s">
        <v>1485</v>
      </c>
      <c r="C106" s="44" t="s">
        <v>1486</v>
      </c>
      <c r="D106" s="42" t="s">
        <v>1283</v>
      </c>
      <c r="E106" s="55">
        <v>46125</v>
      </c>
      <c r="F106" s="26" t="s">
        <v>948</v>
      </c>
      <c r="G106" s="26" t="s">
        <v>58</v>
      </c>
      <c r="H106" s="26" t="s">
        <v>56</v>
      </c>
      <c r="I106" s="26" t="s">
        <v>1284</v>
      </c>
      <c r="J106" s="26" t="s">
        <v>58</v>
      </c>
      <c r="K106" s="27"/>
      <c r="L106" s="28" t="s">
        <v>56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4.25" customHeight="1" x14ac:dyDescent="0.3">
      <c r="A107" s="23">
        <v>103</v>
      </c>
      <c r="B107" s="24" t="s">
        <v>1487</v>
      </c>
      <c r="C107" s="25" t="s">
        <v>1488</v>
      </c>
      <c r="D107" s="23" t="s">
        <v>1283</v>
      </c>
      <c r="E107" s="55">
        <v>46125</v>
      </c>
      <c r="F107" s="26" t="s">
        <v>948</v>
      </c>
      <c r="G107" s="26" t="s">
        <v>58</v>
      </c>
      <c r="H107" s="26" t="s">
        <v>56</v>
      </c>
      <c r="I107" s="26" t="s">
        <v>1284</v>
      </c>
      <c r="J107" s="26" t="s">
        <v>58</v>
      </c>
      <c r="K107" s="27"/>
      <c r="L107" s="28" t="s">
        <v>56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4.25" customHeight="1" x14ac:dyDescent="0.3">
      <c r="A108" s="42">
        <v>104</v>
      </c>
      <c r="B108" s="43" t="s">
        <v>1489</v>
      </c>
      <c r="C108" s="44" t="s">
        <v>1490</v>
      </c>
      <c r="D108" s="42" t="s">
        <v>1283</v>
      </c>
      <c r="E108" s="55">
        <v>46125</v>
      </c>
      <c r="F108" s="26" t="s">
        <v>948</v>
      </c>
      <c r="G108" s="26" t="s">
        <v>58</v>
      </c>
      <c r="H108" s="26" t="s">
        <v>56</v>
      </c>
      <c r="I108" s="26" t="s">
        <v>1284</v>
      </c>
      <c r="J108" s="26" t="s">
        <v>58</v>
      </c>
      <c r="K108" s="27"/>
      <c r="L108" s="28" t="s">
        <v>56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4.25" customHeight="1" x14ac:dyDescent="0.3">
      <c r="A109" s="23">
        <v>105</v>
      </c>
      <c r="B109" s="24" t="s">
        <v>1491</v>
      </c>
      <c r="C109" s="25" t="s">
        <v>1492</v>
      </c>
      <c r="D109" s="23" t="s">
        <v>1283</v>
      </c>
      <c r="E109" s="55">
        <v>46125</v>
      </c>
      <c r="F109" s="26" t="s">
        <v>948</v>
      </c>
      <c r="G109" s="26" t="s">
        <v>58</v>
      </c>
      <c r="H109" s="26" t="s">
        <v>56</v>
      </c>
      <c r="I109" s="26" t="s">
        <v>1284</v>
      </c>
      <c r="J109" s="26" t="s">
        <v>58</v>
      </c>
      <c r="K109" s="27"/>
      <c r="L109" s="28" t="s">
        <v>56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4.25" customHeight="1" x14ac:dyDescent="0.3">
      <c r="A110" s="42">
        <v>106</v>
      </c>
      <c r="B110" s="43" t="s">
        <v>1493</v>
      </c>
      <c r="C110" s="44" t="s">
        <v>1494</v>
      </c>
      <c r="D110" s="42" t="s">
        <v>1283</v>
      </c>
      <c r="E110" s="55">
        <v>46125</v>
      </c>
      <c r="F110" s="26" t="s">
        <v>948</v>
      </c>
      <c r="G110" s="26" t="s">
        <v>58</v>
      </c>
      <c r="H110" s="26" t="s">
        <v>56</v>
      </c>
      <c r="I110" s="26" t="s">
        <v>1284</v>
      </c>
      <c r="J110" s="26" t="s">
        <v>58</v>
      </c>
      <c r="K110" s="27"/>
      <c r="L110" s="28" t="s">
        <v>56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4.25" customHeight="1" x14ac:dyDescent="0.3">
      <c r="A111" s="23">
        <v>107</v>
      </c>
      <c r="B111" s="24" t="s">
        <v>1495</v>
      </c>
      <c r="C111" s="25" t="s">
        <v>1496</v>
      </c>
      <c r="D111" s="23" t="s">
        <v>1283</v>
      </c>
      <c r="E111" s="55">
        <v>46125</v>
      </c>
      <c r="F111" s="26" t="s">
        <v>948</v>
      </c>
      <c r="G111" s="26" t="s">
        <v>58</v>
      </c>
      <c r="H111" s="26" t="s">
        <v>56</v>
      </c>
      <c r="I111" s="26" t="s">
        <v>1284</v>
      </c>
      <c r="J111" s="26" t="s">
        <v>58</v>
      </c>
      <c r="K111" s="27"/>
      <c r="L111" s="28" t="s">
        <v>56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4.25" customHeight="1" x14ac:dyDescent="0.3">
      <c r="A112" s="42">
        <v>108</v>
      </c>
      <c r="B112" s="43" t="s">
        <v>1497</v>
      </c>
      <c r="C112" s="44" t="s">
        <v>1498</v>
      </c>
      <c r="D112" s="42" t="s">
        <v>1283</v>
      </c>
      <c r="E112" s="55">
        <v>46125</v>
      </c>
      <c r="F112" s="26" t="s">
        <v>948</v>
      </c>
      <c r="G112" s="26" t="s">
        <v>58</v>
      </c>
      <c r="H112" s="26" t="s">
        <v>56</v>
      </c>
      <c r="I112" s="26" t="s">
        <v>1284</v>
      </c>
      <c r="J112" s="26" t="s">
        <v>58</v>
      </c>
      <c r="K112" s="27"/>
      <c r="L112" s="28" t="s">
        <v>56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4.25" customHeight="1" x14ac:dyDescent="0.3">
      <c r="A113" s="23">
        <v>109</v>
      </c>
      <c r="B113" s="24" t="s">
        <v>1499</v>
      </c>
      <c r="C113" s="25" t="s">
        <v>1500</v>
      </c>
      <c r="D113" s="23" t="s">
        <v>1283</v>
      </c>
      <c r="E113" s="55">
        <v>46125</v>
      </c>
      <c r="F113" s="26" t="s">
        <v>948</v>
      </c>
      <c r="G113" s="26" t="s">
        <v>58</v>
      </c>
      <c r="H113" s="26" t="s">
        <v>56</v>
      </c>
      <c r="I113" s="26" t="s">
        <v>1284</v>
      </c>
      <c r="J113" s="26" t="s">
        <v>58</v>
      </c>
      <c r="K113" s="27"/>
      <c r="L113" s="28" t="s">
        <v>56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4.25" customHeight="1" x14ac:dyDescent="0.3">
      <c r="A114" s="42">
        <v>110</v>
      </c>
      <c r="B114" s="43" t="s">
        <v>1501</v>
      </c>
      <c r="C114" s="44" t="s">
        <v>1502</v>
      </c>
      <c r="D114" s="42" t="s">
        <v>1283</v>
      </c>
      <c r="E114" s="55">
        <v>46125</v>
      </c>
      <c r="F114" s="26" t="s">
        <v>948</v>
      </c>
      <c r="G114" s="26" t="s">
        <v>58</v>
      </c>
      <c r="H114" s="26" t="s">
        <v>56</v>
      </c>
      <c r="I114" s="26" t="s">
        <v>1284</v>
      </c>
      <c r="J114" s="26" t="s">
        <v>58</v>
      </c>
      <c r="K114" s="27"/>
      <c r="L114" s="28" t="s">
        <v>56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4.25" customHeight="1" x14ac:dyDescent="0.3">
      <c r="A115" s="23">
        <v>111</v>
      </c>
      <c r="B115" s="24" t="s">
        <v>1503</v>
      </c>
      <c r="C115" s="25" t="s">
        <v>1504</v>
      </c>
      <c r="D115" s="23" t="s">
        <v>1283</v>
      </c>
      <c r="E115" s="55">
        <v>46125</v>
      </c>
      <c r="F115" s="26" t="s">
        <v>948</v>
      </c>
      <c r="G115" s="26" t="s">
        <v>58</v>
      </c>
      <c r="H115" s="26" t="s">
        <v>56</v>
      </c>
      <c r="I115" s="26" t="s">
        <v>1284</v>
      </c>
      <c r="J115" s="26" t="s">
        <v>58</v>
      </c>
      <c r="K115" s="27"/>
      <c r="L115" s="28" t="s">
        <v>56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4.25" customHeight="1" x14ac:dyDescent="0.3">
      <c r="A116" s="42">
        <v>112</v>
      </c>
      <c r="B116" s="43" t="s">
        <v>1505</v>
      </c>
      <c r="C116" s="44" t="s">
        <v>1506</v>
      </c>
      <c r="D116" s="42" t="s">
        <v>1283</v>
      </c>
      <c r="E116" s="55">
        <v>46125</v>
      </c>
      <c r="F116" s="26" t="s">
        <v>948</v>
      </c>
      <c r="G116" s="26" t="s">
        <v>58</v>
      </c>
      <c r="H116" s="26" t="s">
        <v>56</v>
      </c>
      <c r="I116" s="26" t="s">
        <v>1284</v>
      </c>
      <c r="J116" s="26" t="s">
        <v>58</v>
      </c>
      <c r="K116" s="27"/>
      <c r="L116" s="28" t="s">
        <v>56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4.25" customHeight="1" x14ac:dyDescent="0.3">
      <c r="A117" s="23">
        <v>113</v>
      </c>
      <c r="B117" s="24" t="s">
        <v>1507</v>
      </c>
      <c r="C117" s="25" t="s">
        <v>1508</v>
      </c>
      <c r="D117" s="23" t="s">
        <v>1283</v>
      </c>
      <c r="E117" s="55">
        <v>46125</v>
      </c>
      <c r="F117" s="26" t="s">
        <v>948</v>
      </c>
      <c r="G117" s="26" t="s">
        <v>58</v>
      </c>
      <c r="H117" s="26" t="s">
        <v>56</v>
      </c>
      <c r="I117" s="26" t="s">
        <v>1284</v>
      </c>
      <c r="J117" s="26" t="s">
        <v>58</v>
      </c>
      <c r="K117" s="27"/>
      <c r="L117" s="28" t="s">
        <v>56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4.25" customHeight="1" x14ac:dyDescent="0.3">
      <c r="A118" s="42">
        <v>114</v>
      </c>
      <c r="B118" s="43" t="s">
        <v>1509</v>
      </c>
      <c r="C118" s="44" t="s">
        <v>1510</v>
      </c>
      <c r="D118" s="42" t="s">
        <v>1283</v>
      </c>
      <c r="E118" s="55">
        <v>46125</v>
      </c>
      <c r="F118" s="26" t="s">
        <v>948</v>
      </c>
      <c r="G118" s="26" t="s">
        <v>58</v>
      </c>
      <c r="H118" s="26" t="s">
        <v>56</v>
      </c>
      <c r="I118" s="26" t="s">
        <v>1284</v>
      </c>
      <c r="J118" s="26" t="s">
        <v>58</v>
      </c>
      <c r="K118" s="27"/>
      <c r="L118" s="28" t="s">
        <v>56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4.25" customHeight="1" x14ac:dyDescent="0.3">
      <c r="A119" s="23">
        <v>115</v>
      </c>
      <c r="B119" s="24" t="s">
        <v>1511</v>
      </c>
      <c r="C119" s="25" t="s">
        <v>1512</v>
      </c>
      <c r="D119" s="23" t="s">
        <v>1283</v>
      </c>
      <c r="E119" s="55">
        <v>46125</v>
      </c>
      <c r="F119" s="26" t="s">
        <v>948</v>
      </c>
      <c r="G119" s="26" t="s">
        <v>58</v>
      </c>
      <c r="H119" s="26" t="s">
        <v>56</v>
      </c>
      <c r="I119" s="26" t="s">
        <v>1284</v>
      </c>
      <c r="J119" s="26" t="s">
        <v>58</v>
      </c>
      <c r="K119" s="27"/>
      <c r="L119" s="28" t="s">
        <v>56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4.25" customHeight="1" x14ac:dyDescent="0.3">
      <c r="A120" s="42">
        <v>116</v>
      </c>
      <c r="B120" s="43" t="s">
        <v>1513</v>
      </c>
      <c r="C120" s="44" t="s">
        <v>1514</v>
      </c>
      <c r="D120" s="42" t="s">
        <v>1283</v>
      </c>
      <c r="E120" s="55">
        <v>46125</v>
      </c>
      <c r="F120" s="26" t="s">
        <v>948</v>
      </c>
      <c r="G120" s="26" t="s">
        <v>58</v>
      </c>
      <c r="H120" s="26" t="s">
        <v>56</v>
      </c>
      <c r="I120" s="26" t="s">
        <v>1284</v>
      </c>
      <c r="J120" s="26" t="s">
        <v>58</v>
      </c>
      <c r="K120" s="27"/>
      <c r="L120" s="28" t="s">
        <v>56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4.25" customHeight="1" x14ac:dyDescent="0.3">
      <c r="A121" s="23">
        <v>117</v>
      </c>
      <c r="B121" s="24" t="s">
        <v>1515</v>
      </c>
      <c r="C121" s="25" t="s">
        <v>1516</v>
      </c>
      <c r="D121" s="23" t="s">
        <v>1283</v>
      </c>
      <c r="E121" s="55">
        <v>46125</v>
      </c>
      <c r="F121" s="26" t="s">
        <v>948</v>
      </c>
      <c r="G121" s="26" t="s">
        <v>58</v>
      </c>
      <c r="H121" s="26" t="s">
        <v>56</v>
      </c>
      <c r="I121" s="26" t="s">
        <v>1284</v>
      </c>
      <c r="J121" s="26" t="s">
        <v>58</v>
      </c>
      <c r="K121" s="27"/>
      <c r="L121" s="28" t="s">
        <v>56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4.25" customHeight="1" x14ac:dyDescent="0.3">
      <c r="A122" s="42">
        <v>118</v>
      </c>
      <c r="B122" s="43" t="s">
        <v>1517</v>
      </c>
      <c r="C122" s="44" t="s">
        <v>1518</v>
      </c>
      <c r="D122" s="42" t="s">
        <v>1283</v>
      </c>
      <c r="E122" s="55">
        <v>46125</v>
      </c>
      <c r="F122" s="26" t="s">
        <v>948</v>
      </c>
      <c r="G122" s="26" t="s">
        <v>58</v>
      </c>
      <c r="H122" s="26" t="s">
        <v>56</v>
      </c>
      <c r="I122" s="26" t="s">
        <v>1284</v>
      </c>
      <c r="J122" s="26" t="s">
        <v>58</v>
      </c>
      <c r="K122" s="27"/>
      <c r="L122" s="28" t="s">
        <v>56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4.25" customHeight="1" x14ac:dyDescent="0.3">
      <c r="A123" s="23">
        <v>119</v>
      </c>
      <c r="B123" s="24" t="s">
        <v>1519</v>
      </c>
      <c r="C123" s="25" t="s">
        <v>1520</v>
      </c>
      <c r="D123" s="23" t="s">
        <v>1283</v>
      </c>
      <c r="E123" s="55">
        <v>46125</v>
      </c>
      <c r="F123" s="26" t="s">
        <v>948</v>
      </c>
      <c r="G123" s="26" t="s">
        <v>58</v>
      </c>
      <c r="H123" s="26" t="s">
        <v>56</v>
      </c>
      <c r="I123" s="26" t="s">
        <v>1284</v>
      </c>
      <c r="J123" s="26" t="s">
        <v>58</v>
      </c>
      <c r="K123" s="27"/>
      <c r="L123" s="28" t="s">
        <v>56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4.25" customHeight="1" x14ac:dyDescent="0.3">
      <c r="A124" s="42">
        <v>120</v>
      </c>
      <c r="B124" s="43" t="s">
        <v>1521</v>
      </c>
      <c r="C124" s="44" t="s">
        <v>1522</v>
      </c>
      <c r="D124" s="42" t="s">
        <v>1283</v>
      </c>
      <c r="E124" s="55">
        <v>46125</v>
      </c>
      <c r="F124" s="26" t="s">
        <v>948</v>
      </c>
      <c r="G124" s="26" t="s">
        <v>58</v>
      </c>
      <c r="H124" s="26" t="s">
        <v>56</v>
      </c>
      <c r="I124" s="26" t="s">
        <v>1284</v>
      </c>
      <c r="J124" s="26" t="s">
        <v>58</v>
      </c>
      <c r="K124" s="27"/>
      <c r="L124" s="28" t="s">
        <v>56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4.25" customHeight="1" x14ac:dyDescent="0.3">
      <c r="A125" s="23">
        <v>121</v>
      </c>
      <c r="B125" s="24" t="s">
        <v>1523</v>
      </c>
      <c r="C125" s="25" t="s">
        <v>1524</v>
      </c>
      <c r="D125" s="23" t="s">
        <v>1283</v>
      </c>
      <c r="E125" s="55">
        <v>46125</v>
      </c>
      <c r="F125" s="26" t="s">
        <v>948</v>
      </c>
      <c r="G125" s="26" t="s">
        <v>58</v>
      </c>
      <c r="H125" s="26" t="s">
        <v>56</v>
      </c>
      <c r="I125" s="26" t="s">
        <v>1284</v>
      </c>
      <c r="J125" s="26" t="s">
        <v>58</v>
      </c>
      <c r="K125" s="27"/>
      <c r="L125" s="28" t="s">
        <v>56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4.25" customHeight="1" x14ac:dyDescent="0.3">
      <c r="A126" s="42">
        <v>122</v>
      </c>
      <c r="B126" s="43" t="s">
        <v>1525</v>
      </c>
      <c r="C126" s="44" t="s">
        <v>1526</v>
      </c>
      <c r="D126" s="42" t="s">
        <v>1283</v>
      </c>
      <c r="E126" s="55">
        <v>46125</v>
      </c>
      <c r="F126" s="26" t="s">
        <v>948</v>
      </c>
      <c r="G126" s="26" t="s">
        <v>58</v>
      </c>
      <c r="H126" s="26" t="s">
        <v>56</v>
      </c>
      <c r="I126" s="26" t="s">
        <v>1284</v>
      </c>
      <c r="J126" s="26" t="s">
        <v>58</v>
      </c>
      <c r="K126" s="27"/>
      <c r="L126" s="28" t="s">
        <v>56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4.25" customHeight="1" x14ac:dyDescent="0.3">
      <c r="A127" s="23">
        <v>123</v>
      </c>
      <c r="B127" s="24" t="s">
        <v>1527</v>
      </c>
      <c r="C127" s="25" t="s">
        <v>1528</v>
      </c>
      <c r="D127" s="23" t="s">
        <v>1283</v>
      </c>
      <c r="E127" s="55">
        <v>46125</v>
      </c>
      <c r="F127" s="26" t="s">
        <v>948</v>
      </c>
      <c r="G127" s="26" t="s">
        <v>58</v>
      </c>
      <c r="H127" s="26" t="s">
        <v>56</v>
      </c>
      <c r="I127" s="26" t="s">
        <v>1284</v>
      </c>
      <c r="J127" s="26" t="s">
        <v>58</v>
      </c>
      <c r="K127" s="27"/>
      <c r="L127" s="28" t="s">
        <v>56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4.25" customHeight="1" x14ac:dyDescent="0.3">
      <c r="A128" s="42">
        <v>124</v>
      </c>
      <c r="B128" s="43" t="s">
        <v>1529</v>
      </c>
      <c r="C128" s="44" t="s">
        <v>1530</v>
      </c>
      <c r="D128" s="42" t="s">
        <v>1283</v>
      </c>
      <c r="E128" s="55">
        <v>46125</v>
      </c>
      <c r="F128" s="26" t="s">
        <v>948</v>
      </c>
      <c r="G128" s="26" t="s">
        <v>58</v>
      </c>
      <c r="H128" s="26" t="s">
        <v>56</v>
      </c>
      <c r="I128" s="26" t="s">
        <v>1284</v>
      </c>
      <c r="J128" s="26" t="s">
        <v>58</v>
      </c>
      <c r="K128" s="27"/>
      <c r="L128" s="28" t="s">
        <v>56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4.25" customHeight="1" x14ac:dyDescent="0.3">
      <c r="A129" s="23">
        <v>125</v>
      </c>
      <c r="B129" s="24" t="s">
        <v>1531</v>
      </c>
      <c r="C129" s="25" t="s">
        <v>1532</v>
      </c>
      <c r="D129" s="23" t="s">
        <v>1283</v>
      </c>
      <c r="E129" s="55">
        <v>46125</v>
      </c>
      <c r="F129" s="26" t="s">
        <v>948</v>
      </c>
      <c r="G129" s="26" t="s">
        <v>58</v>
      </c>
      <c r="H129" s="26" t="s">
        <v>56</v>
      </c>
      <c r="I129" s="26" t="s">
        <v>1284</v>
      </c>
      <c r="J129" s="26" t="s">
        <v>58</v>
      </c>
      <c r="K129" s="27"/>
      <c r="L129" s="28" t="s">
        <v>56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4.25" customHeight="1" x14ac:dyDescent="0.3">
      <c r="A130" s="42">
        <v>126</v>
      </c>
      <c r="B130" s="43" t="s">
        <v>1533</v>
      </c>
      <c r="C130" s="44" t="s">
        <v>1534</v>
      </c>
      <c r="D130" s="42" t="s">
        <v>1283</v>
      </c>
      <c r="E130" s="55">
        <v>46125</v>
      </c>
      <c r="F130" s="26" t="s">
        <v>948</v>
      </c>
      <c r="G130" s="26" t="s">
        <v>58</v>
      </c>
      <c r="H130" s="26" t="s">
        <v>56</v>
      </c>
      <c r="I130" s="26" t="s">
        <v>1284</v>
      </c>
      <c r="J130" s="26" t="s">
        <v>58</v>
      </c>
      <c r="K130" s="27"/>
      <c r="L130" s="28" t="s">
        <v>56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4.25" customHeight="1" x14ac:dyDescent="0.3">
      <c r="A131" s="23">
        <v>127</v>
      </c>
      <c r="B131" s="24" t="s">
        <v>1535</v>
      </c>
      <c r="C131" s="25" t="s">
        <v>1536</v>
      </c>
      <c r="D131" s="23" t="s">
        <v>1283</v>
      </c>
      <c r="E131" s="55">
        <v>46125</v>
      </c>
      <c r="F131" s="26" t="s">
        <v>948</v>
      </c>
      <c r="G131" s="26" t="s">
        <v>58</v>
      </c>
      <c r="H131" s="26" t="s">
        <v>56</v>
      </c>
      <c r="I131" s="26" t="s">
        <v>1284</v>
      </c>
      <c r="J131" s="26" t="s">
        <v>58</v>
      </c>
      <c r="K131" s="27"/>
      <c r="L131" s="28" t="s">
        <v>56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4.25" customHeight="1" x14ac:dyDescent="0.3">
      <c r="A132" s="42">
        <v>128</v>
      </c>
      <c r="B132" s="43" t="s">
        <v>1537</v>
      </c>
      <c r="C132" s="44" t="s">
        <v>1538</v>
      </c>
      <c r="D132" s="42" t="s">
        <v>1283</v>
      </c>
      <c r="E132" s="55">
        <v>46125</v>
      </c>
      <c r="F132" s="26" t="s">
        <v>948</v>
      </c>
      <c r="G132" s="26" t="s">
        <v>58</v>
      </c>
      <c r="H132" s="26" t="s">
        <v>56</v>
      </c>
      <c r="I132" s="26" t="s">
        <v>1284</v>
      </c>
      <c r="J132" s="26" t="s">
        <v>58</v>
      </c>
      <c r="K132" s="27"/>
      <c r="L132" s="28" t="s">
        <v>56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4.25" customHeight="1" x14ac:dyDescent="0.3">
      <c r="A133" s="23">
        <v>129</v>
      </c>
      <c r="B133" s="24" t="s">
        <v>1539</v>
      </c>
      <c r="C133" s="25" t="s">
        <v>1540</v>
      </c>
      <c r="D133" s="23" t="s">
        <v>1283</v>
      </c>
      <c r="E133" s="55">
        <v>46125</v>
      </c>
      <c r="F133" s="26" t="s">
        <v>948</v>
      </c>
      <c r="G133" s="26" t="s">
        <v>58</v>
      </c>
      <c r="H133" s="26" t="s">
        <v>56</v>
      </c>
      <c r="I133" s="26" t="s">
        <v>1284</v>
      </c>
      <c r="J133" s="26" t="s">
        <v>58</v>
      </c>
      <c r="K133" s="27"/>
      <c r="L133" s="28" t="s">
        <v>56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42">
        <v>130</v>
      </c>
      <c r="B134" s="43" t="s">
        <v>1541</v>
      </c>
      <c r="C134" s="44" t="s">
        <v>1542</v>
      </c>
      <c r="D134" s="42" t="s">
        <v>1283</v>
      </c>
      <c r="E134" s="55">
        <v>46125</v>
      </c>
      <c r="F134" s="26" t="s">
        <v>948</v>
      </c>
      <c r="G134" s="26" t="s">
        <v>58</v>
      </c>
      <c r="H134" s="26" t="s">
        <v>56</v>
      </c>
      <c r="I134" s="26" t="s">
        <v>1284</v>
      </c>
      <c r="J134" s="26" t="s">
        <v>58</v>
      </c>
      <c r="K134" s="27"/>
      <c r="L134" s="28" t="s">
        <v>56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4.25" customHeight="1" x14ac:dyDescent="0.3">
      <c r="A135" s="23">
        <v>131</v>
      </c>
      <c r="B135" s="24" t="s">
        <v>1543</v>
      </c>
      <c r="C135" s="25" t="s">
        <v>1544</v>
      </c>
      <c r="D135" s="23" t="s">
        <v>1283</v>
      </c>
      <c r="E135" s="55">
        <v>46125</v>
      </c>
      <c r="F135" s="26" t="s">
        <v>948</v>
      </c>
      <c r="G135" s="26" t="s">
        <v>58</v>
      </c>
      <c r="H135" s="26" t="s">
        <v>56</v>
      </c>
      <c r="I135" s="26" t="s">
        <v>1284</v>
      </c>
      <c r="J135" s="26" t="s">
        <v>58</v>
      </c>
      <c r="K135" s="27"/>
      <c r="L135" s="28" t="s">
        <v>56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4.25" customHeight="1" x14ac:dyDescent="0.3">
      <c r="A136" s="42">
        <v>132</v>
      </c>
      <c r="B136" s="43" t="s">
        <v>1545</v>
      </c>
      <c r="C136" s="44" t="s">
        <v>1546</v>
      </c>
      <c r="D136" s="42" t="s">
        <v>1283</v>
      </c>
      <c r="E136" s="55">
        <v>46125</v>
      </c>
      <c r="F136" s="26" t="s">
        <v>948</v>
      </c>
      <c r="G136" s="26" t="s">
        <v>58</v>
      </c>
      <c r="H136" s="26" t="s">
        <v>56</v>
      </c>
      <c r="I136" s="26" t="s">
        <v>1284</v>
      </c>
      <c r="J136" s="26" t="s">
        <v>58</v>
      </c>
      <c r="K136" s="27"/>
      <c r="L136" s="28" t="s">
        <v>56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4.25" customHeight="1" x14ac:dyDescent="0.3">
      <c r="A137" s="23">
        <v>133</v>
      </c>
      <c r="B137" s="24" t="s">
        <v>1547</v>
      </c>
      <c r="C137" s="25" t="s">
        <v>1548</v>
      </c>
      <c r="D137" s="23" t="s">
        <v>1283</v>
      </c>
      <c r="E137" s="55">
        <v>46125</v>
      </c>
      <c r="F137" s="26" t="s">
        <v>948</v>
      </c>
      <c r="G137" s="26" t="s">
        <v>58</v>
      </c>
      <c r="H137" s="26" t="s">
        <v>56</v>
      </c>
      <c r="I137" s="26" t="s">
        <v>1284</v>
      </c>
      <c r="J137" s="26" t="s">
        <v>58</v>
      </c>
      <c r="K137" s="27"/>
      <c r="L137" s="28" t="s">
        <v>56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4.25" customHeight="1" x14ac:dyDescent="0.3">
      <c r="A138" s="42">
        <v>134</v>
      </c>
      <c r="B138" s="43" t="s">
        <v>1549</v>
      </c>
      <c r="C138" s="44" t="s">
        <v>1550</v>
      </c>
      <c r="D138" s="42" t="s">
        <v>1283</v>
      </c>
      <c r="E138" s="55">
        <v>46125</v>
      </c>
      <c r="F138" s="26" t="s">
        <v>948</v>
      </c>
      <c r="G138" s="26" t="s">
        <v>58</v>
      </c>
      <c r="H138" s="26" t="s">
        <v>56</v>
      </c>
      <c r="I138" s="26" t="s">
        <v>1284</v>
      </c>
      <c r="J138" s="26" t="s">
        <v>58</v>
      </c>
      <c r="K138" s="27"/>
      <c r="L138" s="28" t="s">
        <v>56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4.25" customHeight="1" x14ac:dyDescent="0.3">
      <c r="A139" s="23">
        <v>135</v>
      </c>
      <c r="B139" s="24" t="s">
        <v>1551</v>
      </c>
      <c r="C139" s="25" t="s">
        <v>1552</v>
      </c>
      <c r="D139" s="23" t="s">
        <v>1283</v>
      </c>
      <c r="E139" s="55">
        <v>46125</v>
      </c>
      <c r="F139" s="26" t="s">
        <v>948</v>
      </c>
      <c r="G139" s="26" t="s">
        <v>58</v>
      </c>
      <c r="H139" s="26" t="s">
        <v>56</v>
      </c>
      <c r="I139" s="26" t="s">
        <v>1284</v>
      </c>
      <c r="J139" s="26" t="s">
        <v>58</v>
      </c>
      <c r="K139" s="27"/>
      <c r="L139" s="28" t="s">
        <v>56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4.25" customHeight="1" x14ac:dyDescent="0.3">
      <c r="A140" s="42">
        <v>136</v>
      </c>
      <c r="B140" s="43" t="s">
        <v>1553</v>
      </c>
      <c r="C140" s="44" t="s">
        <v>1554</v>
      </c>
      <c r="D140" s="42" t="s">
        <v>1283</v>
      </c>
      <c r="E140" s="55">
        <v>46125</v>
      </c>
      <c r="F140" s="26" t="s">
        <v>948</v>
      </c>
      <c r="G140" s="26" t="s">
        <v>58</v>
      </c>
      <c r="H140" s="26" t="s">
        <v>56</v>
      </c>
      <c r="I140" s="26" t="s">
        <v>1284</v>
      </c>
      <c r="J140" s="26" t="s">
        <v>58</v>
      </c>
      <c r="K140" s="27"/>
      <c r="L140" s="28" t="s">
        <v>56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4.25" customHeight="1" x14ac:dyDescent="0.3">
      <c r="A141" s="23">
        <v>137</v>
      </c>
      <c r="B141" s="24" t="s">
        <v>1555</v>
      </c>
      <c r="C141" s="25" t="s">
        <v>1556</v>
      </c>
      <c r="D141" s="23" t="s">
        <v>1283</v>
      </c>
      <c r="E141" s="55">
        <v>46125</v>
      </c>
      <c r="F141" s="26" t="s">
        <v>948</v>
      </c>
      <c r="G141" s="26" t="s">
        <v>58</v>
      </c>
      <c r="H141" s="26" t="s">
        <v>56</v>
      </c>
      <c r="I141" s="26" t="s">
        <v>1284</v>
      </c>
      <c r="J141" s="26" t="s">
        <v>58</v>
      </c>
      <c r="K141" s="27"/>
      <c r="L141" s="28" t="s">
        <v>56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4.25" customHeight="1" x14ac:dyDescent="0.3">
      <c r="A142" s="42">
        <v>138</v>
      </c>
      <c r="B142" s="43" t="s">
        <v>1557</v>
      </c>
      <c r="C142" s="44" t="s">
        <v>1558</v>
      </c>
      <c r="D142" s="42" t="s">
        <v>1283</v>
      </c>
      <c r="E142" s="55">
        <v>46125</v>
      </c>
      <c r="F142" s="26" t="s">
        <v>948</v>
      </c>
      <c r="G142" s="26" t="s">
        <v>58</v>
      </c>
      <c r="H142" s="26" t="s">
        <v>56</v>
      </c>
      <c r="I142" s="26" t="s">
        <v>1284</v>
      </c>
      <c r="J142" s="26" t="s">
        <v>58</v>
      </c>
      <c r="K142" s="27"/>
      <c r="L142" s="28" t="s">
        <v>56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4.25" customHeight="1" x14ac:dyDescent="0.3">
      <c r="A143" s="23">
        <v>139</v>
      </c>
      <c r="B143" s="24" t="s">
        <v>1559</v>
      </c>
      <c r="C143" s="25" t="s">
        <v>1560</v>
      </c>
      <c r="D143" s="23" t="s">
        <v>1283</v>
      </c>
      <c r="E143" s="55">
        <v>46125</v>
      </c>
      <c r="F143" s="26" t="s">
        <v>948</v>
      </c>
      <c r="G143" s="26" t="s">
        <v>58</v>
      </c>
      <c r="H143" s="26" t="s">
        <v>56</v>
      </c>
      <c r="I143" s="26" t="s">
        <v>1284</v>
      </c>
      <c r="J143" s="26" t="s">
        <v>58</v>
      </c>
      <c r="K143" s="27"/>
      <c r="L143" s="28" t="s">
        <v>56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4.25" customHeight="1" x14ac:dyDescent="0.3">
      <c r="A144" s="42">
        <v>140</v>
      </c>
      <c r="B144" s="43" t="s">
        <v>1561</v>
      </c>
      <c r="C144" s="44" t="s">
        <v>1562</v>
      </c>
      <c r="D144" s="42" t="s">
        <v>1283</v>
      </c>
      <c r="E144" s="55">
        <v>46125</v>
      </c>
      <c r="F144" s="26" t="s">
        <v>948</v>
      </c>
      <c r="G144" s="26" t="s">
        <v>58</v>
      </c>
      <c r="H144" s="26" t="s">
        <v>56</v>
      </c>
      <c r="I144" s="26" t="s">
        <v>1284</v>
      </c>
      <c r="J144" s="26" t="s">
        <v>58</v>
      </c>
      <c r="K144" s="27"/>
      <c r="L144" s="28" t="s">
        <v>56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4.25" customHeight="1" x14ac:dyDescent="0.3">
      <c r="A145" s="23">
        <v>141</v>
      </c>
      <c r="B145" s="24" t="s">
        <v>1563</v>
      </c>
      <c r="C145" s="25" t="s">
        <v>1564</v>
      </c>
      <c r="D145" s="23" t="s">
        <v>1283</v>
      </c>
      <c r="E145" s="55">
        <v>46125</v>
      </c>
      <c r="F145" s="26" t="s">
        <v>948</v>
      </c>
      <c r="G145" s="26" t="s">
        <v>58</v>
      </c>
      <c r="H145" s="26" t="s">
        <v>56</v>
      </c>
      <c r="I145" s="26" t="s">
        <v>1284</v>
      </c>
      <c r="J145" s="26" t="s">
        <v>58</v>
      </c>
      <c r="K145" s="27"/>
      <c r="L145" s="28" t="s">
        <v>56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4.25" customHeight="1" x14ac:dyDescent="0.3">
      <c r="A146" s="42">
        <v>142</v>
      </c>
      <c r="B146" s="43" t="s">
        <v>1565</v>
      </c>
      <c r="C146" s="44" t="s">
        <v>1566</v>
      </c>
      <c r="D146" s="42" t="s">
        <v>1283</v>
      </c>
      <c r="E146" s="55">
        <v>46125</v>
      </c>
      <c r="F146" s="26" t="s">
        <v>948</v>
      </c>
      <c r="G146" s="26" t="s">
        <v>58</v>
      </c>
      <c r="H146" s="26" t="s">
        <v>56</v>
      </c>
      <c r="I146" s="26" t="s">
        <v>1284</v>
      </c>
      <c r="J146" s="26" t="s">
        <v>58</v>
      </c>
      <c r="K146" s="27"/>
      <c r="L146" s="28" t="s">
        <v>56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4.25" customHeight="1" x14ac:dyDescent="0.3">
      <c r="A147" s="23">
        <v>143</v>
      </c>
      <c r="B147" s="24" t="s">
        <v>1567</v>
      </c>
      <c r="C147" s="25" t="s">
        <v>1568</v>
      </c>
      <c r="D147" s="23" t="s">
        <v>1283</v>
      </c>
      <c r="E147" s="55">
        <v>46125</v>
      </c>
      <c r="F147" s="26" t="s">
        <v>948</v>
      </c>
      <c r="G147" s="26" t="s">
        <v>58</v>
      </c>
      <c r="H147" s="26" t="s">
        <v>56</v>
      </c>
      <c r="I147" s="26" t="s">
        <v>1284</v>
      </c>
      <c r="J147" s="26" t="s">
        <v>58</v>
      </c>
      <c r="K147" s="27"/>
      <c r="L147" s="28" t="s">
        <v>56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4.25" customHeight="1" x14ac:dyDescent="0.3">
      <c r="A148" s="42">
        <v>144</v>
      </c>
      <c r="B148" s="43" t="s">
        <v>1569</v>
      </c>
      <c r="C148" s="44" t="s">
        <v>1570</v>
      </c>
      <c r="D148" s="42" t="s">
        <v>1283</v>
      </c>
      <c r="E148" s="55">
        <v>46125</v>
      </c>
      <c r="F148" s="26" t="s">
        <v>948</v>
      </c>
      <c r="G148" s="26" t="s">
        <v>58</v>
      </c>
      <c r="H148" s="26" t="s">
        <v>56</v>
      </c>
      <c r="I148" s="26" t="s">
        <v>1284</v>
      </c>
      <c r="J148" s="26" t="s">
        <v>58</v>
      </c>
      <c r="K148" s="27"/>
      <c r="L148" s="28" t="s">
        <v>56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4.25" customHeight="1" x14ac:dyDescent="0.3">
      <c r="A149" s="23">
        <v>145</v>
      </c>
      <c r="B149" s="24" t="s">
        <v>1571</v>
      </c>
      <c r="C149" s="25" t="s">
        <v>1572</v>
      </c>
      <c r="D149" s="23" t="s">
        <v>1283</v>
      </c>
      <c r="E149" s="55">
        <v>46125</v>
      </c>
      <c r="F149" s="26" t="s">
        <v>948</v>
      </c>
      <c r="G149" s="26" t="s">
        <v>58</v>
      </c>
      <c r="H149" s="26" t="s">
        <v>56</v>
      </c>
      <c r="I149" s="26" t="s">
        <v>1284</v>
      </c>
      <c r="J149" s="26" t="s">
        <v>58</v>
      </c>
      <c r="K149" s="27"/>
      <c r="L149" s="28" t="s">
        <v>56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4.25" customHeight="1" x14ac:dyDescent="0.3">
      <c r="A150" s="42">
        <v>146</v>
      </c>
      <c r="B150" s="43" t="s">
        <v>1573</v>
      </c>
      <c r="C150" s="44" t="s">
        <v>1574</v>
      </c>
      <c r="D150" s="42" t="s">
        <v>1283</v>
      </c>
      <c r="E150" s="55">
        <v>46125</v>
      </c>
      <c r="F150" s="26" t="s">
        <v>948</v>
      </c>
      <c r="G150" s="26" t="s">
        <v>58</v>
      </c>
      <c r="H150" s="26" t="s">
        <v>56</v>
      </c>
      <c r="I150" s="26" t="s">
        <v>1284</v>
      </c>
      <c r="J150" s="26" t="s">
        <v>58</v>
      </c>
      <c r="K150" s="27"/>
      <c r="L150" s="28" t="s">
        <v>56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4.25" customHeight="1" x14ac:dyDescent="0.3">
      <c r="A151" s="23">
        <v>147</v>
      </c>
      <c r="B151" s="24" t="s">
        <v>1575</v>
      </c>
      <c r="C151" s="25" t="s">
        <v>1576</v>
      </c>
      <c r="D151" s="23" t="s">
        <v>1283</v>
      </c>
      <c r="E151" s="55">
        <v>46125</v>
      </c>
      <c r="F151" s="26" t="s">
        <v>948</v>
      </c>
      <c r="G151" s="26" t="s">
        <v>58</v>
      </c>
      <c r="H151" s="26" t="s">
        <v>56</v>
      </c>
      <c r="I151" s="26" t="s">
        <v>1284</v>
      </c>
      <c r="J151" s="26" t="s">
        <v>58</v>
      </c>
      <c r="K151" s="27"/>
      <c r="L151" s="28" t="s">
        <v>56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4.25" customHeight="1" x14ac:dyDescent="0.3">
      <c r="A152" s="42">
        <v>148</v>
      </c>
      <c r="B152" s="43" t="s">
        <v>1577</v>
      </c>
      <c r="C152" s="44" t="s">
        <v>1578</v>
      </c>
      <c r="D152" s="42" t="s">
        <v>1283</v>
      </c>
      <c r="E152" s="55">
        <v>46125</v>
      </c>
      <c r="F152" s="26" t="s">
        <v>948</v>
      </c>
      <c r="G152" s="26" t="s">
        <v>58</v>
      </c>
      <c r="H152" s="26" t="s">
        <v>56</v>
      </c>
      <c r="I152" s="26" t="s">
        <v>1284</v>
      </c>
      <c r="J152" s="26" t="s">
        <v>58</v>
      </c>
      <c r="K152" s="27"/>
      <c r="L152" s="28" t="s">
        <v>56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4.25" customHeight="1" x14ac:dyDescent="0.3">
      <c r="A153" s="23">
        <v>149</v>
      </c>
      <c r="B153" s="24" t="s">
        <v>1579</v>
      </c>
      <c r="C153" s="25" t="s">
        <v>1580</v>
      </c>
      <c r="D153" s="23" t="s">
        <v>1283</v>
      </c>
      <c r="E153" s="55">
        <v>46125</v>
      </c>
      <c r="F153" s="26" t="s">
        <v>948</v>
      </c>
      <c r="G153" s="26" t="s">
        <v>58</v>
      </c>
      <c r="H153" s="26" t="s">
        <v>56</v>
      </c>
      <c r="I153" s="26" t="s">
        <v>1284</v>
      </c>
      <c r="J153" s="26" t="s">
        <v>58</v>
      </c>
      <c r="K153" s="27"/>
      <c r="L153" s="28" t="s">
        <v>56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4.25" customHeight="1" x14ac:dyDescent="0.3">
      <c r="A154" s="42">
        <v>150</v>
      </c>
      <c r="B154" s="43" t="s">
        <v>1581</v>
      </c>
      <c r="C154" s="44" t="s">
        <v>1582</v>
      </c>
      <c r="D154" s="42" t="s">
        <v>1283</v>
      </c>
      <c r="E154" s="55">
        <v>46125</v>
      </c>
      <c r="F154" s="26" t="s">
        <v>948</v>
      </c>
      <c r="G154" s="26" t="s">
        <v>58</v>
      </c>
      <c r="H154" s="26" t="s">
        <v>56</v>
      </c>
      <c r="I154" s="26" t="s">
        <v>1284</v>
      </c>
      <c r="J154" s="26" t="s">
        <v>58</v>
      </c>
      <c r="K154" s="27"/>
      <c r="L154" s="28" t="s">
        <v>56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4.25" customHeight="1" x14ac:dyDescent="0.3">
      <c r="A155" s="23">
        <v>151</v>
      </c>
      <c r="B155" s="24" t="s">
        <v>1583</v>
      </c>
      <c r="C155" s="25" t="s">
        <v>1584</v>
      </c>
      <c r="D155" s="23" t="s">
        <v>1283</v>
      </c>
      <c r="E155" s="55">
        <v>46125</v>
      </c>
      <c r="F155" s="26" t="s">
        <v>948</v>
      </c>
      <c r="G155" s="26" t="s">
        <v>58</v>
      </c>
      <c r="H155" s="26" t="s">
        <v>56</v>
      </c>
      <c r="I155" s="26" t="s">
        <v>1284</v>
      </c>
      <c r="J155" s="26" t="s">
        <v>58</v>
      </c>
      <c r="K155" s="27"/>
      <c r="L155" s="28" t="s">
        <v>56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4.25" customHeight="1" x14ac:dyDescent="0.3">
      <c r="A156" s="42">
        <v>152</v>
      </c>
      <c r="B156" s="43" t="s">
        <v>1585</v>
      </c>
      <c r="C156" s="44" t="s">
        <v>1586</v>
      </c>
      <c r="D156" s="42" t="s">
        <v>1283</v>
      </c>
      <c r="E156" s="55">
        <v>46125</v>
      </c>
      <c r="F156" s="26" t="s">
        <v>948</v>
      </c>
      <c r="G156" s="26" t="s">
        <v>58</v>
      </c>
      <c r="H156" s="26" t="s">
        <v>56</v>
      </c>
      <c r="I156" s="26" t="s">
        <v>1284</v>
      </c>
      <c r="J156" s="26" t="s">
        <v>58</v>
      </c>
      <c r="K156" s="27"/>
      <c r="L156" s="28" t="s">
        <v>56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4.25" customHeight="1" x14ac:dyDescent="0.3">
      <c r="A157" s="23">
        <v>153</v>
      </c>
      <c r="B157" s="24" t="s">
        <v>1587</v>
      </c>
      <c r="C157" s="25" t="s">
        <v>1588</v>
      </c>
      <c r="D157" s="23" t="s">
        <v>1283</v>
      </c>
      <c r="E157" s="55">
        <v>46125</v>
      </c>
      <c r="F157" s="26" t="s">
        <v>948</v>
      </c>
      <c r="G157" s="26" t="s">
        <v>58</v>
      </c>
      <c r="H157" s="26" t="s">
        <v>56</v>
      </c>
      <c r="I157" s="26" t="s">
        <v>1284</v>
      </c>
      <c r="J157" s="26" t="s">
        <v>58</v>
      </c>
      <c r="K157" s="27"/>
      <c r="L157" s="28" t="s">
        <v>56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4.25" customHeight="1" x14ac:dyDescent="0.3">
      <c r="A158" s="42">
        <v>154</v>
      </c>
      <c r="B158" s="43" t="s">
        <v>1589</v>
      </c>
      <c r="C158" s="44" t="s">
        <v>1590</v>
      </c>
      <c r="D158" s="42" t="s">
        <v>1283</v>
      </c>
      <c r="E158" s="55">
        <v>46125</v>
      </c>
      <c r="F158" s="26" t="s">
        <v>948</v>
      </c>
      <c r="G158" s="26" t="s">
        <v>58</v>
      </c>
      <c r="H158" s="26" t="s">
        <v>56</v>
      </c>
      <c r="I158" s="26" t="s">
        <v>1284</v>
      </c>
      <c r="J158" s="26" t="s">
        <v>58</v>
      </c>
      <c r="K158" s="27"/>
      <c r="L158" s="28" t="s">
        <v>56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4.25" customHeight="1" x14ac:dyDescent="0.3">
      <c r="A159" s="23">
        <v>155</v>
      </c>
      <c r="B159" s="24" t="s">
        <v>1591</v>
      </c>
      <c r="C159" s="25" t="s">
        <v>1592</v>
      </c>
      <c r="D159" s="23" t="s">
        <v>1283</v>
      </c>
      <c r="E159" s="55">
        <v>46125</v>
      </c>
      <c r="F159" s="26" t="s">
        <v>948</v>
      </c>
      <c r="G159" s="26" t="s">
        <v>58</v>
      </c>
      <c r="H159" s="26" t="s">
        <v>56</v>
      </c>
      <c r="I159" s="26" t="s">
        <v>1284</v>
      </c>
      <c r="J159" s="26" t="s">
        <v>58</v>
      </c>
      <c r="K159" s="27"/>
      <c r="L159" s="28" t="s">
        <v>56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4.25" customHeight="1" x14ac:dyDescent="0.3">
      <c r="A160" s="42">
        <v>156</v>
      </c>
      <c r="B160" s="43" t="s">
        <v>1593</v>
      </c>
      <c r="C160" s="44" t="s">
        <v>1594</v>
      </c>
      <c r="D160" s="42" t="s">
        <v>1283</v>
      </c>
      <c r="E160" s="55">
        <v>46125</v>
      </c>
      <c r="F160" s="26" t="s">
        <v>948</v>
      </c>
      <c r="G160" s="26" t="s">
        <v>58</v>
      </c>
      <c r="H160" s="26" t="s">
        <v>56</v>
      </c>
      <c r="I160" s="26" t="s">
        <v>1284</v>
      </c>
      <c r="J160" s="26" t="s">
        <v>58</v>
      </c>
      <c r="K160" s="27"/>
      <c r="L160" s="28" t="s">
        <v>56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4.25" customHeight="1" x14ac:dyDescent="0.3">
      <c r="A161" s="23">
        <v>157</v>
      </c>
      <c r="B161" s="24" t="s">
        <v>1595</v>
      </c>
      <c r="C161" s="25" t="s">
        <v>1596</v>
      </c>
      <c r="D161" s="23" t="s">
        <v>1283</v>
      </c>
      <c r="E161" s="55">
        <v>46125</v>
      </c>
      <c r="F161" s="26" t="s">
        <v>948</v>
      </c>
      <c r="G161" s="26" t="s">
        <v>58</v>
      </c>
      <c r="H161" s="26" t="s">
        <v>56</v>
      </c>
      <c r="I161" s="26" t="s">
        <v>1284</v>
      </c>
      <c r="J161" s="26" t="s">
        <v>58</v>
      </c>
      <c r="K161" s="27"/>
      <c r="L161" s="28" t="s">
        <v>56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4.25" customHeight="1" x14ac:dyDescent="0.3">
      <c r="A162" s="42">
        <v>158</v>
      </c>
      <c r="B162" s="43" t="s">
        <v>1597</v>
      </c>
      <c r="C162" s="44" t="s">
        <v>1598</v>
      </c>
      <c r="D162" s="42" t="s">
        <v>1283</v>
      </c>
      <c r="E162" s="55">
        <v>46125</v>
      </c>
      <c r="F162" s="26" t="s">
        <v>948</v>
      </c>
      <c r="G162" s="26" t="s">
        <v>58</v>
      </c>
      <c r="H162" s="26" t="s">
        <v>56</v>
      </c>
      <c r="I162" s="26" t="s">
        <v>1284</v>
      </c>
      <c r="J162" s="26" t="s">
        <v>58</v>
      </c>
      <c r="K162" s="27"/>
      <c r="L162" s="28" t="s">
        <v>56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4.25" customHeight="1" x14ac:dyDescent="0.3">
      <c r="A163" s="23">
        <v>159</v>
      </c>
      <c r="B163" s="24" t="s">
        <v>1599</v>
      </c>
      <c r="C163" s="25" t="s">
        <v>1600</v>
      </c>
      <c r="D163" s="23" t="s">
        <v>1283</v>
      </c>
      <c r="E163" s="55">
        <v>46125</v>
      </c>
      <c r="F163" s="26" t="s">
        <v>948</v>
      </c>
      <c r="G163" s="26" t="s">
        <v>58</v>
      </c>
      <c r="H163" s="26" t="s">
        <v>56</v>
      </c>
      <c r="I163" s="26" t="s">
        <v>1284</v>
      </c>
      <c r="J163" s="26" t="s">
        <v>58</v>
      </c>
      <c r="K163" s="27"/>
      <c r="L163" s="28" t="s">
        <v>56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4.25" customHeight="1" x14ac:dyDescent="0.3">
      <c r="A164" s="42">
        <v>160</v>
      </c>
      <c r="B164" s="43" t="s">
        <v>1601</v>
      </c>
      <c r="C164" s="44" t="s">
        <v>1602</v>
      </c>
      <c r="D164" s="42" t="s">
        <v>1283</v>
      </c>
      <c r="E164" s="55">
        <v>46125</v>
      </c>
      <c r="F164" s="26" t="s">
        <v>948</v>
      </c>
      <c r="G164" s="26" t="s">
        <v>58</v>
      </c>
      <c r="H164" s="26" t="s">
        <v>56</v>
      </c>
      <c r="I164" s="26" t="s">
        <v>1284</v>
      </c>
      <c r="J164" s="26" t="s">
        <v>58</v>
      </c>
      <c r="K164" s="27"/>
      <c r="L164" s="28" t="s">
        <v>56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4.25" customHeight="1" x14ac:dyDescent="0.3">
      <c r="A165" s="23">
        <v>161</v>
      </c>
      <c r="B165" s="24" t="s">
        <v>1603</v>
      </c>
      <c r="C165" s="25" t="s">
        <v>1604</v>
      </c>
      <c r="D165" s="23" t="s">
        <v>1283</v>
      </c>
      <c r="E165" s="55">
        <v>46125</v>
      </c>
      <c r="F165" s="26" t="s">
        <v>948</v>
      </c>
      <c r="G165" s="26" t="s">
        <v>58</v>
      </c>
      <c r="H165" s="26" t="s">
        <v>56</v>
      </c>
      <c r="I165" s="26" t="s">
        <v>1284</v>
      </c>
      <c r="J165" s="26" t="s">
        <v>58</v>
      </c>
      <c r="K165" s="27"/>
      <c r="L165" s="28" t="s">
        <v>56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4.25" customHeight="1" x14ac:dyDescent="0.3">
      <c r="A166" s="42">
        <v>162</v>
      </c>
      <c r="B166" s="43" t="s">
        <v>1605</v>
      </c>
      <c r="C166" s="44" t="s">
        <v>1606</v>
      </c>
      <c r="D166" s="42" t="s">
        <v>1283</v>
      </c>
      <c r="E166" s="55">
        <v>46125</v>
      </c>
      <c r="F166" s="26" t="s">
        <v>948</v>
      </c>
      <c r="G166" s="26" t="s">
        <v>58</v>
      </c>
      <c r="H166" s="26" t="s">
        <v>56</v>
      </c>
      <c r="I166" s="26" t="s">
        <v>1284</v>
      </c>
      <c r="J166" s="26" t="s">
        <v>58</v>
      </c>
      <c r="K166" s="27"/>
      <c r="L166" s="28" t="s">
        <v>56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4.25" customHeight="1" x14ac:dyDescent="0.3">
      <c r="A167" s="23">
        <v>163</v>
      </c>
      <c r="B167" s="24" t="s">
        <v>1607</v>
      </c>
      <c r="C167" s="25" t="s">
        <v>1608</v>
      </c>
      <c r="D167" s="23" t="s">
        <v>1283</v>
      </c>
      <c r="E167" s="55">
        <v>46125</v>
      </c>
      <c r="F167" s="26" t="s">
        <v>948</v>
      </c>
      <c r="G167" s="26" t="s">
        <v>58</v>
      </c>
      <c r="H167" s="26" t="s">
        <v>56</v>
      </c>
      <c r="I167" s="26" t="s">
        <v>1284</v>
      </c>
      <c r="J167" s="26" t="s">
        <v>58</v>
      </c>
      <c r="K167" s="27"/>
      <c r="L167" s="28" t="s">
        <v>56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4.25" customHeight="1" x14ac:dyDescent="0.3">
      <c r="A168" s="42">
        <v>164</v>
      </c>
      <c r="B168" s="43" t="s">
        <v>1609</v>
      </c>
      <c r="C168" s="44" t="s">
        <v>1610</v>
      </c>
      <c r="D168" s="42" t="s">
        <v>1283</v>
      </c>
      <c r="E168" s="55">
        <v>46125</v>
      </c>
      <c r="F168" s="26" t="s">
        <v>948</v>
      </c>
      <c r="G168" s="26" t="s">
        <v>58</v>
      </c>
      <c r="H168" s="26" t="s">
        <v>56</v>
      </c>
      <c r="I168" s="26" t="s">
        <v>1284</v>
      </c>
      <c r="J168" s="26" t="s">
        <v>58</v>
      </c>
      <c r="K168" s="27"/>
      <c r="L168" s="28" t="s">
        <v>56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4.25" customHeight="1" x14ac:dyDescent="0.3">
      <c r="A169" s="23">
        <v>165</v>
      </c>
      <c r="B169" s="24" t="s">
        <v>1611</v>
      </c>
      <c r="C169" s="25" t="s">
        <v>1612</v>
      </c>
      <c r="D169" s="23" t="s">
        <v>1283</v>
      </c>
      <c r="E169" s="55">
        <v>46125</v>
      </c>
      <c r="F169" s="26" t="s">
        <v>948</v>
      </c>
      <c r="G169" s="26" t="s">
        <v>58</v>
      </c>
      <c r="H169" s="26" t="s">
        <v>56</v>
      </c>
      <c r="I169" s="26" t="s">
        <v>1284</v>
      </c>
      <c r="J169" s="26" t="s">
        <v>58</v>
      </c>
      <c r="K169" s="27"/>
      <c r="L169" s="28" t="s">
        <v>56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4.25" customHeight="1" x14ac:dyDescent="0.3">
      <c r="A170" s="42">
        <v>166</v>
      </c>
      <c r="B170" s="43" t="s">
        <v>1613</v>
      </c>
      <c r="C170" s="44" t="s">
        <v>1614</v>
      </c>
      <c r="D170" s="42" t="s">
        <v>1283</v>
      </c>
      <c r="E170" s="55">
        <v>46125</v>
      </c>
      <c r="F170" s="26" t="s">
        <v>948</v>
      </c>
      <c r="G170" s="26" t="s">
        <v>58</v>
      </c>
      <c r="H170" s="26" t="s">
        <v>56</v>
      </c>
      <c r="I170" s="26" t="s">
        <v>1284</v>
      </c>
      <c r="J170" s="26" t="s">
        <v>58</v>
      </c>
      <c r="K170" s="27"/>
      <c r="L170" s="28" t="s">
        <v>56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4.25" customHeight="1" x14ac:dyDescent="0.3">
      <c r="A171" s="23">
        <v>167</v>
      </c>
      <c r="B171" s="24" t="s">
        <v>1615</v>
      </c>
      <c r="C171" s="25" t="s">
        <v>1616</v>
      </c>
      <c r="D171" s="23" t="s">
        <v>1283</v>
      </c>
      <c r="E171" s="55">
        <v>46125</v>
      </c>
      <c r="F171" s="26" t="s">
        <v>948</v>
      </c>
      <c r="G171" s="26" t="s">
        <v>58</v>
      </c>
      <c r="H171" s="26" t="s">
        <v>56</v>
      </c>
      <c r="I171" s="26" t="s">
        <v>1284</v>
      </c>
      <c r="J171" s="26" t="s">
        <v>58</v>
      </c>
      <c r="K171" s="27"/>
      <c r="L171" s="28" t="s">
        <v>56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4.25" customHeight="1" x14ac:dyDescent="0.3">
      <c r="A172" s="42">
        <v>168</v>
      </c>
      <c r="B172" s="43" t="s">
        <v>1617</v>
      </c>
      <c r="C172" s="44" t="s">
        <v>1618</v>
      </c>
      <c r="D172" s="42" t="s">
        <v>1283</v>
      </c>
      <c r="E172" s="55">
        <v>46125</v>
      </c>
      <c r="F172" s="26" t="s">
        <v>948</v>
      </c>
      <c r="G172" s="26" t="s">
        <v>58</v>
      </c>
      <c r="H172" s="26" t="s">
        <v>56</v>
      </c>
      <c r="I172" s="26" t="s">
        <v>1284</v>
      </c>
      <c r="J172" s="26" t="s">
        <v>58</v>
      </c>
      <c r="K172" s="27"/>
      <c r="L172" s="28" t="s">
        <v>56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4.25" customHeight="1" x14ac:dyDescent="0.3">
      <c r="A173" s="23">
        <v>169</v>
      </c>
      <c r="B173" s="24" t="s">
        <v>1619</v>
      </c>
      <c r="C173" s="25" t="s">
        <v>1620</v>
      </c>
      <c r="D173" s="23" t="s">
        <v>1283</v>
      </c>
      <c r="E173" s="55">
        <v>46125</v>
      </c>
      <c r="F173" s="26" t="s">
        <v>948</v>
      </c>
      <c r="G173" s="26" t="s">
        <v>58</v>
      </c>
      <c r="H173" s="26" t="s">
        <v>56</v>
      </c>
      <c r="I173" s="26" t="s">
        <v>1284</v>
      </c>
      <c r="J173" s="26" t="s">
        <v>58</v>
      </c>
      <c r="K173" s="27"/>
      <c r="L173" s="28" t="s">
        <v>56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4.25" customHeight="1" x14ac:dyDescent="0.3">
      <c r="A174" s="42">
        <v>170</v>
      </c>
      <c r="B174" s="43" t="s">
        <v>1621</v>
      </c>
      <c r="C174" s="44" t="s">
        <v>1622</v>
      </c>
      <c r="D174" s="42" t="s">
        <v>1283</v>
      </c>
      <c r="E174" s="55">
        <v>46125</v>
      </c>
      <c r="F174" s="26" t="s">
        <v>948</v>
      </c>
      <c r="G174" s="26" t="s">
        <v>58</v>
      </c>
      <c r="H174" s="26" t="s">
        <v>56</v>
      </c>
      <c r="I174" s="26" t="s">
        <v>1284</v>
      </c>
      <c r="J174" s="26" t="s">
        <v>58</v>
      </c>
      <c r="K174" s="27"/>
      <c r="L174" s="28" t="s">
        <v>56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4.25" customHeight="1" x14ac:dyDescent="0.3">
      <c r="A175" s="23">
        <v>171</v>
      </c>
      <c r="B175" s="24" t="s">
        <v>1623</v>
      </c>
      <c r="C175" s="25" t="s">
        <v>1624</v>
      </c>
      <c r="D175" s="23" t="s">
        <v>1283</v>
      </c>
      <c r="E175" s="55">
        <v>46125</v>
      </c>
      <c r="F175" s="26" t="s">
        <v>948</v>
      </c>
      <c r="G175" s="26" t="s">
        <v>58</v>
      </c>
      <c r="H175" s="26" t="s">
        <v>56</v>
      </c>
      <c r="I175" s="26" t="s">
        <v>1284</v>
      </c>
      <c r="J175" s="26" t="s">
        <v>58</v>
      </c>
      <c r="K175" s="27"/>
      <c r="L175" s="28" t="s">
        <v>56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4.25" customHeight="1" x14ac:dyDescent="0.3">
      <c r="A176" s="42">
        <v>172</v>
      </c>
      <c r="B176" s="43" t="s">
        <v>1625</v>
      </c>
      <c r="C176" s="44" t="s">
        <v>1626</v>
      </c>
      <c r="D176" s="42" t="s">
        <v>1283</v>
      </c>
      <c r="E176" s="55">
        <v>46125</v>
      </c>
      <c r="F176" s="26" t="s">
        <v>948</v>
      </c>
      <c r="G176" s="26" t="s">
        <v>58</v>
      </c>
      <c r="H176" s="26" t="s">
        <v>56</v>
      </c>
      <c r="I176" s="26" t="s">
        <v>1284</v>
      </c>
      <c r="J176" s="26" t="s">
        <v>58</v>
      </c>
      <c r="K176" s="27"/>
      <c r="L176" s="28" t="s">
        <v>56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4.25" customHeight="1" x14ac:dyDescent="0.3">
      <c r="A177" s="23">
        <v>173</v>
      </c>
      <c r="B177" s="24" t="s">
        <v>1627</v>
      </c>
      <c r="C177" s="25" t="s">
        <v>1628</v>
      </c>
      <c r="D177" s="23" t="s">
        <v>1283</v>
      </c>
      <c r="E177" s="55">
        <v>46125</v>
      </c>
      <c r="F177" s="26" t="s">
        <v>948</v>
      </c>
      <c r="G177" s="26" t="s">
        <v>58</v>
      </c>
      <c r="H177" s="26" t="s">
        <v>56</v>
      </c>
      <c r="I177" s="26" t="s">
        <v>1284</v>
      </c>
      <c r="J177" s="26" t="s">
        <v>58</v>
      </c>
      <c r="K177" s="27"/>
      <c r="L177" s="28" t="s">
        <v>56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4.25" customHeight="1" x14ac:dyDescent="0.3">
      <c r="A178" s="42">
        <v>174</v>
      </c>
      <c r="B178" s="43" t="s">
        <v>1629</v>
      </c>
      <c r="C178" s="44" t="s">
        <v>1630</v>
      </c>
      <c r="D178" s="42" t="s">
        <v>1283</v>
      </c>
      <c r="E178" s="55">
        <v>46125</v>
      </c>
      <c r="F178" s="26" t="s">
        <v>948</v>
      </c>
      <c r="G178" s="26" t="s">
        <v>58</v>
      </c>
      <c r="H178" s="26" t="s">
        <v>56</v>
      </c>
      <c r="I178" s="26" t="s">
        <v>1284</v>
      </c>
      <c r="J178" s="26" t="s">
        <v>58</v>
      </c>
      <c r="K178" s="27"/>
      <c r="L178" s="28" t="s">
        <v>56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4.25" customHeight="1" x14ac:dyDescent="0.3">
      <c r="A179" s="23">
        <v>175</v>
      </c>
      <c r="B179" s="24" t="s">
        <v>1631</v>
      </c>
      <c r="C179" s="25" t="s">
        <v>1632</v>
      </c>
      <c r="D179" s="23" t="s">
        <v>1283</v>
      </c>
      <c r="E179" s="55">
        <v>46125</v>
      </c>
      <c r="F179" s="26" t="s">
        <v>948</v>
      </c>
      <c r="G179" s="26" t="s">
        <v>58</v>
      </c>
      <c r="H179" s="26" t="s">
        <v>56</v>
      </c>
      <c r="I179" s="26" t="s">
        <v>1284</v>
      </c>
      <c r="J179" s="26" t="s">
        <v>58</v>
      </c>
      <c r="K179" s="27"/>
      <c r="L179" s="28" t="s">
        <v>56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4.25" customHeight="1" x14ac:dyDescent="0.3">
      <c r="A180" s="42">
        <v>176</v>
      </c>
      <c r="B180" s="43" t="s">
        <v>1633</v>
      </c>
      <c r="C180" s="44" t="s">
        <v>1634</v>
      </c>
      <c r="D180" s="42" t="s">
        <v>1283</v>
      </c>
      <c r="E180" s="55">
        <v>46125</v>
      </c>
      <c r="F180" s="26" t="s">
        <v>948</v>
      </c>
      <c r="G180" s="26" t="s">
        <v>58</v>
      </c>
      <c r="H180" s="26" t="s">
        <v>56</v>
      </c>
      <c r="I180" s="26" t="s">
        <v>1284</v>
      </c>
      <c r="J180" s="26" t="s">
        <v>58</v>
      </c>
      <c r="K180" s="27"/>
      <c r="L180" s="28" t="s">
        <v>56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4.25" customHeight="1" x14ac:dyDescent="0.3">
      <c r="A181" s="23">
        <v>177</v>
      </c>
      <c r="B181" s="24" t="s">
        <v>1635</v>
      </c>
      <c r="C181" s="25" t="s">
        <v>1636</v>
      </c>
      <c r="D181" s="23" t="s">
        <v>1283</v>
      </c>
      <c r="E181" s="55">
        <v>46125</v>
      </c>
      <c r="F181" s="26" t="s">
        <v>948</v>
      </c>
      <c r="G181" s="26" t="s">
        <v>58</v>
      </c>
      <c r="H181" s="26" t="s">
        <v>56</v>
      </c>
      <c r="I181" s="26" t="s">
        <v>1284</v>
      </c>
      <c r="J181" s="26" t="s">
        <v>58</v>
      </c>
      <c r="K181" s="27"/>
      <c r="L181" s="28" t="s">
        <v>56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4.25" customHeight="1" x14ac:dyDescent="0.3">
      <c r="A182" s="42">
        <v>178</v>
      </c>
      <c r="B182" s="43" t="s">
        <v>1637</v>
      </c>
      <c r="C182" s="44" t="s">
        <v>1638</v>
      </c>
      <c r="D182" s="42" t="s">
        <v>1283</v>
      </c>
      <c r="E182" s="55">
        <v>46125</v>
      </c>
      <c r="F182" s="26" t="s">
        <v>948</v>
      </c>
      <c r="G182" s="26" t="s">
        <v>58</v>
      </c>
      <c r="H182" s="26" t="s">
        <v>56</v>
      </c>
      <c r="I182" s="26" t="s">
        <v>1284</v>
      </c>
      <c r="J182" s="26" t="s">
        <v>58</v>
      </c>
      <c r="K182" s="27"/>
      <c r="L182" s="28" t="s">
        <v>56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4.25" customHeight="1" x14ac:dyDescent="0.3">
      <c r="A183" s="23">
        <v>179</v>
      </c>
      <c r="B183" s="24" t="s">
        <v>1639</v>
      </c>
      <c r="C183" s="25" t="s">
        <v>1640</v>
      </c>
      <c r="D183" s="23" t="s">
        <v>1283</v>
      </c>
      <c r="E183" s="55">
        <v>46125</v>
      </c>
      <c r="F183" s="26" t="s">
        <v>948</v>
      </c>
      <c r="G183" s="26" t="s">
        <v>58</v>
      </c>
      <c r="H183" s="26" t="s">
        <v>56</v>
      </c>
      <c r="I183" s="26" t="s">
        <v>1284</v>
      </c>
      <c r="J183" s="26" t="s">
        <v>58</v>
      </c>
      <c r="K183" s="27"/>
      <c r="L183" s="28" t="s">
        <v>56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4.25" customHeight="1" x14ac:dyDescent="0.3">
      <c r="A184" s="42">
        <v>180</v>
      </c>
      <c r="B184" s="43" t="s">
        <v>1641</v>
      </c>
      <c r="C184" s="44" t="s">
        <v>1642</v>
      </c>
      <c r="D184" s="42" t="s">
        <v>1283</v>
      </c>
      <c r="E184" s="55">
        <v>46125</v>
      </c>
      <c r="F184" s="26" t="s">
        <v>948</v>
      </c>
      <c r="G184" s="26" t="s">
        <v>58</v>
      </c>
      <c r="H184" s="26" t="s">
        <v>56</v>
      </c>
      <c r="I184" s="26" t="s">
        <v>1284</v>
      </c>
      <c r="J184" s="26" t="s">
        <v>58</v>
      </c>
      <c r="K184" s="27"/>
      <c r="L184" s="28" t="s">
        <v>56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4.25" customHeight="1" x14ac:dyDescent="0.3">
      <c r="A185" s="23">
        <v>181</v>
      </c>
      <c r="B185" s="24" t="s">
        <v>1643</v>
      </c>
      <c r="C185" s="25" t="s">
        <v>1644</v>
      </c>
      <c r="D185" s="23" t="s">
        <v>1283</v>
      </c>
      <c r="E185" s="55">
        <v>46125</v>
      </c>
      <c r="F185" s="26" t="s">
        <v>948</v>
      </c>
      <c r="G185" s="26" t="s">
        <v>58</v>
      </c>
      <c r="H185" s="26" t="s">
        <v>56</v>
      </c>
      <c r="I185" s="26" t="s">
        <v>1284</v>
      </c>
      <c r="J185" s="26" t="s">
        <v>58</v>
      </c>
      <c r="K185" s="27"/>
      <c r="L185" s="28" t="s">
        <v>56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4.25" customHeight="1" x14ac:dyDescent="0.3">
      <c r="A186" s="42">
        <v>182</v>
      </c>
      <c r="B186" s="43" t="s">
        <v>1645</v>
      </c>
      <c r="C186" s="44" t="s">
        <v>1646</v>
      </c>
      <c r="D186" s="42" t="s">
        <v>1283</v>
      </c>
      <c r="E186" s="55">
        <v>46125</v>
      </c>
      <c r="F186" s="26" t="s">
        <v>948</v>
      </c>
      <c r="G186" s="26" t="s">
        <v>58</v>
      </c>
      <c r="H186" s="26" t="s">
        <v>56</v>
      </c>
      <c r="I186" s="26" t="s">
        <v>1284</v>
      </c>
      <c r="J186" s="26" t="s">
        <v>58</v>
      </c>
      <c r="K186" s="27"/>
      <c r="L186" s="28" t="s">
        <v>56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4.25" customHeight="1" x14ac:dyDescent="0.3">
      <c r="A187" s="23">
        <v>183</v>
      </c>
      <c r="B187" s="24" t="s">
        <v>1647</v>
      </c>
      <c r="C187" s="25" t="s">
        <v>1648</v>
      </c>
      <c r="D187" s="23" t="s">
        <v>1283</v>
      </c>
      <c r="E187" s="55">
        <v>46125</v>
      </c>
      <c r="F187" s="26" t="s">
        <v>948</v>
      </c>
      <c r="G187" s="26" t="s">
        <v>58</v>
      </c>
      <c r="H187" s="26" t="s">
        <v>56</v>
      </c>
      <c r="I187" s="26" t="s">
        <v>1284</v>
      </c>
      <c r="J187" s="26" t="s">
        <v>58</v>
      </c>
      <c r="K187" s="27"/>
      <c r="L187" s="28" t="s">
        <v>56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4.25" customHeight="1" x14ac:dyDescent="0.3">
      <c r="A188" s="42">
        <v>184</v>
      </c>
      <c r="B188" s="43" t="s">
        <v>1649</v>
      </c>
      <c r="C188" s="44" t="s">
        <v>1650</v>
      </c>
      <c r="D188" s="42" t="s">
        <v>1283</v>
      </c>
      <c r="E188" s="55">
        <v>46125</v>
      </c>
      <c r="F188" s="26" t="s">
        <v>948</v>
      </c>
      <c r="G188" s="26" t="s">
        <v>58</v>
      </c>
      <c r="H188" s="26" t="s">
        <v>56</v>
      </c>
      <c r="I188" s="26" t="s">
        <v>1284</v>
      </c>
      <c r="J188" s="26" t="s">
        <v>58</v>
      </c>
      <c r="K188" s="27"/>
      <c r="L188" s="28" t="s">
        <v>56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4.25" customHeight="1" x14ac:dyDescent="0.3">
      <c r="A189" s="23">
        <v>185</v>
      </c>
      <c r="B189" s="24" t="s">
        <v>1651</v>
      </c>
      <c r="C189" s="25" t="s">
        <v>1652</v>
      </c>
      <c r="D189" s="23" t="s">
        <v>1283</v>
      </c>
      <c r="E189" s="55">
        <v>46125</v>
      </c>
      <c r="F189" s="26" t="s">
        <v>948</v>
      </c>
      <c r="G189" s="26" t="s">
        <v>58</v>
      </c>
      <c r="H189" s="26" t="s">
        <v>56</v>
      </c>
      <c r="I189" s="26" t="s">
        <v>1284</v>
      </c>
      <c r="J189" s="26" t="s">
        <v>58</v>
      </c>
      <c r="K189" s="27"/>
      <c r="L189" s="28" t="s">
        <v>56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4.25" customHeight="1" x14ac:dyDescent="0.3">
      <c r="A190" s="42">
        <v>186</v>
      </c>
      <c r="B190" s="43" t="s">
        <v>1653</v>
      </c>
      <c r="C190" s="44" t="s">
        <v>1654</v>
      </c>
      <c r="D190" s="42" t="s">
        <v>1283</v>
      </c>
      <c r="E190" s="55">
        <v>46125</v>
      </c>
      <c r="F190" s="26" t="s">
        <v>948</v>
      </c>
      <c r="G190" s="26" t="s">
        <v>58</v>
      </c>
      <c r="H190" s="26" t="s">
        <v>56</v>
      </c>
      <c r="I190" s="26" t="s">
        <v>1284</v>
      </c>
      <c r="J190" s="26" t="s">
        <v>58</v>
      </c>
      <c r="K190" s="27"/>
      <c r="L190" s="28" t="s">
        <v>56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4.25" customHeight="1" x14ac:dyDescent="0.3">
      <c r="A191" s="23">
        <v>187</v>
      </c>
      <c r="B191" s="24" t="s">
        <v>1655</v>
      </c>
      <c r="C191" s="25" t="s">
        <v>1656</v>
      </c>
      <c r="D191" s="23" t="s">
        <v>1283</v>
      </c>
      <c r="E191" s="55">
        <v>46125</v>
      </c>
      <c r="F191" s="26" t="s">
        <v>948</v>
      </c>
      <c r="G191" s="26" t="s">
        <v>58</v>
      </c>
      <c r="H191" s="26" t="s">
        <v>56</v>
      </c>
      <c r="I191" s="26" t="s">
        <v>1284</v>
      </c>
      <c r="J191" s="26" t="s">
        <v>58</v>
      </c>
      <c r="K191" s="27"/>
      <c r="L191" s="28" t="s">
        <v>56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4.25" customHeight="1" x14ac:dyDescent="0.3">
      <c r="A192" s="42">
        <v>188</v>
      </c>
      <c r="B192" s="43" t="s">
        <v>1657</v>
      </c>
      <c r="C192" s="44" t="s">
        <v>1658</v>
      </c>
      <c r="D192" s="42" t="s">
        <v>1283</v>
      </c>
      <c r="E192" s="55">
        <v>46125</v>
      </c>
      <c r="F192" s="26" t="s">
        <v>948</v>
      </c>
      <c r="G192" s="26" t="s">
        <v>58</v>
      </c>
      <c r="H192" s="26" t="s">
        <v>56</v>
      </c>
      <c r="I192" s="26" t="s">
        <v>1284</v>
      </c>
      <c r="J192" s="26" t="s">
        <v>58</v>
      </c>
      <c r="K192" s="27"/>
      <c r="L192" s="28" t="s">
        <v>56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4.25" customHeight="1" x14ac:dyDescent="0.3">
      <c r="A193" s="23">
        <v>189</v>
      </c>
      <c r="B193" s="24" t="s">
        <v>1659</v>
      </c>
      <c r="C193" s="25" t="s">
        <v>1660</v>
      </c>
      <c r="D193" s="23" t="s">
        <v>1283</v>
      </c>
      <c r="E193" s="55">
        <v>46125</v>
      </c>
      <c r="F193" s="26" t="s">
        <v>948</v>
      </c>
      <c r="G193" s="26" t="s">
        <v>58</v>
      </c>
      <c r="H193" s="26" t="s">
        <v>56</v>
      </c>
      <c r="I193" s="26" t="s">
        <v>1284</v>
      </c>
      <c r="J193" s="26" t="s">
        <v>58</v>
      </c>
      <c r="K193" s="27"/>
      <c r="L193" s="28" t="s">
        <v>56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4.25" customHeight="1" x14ac:dyDescent="0.3">
      <c r="A194" s="42">
        <v>190</v>
      </c>
      <c r="B194" s="43" t="s">
        <v>1661</v>
      </c>
      <c r="C194" s="44" t="s">
        <v>1662</v>
      </c>
      <c r="D194" s="42" t="s">
        <v>1283</v>
      </c>
      <c r="E194" s="55">
        <v>46125</v>
      </c>
      <c r="F194" s="26" t="s">
        <v>948</v>
      </c>
      <c r="G194" s="26" t="s">
        <v>58</v>
      </c>
      <c r="H194" s="26" t="s">
        <v>56</v>
      </c>
      <c r="I194" s="26" t="s">
        <v>1284</v>
      </c>
      <c r="J194" s="26" t="s">
        <v>58</v>
      </c>
      <c r="K194" s="27"/>
      <c r="L194" s="28" t="s">
        <v>56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4.25" customHeight="1" x14ac:dyDescent="0.3">
      <c r="A195" s="23">
        <v>191</v>
      </c>
      <c r="B195" s="24" t="s">
        <v>1663</v>
      </c>
      <c r="C195" s="25" t="s">
        <v>1664</v>
      </c>
      <c r="D195" s="23" t="s">
        <v>1283</v>
      </c>
      <c r="E195" s="55">
        <v>46125</v>
      </c>
      <c r="F195" s="26" t="s">
        <v>948</v>
      </c>
      <c r="G195" s="26" t="s">
        <v>58</v>
      </c>
      <c r="H195" s="26" t="s">
        <v>56</v>
      </c>
      <c r="I195" s="26" t="s">
        <v>1284</v>
      </c>
      <c r="J195" s="26" t="s">
        <v>58</v>
      </c>
      <c r="K195" s="27"/>
      <c r="L195" s="28" t="s">
        <v>56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4.25" customHeight="1" x14ac:dyDescent="0.3">
      <c r="A196" s="42">
        <v>192</v>
      </c>
      <c r="B196" s="43" t="s">
        <v>1665</v>
      </c>
      <c r="C196" s="44" t="s">
        <v>1666</v>
      </c>
      <c r="D196" s="42" t="s">
        <v>1283</v>
      </c>
      <c r="E196" s="55">
        <v>46125</v>
      </c>
      <c r="F196" s="26" t="s">
        <v>948</v>
      </c>
      <c r="G196" s="26" t="s">
        <v>58</v>
      </c>
      <c r="H196" s="26" t="s">
        <v>56</v>
      </c>
      <c r="I196" s="26" t="s">
        <v>1284</v>
      </c>
      <c r="J196" s="26" t="s">
        <v>58</v>
      </c>
      <c r="K196" s="27"/>
      <c r="L196" s="28" t="s">
        <v>56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4.25" customHeight="1" x14ac:dyDescent="0.3">
      <c r="A197" s="23">
        <v>193</v>
      </c>
      <c r="B197" s="24" t="s">
        <v>1667</v>
      </c>
      <c r="C197" s="25" t="s">
        <v>1668</v>
      </c>
      <c r="D197" s="23" t="s">
        <v>1283</v>
      </c>
      <c r="E197" s="55">
        <v>46125</v>
      </c>
      <c r="F197" s="26" t="s">
        <v>948</v>
      </c>
      <c r="G197" s="26" t="s">
        <v>58</v>
      </c>
      <c r="H197" s="26" t="s">
        <v>56</v>
      </c>
      <c r="I197" s="26" t="s">
        <v>1284</v>
      </c>
      <c r="J197" s="26" t="s">
        <v>58</v>
      </c>
      <c r="K197" s="27"/>
      <c r="L197" s="28" t="s">
        <v>56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42">
        <v>194</v>
      </c>
      <c r="B198" s="43" t="s">
        <v>1669</v>
      </c>
      <c r="C198" s="44" t="s">
        <v>1670</v>
      </c>
      <c r="D198" s="42" t="s">
        <v>1283</v>
      </c>
      <c r="E198" s="55">
        <v>46125</v>
      </c>
      <c r="F198" s="26" t="s">
        <v>948</v>
      </c>
      <c r="G198" s="26" t="s">
        <v>58</v>
      </c>
      <c r="H198" s="26" t="s">
        <v>56</v>
      </c>
      <c r="I198" s="26" t="s">
        <v>1284</v>
      </c>
      <c r="J198" s="26" t="s">
        <v>58</v>
      </c>
      <c r="K198" s="27"/>
      <c r="L198" s="28" t="s">
        <v>56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4.25" customHeight="1" x14ac:dyDescent="0.3">
      <c r="A199" s="23">
        <v>195</v>
      </c>
      <c r="B199" s="24" t="s">
        <v>1671</v>
      </c>
      <c r="C199" s="25" t="s">
        <v>1672</v>
      </c>
      <c r="D199" s="23" t="s">
        <v>1283</v>
      </c>
      <c r="E199" s="55">
        <v>46125</v>
      </c>
      <c r="F199" s="26" t="s">
        <v>948</v>
      </c>
      <c r="G199" s="26" t="s">
        <v>58</v>
      </c>
      <c r="H199" s="26" t="s">
        <v>56</v>
      </c>
      <c r="I199" s="26" t="s">
        <v>1284</v>
      </c>
      <c r="J199" s="26" t="s">
        <v>58</v>
      </c>
      <c r="K199" s="27"/>
      <c r="L199" s="28" t="s">
        <v>56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4.25" customHeight="1" x14ac:dyDescent="0.3">
      <c r="A200" s="42">
        <v>196</v>
      </c>
      <c r="B200" s="43" t="s">
        <v>1673</v>
      </c>
      <c r="C200" s="44" t="s">
        <v>1674</v>
      </c>
      <c r="D200" s="42" t="s">
        <v>1283</v>
      </c>
      <c r="E200" s="55">
        <v>46125</v>
      </c>
      <c r="F200" s="26" t="s">
        <v>948</v>
      </c>
      <c r="G200" s="26" t="s">
        <v>58</v>
      </c>
      <c r="H200" s="26" t="s">
        <v>56</v>
      </c>
      <c r="I200" s="26" t="s">
        <v>1284</v>
      </c>
      <c r="J200" s="26" t="s">
        <v>58</v>
      </c>
      <c r="K200" s="27"/>
      <c r="L200" s="28" t="s">
        <v>56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4.25" customHeight="1" x14ac:dyDescent="0.3">
      <c r="A201" s="23">
        <v>197</v>
      </c>
      <c r="B201" s="24" t="s">
        <v>1675</v>
      </c>
      <c r="C201" s="25" t="s">
        <v>1676</v>
      </c>
      <c r="D201" s="23" t="s">
        <v>1283</v>
      </c>
      <c r="E201" s="55">
        <v>46125</v>
      </c>
      <c r="F201" s="26" t="s">
        <v>948</v>
      </c>
      <c r="G201" s="26" t="s">
        <v>58</v>
      </c>
      <c r="H201" s="26" t="s">
        <v>56</v>
      </c>
      <c r="I201" s="26" t="s">
        <v>1284</v>
      </c>
      <c r="J201" s="26" t="s">
        <v>58</v>
      </c>
      <c r="K201" s="27"/>
      <c r="L201" s="28" t="s">
        <v>56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4.25" customHeight="1" x14ac:dyDescent="0.3">
      <c r="A202" s="42">
        <v>198</v>
      </c>
      <c r="B202" s="43" t="s">
        <v>1677</v>
      </c>
      <c r="C202" s="44" t="s">
        <v>1678</v>
      </c>
      <c r="D202" s="42" t="s">
        <v>1283</v>
      </c>
      <c r="E202" s="55">
        <v>46125</v>
      </c>
      <c r="F202" s="26" t="s">
        <v>948</v>
      </c>
      <c r="G202" s="26" t="s">
        <v>58</v>
      </c>
      <c r="H202" s="26" t="s">
        <v>56</v>
      </c>
      <c r="I202" s="26" t="s">
        <v>1284</v>
      </c>
      <c r="J202" s="26" t="s">
        <v>58</v>
      </c>
      <c r="K202" s="27"/>
      <c r="L202" s="28" t="s">
        <v>56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4.25" customHeight="1" x14ac:dyDescent="0.3">
      <c r="A203" s="23">
        <v>199</v>
      </c>
      <c r="B203" s="24" t="s">
        <v>1679</v>
      </c>
      <c r="C203" s="25" t="s">
        <v>1680</v>
      </c>
      <c r="D203" s="23" t="s">
        <v>1283</v>
      </c>
      <c r="E203" s="55">
        <v>46125</v>
      </c>
      <c r="F203" s="26" t="s">
        <v>948</v>
      </c>
      <c r="G203" s="26" t="s">
        <v>58</v>
      </c>
      <c r="H203" s="26" t="s">
        <v>56</v>
      </c>
      <c r="I203" s="26" t="s">
        <v>1284</v>
      </c>
      <c r="J203" s="26" t="s">
        <v>58</v>
      </c>
      <c r="K203" s="27"/>
      <c r="L203" s="28" t="s">
        <v>56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4.25" customHeight="1" x14ac:dyDescent="0.3">
      <c r="A204" s="42">
        <v>200</v>
      </c>
      <c r="B204" s="43" t="s">
        <v>1681</v>
      </c>
      <c r="C204" s="44" t="s">
        <v>1682</v>
      </c>
      <c r="D204" s="42" t="s">
        <v>1283</v>
      </c>
      <c r="E204" s="55">
        <v>46125</v>
      </c>
      <c r="F204" s="26" t="s">
        <v>948</v>
      </c>
      <c r="G204" s="26" t="s">
        <v>58</v>
      </c>
      <c r="H204" s="26" t="s">
        <v>56</v>
      </c>
      <c r="I204" s="26" t="s">
        <v>1284</v>
      </c>
      <c r="J204" s="26" t="s">
        <v>58</v>
      </c>
      <c r="K204" s="27"/>
      <c r="L204" s="28" t="s">
        <v>56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4.25" customHeight="1" x14ac:dyDescent="0.3">
      <c r="A205" s="23">
        <v>201</v>
      </c>
      <c r="B205" s="24" t="s">
        <v>1683</v>
      </c>
      <c r="C205" s="25" t="s">
        <v>1684</v>
      </c>
      <c r="D205" s="23" t="s">
        <v>1283</v>
      </c>
      <c r="E205" s="55">
        <v>46125</v>
      </c>
      <c r="F205" s="26" t="s">
        <v>948</v>
      </c>
      <c r="G205" s="26" t="s">
        <v>58</v>
      </c>
      <c r="H205" s="26" t="s">
        <v>56</v>
      </c>
      <c r="I205" s="26" t="s">
        <v>1284</v>
      </c>
      <c r="J205" s="26" t="s">
        <v>58</v>
      </c>
      <c r="K205" s="27"/>
      <c r="L205" s="28" t="s">
        <v>56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4.25" customHeight="1" x14ac:dyDescent="0.3">
      <c r="A206" s="42">
        <v>202</v>
      </c>
      <c r="B206" s="43" t="s">
        <v>1685</v>
      </c>
      <c r="C206" s="44" t="s">
        <v>1686</v>
      </c>
      <c r="D206" s="42" t="s">
        <v>1283</v>
      </c>
      <c r="E206" s="55">
        <v>46125</v>
      </c>
      <c r="F206" s="26" t="s">
        <v>948</v>
      </c>
      <c r="G206" s="26" t="s">
        <v>58</v>
      </c>
      <c r="H206" s="26" t="s">
        <v>56</v>
      </c>
      <c r="I206" s="26" t="s">
        <v>1284</v>
      </c>
      <c r="J206" s="26" t="s">
        <v>58</v>
      </c>
      <c r="K206" s="27"/>
      <c r="L206" s="28" t="s">
        <v>56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4.25" customHeight="1" x14ac:dyDescent="0.3">
      <c r="A207" s="23">
        <v>203</v>
      </c>
      <c r="B207" s="24" t="s">
        <v>1687</v>
      </c>
      <c r="C207" s="25" t="s">
        <v>1688</v>
      </c>
      <c r="D207" s="23" t="s">
        <v>1283</v>
      </c>
      <c r="E207" s="55">
        <v>46125</v>
      </c>
      <c r="F207" s="26" t="s">
        <v>948</v>
      </c>
      <c r="G207" s="26" t="s">
        <v>58</v>
      </c>
      <c r="H207" s="26" t="s">
        <v>56</v>
      </c>
      <c r="I207" s="26" t="s">
        <v>1284</v>
      </c>
      <c r="J207" s="26" t="s">
        <v>58</v>
      </c>
      <c r="K207" s="27"/>
      <c r="L207" s="28" t="s">
        <v>56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4.25" customHeight="1" x14ac:dyDescent="0.3">
      <c r="A208" s="42">
        <v>204</v>
      </c>
      <c r="B208" s="43" t="s">
        <v>1689</v>
      </c>
      <c r="C208" s="44" t="s">
        <v>1690</v>
      </c>
      <c r="D208" s="42" t="s">
        <v>1283</v>
      </c>
      <c r="E208" s="55">
        <v>46125</v>
      </c>
      <c r="F208" s="26" t="s">
        <v>948</v>
      </c>
      <c r="G208" s="26" t="s">
        <v>58</v>
      </c>
      <c r="H208" s="26" t="s">
        <v>56</v>
      </c>
      <c r="I208" s="26" t="s">
        <v>1284</v>
      </c>
      <c r="J208" s="26" t="s">
        <v>58</v>
      </c>
      <c r="K208" s="27"/>
      <c r="L208" s="28" t="s">
        <v>56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4.25" customHeight="1" x14ac:dyDescent="0.3">
      <c r="A209" s="23">
        <v>205</v>
      </c>
      <c r="B209" s="24" t="s">
        <v>1691</v>
      </c>
      <c r="C209" s="25" t="s">
        <v>1692</v>
      </c>
      <c r="D209" s="23" t="s">
        <v>1283</v>
      </c>
      <c r="E209" s="55">
        <v>46125</v>
      </c>
      <c r="F209" s="26" t="s">
        <v>948</v>
      </c>
      <c r="G209" s="26" t="s">
        <v>58</v>
      </c>
      <c r="H209" s="26" t="s">
        <v>56</v>
      </c>
      <c r="I209" s="26" t="s">
        <v>1284</v>
      </c>
      <c r="J209" s="26" t="s">
        <v>58</v>
      </c>
      <c r="K209" s="27"/>
      <c r="L209" s="28" t="s">
        <v>56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4.25" customHeight="1" x14ac:dyDescent="0.3">
      <c r="A210" s="42">
        <v>206</v>
      </c>
      <c r="B210" s="43" t="s">
        <v>1693</v>
      </c>
      <c r="C210" s="44" t="s">
        <v>1694</v>
      </c>
      <c r="D210" s="42" t="s">
        <v>1283</v>
      </c>
      <c r="E210" s="55">
        <v>46125</v>
      </c>
      <c r="F210" s="26" t="s">
        <v>948</v>
      </c>
      <c r="G210" s="26" t="s">
        <v>58</v>
      </c>
      <c r="H210" s="26" t="s">
        <v>56</v>
      </c>
      <c r="I210" s="26" t="s">
        <v>1284</v>
      </c>
      <c r="J210" s="26" t="s">
        <v>58</v>
      </c>
      <c r="K210" s="27"/>
      <c r="L210" s="28" t="s">
        <v>56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4.25" customHeight="1" x14ac:dyDescent="0.3">
      <c r="A211" s="23">
        <v>207</v>
      </c>
      <c r="B211" s="24" t="s">
        <v>1695</v>
      </c>
      <c r="C211" s="25" t="s">
        <v>1696</v>
      </c>
      <c r="D211" s="23" t="s">
        <v>1283</v>
      </c>
      <c r="E211" s="55">
        <v>46125</v>
      </c>
      <c r="F211" s="26" t="s">
        <v>948</v>
      </c>
      <c r="G211" s="26" t="s">
        <v>58</v>
      </c>
      <c r="H211" s="26" t="s">
        <v>56</v>
      </c>
      <c r="I211" s="26" t="s">
        <v>1284</v>
      </c>
      <c r="J211" s="26" t="s">
        <v>58</v>
      </c>
      <c r="K211" s="27"/>
      <c r="L211" s="28" t="s">
        <v>56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4.25" customHeight="1" x14ac:dyDescent="0.3">
      <c r="A212" s="42">
        <v>208</v>
      </c>
      <c r="B212" s="43" t="s">
        <v>1697</v>
      </c>
      <c r="C212" s="44" t="s">
        <v>1698</v>
      </c>
      <c r="D212" s="42" t="s">
        <v>1283</v>
      </c>
      <c r="E212" s="55">
        <v>46125</v>
      </c>
      <c r="F212" s="26" t="s">
        <v>948</v>
      </c>
      <c r="G212" s="26" t="s">
        <v>58</v>
      </c>
      <c r="H212" s="26" t="s">
        <v>56</v>
      </c>
      <c r="I212" s="26" t="s">
        <v>1284</v>
      </c>
      <c r="J212" s="26" t="s">
        <v>58</v>
      </c>
      <c r="K212" s="27"/>
      <c r="L212" s="28" t="s">
        <v>56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4.25" customHeight="1" x14ac:dyDescent="0.3">
      <c r="A213" s="23">
        <v>209</v>
      </c>
      <c r="B213" s="24" t="s">
        <v>1699</v>
      </c>
      <c r="C213" s="25" t="s">
        <v>1700</v>
      </c>
      <c r="D213" s="23" t="s">
        <v>1283</v>
      </c>
      <c r="E213" s="55">
        <v>46125</v>
      </c>
      <c r="F213" s="26" t="s">
        <v>948</v>
      </c>
      <c r="G213" s="26" t="s">
        <v>58</v>
      </c>
      <c r="H213" s="26" t="s">
        <v>56</v>
      </c>
      <c r="I213" s="26" t="s">
        <v>1284</v>
      </c>
      <c r="J213" s="26" t="s">
        <v>58</v>
      </c>
      <c r="K213" s="27"/>
      <c r="L213" s="28" t="s">
        <v>56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4.25" customHeight="1" x14ac:dyDescent="0.3">
      <c r="A214" s="42">
        <v>210</v>
      </c>
      <c r="B214" s="43" t="s">
        <v>1701</v>
      </c>
      <c r="C214" s="44" t="s">
        <v>1702</v>
      </c>
      <c r="D214" s="42" t="s">
        <v>1283</v>
      </c>
      <c r="E214" s="55">
        <v>46125</v>
      </c>
      <c r="F214" s="26" t="s">
        <v>948</v>
      </c>
      <c r="G214" s="26" t="s">
        <v>58</v>
      </c>
      <c r="H214" s="26" t="s">
        <v>56</v>
      </c>
      <c r="I214" s="26" t="s">
        <v>1284</v>
      </c>
      <c r="J214" s="26" t="s">
        <v>58</v>
      </c>
      <c r="K214" s="27"/>
      <c r="L214" s="28" t="s">
        <v>56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4.25" customHeight="1" x14ac:dyDescent="0.3">
      <c r="A215" s="23">
        <v>211</v>
      </c>
      <c r="B215" s="24" t="s">
        <v>1703</v>
      </c>
      <c r="C215" s="25" t="s">
        <v>1704</v>
      </c>
      <c r="D215" s="23" t="s">
        <v>1283</v>
      </c>
      <c r="E215" s="55">
        <v>46125</v>
      </c>
      <c r="F215" s="26" t="s">
        <v>948</v>
      </c>
      <c r="G215" s="26" t="s">
        <v>58</v>
      </c>
      <c r="H215" s="26" t="s">
        <v>56</v>
      </c>
      <c r="I215" s="26" t="s">
        <v>1284</v>
      </c>
      <c r="J215" s="26" t="s">
        <v>58</v>
      </c>
      <c r="K215" s="27"/>
      <c r="L215" s="28" t="s">
        <v>56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4.25" customHeight="1" x14ac:dyDescent="0.3">
      <c r="A216" s="42">
        <v>212</v>
      </c>
      <c r="B216" s="43" t="s">
        <v>1705</v>
      </c>
      <c r="C216" s="44" t="s">
        <v>1706</v>
      </c>
      <c r="D216" s="42" t="s">
        <v>1283</v>
      </c>
      <c r="E216" s="55">
        <v>46125</v>
      </c>
      <c r="F216" s="26" t="s">
        <v>948</v>
      </c>
      <c r="G216" s="26" t="s">
        <v>58</v>
      </c>
      <c r="H216" s="26" t="s">
        <v>56</v>
      </c>
      <c r="I216" s="26" t="s">
        <v>1284</v>
      </c>
      <c r="J216" s="26" t="s">
        <v>58</v>
      </c>
      <c r="K216" s="27"/>
      <c r="L216" s="28" t="s">
        <v>56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4.25" customHeight="1" x14ac:dyDescent="0.3">
      <c r="A217" s="23">
        <v>213</v>
      </c>
      <c r="B217" s="24" t="s">
        <v>1707</v>
      </c>
      <c r="C217" s="25" t="s">
        <v>1708</v>
      </c>
      <c r="D217" s="23" t="s">
        <v>1283</v>
      </c>
      <c r="E217" s="55">
        <v>46125</v>
      </c>
      <c r="F217" s="26" t="s">
        <v>948</v>
      </c>
      <c r="G217" s="26" t="s">
        <v>58</v>
      </c>
      <c r="H217" s="26" t="s">
        <v>56</v>
      </c>
      <c r="I217" s="26" t="s">
        <v>1284</v>
      </c>
      <c r="J217" s="26" t="s">
        <v>58</v>
      </c>
      <c r="K217" s="27"/>
      <c r="L217" s="28" t="s">
        <v>56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4.25" customHeight="1" x14ac:dyDescent="0.3">
      <c r="A218" s="42">
        <v>214</v>
      </c>
      <c r="B218" s="43" t="s">
        <v>1709</v>
      </c>
      <c r="C218" s="44" t="s">
        <v>1710</v>
      </c>
      <c r="D218" s="42" t="s">
        <v>1283</v>
      </c>
      <c r="E218" s="55">
        <v>46125</v>
      </c>
      <c r="F218" s="26" t="s">
        <v>948</v>
      </c>
      <c r="G218" s="26" t="s">
        <v>58</v>
      </c>
      <c r="H218" s="26" t="s">
        <v>56</v>
      </c>
      <c r="I218" s="26" t="s">
        <v>1284</v>
      </c>
      <c r="J218" s="26" t="s">
        <v>58</v>
      </c>
      <c r="K218" s="27"/>
      <c r="L218" s="28" t="s">
        <v>56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4.25" customHeight="1" x14ac:dyDescent="0.3">
      <c r="A219" s="23">
        <v>215</v>
      </c>
      <c r="B219" s="24" t="s">
        <v>1711</v>
      </c>
      <c r="C219" s="25" t="s">
        <v>1712</v>
      </c>
      <c r="D219" s="23" t="s">
        <v>1283</v>
      </c>
      <c r="E219" s="55">
        <v>46125</v>
      </c>
      <c r="F219" s="26" t="s">
        <v>948</v>
      </c>
      <c r="G219" s="26" t="s">
        <v>58</v>
      </c>
      <c r="H219" s="26" t="s">
        <v>56</v>
      </c>
      <c r="I219" s="26" t="s">
        <v>1284</v>
      </c>
      <c r="J219" s="26" t="s">
        <v>58</v>
      </c>
      <c r="K219" s="27"/>
      <c r="L219" s="28" t="s">
        <v>56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4.25" customHeight="1" x14ac:dyDescent="0.3">
      <c r="A220" s="42">
        <v>216</v>
      </c>
      <c r="B220" s="43" t="s">
        <v>1713</v>
      </c>
      <c r="C220" s="44" t="s">
        <v>1714</v>
      </c>
      <c r="D220" s="42" t="s">
        <v>1283</v>
      </c>
      <c r="E220" s="55">
        <v>46125</v>
      </c>
      <c r="F220" s="26" t="s">
        <v>948</v>
      </c>
      <c r="G220" s="26" t="s">
        <v>58</v>
      </c>
      <c r="H220" s="26" t="s">
        <v>56</v>
      </c>
      <c r="I220" s="26" t="s">
        <v>1284</v>
      </c>
      <c r="J220" s="26" t="s">
        <v>58</v>
      </c>
      <c r="K220" s="27"/>
      <c r="L220" s="28" t="s">
        <v>56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4.25" customHeight="1" x14ac:dyDescent="0.3">
      <c r="A221" s="23">
        <v>217</v>
      </c>
      <c r="B221" s="24" t="s">
        <v>1715</v>
      </c>
      <c r="C221" s="25" t="s">
        <v>1716</v>
      </c>
      <c r="D221" s="23" t="s">
        <v>1283</v>
      </c>
      <c r="E221" s="55">
        <v>46125</v>
      </c>
      <c r="F221" s="26" t="s">
        <v>948</v>
      </c>
      <c r="G221" s="26" t="s">
        <v>58</v>
      </c>
      <c r="H221" s="26" t="s">
        <v>56</v>
      </c>
      <c r="I221" s="26" t="s">
        <v>1284</v>
      </c>
      <c r="J221" s="26" t="s">
        <v>58</v>
      </c>
      <c r="K221" s="27"/>
      <c r="L221" s="28" t="s">
        <v>56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4.25" customHeight="1" x14ac:dyDescent="0.3">
      <c r="A222" s="42">
        <v>218</v>
      </c>
      <c r="B222" s="43" t="s">
        <v>1717</v>
      </c>
      <c r="C222" s="44" t="s">
        <v>1718</v>
      </c>
      <c r="D222" s="42" t="s">
        <v>1283</v>
      </c>
      <c r="E222" s="55">
        <v>46125</v>
      </c>
      <c r="F222" s="26" t="s">
        <v>948</v>
      </c>
      <c r="G222" s="26" t="s">
        <v>58</v>
      </c>
      <c r="H222" s="26" t="s">
        <v>56</v>
      </c>
      <c r="I222" s="26" t="s">
        <v>1284</v>
      </c>
      <c r="J222" s="26" t="s">
        <v>58</v>
      </c>
      <c r="K222" s="27"/>
      <c r="L222" s="28" t="s">
        <v>56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4.25" customHeight="1" x14ac:dyDescent="0.3">
      <c r="A223" s="23">
        <v>219</v>
      </c>
      <c r="B223" s="24" t="s">
        <v>1719</v>
      </c>
      <c r="C223" s="25" t="s">
        <v>1720</v>
      </c>
      <c r="D223" s="23" t="s">
        <v>1283</v>
      </c>
      <c r="E223" s="55">
        <v>46125</v>
      </c>
      <c r="F223" s="26" t="s">
        <v>948</v>
      </c>
      <c r="G223" s="26" t="s">
        <v>58</v>
      </c>
      <c r="H223" s="26" t="s">
        <v>56</v>
      </c>
      <c r="I223" s="26" t="s">
        <v>1284</v>
      </c>
      <c r="J223" s="26" t="s">
        <v>58</v>
      </c>
      <c r="K223" s="27"/>
      <c r="L223" s="28" t="s">
        <v>56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4.25" customHeight="1" x14ac:dyDescent="0.3">
      <c r="A224" s="42">
        <v>220</v>
      </c>
      <c r="B224" s="43" t="s">
        <v>1721</v>
      </c>
      <c r="C224" s="44" t="s">
        <v>1722</v>
      </c>
      <c r="D224" s="42" t="s">
        <v>1283</v>
      </c>
      <c r="E224" s="55">
        <v>46125</v>
      </c>
      <c r="F224" s="26" t="s">
        <v>948</v>
      </c>
      <c r="G224" s="26" t="s">
        <v>58</v>
      </c>
      <c r="H224" s="26" t="s">
        <v>56</v>
      </c>
      <c r="I224" s="26" t="s">
        <v>1284</v>
      </c>
      <c r="J224" s="26" t="s">
        <v>58</v>
      </c>
      <c r="K224" s="27"/>
      <c r="L224" s="28" t="s">
        <v>56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4.25" customHeight="1" x14ac:dyDescent="0.3">
      <c r="A225" s="23">
        <v>221</v>
      </c>
      <c r="B225" s="24" t="s">
        <v>1723</v>
      </c>
      <c r="C225" s="25" t="s">
        <v>1724</v>
      </c>
      <c r="D225" s="23" t="s">
        <v>1283</v>
      </c>
      <c r="E225" s="55">
        <v>46125</v>
      </c>
      <c r="F225" s="26" t="s">
        <v>948</v>
      </c>
      <c r="G225" s="26" t="s">
        <v>58</v>
      </c>
      <c r="H225" s="26" t="s">
        <v>56</v>
      </c>
      <c r="I225" s="26" t="s">
        <v>1284</v>
      </c>
      <c r="J225" s="26" t="s">
        <v>58</v>
      </c>
      <c r="K225" s="27"/>
      <c r="L225" s="28" t="s">
        <v>56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4.25" customHeight="1" x14ac:dyDescent="0.3">
      <c r="A226" s="42">
        <v>222</v>
      </c>
      <c r="B226" s="43" t="s">
        <v>1725</v>
      </c>
      <c r="C226" s="44" t="s">
        <v>1726</v>
      </c>
      <c r="D226" s="42" t="s">
        <v>1283</v>
      </c>
      <c r="E226" s="55">
        <v>46125</v>
      </c>
      <c r="F226" s="26" t="s">
        <v>948</v>
      </c>
      <c r="G226" s="26" t="s">
        <v>58</v>
      </c>
      <c r="H226" s="26" t="s">
        <v>56</v>
      </c>
      <c r="I226" s="26" t="s">
        <v>1284</v>
      </c>
      <c r="J226" s="26" t="s">
        <v>58</v>
      </c>
      <c r="K226" s="27"/>
      <c r="L226" s="28" t="s">
        <v>56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4.25" customHeight="1" x14ac:dyDescent="0.3">
      <c r="A227" s="23">
        <v>223</v>
      </c>
      <c r="B227" s="24" t="s">
        <v>1727</v>
      </c>
      <c r="C227" s="25" t="s">
        <v>1728</v>
      </c>
      <c r="D227" s="23" t="s">
        <v>1283</v>
      </c>
      <c r="E227" s="55">
        <v>46125</v>
      </c>
      <c r="F227" s="26" t="s">
        <v>948</v>
      </c>
      <c r="G227" s="26" t="s">
        <v>58</v>
      </c>
      <c r="H227" s="26" t="s">
        <v>56</v>
      </c>
      <c r="I227" s="26" t="s">
        <v>1284</v>
      </c>
      <c r="J227" s="26" t="s">
        <v>58</v>
      </c>
      <c r="K227" s="27"/>
      <c r="L227" s="28" t="s">
        <v>56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4.25" customHeight="1" x14ac:dyDescent="0.3">
      <c r="A228" s="42">
        <v>224</v>
      </c>
      <c r="B228" s="43" t="s">
        <v>1729</v>
      </c>
      <c r="C228" s="44" t="s">
        <v>1730</v>
      </c>
      <c r="D228" s="42" t="s">
        <v>1283</v>
      </c>
      <c r="E228" s="55">
        <v>46125</v>
      </c>
      <c r="F228" s="26" t="s">
        <v>948</v>
      </c>
      <c r="G228" s="26" t="s">
        <v>58</v>
      </c>
      <c r="H228" s="26" t="s">
        <v>56</v>
      </c>
      <c r="I228" s="26" t="s">
        <v>1284</v>
      </c>
      <c r="J228" s="26" t="s">
        <v>58</v>
      </c>
      <c r="K228" s="27"/>
      <c r="L228" s="28" t="s">
        <v>56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4.25" customHeight="1" x14ac:dyDescent="0.3">
      <c r="A229" s="23">
        <v>225</v>
      </c>
      <c r="B229" s="24" t="s">
        <v>1731</v>
      </c>
      <c r="C229" s="25" t="s">
        <v>1732</v>
      </c>
      <c r="D229" s="23" t="s">
        <v>1283</v>
      </c>
      <c r="E229" s="55">
        <v>46125</v>
      </c>
      <c r="F229" s="26" t="s">
        <v>948</v>
      </c>
      <c r="G229" s="26" t="s">
        <v>58</v>
      </c>
      <c r="H229" s="26" t="s">
        <v>56</v>
      </c>
      <c r="I229" s="26" t="s">
        <v>1284</v>
      </c>
      <c r="J229" s="26" t="s">
        <v>58</v>
      </c>
      <c r="K229" s="27"/>
      <c r="L229" s="28" t="s">
        <v>56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4.25" customHeight="1" x14ac:dyDescent="0.3">
      <c r="A230" s="42">
        <v>226</v>
      </c>
      <c r="B230" s="43" t="s">
        <v>1733</v>
      </c>
      <c r="C230" s="44" t="s">
        <v>1734</v>
      </c>
      <c r="D230" s="42" t="s">
        <v>1283</v>
      </c>
      <c r="E230" s="55">
        <v>46125</v>
      </c>
      <c r="F230" s="26" t="s">
        <v>948</v>
      </c>
      <c r="G230" s="26" t="s">
        <v>58</v>
      </c>
      <c r="H230" s="26" t="s">
        <v>56</v>
      </c>
      <c r="I230" s="26" t="s">
        <v>1284</v>
      </c>
      <c r="J230" s="26" t="s">
        <v>58</v>
      </c>
      <c r="K230" s="27"/>
      <c r="L230" s="28" t="s">
        <v>56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4.25" customHeight="1" x14ac:dyDescent="0.3">
      <c r="A231" s="23">
        <v>227</v>
      </c>
      <c r="B231" s="24" t="s">
        <v>1735</v>
      </c>
      <c r="C231" s="25" t="s">
        <v>1736</v>
      </c>
      <c r="D231" s="23" t="s">
        <v>1283</v>
      </c>
      <c r="E231" s="55">
        <v>46125</v>
      </c>
      <c r="F231" s="26" t="s">
        <v>948</v>
      </c>
      <c r="G231" s="26" t="s">
        <v>58</v>
      </c>
      <c r="H231" s="26" t="s">
        <v>56</v>
      </c>
      <c r="I231" s="26" t="s">
        <v>1284</v>
      </c>
      <c r="J231" s="26" t="s">
        <v>58</v>
      </c>
      <c r="K231" s="27"/>
      <c r="L231" s="28" t="s">
        <v>56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4.25" customHeight="1" x14ac:dyDescent="0.3">
      <c r="A232" s="42">
        <v>228</v>
      </c>
      <c r="B232" s="43" t="s">
        <v>1737</v>
      </c>
      <c r="C232" s="44" t="s">
        <v>1738</v>
      </c>
      <c r="D232" s="42" t="s">
        <v>1283</v>
      </c>
      <c r="E232" s="55">
        <v>46125</v>
      </c>
      <c r="F232" s="26" t="s">
        <v>948</v>
      </c>
      <c r="G232" s="26" t="s">
        <v>58</v>
      </c>
      <c r="H232" s="26" t="s">
        <v>56</v>
      </c>
      <c r="I232" s="26" t="s">
        <v>1284</v>
      </c>
      <c r="J232" s="26" t="s">
        <v>58</v>
      </c>
      <c r="K232" s="27"/>
      <c r="L232" s="28" t="s">
        <v>56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4.25" customHeight="1" x14ac:dyDescent="0.3">
      <c r="A233" s="23">
        <v>229</v>
      </c>
      <c r="B233" s="24" t="s">
        <v>1739</v>
      </c>
      <c r="C233" s="25" t="s">
        <v>1740</v>
      </c>
      <c r="D233" s="23" t="s">
        <v>1283</v>
      </c>
      <c r="E233" s="55">
        <v>46125</v>
      </c>
      <c r="F233" s="26" t="s">
        <v>948</v>
      </c>
      <c r="G233" s="26" t="s">
        <v>58</v>
      </c>
      <c r="H233" s="26" t="s">
        <v>56</v>
      </c>
      <c r="I233" s="26" t="s">
        <v>1284</v>
      </c>
      <c r="J233" s="26" t="s">
        <v>58</v>
      </c>
      <c r="K233" s="27"/>
      <c r="L233" s="28" t="s">
        <v>56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4.25" customHeight="1" x14ac:dyDescent="0.3">
      <c r="A234" s="42">
        <v>230</v>
      </c>
      <c r="B234" s="43" t="s">
        <v>1741</v>
      </c>
      <c r="C234" s="44" t="s">
        <v>1742</v>
      </c>
      <c r="D234" s="42" t="s">
        <v>1283</v>
      </c>
      <c r="E234" s="55">
        <v>46125</v>
      </c>
      <c r="F234" s="26" t="s">
        <v>948</v>
      </c>
      <c r="G234" s="26" t="s">
        <v>58</v>
      </c>
      <c r="H234" s="26" t="s">
        <v>56</v>
      </c>
      <c r="I234" s="26" t="s">
        <v>1284</v>
      </c>
      <c r="J234" s="26" t="s">
        <v>58</v>
      </c>
      <c r="K234" s="27"/>
      <c r="L234" s="28" t="s">
        <v>56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4.25" customHeight="1" x14ac:dyDescent="0.3">
      <c r="A235" s="23">
        <v>231</v>
      </c>
      <c r="B235" s="24" t="s">
        <v>1743</v>
      </c>
      <c r="C235" s="25" t="s">
        <v>1744</v>
      </c>
      <c r="D235" s="23" t="s">
        <v>1283</v>
      </c>
      <c r="E235" s="55">
        <v>46125</v>
      </c>
      <c r="F235" s="26" t="s">
        <v>948</v>
      </c>
      <c r="G235" s="26" t="s">
        <v>58</v>
      </c>
      <c r="H235" s="26" t="s">
        <v>56</v>
      </c>
      <c r="I235" s="26" t="s">
        <v>1284</v>
      </c>
      <c r="J235" s="26" t="s">
        <v>58</v>
      </c>
      <c r="K235" s="27"/>
      <c r="L235" s="28" t="s">
        <v>56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4.25" customHeight="1" x14ac:dyDescent="0.3">
      <c r="A236" s="42">
        <v>232</v>
      </c>
      <c r="B236" s="43" t="s">
        <v>1745</v>
      </c>
      <c r="C236" s="44" t="s">
        <v>1746</v>
      </c>
      <c r="D236" s="42" t="s">
        <v>1283</v>
      </c>
      <c r="E236" s="55">
        <v>46125</v>
      </c>
      <c r="F236" s="26" t="s">
        <v>948</v>
      </c>
      <c r="G236" s="26" t="s">
        <v>58</v>
      </c>
      <c r="H236" s="26" t="s">
        <v>56</v>
      </c>
      <c r="I236" s="26" t="s">
        <v>1284</v>
      </c>
      <c r="J236" s="26" t="s">
        <v>58</v>
      </c>
      <c r="K236" s="27"/>
      <c r="L236" s="28" t="s">
        <v>56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4.25" customHeight="1" x14ac:dyDescent="0.3">
      <c r="A237" s="23">
        <v>233</v>
      </c>
      <c r="B237" s="24" t="s">
        <v>1747</v>
      </c>
      <c r="C237" s="25" t="s">
        <v>1748</v>
      </c>
      <c r="D237" s="23" t="s">
        <v>1283</v>
      </c>
      <c r="E237" s="55">
        <v>46125</v>
      </c>
      <c r="F237" s="26" t="s">
        <v>948</v>
      </c>
      <c r="G237" s="26" t="s">
        <v>58</v>
      </c>
      <c r="H237" s="26" t="s">
        <v>56</v>
      </c>
      <c r="I237" s="26" t="s">
        <v>1284</v>
      </c>
      <c r="J237" s="26" t="s">
        <v>58</v>
      </c>
      <c r="K237" s="27"/>
      <c r="L237" s="28" t="s">
        <v>56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4.25" customHeight="1" x14ac:dyDescent="0.3">
      <c r="A238" s="42">
        <v>234</v>
      </c>
      <c r="B238" s="43" t="s">
        <v>1749</v>
      </c>
      <c r="C238" s="44" t="s">
        <v>1750</v>
      </c>
      <c r="D238" s="42" t="s">
        <v>1283</v>
      </c>
      <c r="E238" s="55">
        <v>46125</v>
      </c>
      <c r="F238" s="26" t="s">
        <v>948</v>
      </c>
      <c r="G238" s="26" t="s">
        <v>58</v>
      </c>
      <c r="H238" s="26" t="s">
        <v>56</v>
      </c>
      <c r="I238" s="26" t="s">
        <v>1284</v>
      </c>
      <c r="J238" s="26" t="s">
        <v>58</v>
      </c>
      <c r="K238" s="27"/>
      <c r="L238" s="28" t="s">
        <v>56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4.25" customHeight="1" x14ac:dyDescent="0.3">
      <c r="A239" s="23">
        <v>235</v>
      </c>
      <c r="B239" s="24" t="s">
        <v>1751</v>
      </c>
      <c r="C239" s="25" t="s">
        <v>1752</v>
      </c>
      <c r="D239" s="23" t="s">
        <v>1283</v>
      </c>
      <c r="E239" s="55">
        <v>46125</v>
      </c>
      <c r="F239" s="26" t="s">
        <v>948</v>
      </c>
      <c r="G239" s="26" t="s">
        <v>58</v>
      </c>
      <c r="H239" s="26" t="s">
        <v>56</v>
      </c>
      <c r="I239" s="26" t="s">
        <v>1284</v>
      </c>
      <c r="J239" s="26" t="s">
        <v>58</v>
      </c>
      <c r="K239" s="27"/>
      <c r="L239" s="28" t="s">
        <v>56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4.25" customHeight="1" x14ac:dyDescent="0.3">
      <c r="A240" s="42">
        <v>236</v>
      </c>
      <c r="B240" s="43" t="s">
        <v>1753</v>
      </c>
      <c r="C240" s="44" t="s">
        <v>1754</v>
      </c>
      <c r="D240" s="42" t="s">
        <v>1283</v>
      </c>
      <c r="E240" s="55">
        <v>46125</v>
      </c>
      <c r="F240" s="26" t="s">
        <v>948</v>
      </c>
      <c r="G240" s="26" t="s">
        <v>58</v>
      </c>
      <c r="H240" s="26" t="s">
        <v>56</v>
      </c>
      <c r="I240" s="26" t="s">
        <v>1284</v>
      </c>
      <c r="J240" s="26" t="s">
        <v>58</v>
      </c>
      <c r="K240" s="27"/>
      <c r="L240" s="28" t="s">
        <v>56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4.25" customHeight="1" x14ac:dyDescent="0.3">
      <c r="A241" s="23">
        <v>237</v>
      </c>
      <c r="B241" s="24" t="s">
        <v>1755</v>
      </c>
      <c r="C241" s="25" t="s">
        <v>1756</v>
      </c>
      <c r="D241" s="23" t="s">
        <v>1283</v>
      </c>
      <c r="E241" s="55">
        <v>46125</v>
      </c>
      <c r="F241" s="26" t="s">
        <v>948</v>
      </c>
      <c r="G241" s="26" t="s">
        <v>58</v>
      </c>
      <c r="H241" s="26" t="s">
        <v>56</v>
      </c>
      <c r="I241" s="26" t="s">
        <v>1284</v>
      </c>
      <c r="J241" s="26" t="s">
        <v>58</v>
      </c>
      <c r="K241" s="27"/>
      <c r="L241" s="28" t="s">
        <v>56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4.25" customHeight="1" x14ac:dyDescent="0.3">
      <c r="A242" s="42">
        <v>238</v>
      </c>
      <c r="B242" s="43" t="s">
        <v>1757</v>
      </c>
      <c r="C242" s="44" t="s">
        <v>1758</v>
      </c>
      <c r="D242" s="42" t="s">
        <v>1283</v>
      </c>
      <c r="E242" s="55">
        <v>46125</v>
      </c>
      <c r="F242" s="26" t="s">
        <v>948</v>
      </c>
      <c r="G242" s="26" t="s">
        <v>58</v>
      </c>
      <c r="H242" s="26" t="s">
        <v>56</v>
      </c>
      <c r="I242" s="26" t="s">
        <v>1284</v>
      </c>
      <c r="J242" s="26" t="s">
        <v>58</v>
      </c>
      <c r="K242" s="27"/>
      <c r="L242" s="28" t="s">
        <v>56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4.25" customHeight="1" x14ac:dyDescent="0.3">
      <c r="A243" s="23">
        <v>239</v>
      </c>
      <c r="B243" s="24" t="s">
        <v>1759</v>
      </c>
      <c r="C243" s="25" t="s">
        <v>1760</v>
      </c>
      <c r="D243" s="23" t="s">
        <v>1283</v>
      </c>
      <c r="E243" s="55">
        <v>46125</v>
      </c>
      <c r="F243" s="26" t="s">
        <v>948</v>
      </c>
      <c r="G243" s="26" t="s">
        <v>58</v>
      </c>
      <c r="H243" s="26" t="s">
        <v>56</v>
      </c>
      <c r="I243" s="26" t="s">
        <v>1284</v>
      </c>
      <c r="J243" s="26" t="s">
        <v>58</v>
      </c>
      <c r="K243" s="27"/>
      <c r="L243" s="28" t="s">
        <v>56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4.25" customHeight="1" x14ac:dyDescent="0.3">
      <c r="A244" s="42">
        <v>240</v>
      </c>
      <c r="B244" s="43" t="s">
        <v>1761</v>
      </c>
      <c r="C244" s="44" t="s">
        <v>1762</v>
      </c>
      <c r="D244" s="42" t="s">
        <v>1283</v>
      </c>
      <c r="E244" s="55">
        <v>46125</v>
      </c>
      <c r="F244" s="26" t="s">
        <v>948</v>
      </c>
      <c r="G244" s="26" t="s">
        <v>58</v>
      </c>
      <c r="H244" s="26" t="s">
        <v>56</v>
      </c>
      <c r="I244" s="26" t="s">
        <v>1284</v>
      </c>
      <c r="J244" s="26" t="s">
        <v>58</v>
      </c>
      <c r="K244" s="27"/>
      <c r="L244" s="28" t="s">
        <v>56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4.25" customHeight="1" x14ac:dyDescent="0.3">
      <c r="A245" s="23">
        <v>241</v>
      </c>
      <c r="B245" s="24" t="s">
        <v>1763</v>
      </c>
      <c r="C245" s="25" t="s">
        <v>1764</v>
      </c>
      <c r="D245" s="23" t="s">
        <v>1283</v>
      </c>
      <c r="E245" s="55">
        <v>46125</v>
      </c>
      <c r="F245" s="26" t="s">
        <v>948</v>
      </c>
      <c r="G245" s="26" t="s">
        <v>58</v>
      </c>
      <c r="H245" s="26" t="s">
        <v>56</v>
      </c>
      <c r="I245" s="26" t="s">
        <v>1284</v>
      </c>
      <c r="J245" s="26" t="s">
        <v>58</v>
      </c>
      <c r="K245" s="27"/>
      <c r="L245" s="28" t="s">
        <v>56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4.25" customHeight="1" x14ac:dyDescent="0.3">
      <c r="A246" s="42">
        <v>242</v>
      </c>
      <c r="B246" s="43" t="s">
        <v>1765</v>
      </c>
      <c r="C246" s="44" t="s">
        <v>1766</v>
      </c>
      <c r="D246" s="42" t="s">
        <v>1283</v>
      </c>
      <c r="E246" s="55">
        <v>46125</v>
      </c>
      <c r="F246" s="26" t="s">
        <v>948</v>
      </c>
      <c r="G246" s="26" t="s">
        <v>58</v>
      </c>
      <c r="H246" s="26" t="s">
        <v>56</v>
      </c>
      <c r="I246" s="26" t="s">
        <v>1284</v>
      </c>
      <c r="J246" s="26" t="s">
        <v>58</v>
      </c>
      <c r="K246" s="27"/>
      <c r="L246" s="28" t="s">
        <v>56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4.25" customHeight="1" x14ac:dyDescent="0.3">
      <c r="A247" s="23">
        <v>243</v>
      </c>
      <c r="B247" s="24" t="s">
        <v>1767</v>
      </c>
      <c r="C247" s="25" t="s">
        <v>1768</v>
      </c>
      <c r="D247" s="23" t="s">
        <v>1283</v>
      </c>
      <c r="E247" s="55">
        <v>46125</v>
      </c>
      <c r="F247" s="26" t="s">
        <v>948</v>
      </c>
      <c r="G247" s="26" t="s">
        <v>58</v>
      </c>
      <c r="H247" s="26" t="s">
        <v>56</v>
      </c>
      <c r="I247" s="26" t="s">
        <v>1284</v>
      </c>
      <c r="J247" s="26" t="s">
        <v>58</v>
      </c>
      <c r="K247" s="27"/>
      <c r="L247" s="28" t="s">
        <v>56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4.25" customHeight="1" x14ac:dyDescent="0.3">
      <c r="A248" s="42">
        <v>244</v>
      </c>
      <c r="B248" s="43" t="s">
        <v>1769</v>
      </c>
      <c r="C248" s="44" t="s">
        <v>1770</v>
      </c>
      <c r="D248" s="42" t="s">
        <v>1283</v>
      </c>
      <c r="E248" s="55">
        <v>46125</v>
      </c>
      <c r="F248" s="26" t="s">
        <v>948</v>
      </c>
      <c r="G248" s="26" t="s">
        <v>58</v>
      </c>
      <c r="H248" s="26" t="s">
        <v>56</v>
      </c>
      <c r="I248" s="26" t="s">
        <v>1284</v>
      </c>
      <c r="J248" s="26" t="s">
        <v>58</v>
      </c>
      <c r="K248" s="27"/>
      <c r="L248" s="28" t="s">
        <v>56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4.25" customHeight="1" x14ac:dyDescent="0.3">
      <c r="A249" s="23">
        <v>245</v>
      </c>
      <c r="B249" s="24" t="s">
        <v>1771</v>
      </c>
      <c r="C249" s="25" t="s">
        <v>1772</v>
      </c>
      <c r="D249" s="23" t="s">
        <v>1283</v>
      </c>
      <c r="E249" s="55">
        <v>46125</v>
      </c>
      <c r="F249" s="26" t="s">
        <v>948</v>
      </c>
      <c r="G249" s="26" t="s">
        <v>58</v>
      </c>
      <c r="H249" s="26" t="s">
        <v>56</v>
      </c>
      <c r="I249" s="26" t="s">
        <v>1284</v>
      </c>
      <c r="J249" s="26" t="s">
        <v>58</v>
      </c>
      <c r="K249" s="27"/>
      <c r="L249" s="28" t="s">
        <v>56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4.25" customHeight="1" x14ac:dyDescent="0.3">
      <c r="A250" s="42">
        <v>246</v>
      </c>
      <c r="B250" s="43" t="s">
        <v>1773</v>
      </c>
      <c r="C250" s="44" t="s">
        <v>1774</v>
      </c>
      <c r="D250" s="42" t="s">
        <v>1283</v>
      </c>
      <c r="E250" s="55">
        <v>46125</v>
      </c>
      <c r="F250" s="26" t="s">
        <v>948</v>
      </c>
      <c r="G250" s="26" t="s">
        <v>58</v>
      </c>
      <c r="H250" s="26" t="s">
        <v>56</v>
      </c>
      <c r="I250" s="26" t="s">
        <v>1284</v>
      </c>
      <c r="J250" s="26" t="s">
        <v>58</v>
      </c>
      <c r="K250" s="27"/>
      <c r="L250" s="28" t="s">
        <v>56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4.25" customHeight="1" x14ac:dyDescent="0.3">
      <c r="A251" s="23">
        <v>247</v>
      </c>
      <c r="B251" s="24" t="s">
        <v>1775</v>
      </c>
      <c r="C251" s="25" t="s">
        <v>1776</v>
      </c>
      <c r="D251" s="23" t="s">
        <v>1283</v>
      </c>
      <c r="E251" s="55">
        <v>46125</v>
      </c>
      <c r="F251" s="26" t="s">
        <v>948</v>
      </c>
      <c r="G251" s="26" t="s">
        <v>58</v>
      </c>
      <c r="H251" s="26" t="s">
        <v>56</v>
      </c>
      <c r="I251" s="26" t="s">
        <v>1284</v>
      </c>
      <c r="J251" s="26" t="s">
        <v>58</v>
      </c>
      <c r="K251" s="27"/>
      <c r="L251" s="28" t="s">
        <v>56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4.25" customHeight="1" x14ac:dyDescent="0.3">
      <c r="A252" s="42">
        <v>248</v>
      </c>
      <c r="B252" s="43" t="s">
        <v>1777</v>
      </c>
      <c r="C252" s="44" t="s">
        <v>1778</v>
      </c>
      <c r="D252" s="42" t="s">
        <v>1283</v>
      </c>
      <c r="E252" s="55">
        <v>46125</v>
      </c>
      <c r="F252" s="26" t="s">
        <v>948</v>
      </c>
      <c r="G252" s="26" t="s">
        <v>58</v>
      </c>
      <c r="H252" s="26" t="s">
        <v>56</v>
      </c>
      <c r="I252" s="26" t="s">
        <v>1284</v>
      </c>
      <c r="J252" s="26" t="s">
        <v>58</v>
      </c>
      <c r="K252" s="27"/>
      <c r="L252" s="28" t="s">
        <v>56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4.25" customHeight="1" x14ac:dyDescent="0.3">
      <c r="A253" s="23">
        <v>249</v>
      </c>
      <c r="B253" s="24" t="s">
        <v>1779</v>
      </c>
      <c r="C253" s="25" t="s">
        <v>1780</v>
      </c>
      <c r="D253" s="23" t="s">
        <v>1283</v>
      </c>
      <c r="E253" s="55">
        <v>46125</v>
      </c>
      <c r="F253" s="26" t="s">
        <v>948</v>
      </c>
      <c r="G253" s="26" t="s">
        <v>58</v>
      </c>
      <c r="H253" s="26" t="s">
        <v>56</v>
      </c>
      <c r="I253" s="26" t="s">
        <v>1284</v>
      </c>
      <c r="J253" s="26" t="s">
        <v>58</v>
      </c>
      <c r="K253" s="27"/>
      <c r="L253" s="28" t="s">
        <v>56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4.25" customHeight="1" x14ac:dyDescent="0.3">
      <c r="A254" s="42">
        <v>250</v>
      </c>
      <c r="B254" s="43" t="s">
        <v>1781</v>
      </c>
      <c r="C254" s="44" t="s">
        <v>1782</v>
      </c>
      <c r="D254" s="42" t="s">
        <v>1283</v>
      </c>
      <c r="E254" s="55">
        <v>46125</v>
      </c>
      <c r="F254" s="26" t="s">
        <v>948</v>
      </c>
      <c r="G254" s="26" t="s">
        <v>58</v>
      </c>
      <c r="H254" s="26" t="s">
        <v>56</v>
      </c>
      <c r="I254" s="26" t="s">
        <v>1284</v>
      </c>
      <c r="J254" s="26" t="s">
        <v>58</v>
      </c>
      <c r="K254" s="27"/>
      <c r="L254" s="28" t="s">
        <v>56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4.25" customHeight="1" x14ac:dyDescent="0.3">
      <c r="A255" s="23">
        <v>251</v>
      </c>
      <c r="B255" s="24" t="s">
        <v>1783</v>
      </c>
      <c r="C255" s="25" t="s">
        <v>1784</v>
      </c>
      <c r="D255" s="23" t="s">
        <v>1283</v>
      </c>
      <c r="E255" s="55">
        <v>46125</v>
      </c>
      <c r="F255" s="26" t="s">
        <v>948</v>
      </c>
      <c r="G255" s="26" t="s">
        <v>58</v>
      </c>
      <c r="H255" s="26" t="s">
        <v>56</v>
      </c>
      <c r="I255" s="26" t="s">
        <v>1284</v>
      </c>
      <c r="J255" s="26" t="s">
        <v>58</v>
      </c>
      <c r="K255" s="27"/>
      <c r="L255" s="28" t="s">
        <v>56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4.25" customHeight="1" x14ac:dyDescent="0.3">
      <c r="A256" s="42">
        <v>252</v>
      </c>
      <c r="B256" s="43" t="s">
        <v>1785</v>
      </c>
      <c r="C256" s="44" t="s">
        <v>1786</v>
      </c>
      <c r="D256" s="42" t="s">
        <v>1283</v>
      </c>
      <c r="E256" s="55">
        <v>46125</v>
      </c>
      <c r="F256" s="26" t="s">
        <v>948</v>
      </c>
      <c r="G256" s="26" t="s">
        <v>58</v>
      </c>
      <c r="H256" s="26" t="s">
        <v>56</v>
      </c>
      <c r="I256" s="26" t="s">
        <v>1284</v>
      </c>
      <c r="J256" s="26" t="s">
        <v>58</v>
      </c>
      <c r="K256" s="27"/>
      <c r="L256" s="28" t="s">
        <v>56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4.25" customHeight="1" x14ac:dyDescent="0.3">
      <c r="A257" s="23">
        <v>253</v>
      </c>
      <c r="B257" s="24" t="s">
        <v>1787</v>
      </c>
      <c r="C257" s="25" t="s">
        <v>1788</v>
      </c>
      <c r="D257" s="23" t="s">
        <v>1283</v>
      </c>
      <c r="E257" s="55">
        <v>46125</v>
      </c>
      <c r="F257" s="26" t="s">
        <v>948</v>
      </c>
      <c r="G257" s="26" t="s">
        <v>58</v>
      </c>
      <c r="H257" s="26" t="s">
        <v>56</v>
      </c>
      <c r="I257" s="26" t="s">
        <v>1284</v>
      </c>
      <c r="J257" s="26" t="s">
        <v>58</v>
      </c>
      <c r="K257" s="27"/>
      <c r="L257" s="28" t="s">
        <v>56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4.25" customHeight="1" x14ac:dyDescent="0.3">
      <c r="A258" s="42">
        <v>254</v>
      </c>
      <c r="B258" s="43" t="s">
        <v>1789</v>
      </c>
      <c r="C258" s="44" t="s">
        <v>1790</v>
      </c>
      <c r="D258" s="42" t="s">
        <v>1283</v>
      </c>
      <c r="E258" s="55">
        <v>46125</v>
      </c>
      <c r="F258" s="26" t="s">
        <v>948</v>
      </c>
      <c r="G258" s="26" t="s">
        <v>58</v>
      </c>
      <c r="H258" s="26" t="s">
        <v>56</v>
      </c>
      <c r="I258" s="26" t="s">
        <v>1284</v>
      </c>
      <c r="J258" s="26" t="s">
        <v>58</v>
      </c>
      <c r="K258" s="27"/>
      <c r="L258" s="28" t="s">
        <v>56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4.25" customHeight="1" x14ac:dyDescent="0.3">
      <c r="A259" s="23">
        <v>255</v>
      </c>
      <c r="B259" s="24" t="s">
        <v>1791</v>
      </c>
      <c r="C259" s="25" t="s">
        <v>1792</v>
      </c>
      <c r="D259" s="23" t="s">
        <v>1283</v>
      </c>
      <c r="E259" s="55">
        <v>46125</v>
      </c>
      <c r="F259" s="26" t="s">
        <v>948</v>
      </c>
      <c r="G259" s="26" t="s">
        <v>58</v>
      </c>
      <c r="H259" s="26" t="s">
        <v>56</v>
      </c>
      <c r="I259" s="26" t="s">
        <v>1284</v>
      </c>
      <c r="J259" s="26" t="s">
        <v>58</v>
      </c>
      <c r="K259" s="27"/>
      <c r="L259" s="28" t="s">
        <v>56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4.25" customHeight="1" x14ac:dyDescent="0.3">
      <c r="A260" s="42">
        <v>256</v>
      </c>
      <c r="B260" s="43" t="s">
        <v>1793</v>
      </c>
      <c r="C260" s="44" t="s">
        <v>1794</v>
      </c>
      <c r="D260" s="42" t="s">
        <v>1283</v>
      </c>
      <c r="E260" s="55">
        <v>46125</v>
      </c>
      <c r="F260" s="26" t="s">
        <v>948</v>
      </c>
      <c r="G260" s="26" t="s">
        <v>58</v>
      </c>
      <c r="H260" s="26" t="s">
        <v>56</v>
      </c>
      <c r="I260" s="26" t="s">
        <v>1284</v>
      </c>
      <c r="J260" s="26" t="s">
        <v>58</v>
      </c>
      <c r="K260" s="27"/>
      <c r="L260" s="28" t="s">
        <v>56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4.25" customHeight="1" x14ac:dyDescent="0.3">
      <c r="A261" s="23">
        <v>257</v>
      </c>
      <c r="B261" s="24" t="s">
        <v>1795</v>
      </c>
      <c r="C261" s="25" t="s">
        <v>1796</v>
      </c>
      <c r="D261" s="23" t="s">
        <v>1283</v>
      </c>
      <c r="E261" s="55">
        <v>46125</v>
      </c>
      <c r="F261" s="26" t="s">
        <v>948</v>
      </c>
      <c r="G261" s="26" t="s">
        <v>58</v>
      </c>
      <c r="H261" s="26" t="s">
        <v>56</v>
      </c>
      <c r="I261" s="26" t="s">
        <v>1284</v>
      </c>
      <c r="J261" s="26" t="s">
        <v>58</v>
      </c>
      <c r="K261" s="27"/>
      <c r="L261" s="28" t="s">
        <v>56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42">
        <v>258</v>
      </c>
      <c r="B262" s="43" t="s">
        <v>1797</v>
      </c>
      <c r="C262" s="44" t="s">
        <v>1798</v>
      </c>
      <c r="D262" s="42" t="s">
        <v>1283</v>
      </c>
      <c r="E262" s="55">
        <v>46125</v>
      </c>
      <c r="F262" s="26" t="s">
        <v>948</v>
      </c>
      <c r="G262" s="26" t="s">
        <v>58</v>
      </c>
      <c r="H262" s="26" t="s">
        <v>56</v>
      </c>
      <c r="I262" s="26" t="s">
        <v>1284</v>
      </c>
      <c r="J262" s="26" t="s">
        <v>58</v>
      </c>
      <c r="K262" s="27"/>
      <c r="L262" s="28" t="s">
        <v>56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4.25" customHeight="1" x14ac:dyDescent="0.3">
      <c r="A263" s="23">
        <v>259</v>
      </c>
      <c r="B263" s="24" t="s">
        <v>1799</v>
      </c>
      <c r="C263" s="25" t="s">
        <v>1800</v>
      </c>
      <c r="D263" s="23" t="s">
        <v>1283</v>
      </c>
      <c r="E263" s="55">
        <v>46125</v>
      </c>
      <c r="F263" s="26" t="s">
        <v>948</v>
      </c>
      <c r="G263" s="26" t="s">
        <v>58</v>
      </c>
      <c r="H263" s="26" t="s">
        <v>56</v>
      </c>
      <c r="I263" s="26" t="s">
        <v>1284</v>
      </c>
      <c r="J263" s="26" t="s">
        <v>58</v>
      </c>
      <c r="K263" s="27"/>
      <c r="L263" s="28" t="s">
        <v>56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4.25" customHeight="1" x14ac:dyDescent="0.3">
      <c r="A264" s="42">
        <v>260</v>
      </c>
      <c r="B264" s="43" t="s">
        <v>1801</v>
      </c>
      <c r="C264" s="44" t="s">
        <v>1802</v>
      </c>
      <c r="D264" s="42" t="s">
        <v>1283</v>
      </c>
      <c r="E264" s="55">
        <v>46125</v>
      </c>
      <c r="F264" s="26" t="s">
        <v>948</v>
      </c>
      <c r="G264" s="26" t="s">
        <v>58</v>
      </c>
      <c r="H264" s="26" t="s">
        <v>56</v>
      </c>
      <c r="I264" s="26" t="s">
        <v>1284</v>
      </c>
      <c r="J264" s="26" t="s">
        <v>58</v>
      </c>
      <c r="K264" s="27"/>
      <c r="L264" s="28" t="s">
        <v>56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4.25" customHeight="1" x14ac:dyDescent="0.3">
      <c r="A265" s="23">
        <v>261</v>
      </c>
      <c r="B265" s="24" t="s">
        <v>1803</v>
      </c>
      <c r="C265" s="25" t="s">
        <v>1804</v>
      </c>
      <c r="D265" s="23" t="s">
        <v>1283</v>
      </c>
      <c r="E265" s="55">
        <v>46125</v>
      </c>
      <c r="F265" s="26" t="s">
        <v>948</v>
      </c>
      <c r="G265" s="26" t="s">
        <v>58</v>
      </c>
      <c r="H265" s="26" t="s">
        <v>56</v>
      </c>
      <c r="I265" s="26" t="s">
        <v>1284</v>
      </c>
      <c r="J265" s="26" t="s">
        <v>58</v>
      </c>
      <c r="K265" s="27"/>
      <c r="L265" s="28" t="s">
        <v>56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4.25" customHeight="1" x14ac:dyDescent="0.3">
      <c r="A266" s="42">
        <v>262</v>
      </c>
      <c r="B266" s="43" t="s">
        <v>1805</v>
      </c>
      <c r="C266" s="44" t="s">
        <v>1806</v>
      </c>
      <c r="D266" s="42" t="s">
        <v>1283</v>
      </c>
      <c r="E266" s="55">
        <v>46125</v>
      </c>
      <c r="F266" s="26" t="s">
        <v>948</v>
      </c>
      <c r="G266" s="26" t="s">
        <v>58</v>
      </c>
      <c r="H266" s="26" t="s">
        <v>56</v>
      </c>
      <c r="I266" s="26" t="s">
        <v>1284</v>
      </c>
      <c r="J266" s="26" t="s">
        <v>58</v>
      </c>
      <c r="K266" s="27"/>
      <c r="L266" s="28" t="s">
        <v>56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4.25" customHeight="1" x14ac:dyDescent="0.3">
      <c r="A267" s="23">
        <v>263</v>
      </c>
      <c r="B267" s="24" t="s">
        <v>1807</v>
      </c>
      <c r="C267" s="25" t="s">
        <v>1808</v>
      </c>
      <c r="D267" s="23" t="s">
        <v>1283</v>
      </c>
      <c r="E267" s="55">
        <v>46125</v>
      </c>
      <c r="F267" s="26" t="s">
        <v>948</v>
      </c>
      <c r="G267" s="26" t="s">
        <v>58</v>
      </c>
      <c r="H267" s="26" t="s">
        <v>56</v>
      </c>
      <c r="I267" s="26" t="s">
        <v>1284</v>
      </c>
      <c r="J267" s="26" t="s">
        <v>58</v>
      </c>
      <c r="K267" s="27"/>
      <c r="L267" s="28" t="s">
        <v>56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4.25" customHeight="1" x14ac:dyDescent="0.3">
      <c r="A268" s="42">
        <v>264</v>
      </c>
      <c r="B268" s="43" t="s">
        <v>1809</v>
      </c>
      <c r="C268" s="44" t="s">
        <v>1810</v>
      </c>
      <c r="D268" s="42" t="s">
        <v>1283</v>
      </c>
      <c r="E268" s="55">
        <v>46125</v>
      </c>
      <c r="F268" s="26" t="s">
        <v>948</v>
      </c>
      <c r="G268" s="26" t="s">
        <v>58</v>
      </c>
      <c r="H268" s="26" t="s">
        <v>56</v>
      </c>
      <c r="I268" s="26" t="s">
        <v>1284</v>
      </c>
      <c r="J268" s="26" t="s">
        <v>58</v>
      </c>
      <c r="K268" s="27"/>
      <c r="L268" s="28" t="s">
        <v>56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4.25" customHeight="1" x14ac:dyDescent="0.3">
      <c r="A269" s="23">
        <v>265</v>
      </c>
      <c r="B269" s="24" t="s">
        <v>1811</v>
      </c>
      <c r="C269" s="25" t="s">
        <v>1812</v>
      </c>
      <c r="D269" s="23" t="s">
        <v>1283</v>
      </c>
      <c r="E269" s="55">
        <v>46125</v>
      </c>
      <c r="F269" s="26" t="s">
        <v>948</v>
      </c>
      <c r="G269" s="26" t="s">
        <v>58</v>
      </c>
      <c r="H269" s="26" t="s">
        <v>56</v>
      </c>
      <c r="I269" s="26" t="s">
        <v>1284</v>
      </c>
      <c r="J269" s="26" t="s">
        <v>58</v>
      </c>
      <c r="K269" s="27"/>
      <c r="L269" s="28" t="s">
        <v>56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4.25" customHeight="1" x14ac:dyDescent="0.3">
      <c r="A270" s="42">
        <v>266</v>
      </c>
      <c r="B270" s="43" t="s">
        <v>1813</v>
      </c>
      <c r="C270" s="44" t="s">
        <v>1814</v>
      </c>
      <c r="D270" s="42" t="s">
        <v>1283</v>
      </c>
      <c r="E270" s="55">
        <v>46125</v>
      </c>
      <c r="F270" s="26" t="s">
        <v>948</v>
      </c>
      <c r="G270" s="26" t="s">
        <v>58</v>
      </c>
      <c r="H270" s="26" t="s">
        <v>56</v>
      </c>
      <c r="I270" s="26" t="s">
        <v>1284</v>
      </c>
      <c r="J270" s="26" t="s">
        <v>58</v>
      </c>
      <c r="K270" s="27"/>
      <c r="L270" s="28" t="s">
        <v>56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4.25" customHeight="1" x14ac:dyDescent="0.3">
      <c r="A271" s="23">
        <v>267</v>
      </c>
      <c r="B271" s="24" t="s">
        <v>1815</v>
      </c>
      <c r="C271" s="25" t="s">
        <v>1816</v>
      </c>
      <c r="D271" s="23" t="s">
        <v>1283</v>
      </c>
      <c r="E271" s="55">
        <v>46125</v>
      </c>
      <c r="F271" s="26" t="s">
        <v>948</v>
      </c>
      <c r="G271" s="26" t="s">
        <v>58</v>
      </c>
      <c r="H271" s="26" t="s">
        <v>56</v>
      </c>
      <c r="I271" s="26" t="s">
        <v>1284</v>
      </c>
      <c r="J271" s="26" t="s">
        <v>58</v>
      </c>
      <c r="K271" s="27"/>
      <c r="L271" s="28" t="s">
        <v>56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4.25" customHeight="1" x14ac:dyDescent="0.3">
      <c r="A272" s="42">
        <v>268</v>
      </c>
      <c r="B272" s="43" t="s">
        <v>1817</v>
      </c>
      <c r="C272" s="44" t="s">
        <v>1818</v>
      </c>
      <c r="D272" s="42" t="s">
        <v>1283</v>
      </c>
      <c r="E272" s="55">
        <v>46125</v>
      </c>
      <c r="F272" s="26" t="s">
        <v>948</v>
      </c>
      <c r="G272" s="26" t="s">
        <v>58</v>
      </c>
      <c r="H272" s="26" t="s">
        <v>56</v>
      </c>
      <c r="I272" s="26" t="s">
        <v>1284</v>
      </c>
      <c r="J272" s="26" t="s">
        <v>58</v>
      </c>
      <c r="K272" s="27"/>
      <c r="L272" s="28" t="s">
        <v>56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4.25" customHeight="1" x14ac:dyDescent="0.3">
      <c r="A273" s="23">
        <v>269</v>
      </c>
      <c r="B273" s="24" t="s">
        <v>1819</v>
      </c>
      <c r="C273" s="25" t="s">
        <v>1820</v>
      </c>
      <c r="D273" s="23" t="s">
        <v>1283</v>
      </c>
      <c r="E273" s="55">
        <v>46125</v>
      </c>
      <c r="F273" s="26" t="s">
        <v>948</v>
      </c>
      <c r="G273" s="26" t="s">
        <v>58</v>
      </c>
      <c r="H273" s="26" t="s">
        <v>56</v>
      </c>
      <c r="I273" s="26" t="s">
        <v>1284</v>
      </c>
      <c r="J273" s="26" t="s">
        <v>58</v>
      </c>
      <c r="K273" s="27"/>
      <c r="L273" s="28" t="s">
        <v>56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4.25" customHeight="1" x14ac:dyDescent="0.3">
      <c r="A274" s="42">
        <v>270</v>
      </c>
      <c r="B274" s="43" t="s">
        <v>1821</v>
      </c>
      <c r="C274" s="44" t="s">
        <v>1822</v>
      </c>
      <c r="D274" s="42" t="s">
        <v>1283</v>
      </c>
      <c r="E274" s="55">
        <v>46125</v>
      </c>
      <c r="F274" s="26" t="s">
        <v>948</v>
      </c>
      <c r="G274" s="26" t="s">
        <v>58</v>
      </c>
      <c r="H274" s="26" t="s">
        <v>56</v>
      </c>
      <c r="I274" s="26" t="s">
        <v>1284</v>
      </c>
      <c r="J274" s="26" t="s">
        <v>58</v>
      </c>
      <c r="K274" s="27"/>
      <c r="L274" s="28" t="s">
        <v>56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4.25" customHeight="1" x14ac:dyDescent="0.3">
      <c r="A275" s="23">
        <v>271</v>
      </c>
      <c r="B275" s="24" t="s">
        <v>1823</v>
      </c>
      <c r="C275" s="25" t="s">
        <v>1824</v>
      </c>
      <c r="D275" s="23" t="s">
        <v>1283</v>
      </c>
      <c r="E275" s="55">
        <v>46125</v>
      </c>
      <c r="F275" s="26" t="s">
        <v>948</v>
      </c>
      <c r="G275" s="26" t="s">
        <v>58</v>
      </c>
      <c r="H275" s="26" t="s">
        <v>56</v>
      </c>
      <c r="I275" s="26" t="s">
        <v>1284</v>
      </c>
      <c r="J275" s="26" t="s">
        <v>58</v>
      </c>
      <c r="K275" s="27"/>
      <c r="L275" s="28" t="s">
        <v>56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4.25" customHeight="1" x14ac:dyDescent="0.3">
      <c r="A276" s="42">
        <v>272</v>
      </c>
      <c r="B276" s="43" t="s">
        <v>1825</v>
      </c>
      <c r="C276" s="44" t="s">
        <v>1826</v>
      </c>
      <c r="D276" s="42" t="s">
        <v>1283</v>
      </c>
      <c r="E276" s="55">
        <v>46125</v>
      </c>
      <c r="F276" s="26" t="s">
        <v>948</v>
      </c>
      <c r="G276" s="26" t="s">
        <v>58</v>
      </c>
      <c r="H276" s="26" t="s">
        <v>56</v>
      </c>
      <c r="I276" s="26" t="s">
        <v>1284</v>
      </c>
      <c r="J276" s="26" t="s">
        <v>58</v>
      </c>
      <c r="K276" s="27"/>
      <c r="L276" s="28" t="s">
        <v>56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4.25" customHeight="1" x14ac:dyDescent="0.3">
      <c r="A277" s="23">
        <v>273</v>
      </c>
      <c r="B277" s="24" t="s">
        <v>1827</v>
      </c>
      <c r="C277" s="25" t="s">
        <v>1828</v>
      </c>
      <c r="D277" s="23" t="s">
        <v>1283</v>
      </c>
      <c r="E277" s="55">
        <v>46125</v>
      </c>
      <c r="F277" s="26" t="s">
        <v>948</v>
      </c>
      <c r="G277" s="26" t="s">
        <v>58</v>
      </c>
      <c r="H277" s="26" t="s">
        <v>56</v>
      </c>
      <c r="I277" s="26" t="s">
        <v>1284</v>
      </c>
      <c r="J277" s="26" t="s">
        <v>58</v>
      </c>
      <c r="K277" s="27"/>
      <c r="L277" s="28" t="s">
        <v>56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4.25" customHeight="1" x14ac:dyDescent="0.3">
      <c r="A278" s="42">
        <v>274</v>
      </c>
      <c r="B278" s="43" t="s">
        <v>1829</v>
      </c>
      <c r="C278" s="44" t="s">
        <v>1830</v>
      </c>
      <c r="D278" s="42" t="s">
        <v>1283</v>
      </c>
      <c r="E278" s="55">
        <v>46125</v>
      </c>
      <c r="F278" s="26" t="s">
        <v>948</v>
      </c>
      <c r="G278" s="26" t="s">
        <v>58</v>
      </c>
      <c r="H278" s="26" t="s">
        <v>56</v>
      </c>
      <c r="I278" s="26" t="s">
        <v>1284</v>
      </c>
      <c r="J278" s="26" t="s">
        <v>58</v>
      </c>
      <c r="K278" s="27"/>
      <c r="L278" s="28" t="s">
        <v>56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4.25" customHeight="1" x14ac:dyDescent="0.3">
      <c r="A279" s="23">
        <v>275</v>
      </c>
      <c r="B279" s="24" t="s">
        <v>1831</v>
      </c>
      <c r="C279" s="25" t="s">
        <v>1832</v>
      </c>
      <c r="D279" s="23" t="s">
        <v>1283</v>
      </c>
      <c r="E279" s="55">
        <v>46125</v>
      </c>
      <c r="F279" s="26" t="s">
        <v>948</v>
      </c>
      <c r="G279" s="26" t="s">
        <v>58</v>
      </c>
      <c r="H279" s="26" t="s">
        <v>56</v>
      </c>
      <c r="I279" s="26" t="s">
        <v>1284</v>
      </c>
      <c r="J279" s="26" t="s">
        <v>58</v>
      </c>
      <c r="K279" s="27"/>
      <c r="L279" s="28" t="s">
        <v>56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4.25" customHeight="1" x14ac:dyDescent="0.3">
      <c r="A280" s="42">
        <v>276</v>
      </c>
      <c r="B280" s="43" t="s">
        <v>1833</v>
      </c>
      <c r="C280" s="44" t="s">
        <v>1834</v>
      </c>
      <c r="D280" s="42" t="s">
        <v>1283</v>
      </c>
      <c r="E280" s="55">
        <v>46125</v>
      </c>
      <c r="F280" s="26" t="s">
        <v>948</v>
      </c>
      <c r="G280" s="26" t="s">
        <v>58</v>
      </c>
      <c r="H280" s="26" t="s">
        <v>56</v>
      </c>
      <c r="I280" s="26" t="s">
        <v>1284</v>
      </c>
      <c r="J280" s="26" t="s">
        <v>58</v>
      </c>
      <c r="K280" s="27"/>
      <c r="L280" s="28" t="s">
        <v>56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4.25" customHeight="1" x14ac:dyDescent="0.3">
      <c r="A281" s="23">
        <v>277</v>
      </c>
      <c r="B281" s="24" t="s">
        <v>1835</v>
      </c>
      <c r="C281" s="25" t="s">
        <v>1836</v>
      </c>
      <c r="D281" s="23" t="s">
        <v>1283</v>
      </c>
      <c r="E281" s="55">
        <v>46125</v>
      </c>
      <c r="F281" s="26" t="s">
        <v>948</v>
      </c>
      <c r="G281" s="26" t="s">
        <v>58</v>
      </c>
      <c r="H281" s="26" t="s">
        <v>56</v>
      </c>
      <c r="I281" s="26" t="s">
        <v>1284</v>
      </c>
      <c r="J281" s="26" t="s">
        <v>58</v>
      </c>
      <c r="K281" s="27"/>
      <c r="L281" s="28" t="s">
        <v>56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4.25" customHeight="1" x14ac:dyDescent="0.3">
      <c r="A282" s="42">
        <v>278</v>
      </c>
      <c r="B282" s="43" t="s">
        <v>1837</v>
      </c>
      <c r="C282" s="44" t="s">
        <v>1838</v>
      </c>
      <c r="D282" s="42" t="s">
        <v>1283</v>
      </c>
      <c r="E282" s="55">
        <v>46125</v>
      </c>
      <c r="F282" s="26" t="s">
        <v>948</v>
      </c>
      <c r="G282" s="26" t="s">
        <v>58</v>
      </c>
      <c r="H282" s="26" t="s">
        <v>56</v>
      </c>
      <c r="I282" s="26" t="s">
        <v>1284</v>
      </c>
      <c r="J282" s="26" t="s">
        <v>58</v>
      </c>
      <c r="K282" s="27"/>
      <c r="L282" s="28" t="s">
        <v>56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4.25" customHeight="1" x14ac:dyDescent="0.3">
      <c r="A283" s="23">
        <v>279</v>
      </c>
      <c r="B283" s="24" t="s">
        <v>1839</v>
      </c>
      <c r="C283" s="25" t="s">
        <v>1840</v>
      </c>
      <c r="D283" s="23" t="s">
        <v>1283</v>
      </c>
      <c r="E283" s="55">
        <v>46125</v>
      </c>
      <c r="F283" s="26" t="s">
        <v>948</v>
      </c>
      <c r="G283" s="26" t="s">
        <v>58</v>
      </c>
      <c r="H283" s="26" t="s">
        <v>56</v>
      </c>
      <c r="I283" s="26" t="s">
        <v>1284</v>
      </c>
      <c r="J283" s="26" t="s">
        <v>58</v>
      </c>
      <c r="K283" s="27"/>
      <c r="L283" s="28" t="s">
        <v>56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4.25" customHeight="1" x14ac:dyDescent="0.3">
      <c r="A284" s="42">
        <v>280</v>
      </c>
      <c r="B284" s="43" t="s">
        <v>1841</v>
      </c>
      <c r="C284" s="44" t="s">
        <v>1842</v>
      </c>
      <c r="D284" s="42" t="s">
        <v>1283</v>
      </c>
      <c r="E284" s="55">
        <v>46125</v>
      </c>
      <c r="F284" s="26" t="s">
        <v>948</v>
      </c>
      <c r="G284" s="26" t="s">
        <v>58</v>
      </c>
      <c r="H284" s="26" t="s">
        <v>56</v>
      </c>
      <c r="I284" s="26" t="s">
        <v>1284</v>
      </c>
      <c r="J284" s="26" t="s">
        <v>58</v>
      </c>
      <c r="K284" s="27"/>
      <c r="L284" s="28" t="s">
        <v>56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4.25" customHeight="1" x14ac:dyDescent="0.3">
      <c r="A285" s="23">
        <v>281</v>
      </c>
      <c r="B285" s="24" t="s">
        <v>1843</v>
      </c>
      <c r="C285" s="25" t="s">
        <v>1844</v>
      </c>
      <c r="D285" s="23" t="s">
        <v>1283</v>
      </c>
      <c r="E285" s="55">
        <v>46125</v>
      </c>
      <c r="F285" s="26" t="s">
        <v>948</v>
      </c>
      <c r="G285" s="26" t="s">
        <v>58</v>
      </c>
      <c r="H285" s="26" t="s">
        <v>56</v>
      </c>
      <c r="I285" s="26" t="s">
        <v>1284</v>
      </c>
      <c r="J285" s="26" t="s">
        <v>58</v>
      </c>
      <c r="K285" s="27"/>
      <c r="L285" s="28" t="s">
        <v>56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4.25" customHeight="1" x14ac:dyDescent="0.3">
      <c r="A286" s="42">
        <v>282</v>
      </c>
      <c r="B286" s="43" t="s">
        <v>1845</v>
      </c>
      <c r="C286" s="44" t="s">
        <v>1846</v>
      </c>
      <c r="D286" s="42" t="s">
        <v>1283</v>
      </c>
      <c r="E286" s="55">
        <v>46125</v>
      </c>
      <c r="F286" s="26" t="s">
        <v>948</v>
      </c>
      <c r="G286" s="26" t="s">
        <v>58</v>
      </c>
      <c r="H286" s="26" t="s">
        <v>56</v>
      </c>
      <c r="I286" s="26" t="s">
        <v>1284</v>
      </c>
      <c r="J286" s="26" t="s">
        <v>58</v>
      </c>
      <c r="K286" s="27"/>
      <c r="L286" s="28" t="s">
        <v>56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4.25" customHeight="1" x14ac:dyDescent="0.3">
      <c r="A287" s="23">
        <v>283</v>
      </c>
      <c r="B287" s="24" t="s">
        <v>1847</v>
      </c>
      <c r="C287" s="25" t="s">
        <v>1848</v>
      </c>
      <c r="D287" s="23" t="s">
        <v>1283</v>
      </c>
      <c r="E287" s="55">
        <v>46125</v>
      </c>
      <c r="F287" s="26" t="s">
        <v>948</v>
      </c>
      <c r="G287" s="26" t="s">
        <v>58</v>
      </c>
      <c r="H287" s="26" t="s">
        <v>56</v>
      </c>
      <c r="I287" s="26" t="s">
        <v>1284</v>
      </c>
      <c r="J287" s="26" t="s">
        <v>58</v>
      </c>
      <c r="K287" s="27"/>
      <c r="L287" s="28" t="s">
        <v>56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4.25" customHeight="1" x14ac:dyDescent="0.3">
      <c r="A288" s="42">
        <v>284</v>
      </c>
      <c r="B288" s="43" t="s">
        <v>1849</v>
      </c>
      <c r="C288" s="44" t="s">
        <v>1850</v>
      </c>
      <c r="D288" s="42" t="s">
        <v>1283</v>
      </c>
      <c r="E288" s="55">
        <v>46125</v>
      </c>
      <c r="F288" s="26" t="s">
        <v>948</v>
      </c>
      <c r="G288" s="26" t="s">
        <v>58</v>
      </c>
      <c r="H288" s="26" t="s">
        <v>56</v>
      </c>
      <c r="I288" s="26" t="s">
        <v>1284</v>
      </c>
      <c r="J288" s="26" t="s">
        <v>58</v>
      </c>
      <c r="K288" s="27"/>
      <c r="L288" s="28" t="s">
        <v>56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4.25" customHeight="1" x14ac:dyDescent="0.3">
      <c r="A289" s="23">
        <v>285</v>
      </c>
      <c r="B289" s="24" t="s">
        <v>1851</v>
      </c>
      <c r="C289" s="25" t="s">
        <v>1852</v>
      </c>
      <c r="D289" s="23" t="s">
        <v>1283</v>
      </c>
      <c r="E289" s="55">
        <v>46125</v>
      </c>
      <c r="F289" s="26" t="s">
        <v>948</v>
      </c>
      <c r="G289" s="26" t="s">
        <v>58</v>
      </c>
      <c r="H289" s="26" t="s">
        <v>56</v>
      </c>
      <c r="I289" s="26" t="s">
        <v>1284</v>
      </c>
      <c r="J289" s="26" t="s">
        <v>58</v>
      </c>
      <c r="K289" s="27"/>
      <c r="L289" s="28" t="s">
        <v>56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4.25" customHeight="1" x14ac:dyDescent="0.3">
      <c r="A290" s="42">
        <v>286</v>
      </c>
      <c r="B290" s="43" t="s">
        <v>1853</v>
      </c>
      <c r="C290" s="44" t="s">
        <v>1854</v>
      </c>
      <c r="D290" s="42" t="s">
        <v>1283</v>
      </c>
      <c r="E290" s="55">
        <v>46125</v>
      </c>
      <c r="F290" s="26" t="s">
        <v>948</v>
      </c>
      <c r="G290" s="26" t="s">
        <v>58</v>
      </c>
      <c r="H290" s="26" t="s">
        <v>56</v>
      </c>
      <c r="I290" s="26" t="s">
        <v>1284</v>
      </c>
      <c r="J290" s="26" t="s">
        <v>58</v>
      </c>
      <c r="K290" s="27"/>
      <c r="L290" s="28" t="s">
        <v>56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4.25" customHeight="1" x14ac:dyDescent="0.3">
      <c r="A291" s="23">
        <v>287</v>
      </c>
      <c r="B291" s="24" t="s">
        <v>1855</v>
      </c>
      <c r="C291" s="25" t="s">
        <v>1856</v>
      </c>
      <c r="D291" s="23" t="s">
        <v>1283</v>
      </c>
      <c r="E291" s="55">
        <v>46125</v>
      </c>
      <c r="F291" s="26" t="s">
        <v>948</v>
      </c>
      <c r="G291" s="26" t="s">
        <v>58</v>
      </c>
      <c r="H291" s="26" t="s">
        <v>56</v>
      </c>
      <c r="I291" s="26" t="s">
        <v>1284</v>
      </c>
      <c r="J291" s="26" t="s">
        <v>58</v>
      </c>
      <c r="K291" s="27"/>
      <c r="L291" s="28" t="s">
        <v>56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4.25" customHeight="1" x14ac:dyDescent="0.3">
      <c r="A292" s="42">
        <v>288</v>
      </c>
      <c r="B292" s="43" t="s">
        <v>1857</v>
      </c>
      <c r="C292" s="44" t="s">
        <v>1858</v>
      </c>
      <c r="D292" s="42" t="s">
        <v>1283</v>
      </c>
      <c r="E292" s="55">
        <v>46125</v>
      </c>
      <c r="F292" s="26" t="s">
        <v>948</v>
      </c>
      <c r="G292" s="26" t="s">
        <v>58</v>
      </c>
      <c r="H292" s="26" t="s">
        <v>56</v>
      </c>
      <c r="I292" s="26" t="s">
        <v>1284</v>
      </c>
      <c r="J292" s="26" t="s">
        <v>58</v>
      </c>
      <c r="K292" s="27"/>
      <c r="L292" s="28" t="s">
        <v>56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4.25" customHeight="1" x14ac:dyDescent="0.3">
      <c r="A293" s="23">
        <v>289</v>
      </c>
      <c r="B293" s="24" t="s">
        <v>1859</v>
      </c>
      <c r="C293" s="25" t="s">
        <v>1860</v>
      </c>
      <c r="D293" s="23" t="s">
        <v>1283</v>
      </c>
      <c r="E293" s="55">
        <v>46125</v>
      </c>
      <c r="F293" s="26" t="s">
        <v>948</v>
      </c>
      <c r="G293" s="26" t="s">
        <v>58</v>
      </c>
      <c r="H293" s="26" t="s">
        <v>56</v>
      </c>
      <c r="I293" s="26" t="s">
        <v>1284</v>
      </c>
      <c r="J293" s="26" t="s">
        <v>58</v>
      </c>
      <c r="K293" s="27"/>
      <c r="L293" s="28" t="s">
        <v>56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4.25" customHeight="1" x14ac:dyDescent="0.3">
      <c r="A294" s="42">
        <v>290</v>
      </c>
      <c r="B294" s="43" t="s">
        <v>1861</v>
      </c>
      <c r="C294" s="44" t="s">
        <v>1862</v>
      </c>
      <c r="D294" s="42" t="s">
        <v>1283</v>
      </c>
      <c r="E294" s="55">
        <v>46125</v>
      </c>
      <c r="F294" s="26" t="s">
        <v>948</v>
      </c>
      <c r="G294" s="26" t="s">
        <v>58</v>
      </c>
      <c r="H294" s="26" t="s">
        <v>56</v>
      </c>
      <c r="I294" s="26" t="s">
        <v>1284</v>
      </c>
      <c r="J294" s="26" t="s">
        <v>58</v>
      </c>
      <c r="K294" s="27"/>
      <c r="L294" s="28" t="s">
        <v>56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4.25" customHeight="1" x14ac:dyDescent="0.3">
      <c r="A295" s="23">
        <v>291</v>
      </c>
      <c r="B295" s="24" t="s">
        <v>1863</v>
      </c>
      <c r="C295" s="25" t="s">
        <v>1864</v>
      </c>
      <c r="D295" s="23" t="s">
        <v>1283</v>
      </c>
      <c r="E295" s="55">
        <v>46125</v>
      </c>
      <c r="F295" s="26" t="s">
        <v>948</v>
      </c>
      <c r="G295" s="26" t="s">
        <v>58</v>
      </c>
      <c r="H295" s="26" t="s">
        <v>56</v>
      </c>
      <c r="I295" s="26" t="s">
        <v>1284</v>
      </c>
      <c r="J295" s="26" t="s">
        <v>58</v>
      </c>
      <c r="K295" s="27"/>
      <c r="L295" s="28" t="s">
        <v>56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4.25" customHeight="1" x14ac:dyDescent="0.3">
      <c r="A296" s="42">
        <v>292</v>
      </c>
      <c r="B296" s="43" t="s">
        <v>1865</v>
      </c>
      <c r="C296" s="44" t="s">
        <v>1866</v>
      </c>
      <c r="D296" s="42" t="s">
        <v>1283</v>
      </c>
      <c r="E296" s="55">
        <v>46125</v>
      </c>
      <c r="F296" s="26" t="s">
        <v>948</v>
      </c>
      <c r="G296" s="26" t="s">
        <v>58</v>
      </c>
      <c r="H296" s="26" t="s">
        <v>56</v>
      </c>
      <c r="I296" s="26" t="s">
        <v>1284</v>
      </c>
      <c r="J296" s="26" t="s">
        <v>58</v>
      </c>
      <c r="K296" s="27"/>
      <c r="L296" s="28" t="s">
        <v>56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23">
        <v>293</v>
      </c>
      <c r="B297" s="24" t="s">
        <v>1867</v>
      </c>
      <c r="C297" s="25" t="s">
        <v>1868</v>
      </c>
      <c r="D297" s="23" t="s">
        <v>1283</v>
      </c>
      <c r="E297" s="55">
        <v>46125</v>
      </c>
      <c r="F297" s="26" t="s">
        <v>948</v>
      </c>
      <c r="G297" s="26" t="s">
        <v>58</v>
      </c>
      <c r="H297" s="26" t="s">
        <v>56</v>
      </c>
      <c r="I297" s="26" t="s">
        <v>1284</v>
      </c>
      <c r="J297" s="26" t="s">
        <v>58</v>
      </c>
      <c r="K297" s="27"/>
      <c r="L297" s="28" t="s">
        <v>56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4.25" customHeight="1" x14ac:dyDescent="0.3">
      <c r="A298" s="42">
        <v>294</v>
      </c>
      <c r="B298" s="43" t="s">
        <v>1869</v>
      </c>
      <c r="C298" s="44" t="s">
        <v>1870</v>
      </c>
      <c r="D298" s="42" t="s">
        <v>1283</v>
      </c>
      <c r="E298" s="55">
        <v>46125</v>
      </c>
      <c r="F298" s="26" t="s">
        <v>948</v>
      </c>
      <c r="G298" s="26" t="s">
        <v>58</v>
      </c>
      <c r="H298" s="26" t="s">
        <v>56</v>
      </c>
      <c r="I298" s="26" t="s">
        <v>1284</v>
      </c>
      <c r="J298" s="26" t="s">
        <v>58</v>
      </c>
      <c r="K298" s="27"/>
      <c r="L298" s="28" t="s">
        <v>56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4.25" customHeight="1" x14ac:dyDescent="0.3">
      <c r="A299" s="23">
        <v>295</v>
      </c>
      <c r="B299" s="24" t="s">
        <v>1871</v>
      </c>
      <c r="C299" s="25" t="s">
        <v>1872</v>
      </c>
      <c r="D299" s="23" t="s">
        <v>1283</v>
      </c>
      <c r="E299" s="55">
        <v>46125</v>
      </c>
      <c r="F299" s="26" t="s">
        <v>948</v>
      </c>
      <c r="G299" s="26" t="s">
        <v>58</v>
      </c>
      <c r="H299" s="26" t="s">
        <v>56</v>
      </c>
      <c r="I299" s="26" t="s">
        <v>1284</v>
      </c>
      <c r="J299" s="26" t="s">
        <v>58</v>
      </c>
      <c r="K299" s="27"/>
      <c r="L299" s="28" t="s">
        <v>56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4.25" customHeight="1" x14ac:dyDescent="0.3">
      <c r="A300" s="42">
        <v>296</v>
      </c>
      <c r="B300" s="43" t="s">
        <v>1873</v>
      </c>
      <c r="C300" s="44" t="s">
        <v>1874</v>
      </c>
      <c r="D300" s="42" t="s">
        <v>1283</v>
      </c>
      <c r="E300" s="55">
        <v>46125</v>
      </c>
      <c r="F300" s="26" t="s">
        <v>948</v>
      </c>
      <c r="G300" s="26" t="s">
        <v>58</v>
      </c>
      <c r="H300" s="26" t="s">
        <v>56</v>
      </c>
      <c r="I300" s="26" t="s">
        <v>1284</v>
      </c>
      <c r="J300" s="26" t="s">
        <v>58</v>
      </c>
      <c r="K300" s="27"/>
      <c r="L300" s="28" t="s">
        <v>56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4.25" customHeight="1" x14ac:dyDescent="0.3">
      <c r="A301" s="23">
        <v>297</v>
      </c>
      <c r="B301" s="24" t="s">
        <v>1875</v>
      </c>
      <c r="C301" s="25" t="s">
        <v>1876</v>
      </c>
      <c r="D301" s="23" t="s">
        <v>1283</v>
      </c>
      <c r="E301" s="55">
        <v>46125</v>
      </c>
      <c r="F301" s="26" t="s">
        <v>948</v>
      </c>
      <c r="G301" s="26" t="s">
        <v>58</v>
      </c>
      <c r="H301" s="26" t="s">
        <v>56</v>
      </c>
      <c r="I301" s="26" t="s">
        <v>1284</v>
      </c>
      <c r="J301" s="26" t="s">
        <v>58</v>
      </c>
      <c r="K301" s="27"/>
      <c r="L301" s="28" t="s">
        <v>56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4.25" customHeight="1" x14ac:dyDescent="0.3">
      <c r="A302" s="42">
        <v>298</v>
      </c>
      <c r="B302" s="43" t="s">
        <v>1877</v>
      </c>
      <c r="C302" s="44" t="s">
        <v>1878</v>
      </c>
      <c r="D302" s="42" t="s">
        <v>1283</v>
      </c>
      <c r="E302" s="55">
        <v>46125</v>
      </c>
      <c r="F302" s="26" t="s">
        <v>948</v>
      </c>
      <c r="G302" s="26" t="s">
        <v>58</v>
      </c>
      <c r="H302" s="26" t="s">
        <v>56</v>
      </c>
      <c r="I302" s="26" t="s">
        <v>1284</v>
      </c>
      <c r="J302" s="26" t="s">
        <v>58</v>
      </c>
      <c r="K302" s="27"/>
      <c r="L302" s="28" t="s">
        <v>56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4.25" customHeight="1" x14ac:dyDescent="0.3">
      <c r="A303" s="23">
        <v>299</v>
      </c>
      <c r="B303" s="24" t="s">
        <v>1879</v>
      </c>
      <c r="C303" s="25" t="s">
        <v>1880</v>
      </c>
      <c r="D303" s="23" t="s">
        <v>1283</v>
      </c>
      <c r="E303" s="55">
        <v>46125</v>
      </c>
      <c r="F303" s="26" t="s">
        <v>948</v>
      </c>
      <c r="G303" s="26" t="s">
        <v>58</v>
      </c>
      <c r="H303" s="26" t="s">
        <v>56</v>
      </c>
      <c r="I303" s="26" t="s">
        <v>1284</v>
      </c>
      <c r="J303" s="26" t="s">
        <v>58</v>
      </c>
      <c r="K303" s="27"/>
      <c r="L303" s="28" t="s">
        <v>56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4.25" customHeight="1" x14ac:dyDescent="0.3">
      <c r="A304" s="42">
        <v>300</v>
      </c>
      <c r="B304" s="43" t="s">
        <v>1881</v>
      </c>
      <c r="C304" s="44" t="s">
        <v>1882</v>
      </c>
      <c r="D304" s="42" t="s">
        <v>1283</v>
      </c>
      <c r="E304" s="55">
        <v>46125</v>
      </c>
      <c r="F304" s="26" t="s">
        <v>948</v>
      </c>
      <c r="G304" s="26" t="s">
        <v>58</v>
      </c>
      <c r="H304" s="26" t="s">
        <v>56</v>
      </c>
      <c r="I304" s="26" t="s">
        <v>1284</v>
      </c>
      <c r="J304" s="26" t="s">
        <v>58</v>
      </c>
      <c r="K304" s="27"/>
      <c r="L304" s="28" t="s">
        <v>56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4.25" customHeight="1" x14ac:dyDescent="0.3">
      <c r="A305" s="23">
        <v>301</v>
      </c>
      <c r="B305" s="24" t="s">
        <v>1883</v>
      </c>
      <c r="C305" s="25" t="s">
        <v>1884</v>
      </c>
      <c r="D305" s="23" t="s">
        <v>1283</v>
      </c>
      <c r="E305" s="55">
        <v>46125</v>
      </c>
      <c r="F305" s="26" t="s">
        <v>948</v>
      </c>
      <c r="G305" s="26" t="s">
        <v>58</v>
      </c>
      <c r="H305" s="26" t="s">
        <v>56</v>
      </c>
      <c r="I305" s="26" t="s">
        <v>1284</v>
      </c>
      <c r="J305" s="26" t="s">
        <v>58</v>
      </c>
      <c r="K305" s="27"/>
      <c r="L305" s="28" t="s">
        <v>56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4.25" customHeight="1" x14ac:dyDescent="0.3">
      <c r="A306" s="42">
        <v>302</v>
      </c>
      <c r="B306" s="43" t="s">
        <v>1885</v>
      </c>
      <c r="C306" s="44" t="s">
        <v>1886</v>
      </c>
      <c r="D306" s="42" t="s">
        <v>1283</v>
      </c>
      <c r="E306" s="55">
        <v>46125</v>
      </c>
      <c r="F306" s="26" t="s">
        <v>948</v>
      </c>
      <c r="G306" s="26" t="s">
        <v>58</v>
      </c>
      <c r="H306" s="26" t="s">
        <v>56</v>
      </c>
      <c r="I306" s="26" t="s">
        <v>1284</v>
      </c>
      <c r="J306" s="26" t="s">
        <v>58</v>
      </c>
      <c r="K306" s="27"/>
      <c r="L306" s="28" t="s">
        <v>56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4.25" customHeight="1" x14ac:dyDescent="0.3">
      <c r="A307" s="23">
        <v>303</v>
      </c>
      <c r="B307" s="24" t="s">
        <v>1887</v>
      </c>
      <c r="C307" s="25" t="s">
        <v>1888</v>
      </c>
      <c r="D307" s="23" t="s">
        <v>1283</v>
      </c>
      <c r="E307" s="55">
        <v>46125</v>
      </c>
      <c r="F307" s="26" t="s">
        <v>948</v>
      </c>
      <c r="G307" s="26" t="s">
        <v>58</v>
      </c>
      <c r="H307" s="26" t="s">
        <v>56</v>
      </c>
      <c r="I307" s="26" t="s">
        <v>1284</v>
      </c>
      <c r="J307" s="26" t="s">
        <v>58</v>
      </c>
      <c r="K307" s="27"/>
      <c r="L307" s="28" t="s">
        <v>56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4.25" customHeight="1" x14ac:dyDescent="0.3">
      <c r="A308" s="42">
        <v>304</v>
      </c>
      <c r="B308" s="43" t="s">
        <v>1889</v>
      </c>
      <c r="C308" s="44" t="s">
        <v>1890</v>
      </c>
      <c r="D308" s="42" t="s">
        <v>1283</v>
      </c>
      <c r="E308" s="55">
        <v>46125</v>
      </c>
      <c r="F308" s="26" t="s">
        <v>948</v>
      </c>
      <c r="G308" s="26" t="s">
        <v>58</v>
      </c>
      <c r="H308" s="26" t="s">
        <v>56</v>
      </c>
      <c r="I308" s="26" t="s">
        <v>1284</v>
      </c>
      <c r="J308" s="26" t="s">
        <v>58</v>
      </c>
      <c r="K308" s="27"/>
      <c r="L308" s="28" t="s">
        <v>56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4.25" customHeight="1" x14ac:dyDescent="0.3">
      <c r="A309" s="23">
        <v>305</v>
      </c>
      <c r="B309" s="24" t="s">
        <v>1891</v>
      </c>
      <c r="C309" s="25" t="s">
        <v>1892</v>
      </c>
      <c r="D309" s="23" t="s">
        <v>1283</v>
      </c>
      <c r="E309" s="55">
        <v>46125</v>
      </c>
      <c r="F309" s="26" t="s">
        <v>948</v>
      </c>
      <c r="G309" s="26" t="s">
        <v>58</v>
      </c>
      <c r="H309" s="26" t="s">
        <v>56</v>
      </c>
      <c r="I309" s="26" t="s">
        <v>1284</v>
      </c>
      <c r="J309" s="26" t="s">
        <v>58</v>
      </c>
      <c r="K309" s="27"/>
      <c r="L309" s="28" t="s">
        <v>56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4.25" customHeight="1" x14ac:dyDescent="0.3">
      <c r="A310" s="42">
        <v>306</v>
      </c>
      <c r="B310" s="43" t="s">
        <v>1893</v>
      </c>
      <c r="C310" s="44" t="s">
        <v>1894</v>
      </c>
      <c r="D310" s="42" t="s">
        <v>1283</v>
      </c>
      <c r="E310" s="55">
        <v>46125</v>
      </c>
      <c r="F310" s="26" t="s">
        <v>948</v>
      </c>
      <c r="G310" s="26" t="s">
        <v>58</v>
      </c>
      <c r="H310" s="26" t="s">
        <v>56</v>
      </c>
      <c r="I310" s="26" t="s">
        <v>1284</v>
      </c>
      <c r="J310" s="26" t="s">
        <v>58</v>
      </c>
      <c r="K310" s="27"/>
      <c r="L310" s="28" t="s">
        <v>56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4.25" customHeight="1" x14ac:dyDescent="0.3">
      <c r="A311" s="23">
        <v>307</v>
      </c>
      <c r="B311" s="24" t="s">
        <v>1895</v>
      </c>
      <c r="C311" s="25" t="s">
        <v>1896</v>
      </c>
      <c r="D311" s="23" t="s">
        <v>1283</v>
      </c>
      <c r="E311" s="55">
        <v>46125</v>
      </c>
      <c r="F311" s="26" t="s">
        <v>948</v>
      </c>
      <c r="G311" s="26" t="s">
        <v>58</v>
      </c>
      <c r="H311" s="26" t="s">
        <v>56</v>
      </c>
      <c r="I311" s="26" t="s">
        <v>1284</v>
      </c>
      <c r="J311" s="26" t="s">
        <v>58</v>
      </c>
      <c r="K311" s="27"/>
      <c r="L311" s="28" t="s">
        <v>56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4.25" customHeight="1" x14ac:dyDescent="0.3">
      <c r="A312" s="42">
        <v>308</v>
      </c>
      <c r="B312" s="43" t="s">
        <v>1897</v>
      </c>
      <c r="C312" s="44" t="s">
        <v>1898</v>
      </c>
      <c r="D312" s="42" t="s">
        <v>1283</v>
      </c>
      <c r="E312" s="55">
        <v>46125</v>
      </c>
      <c r="F312" s="26" t="s">
        <v>948</v>
      </c>
      <c r="G312" s="26" t="s">
        <v>58</v>
      </c>
      <c r="H312" s="26" t="s">
        <v>56</v>
      </c>
      <c r="I312" s="26" t="s">
        <v>1284</v>
      </c>
      <c r="J312" s="26" t="s">
        <v>58</v>
      </c>
      <c r="K312" s="27"/>
      <c r="L312" s="28" t="s">
        <v>56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4.25" customHeight="1" x14ac:dyDescent="0.3">
      <c r="A313" s="23">
        <v>309</v>
      </c>
      <c r="B313" s="24" t="s">
        <v>1899</v>
      </c>
      <c r="C313" s="25" t="s">
        <v>1900</v>
      </c>
      <c r="D313" s="23" t="s">
        <v>1283</v>
      </c>
      <c r="E313" s="55">
        <v>46125</v>
      </c>
      <c r="F313" s="26" t="s">
        <v>948</v>
      </c>
      <c r="G313" s="26" t="s">
        <v>58</v>
      </c>
      <c r="H313" s="26" t="s">
        <v>56</v>
      </c>
      <c r="I313" s="26" t="s">
        <v>1284</v>
      </c>
      <c r="J313" s="26" t="s">
        <v>58</v>
      </c>
      <c r="K313" s="27"/>
      <c r="L313" s="28" t="s">
        <v>56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4.25" customHeight="1" x14ac:dyDescent="0.3">
      <c r="A314" s="42">
        <v>310</v>
      </c>
      <c r="B314" s="43" t="s">
        <v>1901</v>
      </c>
      <c r="C314" s="44" t="s">
        <v>1902</v>
      </c>
      <c r="D314" s="42" t="s">
        <v>1283</v>
      </c>
      <c r="E314" s="55">
        <v>46125</v>
      </c>
      <c r="F314" s="26" t="s">
        <v>948</v>
      </c>
      <c r="G314" s="26" t="s">
        <v>58</v>
      </c>
      <c r="H314" s="26" t="s">
        <v>56</v>
      </c>
      <c r="I314" s="26" t="s">
        <v>1284</v>
      </c>
      <c r="J314" s="26" t="s">
        <v>58</v>
      </c>
      <c r="K314" s="27"/>
      <c r="L314" s="28" t="s">
        <v>56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4.25" customHeight="1" x14ac:dyDescent="0.3">
      <c r="A315" s="23">
        <v>311</v>
      </c>
      <c r="B315" s="24" t="s">
        <v>1903</v>
      </c>
      <c r="C315" s="25" t="s">
        <v>1904</v>
      </c>
      <c r="D315" s="23" t="s">
        <v>1283</v>
      </c>
      <c r="E315" s="55">
        <v>46125</v>
      </c>
      <c r="F315" s="26" t="s">
        <v>948</v>
      </c>
      <c r="G315" s="26" t="s">
        <v>58</v>
      </c>
      <c r="H315" s="26" t="s">
        <v>56</v>
      </c>
      <c r="I315" s="26" t="s">
        <v>1284</v>
      </c>
      <c r="J315" s="26" t="s">
        <v>58</v>
      </c>
      <c r="K315" s="27"/>
      <c r="L315" s="28" t="s">
        <v>56</v>
      </c>
      <c r="M315" s="29" t="str">
        <f t="shared" si="20"/>
        <v>✓ OK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4.25" customHeight="1" x14ac:dyDescent="0.3">
      <c r="A316" s="42">
        <v>312</v>
      </c>
      <c r="B316" s="43" t="s">
        <v>1905</v>
      </c>
      <c r="C316" s="44" t="s">
        <v>1906</v>
      </c>
      <c r="D316" s="42" t="s">
        <v>1283</v>
      </c>
      <c r="E316" s="55">
        <v>46125</v>
      </c>
      <c r="F316" s="26" t="s">
        <v>948</v>
      </c>
      <c r="G316" s="26" t="s">
        <v>58</v>
      </c>
      <c r="H316" s="26" t="s">
        <v>56</v>
      </c>
      <c r="I316" s="26" t="s">
        <v>1284</v>
      </c>
      <c r="J316" s="26" t="s">
        <v>58</v>
      </c>
      <c r="K316" s="27"/>
      <c r="L316" s="28" t="s">
        <v>56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4.25" customHeight="1" x14ac:dyDescent="0.3">
      <c r="A317" s="23">
        <v>313</v>
      </c>
      <c r="B317" s="24" t="s">
        <v>1907</v>
      </c>
      <c r="C317" s="25" t="s">
        <v>1908</v>
      </c>
      <c r="D317" s="23" t="s">
        <v>1283</v>
      </c>
      <c r="E317" s="55">
        <v>46125</v>
      </c>
      <c r="F317" s="26" t="s">
        <v>948</v>
      </c>
      <c r="G317" s="26" t="s">
        <v>58</v>
      </c>
      <c r="H317" s="26" t="s">
        <v>56</v>
      </c>
      <c r="I317" s="26" t="s">
        <v>1284</v>
      </c>
      <c r="J317" s="26" t="s">
        <v>58</v>
      </c>
      <c r="K317" s="27"/>
      <c r="L317" s="28" t="s">
        <v>56</v>
      </c>
      <c r="M317" s="29" t="str">
        <f t="shared" si="20"/>
        <v>✓ OK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4.25" customHeight="1" x14ac:dyDescent="0.3">
      <c r="A318" s="42">
        <v>314</v>
      </c>
      <c r="B318" s="43" t="s">
        <v>1909</v>
      </c>
      <c r="C318" s="44" t="s">
        <v>1910</v>
      </c>
      <c r="D318" s="42" t="s">
        <v>1283</v>
      </c>
      <c r="E318" s="55">
        <v>46125</v>
      </c>
      <c r="F318" s="26" t="s">
        <v>948</v>
      </c>
      <c r="G318" s="26" t="s">
        <v>58</v>
      </c>
      <c r="H318" s="26" t="s">
        <v>56</v>
      </c>
      <c r="I318" s="26" t="s">
        <v>1284</v>
      </c>
      <c r="J318" s="26" t="s">
        <v>58</v>
      </c>
      <c r="K318" s="27"/>
      <c r="L318" s="28" t="s">
        <v>56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4.25" customHeight="1" x14ac:dyDescent="0.3">
      <c r="A319" s="23">
        <v>315</v>
      </c>
      <c r="B319" s="24" t="s">
        <v>1911</v>
      </c>
      <c r="C319" s="25" t="s">
        <v>1912</v>
      </c>
      <c r="D319" s="23" t="s">
        <v>1283</v>
      </c>
      <c r="E319" s="55">
        <v>46125</v>
      </c>
      <c r="F319" s="26" t="s">
        <v>948</v>
      </c>
      <c r="G319" s="26" t="s">
        <v>58</v>
      </c>
      <c r="H319" s="26" t="s">
        <v>56</v>
      </c>
      <c r="I319" s="26" t="s">
        <v>1284</v>
      </c>
      <c r="J319" s="26" t="s">
        <v>58</v>
      </c>
      <c r="K319" s="27"/>
      <c r="L319" s="28" t="s">
        <v>56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4.25" customHeight="1" x14ac:dyDescent="0.3">
      <c r="A320" s="42">
        <v>316</v>
      </c>
      <c r="B320" s="43" t="s">
        <v>1913</v>
      </c>
      <c r="C320" s="44" t="s">
        <v>1914</v>
      </c>
      <c r="D320" s="42" t="s">
        <v>1283</v>
      </c>
      <c r="E320" s="55">
        <v>46125</v>
      </c>
      <c r="F320" s="26" t="s">
        <v>948</v>
      </c>
      <c r="G320" s="26" t="s">
        <v>58</v>
      </c>
      <c r="H320" s="26" t="s">
        <v>56</v>
      </c>
      <c r="I320" s="26" t="s">
        <v>1284</v>
      </c>
      <c r="J320" s="26" t="s">
        <v>58</v>
      </c>
      <c r="K320" s="27"/>
      <c r="L320" s="28" t="s">
        <v>56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4.25" customHeight="1" x14ac:dyDescent="0.3">
      <c r="A321" s="23">
        <v>317</v>
      </c>
      <c r="B321" s="24" t="s">
        <v>1915</v>
      </c>
      <c r="C321" s="25" t="s">
        <v>1916</v>
      </c>
      <c r="D321" s="23" t="s">
        <v>1283</v>
      </c>
      <c r="E321" s="55">
        <v>46125</v>
      </c>
      <c r="F321" s="26" t="s">
        <v>948</v>
      </c>
      <c r="G321" s="26" t="s">
        <v>58</v>
      </c>
      <c r="H321" s="26" t="s">
        <v>56</v>
      </c>
      <c r="I321" s="26" t="s">
        <v>1284</v>
      </c>
      <c r="J321" s="26" t="s">
        <v>58</v>
      </c>
      <c r="K321" s="27"/>
      <c r="L321" s="28" t="s">
        <v>56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4.25" customHeight="1" x14ac:dyDescent="0.3">
      <c r="A322" s="42">
        <v>318</v>
      </c>
      <c r="B322" s="43" t="s">
        <v>1917</v>
      </c>
      <c r="C322" s="44" t="s">
        <v>1918</v>
      </c>
      <c r="D322" s="42" t="s">
        <v>1283</v>
      </c>
      <c r="E322" s="55">
        <v>46125</v>
      </c>
      <c r="F322" s="26" t="s">
        <v>948</v>
      </c>
      <c r="G322" s="26" t="s">
        <v>58</v>
      </c>
      <c r="H322" s="26" t="s">
        <v>56</v>
      </c>
      <c r="I322" s="26" t="s">
        <v>1284</v>
      </c>
      <c r="J322" s="26" t="s">
        <v>58</v>
      </c>
      <c r="K322" s="27"/>
      <c r="L322" s="28" t="s">
        <v>56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4.25" customHeight="1" x14ac:dyDescent="0.3">
      <c r="A323" s="23">
        <v>319</v>
      </c>
      <c r="B323" s="24" t="s">
        <v>1919</v>
      </c>
      <c r="C323" s="25" t="s">
        <v>1920</v>
      </c>
      <c r="D323" s="23" t="s">
        <v>1283</v>
      </c>
      <c r="E323" s="55">
        <v>46125</v>
      </c>
      <c r="F323" s="26" t="s">
        <v>948</v>
      </c>
      <c r="G323" s="26" t="s">
        <v>58</v>
      </c>
      <c r="H323" s="26" t="s">
        <v>56</v>
      </c>
      <c r="I323" s="26" t="s">
        <v>1284</v>
      </c>
      <c r="J323" s="26" t="s">
        <v>58</v>
      </c>
      <c r="K323" s="27"/>
      <c r="L323" s="28" t="s">
        <v>56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4.25" customHeight="1" x14ac:dyDescent="0.3">
      <c r="A324" s="42">
        <v>320</v>
      </c>
      <c r="B324" s="43" t="s">
        <v>1921</v>
      </c>
      <c r="C324" s="44" t="s">
        <v>1922</v>
      </c>
      <c r="D324" s="42" t="s">
        <v>1283</v>
      </c>
      <c r="E324" s="55">
        <v>46125</v>
      </c>
      <c r="F324" s="26" t="s">
        <v>948</v>
      </c>
      <c r="G324" s="26" t="s">
        <v>58</v>
      </c>
      <c r="H324" s="26" t="s">
        <v>56</v>
      </c>
      <c r="I324" s="26" t="s">
        <v>1284</v>
      </c>
      <c r="J324" s="26" t="s">
        <v>58</v>
      </c>
      <c r="K324" s="27"/>
      <c r="L324" s="28" t="s">
        <v>56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4.25" customHeight="1" x14ac:dyDescent="0.3">
      <c r="A325" s="23">
        <v>321</v>
      </c>
      <c r="B325" s="24" t="s">
        <v>1923</v>
      </c>
      <c r="C325" s="25" t="s">
        <v>1924</v>
      </c>
      <c r="D325" s="23" t="s">
        <v>1283</v>
      </c>
      <c r="E325" s="55">
        <v>46125</v>
      </c>
      <c r="F325" s="26" t="s">
        <v>948</v>
      </c>
      <c r="G325" s="26" t="s">
        <v>58</v>
      </c>
      <c r="H325" s="26" t="s">
        <v>56</v>
      </c>
      <c r="I325" s="26" t="s">
        <v>1284</v>
      </c>
      <c r="J325" s="26" t="s">
        <v>58</v>
      </c>
      <c r="K325" s="27"/>
      <c r="L325" s="28" t="s">
        <v>56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42">
        <v>322</v>
      </c>
      <c r="B326" s="43" t="s">
        <v>1925</v>
      </c>
      <c r="C326" s="44" t="s">
        <v>1926</v>
      </c>
      <c r="D326" s="42" t="s">
        <v>1283</v>
      </c>
      <c r="E326" s="55">
        <v>46125</v>
      </c>
      <c r="F326" s="26" t="s">
        <v>948</v>
      </c>
      <c r="G326" s="26" t="s">
        <v>58</v>
      </c>
      <c r="H326" s="26" t="s">
        <v>56</v>
      </c>
      <c r="I326" s="26" t="s">
        <v>1284</v>
      </c>
      <c r="J326" s="26" t="s">
        <v>58</v>
      </c>
      <c r="K326" s="27"/>
      <c r="L326" s="28" t="s">
        <v>56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4.25" customHeight="1" x14ac:dyDescent="0.3">
      <c r="A327" s="23">
        <v>323</v>
      </c>
      <c r="B327" s="24" t="s">
        <v>1927</v>
      </c>
      <c r="C327" s="25" t="s">
        <v>1928</v>
      </c>
      <c r="D327" s="23" t="s">
        <v>1283</v>
      </c>
      <c r="E327" s="55">
        <v>46125</v>
      </c>
      <c r="F327" s="26" t="s">
        <v>948</v>
      </c>
      <c r="G327" s="26" t="s">
        <v>58</v>
      </c>
      <c r="H327" s="26" t="s">
        <v>56</v>
      </c>
      <c r="I327" s="26" t="s">
        <v>1284</v>
      </c>
      <c r="J327" s="26" t="s">
        <v>58</v>
      </c>
      <c r="K327" s="27"/>
      <c r="L327" s="28" t="s">
        <v>56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4.25" customHeight="1" x14ac:dyDescent="0.3">
      <c r="A328" s="42">
        <v>324</v>
      </c>
      <c r="B328" s="43" t="s">
        <v>1929</v>
      </c>
      <c r="C328" s="44" t="s">
        <v>1930</v>
      </c>
      <c r="D328" s="42" t="s">
        <v>1283</v>
      </c>
      <c r="E328" s="55">
        <v>46125</v>
      </c>
      <c r="F328" s="26" t="s">
        <v>948</v>
      </c>
      <c r="G328" s="26" t="s">
        <v>58</v>
      </c>
      <c r="H328" s="26" t="s">
        <v>56</v>
      </c>
      <c r="I328" s="26" t="s">
        <v>1284</v>
      </c>
      <c r="J328" s="26" t="s">
        <v>58</v>
      </c>
      <c r="K328" s="27"/>
      <c r="L328" s="28" t="s">
        <v>56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4.25" customHeight="1" x14ac:dyDescent="0.3">
      <c r="A329" s="23">
        <v>325</v>
      </c>
      <c r="B329" s="24" t="s">
        <v>1931</v>
      </c>
      <c r="C329" s="25" t="s">
        <v>1932</v>
      </c>
      <c r="D329" s="23" t="s">
        <v>1283</v>
      </c>
      <c r="E329" s="55">
        <v>46125</v>
      </c>
      <c r="F329" s="26" t="s">
        <v>948</v>
      </c>
      <c r="G329" s="26" t="s">
        <v>58</v>
      </c>
      <c r="H329" s="26" t="s">
        <v>56</v>
      </c>
      <c r="I329" s="26" t="s">
        <v>1284</v>
      </c>
      <c r="J329" s="26" t="s">
        <v>58</v>
      </c>
      <c r="K329" s="27"/>
      <c r="L329" s="28" t="s">
        <v>56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4.25" customHeight="1" x14ac:dyDescent="0.3">
      <c r="A330" s="42">
        <v>326</v>
      </c>
      <c r="B330" s="43" t="s">
        <v>1933</v>
      </c>
      <c r="C330" s="44" t="s">
        <v>1934</v>
      </c>
      <c r="D330" s="42" t="s">
        <v>1283</v>
      </c>
      <c r="E330" s="55">
        <v>46125</v>
      </c>
      <c r="F330" s="26" t="s">
        <v>948</v>
      </c>
      <c r="G330" s="26" t="s">
        <v>58</v>
      </c>
      <c r="H330" s="26" t="s">
        <v>56</v>
      </c>
      <c r="I330" s="26" t="s">
        <v>1284</v>
      </c>
      <c r="J330" s="26" t="s">
        <v>58</v>
      </c>
      <c r="K330" s="27"/>
      <c r="L330" s="28" t="s">
        <v>56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4.25" customHeight="1" x14ac:dyDescent="0.3">
      <c r="A331" s="23">
        <v>327</v>
      </c>
      <c r="B331" s="24" t="s">
        <v>1935</v>
      </c>
      <c r="C331" s="25" t="s">
        <v>1936</v>
      </c>
      <c r="D331" s="23" t="s">
        <v>1283</v>
      </c>
      <c r="E331" s="55">
        <v>46125</v>
      </c>
      <c r="F331" s="26" t="s">
        <v>948</v>
      </c>
      <c r="G331" s="26" t="s">
        <v>58</v>
      </c>
      <c r="H331" s="26" t="s">
        <v>56</v>
      </c>
      <c r="I331" s="26" t="s">
        <v>1284</v>
      </c>
      <c r="J331" s="26" t="s">
        <v>58</v>
      </c>
      <c r="K331" s="27"/>
      <c r="L331" s="28" t="s">
        <v>56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4.25" customHeight="1" x14ac:dyDescent="0.3">
      <c r="A332" s="42">
        <v>328</v>
      </c>
      <c r="B332" s="43" t="s">
        <v>1937</v>
      </c>
      <c r="C332" s="44" t="s">
        <v>1938</v>
      </c>
      <c r="D332" s="42" t="s">
        <v>1283</v>
      </c>
      <c r="E332" s="55">
        <v>46125</v>
      </c>
      <c r="F332" s="26" t="s">
        <v>948</v>
      </c>
      <c r="G332" s="26" t="s">
        <v>58</v>
      </c>
      <c r="H332" s="26" t="s">
        <v>56</v>
      </c>
      <c r="I332" s="26" t="s">
        <v>1284</v>
      </c>
      <c r="J332" s="26" t="s">
        <v>58</v>
      </c>
      <c r="K332" s="27"/>
      <c r="L332" s="28" t="s">
        <v>56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4.25" customHeight="1" x14ac:dyDescent="0.3">
      <c r="A333" s="23">
        <v>329</v>
      </c>
      <c r="B333" s="24" t="s">
        <v>1939</v>
      </c>
      <c r="C333" s="25" t="s">
        <v>1940</v>
      </c>
      <c r="D333" s="23" t="s">
        <v>1283</v>
      </c>
      <c r="E333" s="55">
        <v>46125</v>
      </c>
      <c r="F333" s="26" t="s">
        <v>948</v>
      </c>
      <c r="G333" s="26" t="s">
        <v>58</v>
      </c>
      <c r="H333" s="26" t="s">
        <v>56</v>
      </c>
      <c r="I333" s="26" t="s">
        <v>1284</v>
      </c>
      <c r="J333" s="26" t="s">
        <v>58</v>
      </c>
      <c r="K333" s="27"/>
      <c r="L333" s="28" t="s">
        <v>56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4.25" customHeight="1" x14ac:dyDescent="0.3">
      <c r="A334" s="42">
        <v>330</v>
      </c>
      <c r="B334" s="43" t="s">
        <v>1941</v>
      </c>
      <c r="C334" s="44" t="s">
        <v>1942</v>
      </c>
      <c r="D334" s="42" t="s">
        <v>1283</v>
      </c>
      <c r="E334" s="55">
        <v>46125</v>
      </c>
      <c r="F334" s="26" t="s">
        <v>948</v>
      </c>
      <c r="G334" s="26" t="s">
        <v>58</v>
      </c>
      <c r="H334" s="26" t="s">
        <v>56</v>
      </c>
      <c r="I334" s="26" t="s">
        <v>1284</v>
      </c>
      <c r="J334" s="26" t="s">
        <v>58</v>
      </c>
      <c r="K334" s="27"/>
      <c r="L334" s="28" t="s">
        <v>56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4.25" customHeight="1" x14ac:dyDescent="0.3">
      <c r="A335" s="23">
        <v>331</v>
      </c>
      <c r="B335" s="24" t="s">
        <v>1943</v>
      </c>
      <c r="C335" s="25" t="s">
        <v>1944</v>
      </c>
      <c r="D335" s="23" t="s">
        <v>1283</v>
      </c>
      <c r="E335" s="55">
        <v>46125</v>
      </c>
      <c r="F335" s="26" t="s">
        <v>948</v>
      </c>
      <c r="G335" s="26" t="s">
        <v>58</v>
      </c>
      <c r="H335" s="26" t="s">
        <v>56</v>
      </c>
      <c r="I335" s="26" t="s">
        <v>1284</v>
      </c>
      <c r="J335" s="26" t="s">
        <v>58</v>
      </c>
      <c r="K335" s="27"/>
      <c r="L335" s="28" t="s">
        <v>56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4.25" customHeight="1" x14ac:dyDescent="0.3">
      <c r="A336" s="42">
        <v>332</v>
      </c>
      <c r="B336" s="43" t="s">
        <v>1945</v>
      </c>
      <c r="C336" s="44" t="s">
        <v>1946</v>
      </c>
      <c r="D336" s="42" t="s">
        <v>1283</v>
      </c>
      <c r="E336" s="55">
        <v>46125</v>
      </c>
      <c r="F336" s="26" t="s">
        <v>948</v>
      </c>
      <c r="G336" s="26" t="s">
        <v>58</v>
      </c>
      <c r="H336" s="26" t="s">
        <v>56</v>
      </c>
      <c r="I336" s="26" t="s">
        <v>1284</v>
      </c>
      <c r="J336" s="26" t="s">
        <v>58</v>
      </c>
      <c r="K336" s="27"/>
      <c r="L336" s="28" t="s">
        <v>56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4.25" customHeight="1" x14ac:dyDescent="0.3">
      <c r="A337" s="23">
        <v>333</v>
      </c>
      <c r="B337" s="24" t="s">
        <v>1947</v>
      </c>
      <c r="C337" s="25" t="s">
        <v>1948</v>
      </c>
      <c r="D337" s="23" t="s">
        <v>1283</v>
      </c>
      <c r="E337" s="55">
        <v>46125</v>
      </c>
      <c r="F337" s="26" t="s">
        <v>948</v>
      </c>
      <c r="G337" s="26" t="s">
        <v>58</v>
      </c>
      <c r="H337" s="26" t="s">
        <v>56</v>
      </c>
      <c r="I337" s="26" t="s">
        <v>1284</v>
      </c>
      <c r="J337" s="26" t="s">
        <v>58</v>
      </c>
      <c r="K337" s="27"/>
      <c r="L337" s="28" t="s">
        <v>56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4.25" customHeight="1" x14ac:dyDescent="0.3">
      <c r="A338" s="42">
        <v>334</v>
      </c>
      <c r="B338" s="43" t="s">
        <v>1949</v>
      </c>
      <c r="C338" s="44" t="s">
        <v>1950</v>
      </c>
      <c r="D338" s="42" t="s">
        <v>1283</v>
      </c>
      <c r="E338" s="55">
        <v>46125</v>
      </c>
      <c r="F338" s="26" t="s">
        <v>948</v>
      </c>
      <c r="G338" s="26" t="s">
        <v>58</v>
      </c>
      <c r="H338" s="26" t="s">
        <v>56</v>
      </c>
      <c r="I338" s="26" t="s">
        <v>1284</v>
      </c>
      <c r="J338" s="26" t="s">
        <v>58</v>
      </c>
      <c r="K338" s="27"/>
      <c r="L338" s="28" t="s">
        <v>56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4.25" customHeight="1" x14ac:dyDescent="0.3">
      <c r="A339" s="23">
        <v>335</v>
      </c>
      <c r="B339" s="24" t="s">
        <v>1951</v>
      </c>
      <c r="C339" s="25" t="s">
        <v>1952</v>
      </c>
      <c r="D339" s="23" t="s">
        <v>1283</v>
      </c>
      <c r="E339" s="55">
        <v>46125</v>
      </c>
      <c r="F339" s="26" t="s">
        <v>948</v>
      </c>
      <c r="G339" s="26" t="s">
        <v>58</v>
      </c>
      <c r="H339" s="26" t="s">
        <v>56</v>
      </c>
      <c r="I339" s="26" t="s">
        <v>1284</v>
      </c>
      <c r="J339" s="26" t="s">
        <v>58</v>
      </c>
      <c r="K339" s="27"/>
      <c r="L339" s="28" t="s">
        <v>56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4.25" customHeight="1" x14ac:dyDescent="0.3">
      <c r="A340" s="42">
        <v>336</v>
      </c>
      <c r="B340" s="43" t="s">
        <v>1953</v>
      </c>
      <c r="C340" s="44" t="s">
        <v>1954</v>
      </c>
      <c r="D340" s="42" t="s">
        <v>1283</v>
      </c>
      <c r="E340" s="55">
        <v>46125</v>
      </c>
      <c r="F340" s="26" t="s">
        <v>948</v>
      </c>
      <c r="G340" s="26" t="s">
        <v>58</v>
      </c>
      <c r="H340" s="26" t="s">
        <v>56</v>
      </c>
      <c r="I340" s="26" t="s">
        <v>1284</v>
      </c>
      <c r="J340" s="26" t="s">
        <v>58</v>
      </c>
      <c r="K340" s="27"/>
      <c r="L340" s="28" t="s">
        <v>56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4.25" customHeight="1" x14ac:dyDescent="0.3">
      <c r="A341" s="23">
        <v>337</v>
      </c>
      <c r="B341" s="24" t="s">
        <v>1955</v>
      </c>
      <c r="C341" s="25" t="s">
        <v>1956</v>
      </c>
      <c r="D341" s="23" t="s">
        <v>1283</v>
      </c>
      <c r="E341" s="55">
        <v>46125</v>
      </c>
      <c r="F341" s="26" t="s">
        <v>948</v>
      </c>
      <c r="G341" s="26" t="s">
        <v>58</v>
      </c>
      <c r="H341" s="26" t="s">
        <v>56</v>
      </c>
      <c r="I341" s="26" t="s">
        <v>1284</v>
      </c>
      <c r="J341" s="26" t="s">
        <v>58</v>
      </c>
      <c r="K341" s="27"/>
      <c r="L341" s="28" t="s">
        <v>56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4.25" customHeight="1" x14ac:dyDescent="0.3">
      <c r="A342" s="42">
        <v>338</v>
      </c>
      <c r="B342" s="43" t="s">
        <v>1957</v>
      </c>
      <c r="C342" s="44" t="s">
        <v>1958</v>
      </c>
      <c r="D342" s="42" t="s">
        <v>1283</v>
      </c>
      <c r="E342" s="55">
        <v>46125</v>
      </c>
      <c r="F342" s="26" t="s">
        <v>948</v>
      </c>
      <c r="G342" s="26" t="s">
        <v>58</v>
      </c>
      <c r="H342" s="26" t="s">
        <v>56</v>
      </c>
      <c r="I342" s="26" t="s">
        <v>1284</v>
      </c>
      <c r="J342" s="26" t="s">
        <v>58</v>
      </c>
      <c r="K342" s="27"/>
      <c r="L342" s="28" t="s">
        <v>56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4.25" customHeight="1" x14ac:dyDescent="0.3">
      <c r="A343" s="23">
        <v>339</v>
      </c>
      <c r="B343" s="24" t="s">
        <v>1959</v>
      </c>
      <c r="C343" s="25" t="s">
        <v>1960</v>
      </c>
      <c r="D343" s="23" t="s">
        <v>1283</v>
      </c>
      <c r="E343" s="55">
        <v>46125</v>
      </c>
      <c r="F343" s="26" t="s">
        <v>948</v>
      </c>
      <c r="G343" s="26" t="s">
        <v>58</v>
      </c>
      <c r="H343" s="26" t="s">
        <v>56</v>
      </c>
      <c r="I343" s="26" t="s">
        <v>1284</v>
      </c>
      <c r="J343" s="26" t="s">
        <v>58</v>
      </c>
      <c r="K343" s="27"/>
      <c r="L343" s="28" t="s">
        <v>56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4.25" customHeight="1" x14ac:dyDescent="0.3">
      <c r="A344" s="42">
        <v>340</v>
      </c>
      <c r="B344" s="43" t="s">
        <v>1961</v>
      </c>
      <c r="C344" s="44" t="s">
        <v>1962</v>
      </c>
      <c r="D344" s="42" t="s">
        <v>1283</v>
      </c>
      <c r="E344" s="55">
        <v>46125</v>
      </c>
      <c r="F344" s="26" t="s">
        <v>948</v>
      </c>
      <c r="G344" s="26" t="s">
        <v>58</v>
      </c>
      <c r="H344" s="26" t="s">
        <v>56</v>
      </c>
      <c r="I344" s="26" t="s">
        <v>1284</v>
      </c>
      <c r="J344" s="26" t="s">
        <v>58</v>
      </c>
      <c r="K344" s="27"/>
      <c r="L344" s="28" t="s">
        <v>56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4.25" customHeight="1" x14ac:dyDescent="0.3">
      <c r="A345" s="23">
        <v>341</v>
      </c>
      <c r="B345" s="24" t="s">
        <v>1963</v>
      </c>
      <c r="C345" s="25" t="s">
        <v>1964</v>
      </c>
      <c r="D345" s="23" t="s">
        <v>1283</v>
      </c>
      <c r="E345" s="55">
        <v>46125</v>
      </c>
      <c r="F345" s="26" t="s">
        <v>948</v>
      </c>
      <c r="G345" s="26" t="s">
        <v>58</v>
      </c>
      <c r="H345" s="26" t="s">
        <v>56</v>
      </c>
      <c r="I345" s="26" t="s">
        <v>1284</v>
      </c>
      <c r="J345" s="26" t="s">
        <v>58</v>
      </c>
      <c r="K345" s="27"/>
      <c r="L345" s="28" t="s">
        <v>56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4.25" customHeight="1" x14ac:dyDescent="0.3">
      <c r="A346" s="42">
        <v>342</v>
      </c>
      <c r="B346" s="43" t="s">
        <v>1965</v>
      </c>
      <c r="C346" s="44" t="s">
        <v>1966</v>
      </c>
      <c r="D346" s="42" t="s">
        <v>1283</v>
      </c>
      <c r="E346" s="55">
        <v>46125</v>
      </c>
      <c r="F346" s="26" t="s">
        <v>948</v>
      </c>
      <c r="G346" s="26" t="s">
        <v>58</v>
      </c>
      <c r="H346" s="26" t="s">
        <v>56</v>
      </c>
      <c r="I346" s="26" t="s">
        <v>1284</v>
      </c>
      <c r="J346" s="26" t="s">
        <v>58</v>
      </c>
      <c r="K346" s="27"/>
      <c r="L346" s="28" t="s">
        <v>56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4.25" customHeight="1" x14ac:dyDescent="0.3">
      <c r="A347" s="23">
        <v>343</v>
      </c>
      <c r="B347" s="24" t="s">
        <v>1967</v>
      </c>
      <c r="C347" s="25" t="s">
        <v>1968</v>
      </c>
      <c r="D347" s="23" t="s">
        <v>1283</v>
      </c>
      <c r="E347" s="55">
        <v>46125</v>
      </c>
      <c r="F347" s="26" t="s">
        <v>948</v>
      </c>
      <c r="G347" s="26" t="s">
        <v>58</v>
      </c>
      <c r="H347" s="26" t="s">
        <v>56</v>
      </c>
      <c r="I347" s="26" t="s">
        <v>1284</v>
      </c>
      <c r="J347" s="26" t="s">
        <v>58</v>
      </c>
      <c r="K347" s="27"/>
      <c r="L347" s="28" t="s">
        <v>56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4.25" customHeight="1" x14ac:dyDescent="0.3">
      <c r="A348" s="42">
        <v>344</v>
      </c>
      <c r="B348" s="43" t="s">
        <v>1969</v>
      </c>
      <c r="C348" s="44" t="s">
        <v>1970</v>
      </c>
      <c r="D348" s="42" t="s">
        <v>1283</v>
      </c>
      <c r="E348" s="55">
        <v>46125</v>
      </c>
      <c r="F348" s="26" t="s">
        <v>948</v>
      </c>
      <c r="G348" s="26" t="s">
        <v>58</v>
      </c>
      <c r="H348" s="26" t="s">
        <v>56</v>
      </c>
      <c r="I348" s="26" t="s">
        <v>1284</v>
      </c>
      <c r="J348" s="26" t="s">
        <v>58</v>
      </c>
      <c r="K348" s="27"/>
      <c r="L348" s="28" t="s">
        <v>56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4.25" customHeight="1" x14ac:dyDescent="0.3">
      <c r="A349" s="23">
        <v>345</v>
      </c>
      <c r="B349" s="24" t="s">
        <v>1971</v>
      </c>
      <c r="C349" s="25" t="s">
        <v>1972</v>
      </c>
      <c r="D349" s="23" t="s">
        <v>1283</v>
      </c>
      <c r="E349" s="55">
        <v>46125</v>
      </c>
      <c r="F349" s="26" t="s">
        <v>948</v>
      </c>
      <c r="G349" s="26" t="s">
        <v>58</v>
      </c>
      <c r="H349" s="26" t="s">
        <v>56</v>
      </c>
      <c r="I349" s="26" t="s">
        <v>1284</v>
      </c>
      <c r="J349" s="26" t="s">
        <v>58</v>
      </c>
      <c r="K349" s="27"/>
      <c r="L349" s="28" t="s">
        <v>56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4.25" customHeight="1" x14ac:dyDescent="0.3">
      <c r="A350" s="42">
        <v>346</v>
      </c>
      <c r="B350" s="43" t="s">
        <v>1973</v>
      </c>
      <c r="C350" s="44" t="s">
        <v>1974</v>
      </c>
      <c r="D350" s="42" t="s">
        <v>1283</v>
      </c>
      <c r="E350" s="55">
        <v>46125</v>
      </c>
      <c r="F350" s="26" t="s">
        <v>948</v>
      </c>
      <c r="G350" s="26" t="s">
        <v>58</v>
      </c>
      <c r="H350" s="26" t="s">
        <v>56</v>
      </c>
      <c r="I350" s="26" t="s">
        <v>1284</v>
      </c>
      <c r="J350" s="26" t="s">
        <v>58</v>
      </c>
      <c r="K350" s="27"/>
      <c r="L350" s="28" t="s">
        <v>56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4.25" customHeight="1" x14ac:dyDescent="0.3">
      <c r="A351" s="23">
        <v>347</v>
      </c>
      <c r="B351" s="24" t="s">
        <v>1975</v>
      </c>
      <c r="C351" s="25" t="s">
        <v>1976</v>
      </c>
      <c r="D351" s="23" t="s">
        <v>1283</v>
      </c>
      <c r="E351" s="55">
        <v>46125</v>
      </c>
      <c r="F351" s="26" t="s">
        <v>948</v>
      </c>
      <c r="G351" s="26" t="s">
        <v>58</v>
      </c>
      <c r="H351" s="26" t="s">
        <v>56</v>
      </c>
      <c r="I351" s="26" t="s">
        <v>1284</v>
      </c>
      <c r="J351" s="26" t="s">
        <v>58</v>
      </c>
      <c r="K351" s="27"/>
      <c r="L351" s="28" t="s">
        <v>56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4.25" customHeight="1" x14ac:dyDescent="0.3">
      <c r="A352" s="42">
        <v>348</v>
      </c>
      <c r="B352" s="43" t="s">
        <v>1977</v>
      </c>
      <c r="C352" s="44" t="s">
        <v>1978</v>
      </c>
      <c r="D352" s="42" t="s">
        <v>1283</v>
      </c>
      <c r="E352" s="55">
        <v>46125</v>
      </c>
      <c r="F352" s="26" t="s">
        <v>948</v>
      </c>
      <c r="G352" s="26" t="s">
        <v>58</v>
      </c>
      <c r="H352" s="26" t="s">
        <v>56</v>
      </c>
      <c r="I352" s="26" t="s">
        <v>1284</v>
      </c>
      <c r="J352" s="26" t="s">
        <v>58</v>
      </c>
      <c r="K352" s="27"/>
      <c r="L352" s="28" t="s">
        <v>56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4.25" customHeight="1" x14ac:dyDescent="0.3">
      <c r="A353" s="23">
        <v>349</v>
      </c>
      <c r="B353" s="24" t="s">
        <v>1979</v>
      </c>
      <c r="C353" s="25" t="s">
        <v>1980</v>
      </c>
      <c r="D353" s="23" t="s">
        <v>1283</v>
      </c>
      <c r="E353" s="55">
        <v>46125</v>
      </c>
      <c r="F353" s="26" t="s">
        <v>948</v>
      </c>
      <c r="G353" s="26" t="s">
        <v>58</v>
      </c>
      <c r="H353" s="26" t="s">
        <v>56</v>
      </c>
      <c r="I353" s="26" t="s">
        <v>1284</v>
      </c>
      <c r="J353" s="26" t="s">
        <v>58</v>
      </c>
      <c r="K353" s="27"/>
      <c r="L353" s="28" t="s">
        <v>56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4.25" customHeight="1" x14ac:dyDescent="0.3">
      <c r="A354" s="42">
        <v>350</v>
      </c>
      <c r="B354" s="43" t="s">
        <v>1981</v>
      </c>
      <c r="C354" s="44" t="s">
        <v>1982</v>
      </c>
      <c r="D354" s="42" t="s">
        <v>1283</v>
      </c>
      <c r="E354" s="55">
        <v>46125</v>
      </c>
      <c r="F354" s="26" t="s">
        <v>948</v>
      </c>
      <c r="G354" s="26" t="s">
        <v>58</v>
      </c>
      <c r="H354" s="26" t="s">
        <v>56</v>
      </c>
      <c r="I354" s="26" t="s">
        <v>1284</v>
      </c>
      <c r="J354" s="26" t="s">
        <v>58</v>
      </c>
      <c r="K354" s="27"/>
      <c r="L354" s="28" t="s">
        <v>56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4.25" customHeight="1" x14ac:dyDescent="0.3">
      <c r="A355" s="23">
        <v>351</v>
      </c>
      <c r="B355" s="24" t="s">
        <v>1983</v>
      </c>
      <c r="C355" s="25" t="s">
        <v>1984</v>
      </c>
      <c r="D355" s="23" t="s">
        <v>1283</v>
      </c>
      <c r="E355" s="55">
        <v>46125</v>
      </c>
      <c r="F355" s="26" t="s">
        <v>948</v>
      </c>
      <c r="G355" s="26" t="s">
        <v>58</v>
      </c>
      <c r="H355" s="26" t="s">
        <v>56</v>
      </c>
      <c r="I355" s="26" t="s">
        <v>1284</v>
      </c>
      <c r="J355" s="26" t="s">
        <v>58</v>
      </c>
      <c r="K355" s="27"/>
      <c r="L355" s="28" t="s">
        <v>56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4.25" customHeight="1" x14ac:dyDescent="0.3">
      <c r="A356" s="42">
        <v>352</v>
      </c>
      <c r="B356" s="43" t="s">
        <v>1985</v>
      </c>
      <c r="C356" s="44" t="s">
        <v>1986</v>
      </c>
      <c r="D356" s="42" t="s">
        <v>1283</v>
      </c>
      <c r="E356" s="55">
        <v>46125</v>
      </c>
      <c r="F356" s="26" t="s">
        <v>948</v>
      </c>
      <c r="G356" s="26" t="s">
        <v>58</v>
      </c>
      <c r="H356" s="26" t="s">
        <v>56</v>
      </c>
      <c r="I356" s="26" t="s">
        <v>1284</v>
      </c>
      <c r="J356" s="26" t="s">
        <v>58</v>
      </c>
      <c r="K356" s="27"/>
      <c r="L356" s="28" t="s">
        <v>56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4.25" customHeight="1" x14ac:dyDescent="0.3">
      <c r="A357" s="23">
        <v>353</v>
      </c>
      <c r="B357" s="24" t="s">
        <v>1987</v>
      </c>
      <c r="C357" s="25" t="s">
        <v>1988</v>
      </c>
      <c r="D357" s="23" t="s">
        <v>1283</v>
      </c>
      <c r="E357" s="55">
        <v>46125</v>
      </c>
      <c r="F357" s="26" t="s">
        <v>948</v>
      </c>
      <c r="G357" s="26" t="s">
        <v>58</v>
      </c>
      <c r="H357" s="26" t="s">
        <v>56</v>
      </c>
      <c r="I357" s="26" t="s">
        <v>1284</v>
      </c>
      <c r="J357" s="26" t="s">
        <v>58</v>
      </c>
      <c r="K357" s="27"/>
      <c r="L357" s="28" t="s">
        <v>56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4.25" customHeight="1" x14ac:dyDescent="0.3">
      <c r="A358" s="42">
        <v>354</v>
      </c>
      <c r="B358" s="43" t="s">
        <v>1989</v>
      </c>
      <c r="C358" s="44" t="s">
        <v>1990</v>
      </c>
      <c r="D358" s="42" t="s">
        <v>1283</v>
      </c>
      <c r="E358" s="55">
        <v>46125</v>
      </c>
      <c r="F358" s="26" t="s">
        <v>948</v>
      </c>
      <c r="G358" s="26" t="s">
        <v>58</v>
      </c>
      <c r="H358" s="26" t="s">
        <v>56</v>
      </c>
      <c r="I358" s="26" t="s">
        <v>1284</v>
      </c>
      <c r="J358" s="26" t="s">
        <v>58</v>
      </c>
      <c r="K358" s="27"/>
      <c r="L358" s="28" t="s">
        <v>56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4.25" customHeight="1" x14ac:dyDescent="0.3">
      <c r="A359" s="23">
        <v>355</v>
      </c>
      <c r="B359" s="24" t="s">
        <v>1991</v>
      </c>
      <c r="C359" s="25" t="s">
        <v>1992</v>
      </c>
      <c r="D359" s="23" t="s">
        <v>1283</v>
      </c>
      <c r="E359" s="55">
        <v>46125</v>
      </c>
      <c r="F359" s="26" t="s">
        <v>948</v>
      </c>
      <c r="G359" s="26" t="s">
        <v>58</v>
      </c>
      <c r="H359" s="26" t="s">
        <v>56</v>
      </c>
      <c r="I359" s="26" t="s">
        <v>1284</v>
      </c>
      <c r="J359" s="26" t="s">
        <v>58</v>
      </c>
      <c r="K359" s="27"/>
      <c r="L359" s="28" t="s">
        <v>56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4.25" customHeight="1" x14ac:dyDescent="0.3">
      <c r="A360" s="42">
        <v>356</v>
      </c>
      <c r="B360" s="43" t="s">
        <v>1993</v>
      </c>
      <c r="C360" s="44" t="s">
        <v>1994</v>
      </c>
      <c r="D360" s="42" t="s">
        <v>1283</v>
      </c>
      <c r="E360" s="55">
        <v>46125</v>
      </c>
      <c r="F360" s="26" t="s">
        <v>948</v>
      </c>
      <c r="G360" s="26" t="s">
        <v>58</v>
      </c>
      <c r="H360" s="26" t="s">
        <v>56</v>
      </c>
      <c r="I360" s="26" t="s">
        <v>1284</v>
      </c>
      <c r="J360" s="26" t="s">
        <v>58</v>
      </c>
      <c r="K360" s="27"/>
      <c r="L360" s="28" t="s">
        <v>56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4.25" customHeight="1" x14ac:dyDescent="0.3">
      <c r="A361" s="23">
        <v>357</v>
      </c>
      <c r="B361" s="24" t="s">
        <v>1995</v>
      </c>
      <c r="C361" s="25" t="s">
        <v>1996</v>
      </c>
      <c r="D361" s="23" t="s">
        <v>1283</v>
      </c>
      <c r="E361" s="55">
        <v>46125</v>
      </c>
      <c r="F361" s="26" t="s">
        <v>948</v>
      </c>
      <c r="G361" s="26" t="s">
        <v>58</v>
      </c>
      <c r="H361" s="26" t="s">
        <v>56</v>
      </c>
      <c r="I361" s="26" t="s">
        <v>1284</v>
      </c>
      <c r="J361" s="26" t="s">
        <v>58</v>
      </c>
      <c r="K361" s="27"/>
      <c r="L361" s="28" t="s">
        <v>56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4.25" customHeight="1" x14ac:dyDescent="0.3">
      <c r="A362" s="42">
        <v>358</v>
      </c>
      <c r="B362" s="43" t="s">
        <v>1997</v>
      </c>
      <c r="C362" s="44" t="s">
        <v>1998</v>
      </c>
      <c r="D362" s="42" t="s">
        <v>1283</v>
      </c>
      <c r="E362" s="55">
        <v>46125</v>
      </c>
      <c r="F362" s="26" t="s">
        <v>948</v>
      </c>
      <c r="G362" s="26" t="s">
        <v>58</v>
      </c>
      <c r="H362" s="26" t="s">
        <v>56</v>
      </c>
      <c r="I362" s="26" t="s">
        <v>1284</v>
      </c>
      <c r="J362" s="26" t="s">
        <v>58</v>
      </c>
      <c r="K362" s="27"/>
      <c r="L362" s="28" t="s">
        <v>56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4.25" customHeight="1" x14ac:dyDescent="0.3">
      <c r="A363" s="23">
        <v>359</v>
      </c>
      <c r="B363" s="24" t="s">
        <v>1999</v>
      </c>
      <c r="C363" s="25" t="s">
        <v>2000</v>
      </c>
      <c r="D363" s="23" t="s">
        <v>1283</v>
      </c>
      <c r="E363" s="55">
        <v>46125</v>
      </c>
      <c r="F363" s="26" t="s">
        <v>948</v>
      </c>
      <c r="G363" s="26" t="s">
        <v>58</v>
      </c>
      <c r="H363" s="26" t="s">
        <v>56</v>
      </c>
      <c r="I363" s="26" t="s">
        <v>1284</v>
      </c>
      <c r="J363" s="26" t="s">
        <v>58</v>
      </c>
      <c r="K363" s="27"/>
      <c r="L363" s="28" t="s">
        <v>56</v>
      </c>
      <c r="M363" s="29" t="str">
        <f t="shared" si="25"/>
        <v>✓ OK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4.25" customHeight="1" x14ac:dyDescent="0.3">
      <c r="A364" s="42">
        <v>360</v>
      </c>
      <c r="B364" s="43" t="s">
        <v>2001</v>
      </c>
      <c r="C364" s="44" t="s">
        <v>2002</v>
      </c>
      <c r="D364" s="42" t="s">
        <v>1283</v>
      </c>
      <c r="E364" s="55">
        <v>46125</v>
      </c>
      <c r="F364" s="26" t="s">
        <v>948</v>
      </c>
      <c r="G364" s="26" t="s">
        <v>58</v>
      </c>
      <c r="H364" s="26" t="s">
        <v>56</v>
      </c>
      <c r="I364" s="26" t="s">
        <v>1284</v>
      </c>
      <c r="J364" s="26" t="s">
        <v>58</v>
      </c>
      <c r="K364" s="27"/>
      <c r="L364" s="28" t="s">
        <v>56</v>
      </c>
      <c r="M364" s="29" t="str">
        <f t="shared" si="25"/>
        <v>✓ OK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4.25" customHeight="1" x14ac:dyDescent="0.3">
      <c r="A365" s="23">
        <v>361</v>
      </c>
      <c r="B365" s="24" t="s">
        <v>2003</v>
      </c>
      <c r="C365" s="25" t="s">
        <v>2004</v>
      </c>
      <c r="D365" s="23" t="s">
        <v>1283</v>
      </c>
      <c r="E365" s="55">
        <v>46125</v>
      </c>
      <c r="F365" s="26" t="s">
        <v>948</v>
      </c>
      <c r="G365" s="26" t="s">
        <v>58</v>
      </c>
      <c r="H365" s="26" t="s">
        <v>56</v>
      </c>
      <c r="I365" s="26" t="s">
        <v>1284</v>
      </c>
      <c r="J365" s="26" t="s">
        <v>58</v>
      </c>
      <c r="K365" s="27"/>
      <c r="L365" s="28" t="s">
        <v>56</v>
      </c>
      <c r="M365" s="29" t="str">
        <f t="shared" si="25"/>
        <v>✓ OK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4.25" customHeight="1" x14ac:dyDescent="0.3">
      <c r="A366" s="42">
        <v>362</v>
      </c>
      <c r="B366" s="43" t="s">
        <v>2005</v>
      </c>
      <c r="C366" s="44" t="s">
        <v>2006</v>
      </c>
      <c r="D366" s="42" t="s">
        <v>1283</v>
      </c>
      <c r="E366" s="55">
        <v>46125</v>
      </c>
      <c r="F366" s="26" t="s">
        <v>948</v>
      </c>
      <c r="G366" s="26" t="s">
        <v>58</v>
      </c>
      <c r="H366" s="26" t="s">
        <v>56</v>
      </c>
      <c r="I366" s="26" t="s">
        <v>1284</v>
      </c>
      <c r="J366" s="26" t="s">
        <v>58</v>
      </c>
      <c r="K366" s="27"/>
      <c r="L366" s="28" t="s">
        <v>56</v>
      </c>
      <c r="M366" s="29" t="str">
        <f t="shared" si="25"/>
        <v>✓ OK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4.25" customHeight="1" x14ac:dyDescent="0.3">
      <c r="A367" s="23">
        <v>363</v>
      </c>
      <c r="B367" s="24" t="s">
        <v>2007</v>
      </c>
      <c r="C367" s="25" t="s">
        <v>2008</v>
      </c>
      <c r="D367" s="23" t="s">
        <v>1283</v>
      </c>
      <c r="E367" s="55">
        <v>46125</v>
      </c>
      <c r="F367" s="26" t="s">
        <v>948</v>
      </c>
      <c r="G367" s="26" t="s">
        <v>58</v>
      </c>
      <c r="H367" s="26" t="s">
        <v>56</v>
      </c>
      <c r="I367" s="26" t="s">
        <v>1284</v>
      </c>
      <c r="J367" s="26" t="s">
        <v>58</v>
      </c>
      <c r="K367" s="27"/>
      <c r="L367" s="28" t="s">
        <v>56</v>
      </c>
      <c r="M367" s="29" t="str">
        <f t="shared" si="25"/>
        <v>✓ OK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4.25" customHeight="1" x14ac:dyDescent="0.3">
      <c r="A368" s="42">
        <v>364</v>
      </c>
      <c r="B368" s="43" t="s">
        <v>2009</v>
      </c>
      <c r="C368" s="44" t="s">
        <v>2010</v>
      </c>
      <c r="D368" s="42" t="s">
        <v>1283</v>
      </c>
      <c r="E368" s="55">
        <v>46125</v>
      </c>
      <c r="F368" s="26" t="s">
        <v>948</v>
      </c>
      <c r="G368" s="26" t="s">
        <v>58</v>
      </c>
      <c r="H368" s="26" t="s">
        <v>56</v>
      </c>
      <c r="I368" s="26" t="s">
        <v>1284</v>
      </c>
      <c r="J368" s="26" t="s">
        <v>58</v>
      </c>
      <c r="K368" s="27"/>
      <c r="L368" s="28" t="s">
        <v>56</v>
      </c>
      <c r="M368" s="29" t="str">
        <f t="shared" si="25"/>
        <v>✓ OK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4.25" customHeight="1" x14ac:dyDescent="0.3">
      <c r="A369" s="23">
        <v>365</v>
      </c>
      <c r="B369" s="24" t="s">
        <v>2011</v>
      </c>
      <c r="C369" s="25" t="s">
        <v>2012</v>
      </c>
      <c r="D369" s="23" t="s">
        <v>1283</v>
      </c>
      <c r="E369" s="55">
        <v>46125</v>
      </c>
      <c r="F369" s="26" t="s">
        <v>948</v>
      </c>
      <c r="G369" s="26" t="s">
        <v>58</v>
      </c>
      <c r="H369" s="26" t="s">
        <v>56</v>
      </c>
      <c r="I369" s="26" t="s">
        <v>1284</v>
      </c>
      <c r="J369" s="26" t="s">
        <v>58</v>
      </c>
      <c r="K369" s="27"/>
      <c r="L369" s="28" t="s">
        <v>56</v>
      </c>
      <c r="M369" s="29" t="str">
        <f t="shared" si="25"/>
        <v>✓ OK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4.25" customHeight="1" x14ac:dyDescent="0.3">
      <c r="A370" s="42">
        <v>366</v>
      </c>
      <c r="B370" s="43" t="s">
        <v>2013</v>
      </c>
      <c r="C370" s="44" t="s">
        <v>2014</v>
      </c>
      <c r="D370" s="42" t="s">
        <v>1283</v>
      </c>
      <c r="E370" s="55">
        <v>46125</v>
      </c>
      <c r="F370" s="26" t="s">
        <v>948</v>
      </c>
      <c r="G370" s="26" t="s">
        <v>58</v>
      </c>
      <c r="H370" s="26" t="s">
        <v>56</v>
      </c>
      <c r="I370" s="26" t="s">
        <v>1284</v>
      </c>
      <c r="J370" s="26" t="s">
        <v>58</v>
      </c>
      <c r="K370" s="27"/>
      <c r="L370" s="28" t="s">
        <v>56</v>
      </c>
      <c r="M370" s="29" t="str">
        <f t="shared" si="25"/>
        <v>✓ OK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4.25" customHeight="1" x14ac:dyDescent="0.3">
      <c r="A371" s="23">
        <v>367</v>
      </c>
      <c r="B371" s="24" t="s">
        <v>2015</v>
      </c>
      <c r="C371" s="25" t="s">
        <v>2016</v>
      </c>
      <c r="D371" s="23" t="s">
        <v>1283</v>
      </c>
      <c r="E371" s="55">
        <v>46125</v>
      </c>
      <c r="F371" s="26" t="s">
        <v>948</v>
      </c>
      <c r="G371" s="26" t="s">
        <v>58</v>
      </c>
      <c r="H371" s="26" t="s">
        <v>56</v>
      </c>
      <c r="I371" s="26" t="s">
        <v>1284</v>
      </c>
      <c r="J371" s="26" t="s">
        <v>58</v>
      </c>
      <c r="K371" s="27"/>
      <c r="L371" s="28" t="s">
        <v>56</v>
      </c>
      <c r="M371" s="29" t="str">
        <f t="shared" si="25"/>
        <v>✓ OK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4.25" customHeight="1" x14ac:dyDescent="0.3">
      <c r="A372" s="42">
        <v>368</v>
      </c>
      <c r="B372" s="43" t="s">
        <v>2017</v>
      </c>
      <c r="C372" s="44" t="s">
        <v>2018</v>
      </c>
      <c r="D372" s="42" t="s">
        <v>1283</v>
      </c>
      <c r="E372" s="55">
        <v>46125</v>
      </c>
      <c r="F372" s="26" t="s">
        <v>948</v>
      </c>
      <c r="G372" s="26" t="s">
        <v>58</v>
      </c>
      <c r="H372" s="26" t="s">
        <v>56</v>
      </c>
      <c r="I372" s="26" t="s">
        <v>1284</v>
      </c>
      <c r="J372" s="26" t="s">
        <v>58</v>
      </c>
      <c r="K372" s="27"/>
      <c r="L372" s="28" t="s">
        <v>56</v>
      </c>
      <c r="M372" s="29" t="str">
        <f t="shared" si="25"/>
        <v>✓ OK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4.25" customHeight="1" x14ac:dyDescent="0.3">
      <c r="A373" s="23">
        <v>369</v>
      </c>
      <c r="B373" s="24" t="s">
        <v>2019</v>
      </c>
      <c r="C373" s="25" t="s">
        <v>2020</v>
      </c>
      <c r="D373" s="23" t="s">
        <v>1283</v>
      </c>
      <c r="E373" s="55">
        <v>46125</v>
      </c>
      <c r="F373" s="26" t="s">
        <v>948</v>
      </c>
      <c r="G373" s="26" t="s">
        <v>58</v>
      </c>
      <c r="H373" s="26" t="s">
        <v>56</v>
      </c>
      <c r="I373" s="26" t="s">
        <v>1284</v>
      </c>
      <c r="J373" s="26" t="s">
        <v>58</v>
      </c>
      <c r="K373" s="27"/>
      <c r="L373" s="28" t="s">
        <v>56</v>
      </c>
      <c r="M373" s="29" t="str">
        <f t="shared" si="25"/>
        <v>✓ OK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4.25" customHeight="1" x14ac:dyDescent="0.3">
      <c r="A374" s="42">
        <v>370</v>
      </c>
      <c r="B374" s="43" t="s">
        <v>2021</v>
      </c>
      <c r="C374" s="44" t="s">
        <v>2022</v>
      </c>
      <c r="D374" s="42" t="s">
        <v>1283</v>
      </c>
      <c r="E374" s="55">
        <v>46125</v>
      </c>
      <c r="F374" s="26" t="s">
        <v>948</v>
      </c>
      <c r="G374" s="26" t="s">
        <v>58</v>
      </c>
      <c r="H374" s="26" t="s">
        <v>56</v>
      </c>
      <c r="I374" s="26" t="s">
        <v>1284</v>
      </c>
      <c r="J374" s="26" t="s">
        <v>58</v>
      </c>
      <c r="K374" s="27"/>
      <c r="L374" s="28" t="s">
        <v>56</v>
      </c>
      <c r="M374" s="29" t="str">
        <f t="shared" si="25"/>
        <v>✓ OK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4.25" customHeight="1" x14ac:dyDescent="0.3">
      <c r="A375" s="23">
        <v>371</v>
      </c>
      <c r="B375" s="24" t="s">
        <v>2023</v>
      </c>
      <c r="C375" s="25" t="s">
        <v>2024</v>
      </c>
      <c r="D375" s="23" t="s">
        <v>1283</v>
      </c>
      <c r="E375" s="55">
        <v>46125</v>
      </c>
      <c r="F375" s="26" t="s">
        <v>948</v>
      </c>
      <c r="G375" s="26" t="s">
        <v>58</v>
      </c>
      <c r="H375" s="26" t="s">
        <v>56</v>
      </c>
      <c r="I375" s="26" t="s">
        <v>1284</v>
      </c>
      <c r="J375" s="26" t="s">
        <v>58</v>
      </c>
      <c r="K375" s="27"/>
      <c r="L375" s="28" t="s">
        <v>56</v>
      </c>
      <c r="M375" s="29" t="str">
        <f t="shared" si="25"/>
        <v>✓ OK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4.25" customHeight="1" x14ac:dyDescent="0.3">
      <c r="A376" s="42">
        <v>372</v>
      </c>
      <c r="B376" s="43" t="s">
        <v>2025</v>
      </c>
      <c r="C376" s="44" t="s">
        <v>2026</v>
      </c>
      <c r="D376" s="42" t="s">
        <v>1283</v>
      </c>
      <c r="E376" s="55">
        <v>46125</v>
      </c>
      <c r="F376" s="26" t="s">
        <v>948</v>
      </c>
      <c r="G376" s="26" t="s">
        <v>58</v>
      </c>
      <c r="H376" s="26" t="s">
        <v>56</v>
      </c>
      <c r="I376" s="26" t="s">
        <v>1284</v>
      </c>
      <c r="J376" s="26" t="s">
        <v>58</v>
      </c>
      <c r="K376" s="27"/>
      <c r="L376" s="28" t="s">
        <v>56</v>
      </c>
      <c r="M376" s="29" t="str">
        <f t="shared" si="25"/>
        <v>✓ OK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4.25" customHeight="1" x14ac:dyDescent="0.3">
      <c r="A377" s="23">
        <v>373</v>
      </c>
      <c r="B377" s="24" t="s">
        <v>2027</v>
      </c>
      <c r="C377" s="25" t="s">
        <v>2028</v>
      </c>
      <c r="D377" s="23" t="s">
        <v>1283</v>
      </c>
      <c r="E377" s="55">
        <v>46125</v>
      </c>
      <c r="F377" s="26" t="s">
        <v>948</v>
      </c>
      <c r="G377" s="26" t="s">
        <v>58</v>
      </c>
      <c r="H377" s="26" t="s">
        <v>56</v>
      </c>
      <c r="I377" s="26" t="s">
        <v>1284</v>
      </c>
      <c r="J377" s="26" t="s">
        <v>58</v>
      </c>
      <c r="K377" s="27"/>
      <c r="L377" s="28" t="s">
        <v>56</v>
      </c>
      <c r="M377" s="29" t="str">
        <f t="shared" si="25"/>
        <v>✓ OK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4.25" customHeight="1" x14ac:dyDescent="0.3">
      <c r="A378" s="42">
        <v>374</v>
      </c>
      <c r="B378" s="43" t="s">
        <v>2029</v>
      </c>
      <c r="C378" s="44" t="s">
        <v>2030</v>
      </c>
      <c r="D378" s="42" t="s">
        <v>1283</v>
      </c>
      <c r="E378" s="55">
        <v>46125</v>
      </c>
      <c r="F378" s="26" t="s">
        <v>948</v>
      </c>
      <c r="G378" s="26" t="s">
        <v>58</v>
      </c>
      <c r="H378" s="26" t="s">
        <v>56</v>
      </c>
      <c r="I378" s="26" t="s">
        <v>1284</v>
      </c>
      <c r="J378" s="26" t="s">
        <v>58</v>
      </c>
      <c r="K378" s="27"/>
      <c r="L378" s="28" t="s">
        <v>56</v>
      </c>
      <c r="M378" s="29" t="str">
        <f t="shared" si="25"/>
        <v>✓ OK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4.25" customHeight="1" x14ac:dyDescent="0.3">
      <c r="A379" s="23">
        <v>375</v>
      </c>
      <c r="B379" s="24" t="s">
        <v>2031</v>
      </c>
      <c r="C379" s="25" t="s">
        <v>2032</v>
      </c>
      <c r="D379" s="23" t="s">
        <v>1283</v>
      </c>
      <c r="E379" s="55">
        <v>46125</v>
      </c>
      <c r="F379" s="26" t="s">
        <v>948</v>
      </c>
      <c r="G379" s="26" t="s">
        <v>58</v>
      </c>
      <c r="H379" s="26" t="s">
        <v>56</v>
      </c>
      <c r="I379" s="26" t="s">
        <v>1284</v>
      </c>
      <c r="J379" s="26" t="s">
        <v>58</v>
      </c>
      <c r="K379" s="27"/>
      <c r="L379" s="28" t="s">
        <v>56</v>
      </c>
      <c r="M379" s="29" t="str">
        <f t="shared" si="25"/>
        <v>✓ OK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4.25" customHeight="1" x14ac:dyDescent="0.3">
      <c r="A380" s="42">
        <v>376</v>
      </c>
      <c r="B380" s="43" t="s">
        <v>2033</v>
      </c>
      <c r="C380" s="44" t="s">
        <v>2034</v>
      </c>
      <c r="D380" s="42" t="s">
        <v>1283</v>
      </c>
      <c r="E380" s="55">
        <v>46125</v>
      </c>
      <c r="F380" s="26" t="s">
        <v>948</v>
      </c>
      <c r="G380" s="26" t="s">
        <v>58</v>
      </c>
      <c r="H380" s="26" t="s">
        <v>56</v>
      </c>
      <c r="I380" s="26" t="s">
        <v>1284</v>
      </c>
      <c r="J380" s="26" t="s">
        <v>58</v>
      </c>
      <c r="K380" s="27"/>
      <c r="L380" s="28" t="s">
        <v>56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4.25" customHeight="1" x14ac:dyDescent="0.3">
      <c r="A381" s="23">
        <v>377</v>
      </c>
      <c r="B381" s="24" t="s">
        <v>2035</v>
      </c>
      <c r="C381" s="25" t="s">
        <v>2036</v>
      </c>
      <c r="D381" s="23" t="s">
        <v>1283</v>
      </c>
      <c r="E381" s="55">
        <v>46125</v>
      </c>
      <c r="F381" s="26" t="s">
        <v>948</v>
      </c>
      <c r="G381" s="26" t="s">
        <v>58</v>
      </c>
      <c r="H381" s="26" t="s">
        <v>56</v>
      </c>
      <c r="I381" s="26" t="s">
        <v>1284</v>
      </c>
      <c r="J381" s="26" t="s">
        <v>58</v>
      </c>
      <c r="K381" s="27"/>
      <c r="L381" s="28" t="s">
        <v>56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4.25" customHeight="1" x14ac:dyDescent="0.3">
      <c r="A382" s="42">
        <v>378</v>
      </c>
      <c r="B382" s="43" t="s">
        <v>2037</v>
      </c>
      <c r="C382" s="44" t="s">
        <v>2038</v>
      </c>
      <c r="D382" s="42" t="s">
        <v>1283</v>
      </c>
      <c r="E382" s="55">
        <v>46125</v>
      </c>
      <c r="F382" s="26" t="s">
        <v>948</v>
      </c>
      <c r="G382" s="26" t="s">
        <v>58</v>
      </c>
      <c r="H382" s="26" t="s">
        <v>56</v>
      </c>
      <c r="I382" s="26" t="s">
        <v>1284</v>
      </c>
      <c r="J382" s="26" t="s">
        <v>58</v>
      </c>
      <c r="K382" s="27"/>
      <c r="L382" s="28" t="s">
        <v>56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4.25" customHeight="1" x14ac:dyDescent="0.3">
      <c r="A383" s="23">
        <v>379</v>
      </c>
      <c r="B383" s="24" t="s">
        <v>2039</v>
      </c>
      <c r="C383" s="25" t="s">
        <v>2040</v>
      </c>
      <c r="D383" s="23" t="s">
        <v>1283</v>
      </c>
      <c r="E383" s="55">
        <v>46125</v>
      </c>
      <c r="F383" s="26" t="s">
        <v>948</v>
      </c>
      <c r="G383" s="26" t="s">
        <v>58</v>
      </c>
      <c r="H383" s="26" t="s">
        <v>56</v>
      </c>
      <c r="I383" s="26" t="s">
        <v>1284</v>
      </c>
      <c r="J383" s="26" t="s">
        <v>58</v>
      </c>
      <c r="K383" s="27"/>
      <c r="L383" s="28" t="s">
        <v>56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4.25" customHeight="1" x14ac:dyDescent="0.3">
      <c r="A384" s="42">
        <v>380</v>
      </c>
      <c r="B384" s="43" t="s">
        <v>2041</v>
      </c>
      <c r="C384" s="44" t="s">
        <v>2042</v>
      </c>
      <c r="D384" s="42" t="s">
        <v>1283</v>
      </c>
      <c r="E384" s="55">
        <v>46125</v>
      </c>
      <c r="F384" s="26" t="s">
        <v>948</v>
      </c>
      <c r="G384" s="26" t="s">
        <v>58</v>
      </c>
      <c r="H384" s="26" t="s">
        <v>56</v>
      </c>
      <c r="I384" s="26" t="s">
        <v>1284</v>
      </c>
      <c r="J384" s="26" t="s">
        <v>58</v>
      </c>
      <c r="K384" s="27"/>
      <c r="L384" s="28" t="s">
        <v>56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4.25" customHeight="1" x14ac:dyDescent="0.3">
      <c r="A385" s="23">
        <v>381</v>
      </c>
      <c r="B385" s="24" t="s">
        <v>2043</v>
      </c>
      <c r="C385" s="25" t="s">
        <v>2044</v>
      </c>
      <c r="D385" s="23" t="s">
        <v>1283</v>
      </c>
      <c r="E385" s="55">
        <v>46125</v>
      </c>
      <c r="F385" s="26" t="s">
        <v>948</v>
      </c>
      <c r="G385" s="26" t="s">
        <v>58</v>
      </c>
      <c r="H385" s="26" t="s">
        <v>56</v>
      </c>
      <c r="I385" s="26" t="s">
        <v>1284</v>
      </c>
      <c r="J385" s="26" t="s">
        <v>58</v>
      </c>
      <c r="K385" s="27"/>
      <c r="L385" s="28" t="s">
        <v>56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4.25" customHeight="1" x14ac:dyDescent="0.3">
      <c r="A386" s="42">
        <v>382</v>
      </c>
      <c r="B386" s="43" t="s">
        <v>2045</v>
      </c>
      <c r="C386" s="44" t="s">
        <v>2046</v>
      </c>
      <c r="D386" s="42" t="s">
        <v>1283</v>
      </c>
      <c r="E386" s="55">
        <v>46125</v>
      </c>
      <c r="F386" s="26" t="s">
        <v>948</v>
      </c>
      <c r="G386" s="26" t="s">
        <v>58</v>
      </c>
      <c r="H386" s="26" t="s">
        <v>56</v>
      </c>
      <c r="I386" s="26" t="s">
        <v>1284</v>
      </c>
      <c r="J386" s="26" t="s">
        <v>58</v>
      </c>
      <c r="K386" s="27"/>
      <c r="L386" s="28" t="s">
        <v>56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4.25" customHeight="1" x14ac:dyDescent="0.3">
      <c r="A387" s="23">
        <v>383</v>
      </c>
      <c r="B387" s="24" t="s">
        <v>2047</v>
      </c>
      <c r="C387" s="25" t="s">
        <v>2048</v>
      </c>
      <c r="D387" s="23" t="s">
        <v>1283</v>
      </c>
      <c r="E387" s="55">
        <v>46125</v>
      </c>
      <c r="F387" s="26" t="s">
        <v>948</v>
      </c>
      <c r="G387" s="26" t="s">
        <v>58</v>
      </c>
      <c r="H387" s="26" t="s">
        <v>56</v>
      </c>
      <c r="I387" s="26" t="s">
        <v>1284</v>
      </c>
      <c r="J387" s="26" t="s">
        <v>58</v>
      </c>
      <c r="K387" s="27"/>
      <c r="L387" s="28" t="s">
        <v>56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4.25" customHeight="1" x14ac:dyDescent="0.3">
      <c r="A388" s="42">
        <v>384</v>
      </c>
      <c r="B388" s="43" t="s">
        <v>2049</v>
      </c>
      <c r="C388" s="44" t="s">
        <v>2050</v>
      </c>
      <c r="D388" s="42" t="s">
        <v>1283</v>
      </c>
      <c r="E388" s="55">
        <v>46125</v>
      </c>
      <c r="F388" s="26" t="s">
        <v>948</v>
      </c>
      <c r="G388" s="26" t="s">
        <v>58</v>
      </c>
      <c r="H388" s="26" t="s">
        <v>56</v>
      </c>
      <c r="I388" s="26" t="s">
        <v>1284</v>
      </c>
      <c r="J388" s="26" t="s">
        <v>58</v>
      </c>
      <c r="K388" s="27"/>
      <c r="L388" s="28" t="s">
        <v>56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4.25" customHeight="1" x14ac:dyDescent="0.3">
      <c r="A389" s="23">
        <v>385</v>
      </c>
      <c r="B389" s="24" t="s">
        <v>2051</v>
      </c>
      <c r="C389" s="25" t="s">
        <v>2052</v>
      </c>
      <c r="D389" s="23" t="s">
        <v>1283</v>
      </c>
      <c r="E389" s="55">
        <v>46125</v>
      </c>
      <c r="F389" s="26" t="s">
        <v>948</v>
      </c>
      <c r="G389" s="26" t="s">
        <v>58</v>
      </c>
      <c r="H389" s="26" t="s">
        <v>56</v>
      </c>
      <c r="I389" s="26" t="s">
        <v>1284</v>
      </c>
      <c r="J389" s="26" t="s">
        <v>58</v>
      </c>
      <c r="K389" s="27"/>
      <c r="L389" s="28" t="s">
        <v>56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42">
        <v>386</v>
      </c>
      <c r="B390" s="43" t="s">
        <v>2053</v>
      </c>
      <c r="C390" s="44" t="s">
        <v>2054</v>
      </c>
      <c r="D390" s="42" t="s">
        <v>1283</v>
      </c>
      <c r="E390" s="55">
        <v>46125</v>
      </c>
      <c r="F390" s="26" t="s">
        <v>948</v>
      </c>
      <c r="G390" s="26" t="s">
        <v>58</v>
      </c>
      <c r="H390" s="26" t="s">
        <v>56</v>
      </c>
      <c r="I390" s="26" t="s">
        <v>1284</v>
      </c>
      <c r="J390" s="26" t="s">
        <v>58</v>
      </c>
      <c r="K390" s="27"/>
      <c r="L390" s="28" t="s">
        <v>56</v>
      </c>
      <c r="M390" s="29" t="str">
        <f t="shared" si="30"/>
        <v>✓ OK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4.25" customHeight="1" x14ac:dyDescent="0.3">
      <c r="A391" s="23">
        <v>387</v>
      </c>
      <c r="B391" s="24" t="s">
        <v>2055</v>
      </c>
      <c r="C391" s="25" t="s">
        <v>2056</v>
      </c>
      <c r="D391" s="23" t="s">
        <v>1283</v>
      </c>
      <c r="E391" s="55">
        <v>46125</v>
      </c>
      <c r="F391" s="26" t="s">
        <v>948</v>
      </c>
      <c r="G391" s="26" t="s">
        <v>58</v>
      </c>
      <c r="H391" s="26" t="s">
        <v>56</v>
      </c>
      <c r="I391" s="26" t="s">
        <v>1284</v>
      </c>
      <c r="J391" s="26" t="s">
        <v>58</v>
      </c>
      <c r="K391" s="27"/>
      <c r="L391" s="28" t="s">
        <v>56</v>
      </c>
      <c r="M391" s="29" t="str">
        <f t="shared" si="30"/>
        <v>✓ OK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4.25" customHeight="1" x14ac:dyDescent="0.3">
      <c r="A392" s="42">
        <v>388</v>
      </c>
      <c r="B392" s="43" t="s">
        <v>2057</v>
      </c>
      <c r="C392" s="44" t="s">
        <v>2058</v>
      </c>
      <c r="D392" s="42" t="s">
        <v>1283</v>
      </c>
      <c r="E392" s="55">
        <v>46125</v>
      </c>
      <c r="F392" s="26" t="s">
        <v>948</v>
      </c>
      <c r="G392" s="26" t="s">
        <v>58</v>
      </c>
      <c r="H392" s="26" t="s">
        <v>56</v>
      </c>
      <c r="I392" s="26" t="s">
        <v>1284</v>
      </c>
      <c r="J392" s="26" t="s">
        <v>58</v>
      </c>
      <c r="K392" s="27"/>
      <c r="L392" s="28" t="s">
        <v>56</v>
      </c>
      <c r="M392" s="29" t="str">
        <f t="shared" si="30"/>
        <v>✓ OK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4.25" customHeight="1" x14ac:dyDescent="0.3">
      <c r="A393" s="23">
        <v>389</v>
      </c>
      <c r="B393" s="24" t="s">
        <v>2059</v>
      </c>
      <c r="C393" s="25" t="s">
        <v>2060</v>
      </c>
      <c r="D393" s="23" t="s">
        <v>1283</v>
      </c>
      <c r="E393" s="55">
        <v>46125</v>
      </c>
      <c r="F393" s="26" t="s">
        <v>948</v>
      </c>
      <c r="G393" s="26" t="s">
        <v>58</v>
      </c>
      <c r="H393" s="26" t="s">
        <v>56</v>
      </c>
      <c r="I393" s="26" t="s">
        <v>1284</v>
      </c>
      <c r="J393" s="26" t="s">
        <v>58</v>
      </c>
      <c r="K393" s="27"/>
      <c r="L393" s="28" t="s">
        <v>56</v>
      </c>
      <c r="M393" s="29" t="str">
        <f t="shared" si="30"/>
        <v>✓ OK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4.25" customHeight="1" x14ac:dyDescent="0.3">
      <c r="A394" s="42">
        <v>390</v>
      </c>
      <c r="B394" s="43" t="s">
        <v>2061</v>
      </c>
      <c r="C394" s="44" t="s">
        <v>2062</v>
      </c>
      <c r="D394" s="42" t="s">
        <v>1283</v>
      </c>
      <c r="E394" s="55">
        <v>46125</v>
      </c>
      <c r="F394" s="26" t="s">
        <v>948</v>
      </c>
      <c r="G394" s="26" t="s">
        <v>58</v>
      </c>
      <c r="H394" s="26" t="s">
        <v>56</v>
      </c>
      <c r="I394" s="26" t="s">
        <v>1284</v>
      </c>
      <c r="J394" s="26" t="s">
        <v>58</v>
      </c>
      <c r="K394" s="27"/>
      <c r="L394" s="28" t="s">
        <v>56</v>
      </c>
      <c r="M394" s="29" t="str">
        <f t="shared" si="30"/>
        <v>✓ OK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4.25" customHeight="1" x14ac:dyDescent="0.3">
      <c r="A395" s="23">
        <v>391</v>
      </c>
      <c r="B395" s="24" t="s">
        <v>2063</v>
      </c>
      <c r="C395" s="25" t="s">
        <v>2064</v>
      </c>
      <c r="D395" s="23" t="s">
        <v>1283</v>
      </c>
      <c r="E395" s="55">
        <v>46125</v>
      </c>
      <c r="F395" s="26" t="s">
        <v>948</v>
      </c>
      <c r="G395" s="26" t="s">
        <v>58</v>
      </c>
      <c r="H395" s="26" t="s">
        <v>56</v>
      </c>
      <c r="I395" s="26" t="s">
        <v>1284</v>
      </c>
      <c r="J395" s="26" t="s">
        <v>58</v>
      </c>
      <c r="K395" s="27"/>
      <c r="L395" s="28" t="s">
        <v>56</v>
      </c>
      <c r="M395" s="29" t="str">
        <f t="shared" si="30"/>
        <v>✓ OK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4.25" customHeight="1" x14ac:dyDescent="0.3">
      <c r="A396" s="42">
        <v>392</v>
      </c>
      <c r="B396" s="43" t="s">
        <v>2065</v>
      </c>
      <c r="C396" s="44" t="s">
        <v>2066</v>
      </c>
      <c r="D396" s="42" t="s">
        <v>1283</v>
      </c>
      <c r="E396" s="55">
        <v>46125</v>
      </c>
      <c r="F396" s="26" t="s">
        <v>948</v>
      </c>
      <c r="G396" s="26" t="s">
        <v>58</v>
      </c>
      <c r="H396" s="26" t="s">
        <v>56</v>
      </c>
      <c r="I396" s="26" t="s">
        <v>1284</v>
      </c>
      <c r="J396" s="26" t="s">
        <v>58</v>
      </c>
      <c r="K396" s="27"/>
      <c r="L396" s="28" t="s">
        <v>56</v>
      </c>
      <c r="M396" s="29" t="str">
        <f t="shared" si="30"/>
        <v>✓ OK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4.25" customHeight="1" x14ac:dyDescent="0.3">
      <c r="A397" s="23">
        <v>393</v>
      </c>
      <c r="B397" s="24" t="s">
        <v>2067</v>
      </c>
      <c r="C397" s="25" t="s">
        <v>2068</v>
      </c>
      <c r="D397" s="23" t="s">
        <v>1283</v>
      </c>
      <c r="E397" s="55">
        <v>46125</v>
      </c>
      <c r="F397" s="26" t="s">
        <v>948</v>
      </c>
      <c r="G397" s="26" t="s">
        <v>58</v>
      </c>
      <c r="H397" s="26" t="s">
        <v>56</v>
      </c>
      <c r="I397" s="26" t="s">
        <v>1284</v>
      </c>
      <c r="J397" s="26" t="s">
        <v>58</v>
      </c>
      <c r="K397" s="27"/>
      <c r="L397" s="28" t="s">
        <v>56</v>
      </c>
      <c r="M397" s="29" t="str">
        <f t="shared" si="30"/>
        <v>✓ OK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4.25" customHeight="1" x14ac:dyDescent="0.3">
      <c r="A398" s="42">
        <v>394</v>
      </c>
      <c r="B398" s="43" t="s">
        <v>2069</v>
      </c>
      <c r="C398" s="44" t="s">
        <v>2070</v>
      </c>
      <c r="D398" s="42" t="s">
        <v>1283</v>
      </c>
      <c r="E398" s="55">
        <v>46125</v>
      </c>
      <c r="F398" s="26" t="s">
        <v>948</v>
      </c>
      <c r="G398" s="26" t="s">
        <v>58</v>
      </c>
      <c r="H398" s="26" t="s">
        <v>56</v>
      </c>
      <c r="I398" s="26" t="s">
        <v>1284</v>
      </c>
      <c r="J398" s="26" t="s">
        <v>58</v>
      </c>
      <c r="K398" s="27"/>
      <c r="L398" s="28" t="s">
        <v>56</v>
      </c>
      <c r="M398" s="29" t="str">
        <f t="shared" si="30"/>
        <v>✓ OK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4.25" customHeight="1" x14ac:dyDescent="0.3">
      <c r="A399" s="23">
        <v>395</v>
      </c>
      <c r="B399" s="24" t="s">
        <v>2071</v>
      </c>
      <c r="C399" s="25" t="s">
        <v>2072</v>
      </c>
      <c r="D399" s="23" t="s">
        <v>1283</v>
      </c>
      <c r="E399" s="55">
        <v>46125</v>
      </c>
      <c r="F399" s="26" t="s">
        <v>948</v>
      </c>
      <c r="G399" s="26" t="s">
        <v>58</v>
      </c>
      <c r="H399" s="26" t="s">
        <v>56</v>
      </c>
      <c r="I399" s="26" t="s">
        <v>1284</v>
      </c>
      <c r="J399" s="26" t="s">
        <v>58</v>
      </c>
      <c r="K399" s="27"/>
      <c r="L399" s="28" t="s">
        <v>56</v>
      </c>
      <c r="M399" s="29" t="str">
        <f t="shared" si="30"/>
        <v>✓ OK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4.25" customHeight="1" x14ac:dyDescent="0.3">
      <c r="A400" s="42">
        <v>396</v>
      </c>
      <c r="B400" s="43" t="s">
        <v>2073</v>
      </c>
      <c r="C400" s="44" t="s">
        <v>2074</v>
      </c>
      <c r="D400" s="42" t="s">
        <v>1283</v>
      </c>
      <c r="E400" s="55">
        <v>46125</v>
      </c>
      <c r="F400" s="26" t="s">
        <v>948</v>
      </c>
      <c r="G400" s="26" t="s">
        <v>58</v>
      </c>
      <c r="H400" s="26" t="s">
        <v>56</v>
      </c>
      <c r="I400" s="26" t="s">
        <v>1284</v>
      </c>
      <c r="J400" s="26" t="s">
        <v>58</v>
      </c>
      <c r="K400" s="27"/>
      <c r="L400" s="28" t="s">
        <v>56</v>
      </c>
      <c r="M400" s="29" t="str">
        <f t="shared" si="30"/>
        <v>✓ OK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4.25" customHeight="1" x14ac:dyDescent="0.3">
      <c r="A401" s="23">
        <v>397</v>
      </c>
      <c r="B401" s="24" t="s">
        <v>2075</v>
      </c>
      <c r="C401" s="25" t="s">
        <v>2076</v>
      </c>
      <c r="D401" s="23" t="s">
        <v>1283</v>
      </c>
      <c r="E401" s="55">
        <v>46125</v>
      </c>
      <c r="F401" s="26" t="s">
        <v>948</v>
      </c>
      <c r="G401" s="26" t="s">
        <v>58</v>
      </c>
      <c r="H401" s="26" t="s">
        <v>56</v>
      </c>
      <c r="I401" s="26" t="s">
        <v>1284</v>
      </c>
      <c r="J401" s="26" t="s">
        <v>58</v>
      </c>
      <c r="K401" s="27"/>
      <c r="L401" s="28" t="s">
        <v>56</v>
      </c>
      <c r="M401" s="29" t="str">
        <f t="shared" si="30"/>
        <v>✓ OK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4.25" customHeight="1" x14ac:dyDescent="0.3">
      <c r="A402" s="42">
        <v>398</v>
      </c>
      <c r="B402" s="43" t="s">
        <v>2077</v>
      </c>
      <c r="C402" s="44" t="s">
        <v>2078</v>
      </c>
      <c r="D402" s="42" t="s">
        <v>1283</v>
      </c>
      <c r="E402" s="55">
        <v>46125</v>
      </c>
      <c r="F402" s="26" t="s">
        <v>948</v>
      </c>
      <c r="G402" s="26" t="s">
        <v>58</v>
      </c>
      <c r="H402" s="26" t="s">
        <v>56</v>
      </c>
      <c r="I402" s="26" t="s">
        <v>1284</v>
      </c>
      <c r="J402" s="26" t="s">
        <v>58</v>
      </c>
      <c r="K402" s="27"/>
      <c r="L402" s="28" t="s">
        <v>56</v>
      </c>
      <c r="M402" s="29" t="str">
        <f t="shared" si="30"/>
        <v>✓ OK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4.25" customHeight="1" x14ac:dyDescent="0.3">
      <c r="A403" s="23">
        <v>399</v>
      </c>
      <c r="B403" s="24" t="s">
        <v>2079</v>
      </c>
      <c r="C403" s="25" t="s">
        <v>2080</v>
      </c>
      <c r="D403" s="23" t="s">
        <v>1283</v>
      </c>
      <c r="E403" s="55">
        <v>46125</v>
      </c>
      <c r="F403" s="26" t="s">
        <v>948</v>
      </c>
      <c r="G403" s="26" t="s">
        <v>58</v>
      </c>
      <c r="H403" s="26" t="s">
        <v>56</v>
      </c>
      <c r="I403" s="26" t="s">
        <v>1284</v>
      </c>
      <c r="J403" s="26" t="s">
        <v>58</v>
      </c>
      <c r="K403" s="27"/>
      <c r="L403" s="28" t="s">
        <v>56</v>
      </c>
      <c r="M403" s="29" t="str">
        <f t="shared" si="30"/>
        <v>✓ OK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4.25" customHeight="1" x14ac:dyDescent="0.3">
      <c r="A404" s="42">
        <v>400</v>
      </c>
      <c r="B404" s="43" t="s">
        <v>2081</v>
      </c>
      <c r="C404" s="44" t="s">
        <v>2082</v>
      </c>
      <c r="D404" s="42" t="s">
        <v>1283</v>
      </c>
      <c r="E404" s="55">
        <v>46125</v>
      </c>
      <c r="F404" s="26" t="s">
        <v>948</v>
      </c>
      <c r="G404" s="26" t="s">
        <v>58</v>
      </c>
      <c r="H404" s="26" t="s">
        <v>56</v>
      </c>
      <c r="I404" s="26" t="s">
        <v>1284</v>
      </c>
      <c r="J404" s="26" t="s">
        <v>58</v>
      </c>
      <c r="K404" s="27"/>
      <c r="L404" s="28" t="s">
        <v>56</v>
      </c>
      <c r="M404" s="29" t="str">
        <f t="shared" si="30"/>
        <v>✓ OK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4.25" customHeight="1" x14ac:dyDescent="0.3">
      <c r="A405" s="23">
        <v>401</v>
      </c>
      <c r="B405" s="24" t="s">
        <v>2083</v>
      </c>
      <c r="C405" s="25" t="s">
        <v>2084</v>
      </c>
      <c r="D405" s="23" t="s">
        <v>1283</v>
      </c>
      <c r="E405" s="55">
        <v>46125</v>
      </c>
      <c r="F405" s="26" t="s">
        <v>948</v>
      </c>
      <c r="G405" s="26" t="s">
        <v>58</v>
      </c>
      <c r="H405" s="26" t="s">
        <v>56</v>
      </c>
      <c r="I405" s="26" t="s">
        <v>1284</v>
      </c>
      <c r="J405" s="26" t="s">
        <v>58</v>
      </c>
      <c r="K405" s="27"/>
      <c r="L405" s="28" t="s">
        <v>56</v>
      </c>
      <c r="M405" s="29" t="str">
        <f t="shared" si="30"/>
        <v>✓ OK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4.25" customHeight="1" x14ac:dyDescent="0.3">
      <c r="A406" s="42">
        <v>402</v>
      </c>
      <c r="B406" s="43" t="s">
        <v>2085</v>
      </c>
      <c r="C406" s="44" t="s">
        <v>2086</v>
      </c>
      <c r="D406" s="42" t="s">
        <v>1283</v>
      </c>
      <c r="E406" s="55">
        <v>46125</v>
      </c>
      <c r="F406" s="26" t="s">
        <v>948</v>
      </c>
      <c r="G406" s="26" t="s">
        <v>58</v>
      </c>
      <c r="H406" s="26" t="s">
        <v>56</v>
      </c>
      <c r="I406" s="26" t="s">
        <v>1284</v>
      </c>
      <c r="J406" s="26" t="s">
        <v>58</v>
      </c>
      <c r="K406" s="27"/>
      <c r="L406" s="28" t="s">
        <v>56</v>
      </c>
      <c r="M406" s="29" t="str">
        <f t="shared" si="30"/>
        <v>✓ OK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4.25" customHeight="1" x14ac:dyDescent="0.3">
      <c r="A407" s="23">
        <v>403</v>
      </c>
      <c r="B407" s="24" t="s">
        <v>2087</v>
      </c>
      <c r="C407" s="25" t="s">
        <v>2088</v>
      </c>
      <c r="D407" s="23" t="s">
        <v>1283</v>
      </c>
      <c r="E407" s="55">
        <v>46125</v>
      </c>
      <c r="F407" s="26" t="s">
        <v>948</v>
      </c>
      <c r="G407" s="26" t="s">
        <v>58</v>
      </c>
      <c r="H407" s="26" t="s">
        <v>56</v>
      </c>
      <c r="I407" s="26" t="s">
        <v>1284</v>
      </c>
      <c r="J407" s="26" t="s">
        <v>58</v>
      </c>
      <c r="K407" s="27"/>
      <c r="L407" s="28" t="s">
        <v>56</v>
      </c>
      <c r="M407" s="29" t="str">
        <f t="shared" si="30"/>
        <v>✓ OK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4.25" customHeight="1" x14ac:dyDescent="0.3">
      <c r="A408" s="42">
        <v>404</v>
      </c>
      <c r="B408" s="43" t="s">
        <v>2089</v>
      </c>
      <c r="C408" s="44" t="s">
        <v>2090</v>
      </c>
      <c r="D408" s="42" t="s">
        <v>1283</v>
      </c>
      <c r="E408" s="55">
        <v>46125</v>
      </c>
      <c r="F408" s="26" t="s">
        <v>948</v>
      </c>
      <c r="G408" s="26" t="s">
        <v>58</v>
      </c>
      <c r="H408" s="26" t="s">
        <v>56</v>
      </c>
      <c r="I408" s="26" t="s">
        <v>1284</v>
      </c>
      <c r="J408" s="26" t="s">
        <v>58</v>
      </c>
      <c r="K408" s="27"/>
      <c r="L408" s="28" t="s">
        <v>56</v>
      </c>
      <c r="M408" s="29" t="str">
        <f t="shared" si="30"/>
        <v>✓ OK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4.25" customHeight="1" x14ac:dyDescent="0.3">
      <c r="A409" s="23">
        <v>405</v>
      </c>
      <c r="B409" s="24" t="s">
        <v>2091</v>
      </c>
      <c r="C409" s="25" t="s">
        <v>2092</v>
      </c>
      <c r="D409" s="23" t="s">
        <v>1283</v>
      </c>
      <c r="E409" s="55">
        <v>46125</v>
      </c>
      <c r="F409" s="26" t="s">
        <v>948</v>
      </c>
      <c r="G409" s="26" t="s">
        <v>58</v>
      </c>
      <c r="H409" s="26" t="s">
        <v>56</v>
      </c>
      <c r="I409" s="26" t="s">
        <v>1284</v>
      </c>
      <c r="J409" s="26" t="s">
        <v>58</v>
      </c>
      <c r="K409" s="27"/>
      <c r="L409" s="28" t="s">
        <v>56</v>
      </c>
      <c r="M409" s="29" t="str">
        <f t="shared" si="30"/>
        <v>✓ OK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4.25" customHeight="1" x14ac:dyDescent="0.3">
      <c r="A410" s="42">
        <v>406</v>
      </c>
      <c r="B410" s="43" t="s">
        <v>2093</v>
      </c>
      <c r="C410" s="44" t="s">
        <v>2094</v>
      </c>
      <c r="D410" s="42" t="s">
        <v>1283</v>
      </c>
      <c r="E410" s="55">
        <v>46125</v>
      </c>
      <c r="F410" s="26" t="s">
        <v>948</v>
      </c>
      <c r="G410" s="26" t="s">
        <v>58</v>
      </c>
      <c r="H410" s="26" t="s">
        <v>56</v>
      </c>
      <c r="I410" s="26" t="s">
        <v>1284</v>
      </c>
      <c r="J410" s="26" t="s">
        <v>58</v>
      </c>
      <c r="K410" s="27"/>
      <c r="L410" s="28" t="s">
        <v>56</v>
      </c>
      <c r="M410" s="29" t="str">
        <f t="shared" si="30"/>
        <v>✓ OK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4.25" customHeight="1" x14ac:dyDescent="0.3">
      <c r="A411" s="23">
        <v>407</v>
      </c>
      <c r="B411" s="24" t="s">
        <v>2095</v>
      </c>
      <c r="C411" s="25" t="s">
        <v>2096</v>
      </c>
      <c r="D411" s="23" t="s">
        <v>1283</v>
      </c>
      <c r="E411" s="55">
        <v>46125</v>
      </c>
      <c r="F411" s="26" t="s">
        <v>948</v>
      </c>
      <c r="G411" s="26" t="s">
        <v>58</v>
      </c>
      <c r="H411" s="26" t="s">
        <v>56</v>
      </c>
      <c r="I411" s="26" t="s">
        <v>1284</v>
      </c>
      <c r="J411" s="26" t="s">
        <v>58</v>
      </c>
      <c r="K411" s="27"/>
      <c r="L411" s="28" t="s">
        <v>56</v>
      </c>
      <c r="M411" s="29" t="str">
        <f t="shared" si="30"/>
        <v>✓ OK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4.25" customHeight="1" x14ac:dyDescent="0.3">
      <c r="A412" s="42">
        <v>408</v>
      </c>
      <c r="B412" s="43" t="s">
        <v>2097</v>
      </c>
      <c r="C412" s="44" t="s">
        <v>2098</v>
      </c>
      <c r="D412" s="42" t="s">
        <v>1283</v>
      </c>
      <c r="E412" s="55">
        <v>46125</v>
      </c>
      <c r="F412" s="26" t="s">
        <v>948</v>
      </c>
      <c r="G412" s="26" t="s">
        <v>58</v>
      </c>
      <c r="H412" s="26" t="s">
        <v>56</v>
      </c>
      <c r="I412" s="26" t="s">
        <v>1284</v>
      </c>
      <c r="J412" s="26" t="s">
        <v>58</v>
      </c>
      <c r="K412" s="27"/>
      <c r="L412" s="28" t="s">
        <v>56</v>
      </c>
      <c r="M412" s="29" t="str">
        <f t="shared" si="30"/>
        <v>✓ OK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4.25" customHeight="1" x14ac:dyDescent="0.3">
      <c r="A413" s="23">
        <v>409</v>
      </c>
      <c r="B413" s="24" t="s">
        <v>2099</v>
      </c>
      <c r="C413" s="25" t="s">
        <v>2100</v>
      </c>
      <c r="D413" s="23" t="s">
        <v>1283</v>
      </c>
      <c r="E413" s="55">
        <v>46125</v>
      </c>
      <c r="F413" s="26" t="s">
        <v>948</v>
      </c>
      <c r="G413" s="26" t="s">
        <v>58</v>
      </c>
      <c r="H413" s="26" t="s">
        <v>56</v>
      </c>
      <c r="I413" s="26" t="s">
        <v>1284</v>
      </c>
      <c r="J413" s="26" t="s">
        <v>58</v>
      </c>
      <c r="K413" s="27"/>
      <c r="L413" s="28" t="s">
        <v>56</v>
      </c>
      <c r="M413" s="29" t="str">
        <f t="shared" si="30"/>
        <v>✓ OK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4.25" customHeight="1" x14ac:dyDescent="0.3">
      <c r="A414" s="42">
        <v>410</v>
      </c>
      <c r="B414" s="43" t="s">
        <v>2101</v>
      </c>
      <c r="C414" s="44" t="s">
        <v>2102</v>
      </c>
      <c r="D414" s="42" t="s">
        <v>1283</v>
      </c>
      <c r="E414" s="55">
        <v>46125</v>
      </c>
      <c r="F414" s="26" t="s">
        <v>948</v>
      </c>
      <c r="G414" s="26" t="s">
        <v>58</v>
      </c>
      <c r="H414" s="26" t="s">
        <v>56</v>
      </c>
      <c r="I414" s="26" t="s">
        <v>1284</v>
      </c>
      <c r="J414" s="26" t="s">
        <v>58</v>
      </c>
      <c r="K414" s="27"/>
      <c r="L414" s="28" t="s">
        <v>56</v>
      </c>
      <c r="M414" s="29" t="str">
        <f t="shared" si="30"/>
        <v>✓ OK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4.25" customHeight="1" x14ac:dyDescent="0.3">
      <c r="A415" s="23">
        <v>411</v>
      </c>
      <c r="B415" s="24" t="s">
        <v>2103</v>
      </c>
      <c r="C415" s="25" t="s">
        <v>2104</v>
      </c>
      <c r="D415" s="23" t="s">
        <v>1283</v>
      </c>
      <c r="E415" s="55">
        <v>46125</v>
      </c>
      <c r="F415" s="26" t="s">
        <v>948</v>
      </c>
      <c r="G415" s="26" t="s">
        <v>58</v>
      </c>
      <c r="H415" s="26" t="s">
        <v>56</v>
      </c>
      <c r="I415" s="26" t="s">
        <v>1284</v>
      </c>
      <c r="J415" s="26" t="s">
        <v>58</v>
      </c>
      <c r="K415" s="27"/>
      <c r="L415" s="28" t="s">
        <v>56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4.25" customHeight="1" x14ac:dyDescent="0.3">
      <c r="A416" s="42">
        <v>412</v>
      </c>
      <c r="B416" s="43" t="s">
        <v>2105</v>
      </c>
      <c r="C416" s="44" t="s">
        <v>2106</v>
      </c>
      <c r="D416" s="42" t="s">
        <v>1283</v>
      </c>
      <c r="E416" s="55">
        <v>46125</v>
      </c>
      <c r="F416" s="26" t="s">
        <v>948</v>
      </c>
      <c r="G416" s="26" t="s">
        <v>58</v>
      </c>
      <c r="H416" s="26" t="s">
        <v>56</v>
      </c>
      <c r="I416" s="26" t="s">
        <v>1284</v>
      </c>
      <c r="J416" s="26" t="s">
        <v>58</v>
      </c>
      <c r="K416" s="27"/>
      <c r="L416" s="28" t="s">
        <v>56</v>
      </c>
      <c r="M416" s="29" t="str">
        <f t="shared" si="30"/>
        <v>✓ OK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4.25" customHeight="1" x14ac:dyDescent="0.3">
      <c r="A417" s="23">
        <v>413</v>
      </c>
      <c r="B417" s="24" t="s">
        <v>2107</v>
      </c>
      <c r="C417" s="25" t="s">
        <v>2108</v>
      </c>
      <c r="D417" s="23" t="s">
        <v>1283</v>
      </c>
      <c r="E417" s="55">
        <v>46125</v>
      </c>
      <c r="F417" s="26" t="s">
        <v>948</v>
      </c>
      <c r="G417" s="26" t="s">
        <v>58</v>
      </c>
      <c r="H417" s="26" t="s">
        <v>56</v>
      </c>
      <c r="I417" s="26" t="s">
        <v>1284</v>
      </c>
      <c r="J417" s="26" t="s">
        <v>58</v>
      </c>
      <c r="K417" s="27"/>
      <c r="L417" s="28" t="s">
        <v>56</v>
      </c>
      <c r="M417" s="29" t="str">
        <f t="shared" si="30"/>
        <v>✓ OK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4.25" customHeight="1" x14ac:dyDescent="0.3">
      <c r="A418" s="42">
        <v>414</v>
      </c>
      <c r="B418" s="43" t="s">
        <v>2109</v>
      </c>
      <c r="C418" s="44" t="s">
        <v>2110</v>
      </c>
      <c r="D418" s="42" t="s">
        <v>1283</v>
      </c>
      <c r="E418" s="55">
        <v>46125</v>
      </c>
      <c r="F418" s="26" t="s">
        <v>948</v>
      </c>
      <c r="G418" s="26" t="s">
        <v>58</v>
      </c>
      <c r="H418" s="26" t="s">
        <v>56</v>
      </c>
      <c r="I418" s="26" t="s">
        <v>1284</v>
      </c>
      <c r="J418" s="26" t="s">
        <v>58</v>
      </c>
      <c r="K418" s="27"/>
      <c r="L418" s="28" t="s">
        <v>56</v>
      </c>
      <c r="M418" s="29" t="str">
        <f t="shared" si="30"/>
        <v>✓ OK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4.25" customHeight="1" x14ac:dyDescent="0.3">
      <c r="A419" s="23">
        <v>415</v>
      </c>
      <c r="B419" s="24" t="s">
        <v>2111</v>
      </c>
      <c r="C419" s="25" t="s">
        <v>2112</v>
      </c>
      <c r="D419" s="23" t="s">
        <v>1283</v>
      </c>
      <c r="E419" s="55">
        <v>46125</v>
      </c>
      <c r="F419" s="26" t="s">
        <v>948</v>
      </c>
      <c r="G419" s="26" t="s">
        <v>58</v>
      </c>
      <c r="H419" s="26" t="s">
        <v>56</v>
      </c>
      <c r="I419" s="26" t="s">
        <v>1284</v>
      </c>
      <c r="J419" s="26" t="s">
        <v>58</v>
      </c>
      <c r="K419" s="27"/>
      <c r="L419" s="28" t="s">
        <v>56</v>
      </c>
      <c r="M419" s="29" t="str">
        <f t="shared" si="30"/>
        <v>✓ OK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4.25" customHeight="1" x14ac:dyDescent="0.3">
      <c r="A420" s="42">
        <v>416</v>
      </c>
      <c r="B420" s="43" t="s">
        <v>2113</v>
      </c>
      <c r="C420" s="44" t="s">
        <v>2114</v>
      </c>
      <c r="D420" s="42" t="s">
        <v>1283</v>
      </c>
      <c r="E420" s="55">
        <v>46125</v>
      </c>
      <c r="F420" s="26" t="s">
        <v>948</v>
      </c>
      <c r="G420" s="26" t="s">
        <v>58</v>
      </c>
      <c r="H420" s="26" t="s">
        <v>56</v>
      </c>
      <c r="I420" s="26" t="s">
        <v>1284</v>
      </c>
      <c r="J420" s="26" t="s">
        <v>58</v>
      </c>
      <c r="K420" s="27"/>
      <c r="L420" s="28" t="s">
        <v>56</v>
      </c>
      <c r="M420" s="29" t="str">
        <f t="shared" si="30"/>
        <v>✓ OK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4.25" customHeight="1" x14ac:dyDescent="0.3">
      <c r="A421" s="23">
        <v>417</v>
      </c>
      <c r="B421" s="24" t="s">
        <v>2115</v>
      </c>
      <c r="C421" s="25" t="s">
        <v>2116</v>
      </c>
      <c r="D421" s="23" t="s">
        <v>1283</v>
      </c>
      <c r="E421" s="55">
        <v>46125</v>
      </c>
      <c r="F421" s="26" t="s">
        <v>948</v>
      </c>
      <c r="G421" s="26" t="s">
        <v>58</v>
      </c>
      <c r="H421" s="26" t="s">
        <v>56</v>
      </c>
      <c r="I421" s="26" t="s">
        <v>1284</v>
      </c>
      <c r="J421" s="26" t="s">
        <v>58</v>
      </c>
      <c r="K421" s="27"/>
      <c r="L421" s="28" t="s">
        <v>56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4.25" customHeight="1" x14ac:dyDescent="0.3">
      <c r="A422" s="42">
        <v>418</v>
      </c>
      <c r="B422" s="43" t="s">
        <v>2117</v>
      </c>
      <c r="C422" s="44" t="s">
        <v>2118</v>
      </c>
      <c r="D422" s="42" t="s">
        <v>1283</v>
      </c>
      <c r="E422" s="55">
        <v>46125</v>
      </c>
      <c r="F422" s="26" t="s">
        <v>948</v>
      </c>
      <c r="G422" s="26" t="s">
        <v>58</v>
      </c>
      <c r="H422" s="26" t="s">
        <v>56</v>
      </c>
      <c r="I422" s="26" t="s">
        <v>1284</v>
      </c>
      <c r="J422" s="26" t="s">
        <v>58</v>
      </c>
      <c r="K422" s="27"/>
      <c r="L422" s="28" t="s">
        <v>56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4.25" customHeight="1" x14ac:dyDescent="0.3">
      <c r="A423" s="23">
        <v>419</v>
      </c>
      <c r="B423" s="24" t="s">
        <v>2119</v>
      </c>
      <c r="C423" s="25" t="s">
        <v>2120</v>
      </c>
      <c r="D423" s="23" t="s">
        <v>1283</v>
      </c>
      <c r="E423" s="55">
        <v>46125</v>
      </c>
      <c r="F423" s="26" t="s">
        <v>948</v>
      </c>
      <c r="G423" s="26" t="s">
        <v>58</v>
      </c>
      <c r="H423" s="26" t="s">
        <v>56</v>
      </c>
      <c r="I423" s="26" t="s">
        <v>1284</v>
      </c>
      <c r="J423" s="26" t="s">
        <v>58</v>
      </c>
      <c r="K423" s="27"/>
      <c r="L423" s="28" t="s">
        <v>56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4.25" customHeight="1" x14ac:dyDescent="0.3">
      <c r="A424" s="42">
        <v>420</v>
      </c>
      <c r="B424" s="43" t="s">
        <v>2121</v>
      </c>
      <c r="C424" s="44" t="s">
        <v>2122</v>
      </c>
      <c r="D424" s="42" t="s">
        <v>1283</v>
      </c>
      <c r="E424" s="55">
        <v>46125</v>
      </c>
      <c r="F424" s="26" t="s">
        <v>948</v>
      </c>
      <c r="G424" s="26" t="s">
        <v>58</v>
      </c>
      <c r="H424" s="26" t="s">
        <v>56</v>
      </c>
      <c r="I424" s="26" t="s">
        <v>1284</v>
      </c>
      <c r="J424" s="26" t="s">
        <v>58</v>
      </c>
      <c r="K424" s="27"/>
      <c r="L424" s="28" t="s">
        <v>56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4.25" customHeight="1" x14ac:dyDescent="0.3">
      <c r="A425" s="23">
        <v>421</v>
      </c>
      <c r="B425" s="24" t="s">
        <v>2123</v>
      </c>
      <c r="C425" s="25" t="s">
        <v>2124</v>
      </c>
      <c r="D425" s="23" t="s">
        <v>1283</v>
      </c>
      <c r="E425" s="55">
        <v>46125</v>
      </c>
      <c r="F425" s="26" t="s">
        <v>948</v>
      </c>
      <c r="G425" s="26" t="s">
        <v>58</v>
      </c>
      <c r="H425" s="26" t="s">
        <v>56</v>
      </c>
      <c r="I425" s="26" t="s">
        <v>1284</v>
      </c>
      <c r="J425" s="26" t="s">
        <v>58</v>
      </c>
      <c r="K425" s="27"/>
      <c r="L425" s="28" t="s">
        <v>56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4.25" customHeight="1" x14ac:dyDescent="0.3">
      <c r="A426" s="42">
        <v>422</v>
      </c>
      <c r="B426" s="43" t="s">
        <v>2125</v>
      </c>
      <c r="C426" s="44" t="s">
        <v>2126</v>
      </c>
      <c r="D426" s="42" t="s">
        <v>1283</v>
      </c>
      <c r="E426" s="55">
        <v>46125</v>
      </c>
      <c r="F426" s="26" t="s">
        <v>948</v>
      </c>
      <c r="G426" s="26" t="s">
        <v>58</v>
      </c>
      <c r="H426" s="26" t="s">
        <v>56</v>
      </c>
      <c r="I426" s="26" t="s">
        <v>1284</v>
      </c>
      <c r="J426" s="26" t="s">
        <v>58</v>
      </c>
      <c r="K426" s="27"/>
      <c r="L426" s="28" t="s">
        <v>56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4.25" customHeight="1" x14ac:dyDescent="0.3">
      <c r="A427" s="23">
        <v>423</v>
      </c>
      <c r="B427" s="24" t="s">
        <v>2127</v>
      </c>
      <c r="C427" s="25" t="s">
        <v>2128</v>
      </c>
      <c r="D427" s="23" t="s">
        <v>1283</v>
      </c>
      <c r="E427" s="55">
        <v>46125</v>
      </c>
      <c r="F427" s="26" t="s">
        <v>948</v>
      </c>
      <c r="G427" s="26" t="s">
        <v>58</v>
      </c>
      <c r="H427" s="26" t="s">
        <v>56</v>
      </c>
      <c r="I427" s="26" t="s">
        <v>1284</v>
      </c>
      <c r="J427" s="26" t="s">
        <v>58</v>
      </c>
      <c r="K427" s="27"/>
      <c r="L427" s="28" t="s">
        <v>56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4.25" customHeight="1" x14ac:dyDescent="0.3">
      <c r="A428" s="42">
        <v>424</v>
      </c>
      <c r="B428" s="43" t="s">
        <v>2129</v>
      </c>
      <c r="C428" s="44" t="s">
        <v>2130</v>
      </c>
      <c r="D428" s="42" t="s">
        <v>1283</v>
      </c>
      <c r="E428" s="55">
        <v>46125</v>
      </c>
      <c r="F428" s="26" t="s">
        <v>948</v>
      </c>
      <c r="G428" s="26" t="s">
        <v>58</v>
      </c>
      <c r="H428" s="26" t="s">
        <v>56</v>
      </c>
      <c r="I428" s="26" t="s">
        <v>1284</v>
      </c>
      <c r="J428" s="26" t="s">
        <v>58</v>
      </c>
      <c r="K428" s="27"/>
      <c r="L428" s="28" t="s">
        <v>56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4.25" customHeight="1" x14ac:dyDescent="0.3">
      <c r="A429" s="23">
        <v>425</v>
      </c>
      <c r="B429" s="24" t="s">
        <v>2131</v>
      </c>
      <c r="C429" s="25" t="s">
        <v>2132</v>
      </c>
      <c r="D429" s="23" t="s">
        <v>1283</v>
      </c>
      <c r="E429" s="55">
        <v>46125</v>
      </c>
      <c r="F429" s="26" t="s">
        <v>948</v>
      </c>
      <c r="G429" s="26" t="s">
        <v>58</v>
      </c>
      <c r="H429" s="26" t="s">
        <v>56</v>
      </c>
      <c r="I429" s="26" t="s">
        <v>1284</v>
      </c>
      <c r="J429" s="26" t="s">
        <v>58</v>
      </c>
      <c r="K429" s="27"/>
      <c r="L429" s="28" t="s">
        <v>56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4.25" customHeight="1" x14ac:dyDescent="0.3">
      <c r="A430" s="42">
        <v>426</v>
      </c>
      <c r="B430" s="43" t="s">
        <v>2133</v>
      </c>
      <c r="C430" s="44" t="s">
        <v>2134</v>
      </c>
      <c r="D430" s="42" t="s">
        <v>1283</v>
      </c>
      <c r="E430" s="55">
        <v>46125</v>
      </c>
      <c r="F430" s="26" t="s">
        <v>948</v>
      </c>
      <c r="G430" s="26" t="s">
        <v>58</v>
      </c>
      <c r="H430" s="26" t="s">
        <v>56</v>
      </c>
      <c r="I430" s="26" t="s">
        <v>1284</v>
      </c>
      <c r="J430" s="26" t="s">
        <v>58</v>
      </c>
      <c r="K430" s="27"/>
      <c r="L430" s="28" t="s">
        <v>56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4.25" customHeight="1" x14ac:dyDescent="0.3">
      <c r="A431" s="23">
        <v>427</v>
      </c>
      <c r="B431" s="24" t="s">
        <v>2135</v>
      </c>
      <c r="C431" s="25" t="s">
        <v>2136</v>
      </c>
      <c r="D431" s="23" t="s">
        <v>1283</v>
      </c>
      <c r="E431" s="55">
        <v>46125</v>
      </c>
      <c r="F431" s="26" t="s">
        <v>948</v>
      </c>
      <c r="G431" s="26" t="s">
        <v>58</v>
      </c>
      <c r="H431" s="26" t="s">
        <v>56</v>
      </c>
      <c r="I431" s="26" t="s">
        <v>1284</v>
      </c>
      <c r="J431" s="26" t="s">
        <v>58</v>
      </c>
      <c r="K431" s="27"/>
      <c r="L431" s="28" t="s">
        <v>56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4.25" customHeight="1" x14ac:dyDescent="0.3">
      <c r="A432" s="42">
        <v>428</v>
      </c>
      <c r="B432" s="43" t="s">
        <v>2137</v>
      </c>
      <c r="C432" s="44" t="s">
        <v>2138</v>
      </c>
      <c r="D432" s="42" t="s">
        <v>1283</v>
      </c>
      <c r="E432" s="55">
        <v>46125</v>
      </c>
      <c r="F432" s="26" t="s">
        <v>948</v>
      </c>
      <c r="G432" s="26" t="s">
        <v>58</v>
      </c>
      <c r="H432" s="26" t="s">
        <v>56</v>
      </c>
      <c r="I432" s="26" t="s">
        <v>1284</v>
      </c>
      <c r="J432" s="26" t="s">
        <v>58</v>
      </c>
      <c r="K432" s="27"/>
      <c r="L432" s="28" t="s">
        <v>56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4.25" customHeight="1" x14ac:dyDescent="0.3">
      <c r="A433" s="23">
        <v>429</v>
      </c>
      <c r="B433" s="24" t="s">
        <v>2139</v>
      </c>
      <c r="C433" s="25" t="s">
        <v>2140</v>
      </c>
      <c r="D433" s="23" t="s">
        <v>1283</v>
      </c>
      <c r="E433" s="55">
        <v>46125</v>
      </c>
      <c r="F433" s="26" t="s">
        <v>948</v>
      </c>
      <c r="G433" s="26" t="s">
        <v>58</v>
      </c>
      <c r="H433" s="26" t="s">
        <v>56</v>
      </c>
      <c r="I433" s="26" t="s">
        <v>1284</v>
      </c>
      <c r="J433" s="26" t="s">
        <v>58</v>
      </c>
      <c r="K433" s="27"/>
      <c r="L433" s="28" t="s">
        <v>56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4.25" customHeight="1" x14ac:dyDescent="0.3">
      <c r="A434" s="42">
        <v>430</v>
      </c>
      <c r="B434" s="43" t="s">
        <v>2141</v>
      </c>
      <c r="C434" s="44" t="s">
        <v>2142</v>
      </c>
      <c r="D434" s="42" t="s">
        <v>1283</v>
      </c>
      <c r="E434" s="55">
        <v>46125</v>
      </c>
      <c r="F434" s="26" t="s">
        <v>948</v>
      </c>
      <c r="G434" s="26" t="s">
        <v>58</v>
      </c>
      <c r="H434" s="26" t="s">
        <v>56</v>
      </c>
      <c r="I434" s="26" t="s">
        <v>1284</v>
      </c>
      <c r="J434" s="26" t="s">
        <v>58</v>
      </c>
      <c r="K434" s="27"/>
      <c r="L434" s="28" t="s">
        <v>56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4.25" customHeight="1" x14ac:dyDescent="0.3">
      <c r="A435" s="23">
        <v>431</v>
      </c>
      <c r="B435" s="24" t="s">
        <v>2143</v>
      </c>
      <c r="C435" s="25" t="s">
        <v>2144</v>
      </c>
      <c r="D435" s="23" t="s">
        <v>1283</v>
      </c>
      <c r="E435" s="55">
        <v>46125</v>
      </c>
      <c r="F435" s="26" t="s">
        <v>948</v>
      </c>
      <c r="G435" s="26" t="s">
        <v>58</v>
      </c>
      <c r="H435" s="26" t="s">
        <v>56</v>
      </c>
      <c r="I435" s="26" t="s">
        <v>1284</v>
      </c>
      <c r="J435" s="26" t="s">
        <v>58</v>
      </c>
      <c r="K435" s="27"/>
      <c r="L435" s="28" t="s">
        <v>56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4.25" customHeight="1" x14ac:dyDescent="0.3">
      <c r="A436" s="42">
        <v>432</v>
      </c>
      <c r="B436" s="43" t="s">
        <v>2145</v>
      </c>
      <c r="C436" s="44" t="s">
        <v>2146</v>
      </c>
      <c r="D436" s="42" t="s">
        <v>1283</v>
      </c>
      <c r="E436" s="55">
        <v>46125</v>
      </c>
      <c r="F436" s="26" t="s">
        <v>948</v>
      </c>
      <c r="G436" s="26" t="s">
        <v>58</v>
      </c>
      <c r="H436" s="26" t="s">
        <v>56</v>
      </c>
      <c r="I436" s="26" t="s">
        <v>1284</v>
      </c>
      <c r="J436" s="26" t="s">
        <v>58</v>
      </c>
      <c r="K436" s="27"/>
      <c r="L436" s="28" t="s">
        <v>56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4.25" customHeight="1" x14ac:dyDescent="0.3">
      <c r="A437" s="23">
        <v>433</v>
      </c>
      <c r="B437" s="24" t="s">
        <v>2147</v>
      </c>
      <c r="C437" s="25" t="s">
        <v>2148</v>
      </c>
      <c r="D437" s="23" t="s">
        <v>1283</v>
      </c>
      <c r="E437" s="55">
        <v>46125</v>
      </c>
      <c r="F437" s="26" t="s">
        <v>948</v>
      </c>
      <c r="G437" s="26" t="s">
        <v>58</v>
      </c>
      <c r="H437" s="26" t="s">
        <v>56</v>
      </c>
      <c r="I437" s="26" t="s">
        <v>1284</v>
      </c>
      <c r="J437" s="26" t="s">
        <v>58</v>
      </c>
      <c r="K437" s="27"/>
      <c r="L437" s="28" t="s">
        <v>56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4.25" customHeight="1" x14ac:dyDescent="0.3">
      <c r="A438" s="42">
        <v>434</v>
      </c>
      <c r="B438" s="43" t="s">
        <v>2149</v>
      </c>
      <c r="C438" s="44" t="s">
        <v>2150</v>
      </c>
      <c r="D438" s="42" t="s">
        <v>1283</v>
      </c>
      <c r="E438" s="55">
        <v>46125</v>
      </c>
      <c r="F438" s="26" t="s">
        <v>948</v>
      </c>
      <c r="G438" s="26" t="s">
        <v>58</v>
      </c>
      <c r="H438" s="26" t="s">
        <v>56</v>
      </c>
      <c r="I438" s="26" t="s">
        <v>1284</v>
      </c>
      <c r="J438" s="26" t="s">
        <v>58</v>
      </c>
      <c r="K438" s="27"/>
      <c r="L438" s="28" t="s">
        <v>56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4.25" customHeight="1" x14ac:dyDescent="0.3">
      <c r="A439" s="23">
        <v>435</v>
      </c>
      <c r="B439" s="24" t="s">
        <v>2151</v>
      </c>
      <c r="C439" s="25" t="s">
        <v>2152</v>
      </c>
      <c r="D439" s="23" t="s">
        <v>1283</v>
      </c>
      <c r="E439" s="55">
        <v>46125</v>
      </c>
      <c r="F439" s="26" t="s">
        <v>948</v>
      </c>
      <c r="G439" s="26" t="s">
        <v>58</v>
      </c>
      <c r="H439" s="26" t="s">
        <v>56</v>
      </c>
      <c r="I439" s="26" t="s">
        <v>1284</v>
      </c>
      <c r="J439" s="26" t="s">
        <v>58</v>
      </c>
      <c r="K439" s="27"/>
      <c r="L439" s="28" t="s">
        <v>56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4.25" customHeight="1" x14ac:dyDescent="0.3">
      <c r="A440" s="42">
        <v>436</v>
      </c>
      <c r="B440" s="43" t="s">
        <v>2153</v>
      </c>
      <c r="C440" s="44" t="s">
        <v>2154</v>
      </c>
      <c r="D440" s="42" t="s">
        <v>1283</v>
      </c>
      <c r="E440" s="55">
        <v>46125</v>
      </c>
      <c r="F440" s="26" t="s">
        <v>948</v>
      </c>
      <c r="G440" s="26" t="s">
        <v>58</v>
      </c>
      <c r="H440" s="26" t="s">
        <v>56</v>
      </c>
      <c r="I440" s="26" t="s">
        <v>1284</v>
      </c>
      <c r="J440" s="26" t="s">
        <v>58</v>
      </c>
      <c r="K440" s="27"/>
      <c r="L440" s="28" t="s">
        <v>56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4.25" customHeight="1" x14ac:dyDescent="0.3">
      <c r="A441" s="23">
        <v>437</v>
      </c>
      <c r="B441" s="24" t="s">
        <v>2155</v>
      </c>
      <c r="C441" s="25" t="s">
        <v>2156</v>
      </c>
      <c r="D441" s="23" t="s">
        <v>1283</v>
      </c>
      <c r="E441" s="55">
        <v>46125</v>
      </c>
      <c r="F441" s="26" t="s">
        <v>948</v>
      </c>
      <c r="G441" s="26" t="s">
        <v>58</v>
      </c>
      <c r="H441" s="26" t="s">
        <v>56</v>
      </c>
      <c r="I441" s="26" t="s">
        <v>1284</v>
      </c>
      <c r="J441" s="26" t="s">
        <v>58</v>
      </c>
      <c r="K441" s="27"/>
      <c r="L441" s="28" t="s">
        <v>56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4.25" customHeight="1" x14ac:dyDescent="0.3">
      <c r="A442" s="42">
        <v>438</v>
      </c>
      <c r="B442" s="43" t="s">
        <v>2157</v>
      </c>
      <c r="C442" s="44" t="s">
        <v>2158</v>
      </c>
      <c r="D442" s="42" t="s">
        <v>1283</v>
      </c>
      <c r="E442" s="55">
        <v>46125</v>
      </c>
      <c r="F442" s="26" t="s">
        <v>948</v>
      </c>
      <c r="G442" s="26" t="s">
        <v>58</v>
      </c>
      <c r="H442" s="26" t="s">
        <v>56</v>
      </c>
      <c r="I442" s="26" t="s">
        <v>1284</v>
      </c>
      <c r="J442" s="26" t="s">
        <v>58</v>
      </c>
      <c r="K442" s="27"/>
      <c r="L442" s="28" t="s">
        <v>56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4.25" customHeight="1" x14ac:dyDescent="0.3">
      <c r="A443" s="23">
        <v>439</v>
      </c>
      <c r="B443" s="24" t="s">
        <v>2159</v>
      </c>
      <c r="C443" s="25" t="s">
        <v>2160</v>
      </c>
      <c r="D443" s="23" t="s">
        <v>1283</v>
      </c>
      <c r="E443" s="55">
        <v>46125</v>
      </c>
      <c r="F443" s="26" t="s">
        <v>948</v>
      </c>
      <c r="G443" s="26" t="s">
        <v>58</v>
      </c>
      <c r="H443" s="26" t="s">
        <v>56</v>
      </c>
      <c r="I443" s="26" t="s">
        <v>1284</v>
      </c>
      <c r="J443" s="26" t="s">
        <v>58</v>
      </c>
      <c r="K443" s="27"/>
      <c r="L443" s="28" t="s">
        <v>56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4.25" customHeight="1" x14ac:dyDescent="0.3">
      <c r="A444" s="42">
        <v>440</v>
      </c>
      <c r="B444" s="43" t="s">
        <v>2161</v>
      </c>
      <c r="C444" s="44" t="s">
        <v>2162</v>
      </c>
      <c r="D444" s="42" t="s">
        <v>1283</v>
      </c>
      <c r="E444" s="55">
        <v>46125</v>
      </c>
      <c r="F444" s="26" t="s">
        <v>948</v>
      </c>
      <c r="G444" s="26" t="s">
        <v>58</v>
      </c>
      <c r="H444" s="26" t="s">
        <v>56</v>
      </c>
      <c r="I444" s="26" t="s">
        <v>1284</v>
      </c>
      <c r="J444" s="26" t="s">
        <v>58</v>
      </c>
      <c r="K444" s="27"/>
      <c r="L444" s="28" t="s">
        <v>56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4.25" customHeight="1" x14ac:dyDescent="0.3">
      <c r="A445" s="23">
        <v>441</v>
      </c>
      <c r="B445" s="24" t="s">
        <v>2163</v>
      </c>
      <c r="C445" s="25" t="s">
        <v>2164</v>
      </c>
      <c r="D445" s="23" t="s">
        <v>1283</v>
      </c>
      <c r="E445" s="55">
        <v>46125</v>
      </c>
      <c r="F445" s="26" t="s">
        <v>948</v>
      </c>
      <c r="G445" s="26" t="s">
        <v>58</v>
      </c>
      <c r="H445" s="26" t="s">
        <v>56</v>
      </c>
      <c r="I445" s="26" t="s">
        <v>1284</v>
      </c>
      <c r="J445" s="26" t="s">
        <v>58</v>
      </c>
      <c r="K445" s="27"/>
      <c r="L445" s="28" t="s">
        <v>56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4.25" customHeight="1" x14ac:dyDescent="0.3">
      <c r="A446" s="42">
        <v>442</v>
      </c>
      <c r="B446" s="43" t="s">
        <v>2165</v>
      </c>
      <c r="C446" s="44" t="s">
        <v>2166</v>
      </c>
      <c r="D446" s="42" t="s">
        <v>1283</v>
      </c>
      <c r="E446" s="55">
        <v>46125</v>
      </c>
      <c r="F446" s="26" t="s">
        <v>948</v>
      </c>
      <c r="G446" s="26" t="s">
        <v>58</v>
      </c>
      <c r="H446" s="26" t="s">
        <v>56</v>
      </c>
      <c r="I446" s="26" t="s">
        <v>1284</v>
      </c>
      <c r="J446" s="26" t="s">
        <v>58</v>
      </c>
      <c r="K446" s="27"/>
      <c r="L446" s="28" t="s">
        <v>56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4.25" customHeight="1" x14ac:dyDescent="0.3">
      <c r="A447" s="23">
        <v>443</v>
      </c>
      <c r="B447" s="24" t="s">
        <v>2167</v>
      </c>
      <c r="C447" s="25" t="s">
        <v>2168</v>
      </c>
      <c r="D447" s="23" t="s">
        <v>1283</v>
      </c>
      <c r="E447" s="55">
        <v>46125</v>
      </c>
      <c r="F447" s="26" t="s">
        <v>948</v>
      </c>
      <c r="G447" s="26" t="s">
        <v>58</v>
      </c>
      <c r="H447" s="26" t="s">
        <v>56</v>
      </c>
      <c r="I447" s="26" t="s">
        <v>1284</v>
      </c>
      <c r="J447" s="26" t="s">
        <v>58</v>
      </c>
      <c r="K447" s="27"/>
      <c r="L447" s="28" t="s">
        <v>56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4.25" customHeight="1" x14ac:dyDescent="0.3">
      <c r="A448" s="42">
        <v>444</v>
      </c>
      <c r="B448" s="43" t="s">
        <v>2169</v>
      </c>
      <c r="C448" s="44" t="s">
        <v>2170</v>
      </c>
      <c r="D448" s="42" t="s">
        <v>1283</v>
      </c>
      <c r="E448" s="55">
        <v>46125</v>
      </c>
      <c r="F448" s="26" t="s">
        <v>948</v>
      </c>
      <c r="G448" s="26" t="s">
        <v>58</v>
      </c>
      <c r="H448" s="26" t="s">
        <v>56</v>
      </c>
      <c r="I448" s="26" t="s">
        <v>1284</v>
      </c>
      <c r="J448" s="26" t="s">
        <v>58</v>
      </c>
      <c r="K448" s="27"/>
      <c r="L448" s="28" t="s">
        <v>56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4.25" customHeight="1" x14ac:dyDescent="0.3">
      <c r="A449" s="23">
        <v>445</v>
      </c>
      <c r="B449" s="24" t="s">
        <v>2171</v>
      </c>
      <c r="C449" s="25" t="s">
        <v>2172</v>
      </c>
      <c r="D449" s="23" t="s">
        <v>1283</v>
      </c>
      <c r="E449" s="55">
        <v>46125</v>
      </c>
      <c r="F449" s="26" t="s">
        <v>948</v>
      </c>
      <c r="G449" s="26" t="s">
        <v>58</v>
      </c>
      <c r="H449" s="26" t="s">
        <v>56</v>
      </c>
      <c r="I449" s="26" t="s">
        <v>1284</v>
      </c>
      <c r="J449" s="26" t="s">
        <v>58</v>
      </c>
      <c r="K449" s="27"/>
      <c r="L449" s="28" t="s">
        <v>56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4.25" customHeight="1" x14ac:dyDescent="0.3">
      <c r="A450" s="42">
        <v>446</v>
      </c>
      <c r="B450" s="43" t="s">
        <v>2173</v>
      </c>
      <c r="C450" s="44" t="s">
        <v>2174</v>
      </c>
      <c r="D450" s="42" t="s">
        <v>1283</v>
      </c>
      <c r="E450" s="55">
        <v>46125</v>
      </c>
      <c r="F450" s="26" t="s">
        <v>948</v>
      </c>
      <c r="G450" s="26" t="s">
        <v>58</v>
      </c>
      <c r="H450" s="26" t="s">
        <v>56</v>
      </c>
      <c r="I450" s="26" t="s">
        <v>1284</v>
      </c>
      <c r="J450" s="26" t="s">
        <v>58</v>
      </c>
      <c r="K450" s="27"/>
      <c r="L450" s="28" t="s">
        <v>56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4.25" customHeight="1" x14ac:dyDescent="0.3">
      <c r="A451" s="23">
        <v>447</v>
      </c>
      <c r="B451" s="24" t="s">
        <v>2175</v>
      </c>
      <c r="C451" s="25" t="s">
        <v>2176</v>
      </c>
      <c r="D451" s="23" t="s">
        <v>1283</v>
      </c>
      <c r="E451" s="55">
        <v>46125</v>
      </c>
      <c r="F451" s="26" t="s">
        <v>948</v>
      </c>
      <c r="G451" s="26" t="s">
        <v>58</v>
      </c>
      <c r="H451" s="26" t="s">
        <v>56</v>
      </c>
      <c r="I451" s="26" t="s">
        <v>1284</v>
      </c>
      <c r="J451" s="26" t="s">
        <v>58</v>
      </c>
      <c r="K451" s="27"/>
      <c r="L451" s="28" t="s">
        <v>56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4.25" customHeight="1" x14ac:dyDescent="0.3">
      <c r="A452" s="42">
        <v>448</v>
      </c>
      <c r="B452" s="43" t="s">
        <v>2177</v>
      </c>
      <c r="C452" s="44" t="s">
        <v>2178</v>
      </c>
      <c r="D452" s="42" t="s">
        <v>1283</v>
      </c>
      <c r="E452" s="55">
        <v>46125</v>
      </c>
      <c r="F452" s="26" t="s">
        <v>948</v>
      </c>
      <c r="G452" s="26" t="s">
        <v>58</v>
      </c>
      <c r="H452" s="26" t="s">
        <v>56</v>
      </c>
      <c r="I452" s="26" t="s">
        <v>1284</v>
      </c>
      <c r="J452" s="26" t="s">
        <v>58</v>
      </c>
      <c r="K452" s="27"/>
      <c r="L452" s="28" t="s">
        <v>56</v>
      </c>
      <c r="M452" s="29" t="str">
        <f t="shared" si="30"/>
        <v>✓ OK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4.25" customHeight="1" x14ac:dyDescent="0.3">
      <c r="A453" s="23">
        <v>449</v>
      </c>
      <c r="B453" s="24" t="s">
        <v>2179</v>
      </c>
      <c r="C453" s="25" t="s">
        <v>2180</v>
      </c>
      <c r="D453" s="23" t="s">
        <v>1283</v>
      </c>
      <c r="E453" s="55">
        <v>46125</v>
      </c>
      <c r="F453" s="26" t="s">
        <v>948</v>
      </c>
      <c r="G453" s="26" t="s">
        <v>58</v>
      </c>
      <c r="H453" s="26" t="s">
        <v>56</v>
      </c>
      <c r="I453" s="26" t="s">
        <v>1284</v>
      </c>
      <c r="J453" s="26" t="s">
        <v>58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✓ OK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42">
        <v>450</v>
      </c>
      <c r="B454" s="43" t="s">
        <v>2181</v>
      </c>
      <c r="C454" s="44" t="s">
        <v>2182</v>
      </c>
      <c r="D454" s="42" t="s">
        <v>1283</v>
      </c>
      <c r="E454" s="55">
        <v>46125</v>
      </c>
      <c r="F454" s="26" t="s">
        <v>948</v>
      </c>
      <c r="G454" s="26" t="s">
        <v>58</v>
      </c>
      <c r="H454" s="26" t="s">
        <v>56</v>
      </c>
      <c r="I454" s="26" t="s">
        <v>1284</v>
      </c>
      <c r="J454" s="26" t="s">
        <v>58</v>
      </c>
      <c r="K454" s="27"/>
      <c r="L454" s="28" t="s">
        <v>56</v>
      </c>
      <c r="M454" s="29" t="str">
        <f t="shared" si="35"/>
        <v>✓ OK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4.25" customHeight="1" x14ac:dyDescent="0.3">
      <c r="A455" s="23">
        <v>451</v>
      </c>
      <c r="B455" s="24" t="s">
        <v>2183</v>
      </c>
      <c r="C455" s="25" t="s">
        <v>2184</v>
      </c>
      <c r="D455" s="23" t="s">
        <v>1283</v>
      </c>
      <c r="E455" s="55">
        <v>46125</v>
      </c>
      <c r="F455" s="26" t="s">
        <v>948</v>
      </c>
      <c r="G455" s="26" t="s">
        <v>58</v>
      </c>
      <c r="H455" s="26" t="s">
        <v>56</v>
      </c>
      <c r="I455" s="26" t="s">
        <v>1284</v>
      </c>
      <c r="J455" s="26" t="s">
        <v>58</v>
      </c>
      <c r="K455" s="27"/>
      <c r="L455" s="28" t="s">
        <v>56</v>
      </c>
      <c r="M455" s="29" t="str">
        <f t="shared" si="35"/>
        <v>✓ OK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4.25" customHeight="1" x14ac:dyDescent="0.3">
      <c r="A456" s="42">
        <v>452</v>
      </c>
      <c r="B456" s="43" t="s">
        <v>2185</v>
      </c>
      <c r="C456" s="44" t="s">
        <v>2186</v>
      </c>
      <c r="D456" s="42" t="s">
        <v>1283</v>
      </c>
      <c r="E456" s="55">
        <v>46125</v>
      </c>
      <c r="F456" s="26" t="s">
        <v>948</v>
      </c>
      <c r="G456" s="26" t="s">
        <v>58</v>
      </c>
      <c r="H456" s="26" t="s">
        <v>56</v>
      </c>
      <c r="I456" s="26" t="s">
        <v>1284</v>
      </c>
      <c r="J456" s="26" t="s">
        <v>58</v>
      </c>
      <c r="K456" s="27"/>
      <c r="L456" s="28" t="s">
        <v>56</v>
      </c>
      <c r="M456" s="29" t="str">
        <f t="shared" si="35"/>
        <v>✓ OK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4.25" customHeight="1" x14ac:dyDescent="0.3">
      <c r="A457" s="23">
        <v>453</v>
      </c>
      <c r="B457" s="24" t="s">
        <v>2187</v>
      </c>
      <c r="C457" s="25" t="s">
        <v>2188</v>
      </c>
      <c r="D457" s="23" t="s">
        <v>1283</v>
      </c>
      <c r="E457" s="55">
        <v>46125</v>
      </c>
      <c r="F457" s="26" t="s">
        <v>948</v>
      </c>
      <c r="G457" s="26" t="s">
        <v>58</v>
      </c>
      <c r="H457" s="26" t="s">
        <v>56</v>
      </c>
      <c r="I457" s="26" t="s">
        <v>1284</v>
      </c>
      <c r="J457" s="26" t="s">
        <v>58</v>
      </c>
      <c r="K457" s="27"/>
      <c r="L457" s="28" t="s">
        <v>56</v>
      </c>
      <c r="M457" s="29" t="str">
        <f t="shared" si="35"/>
        <v>✓ OK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4.25" customHeight="1" x14ac:dyDescent="0.3">
      <c r="A458" s="42">
        <v>454</v>
      </c>
      <c r="B458" s="43" t="s">
        <v>2189</v>
      </c>
      <c r="C458" s="44" t="s">
        <v>2190</v>
      </c>
      <c r="D458" s="42" t="s">
        <v>1283</v>
      </c>
      <c r="E458" s="55">
        <v>46125</v>
      </c>
      <c r="F458" s="26" t="s">
        <v>948</v>
      </c>
      <c r="G458" s="26" t="s">
        <v>58</v>
      </c>
      <c r="H458" s="26" t="s">
        <v>56</v>
      </c>
      <c r="I458" s="26" t="s">
        <v>1284</v>
      </c>
      <c r="J458" s="26" t="s">
        <v>58</v>
      </c>
      <c r="K458" s="27"/>
      <c r="L458" s="28" t="s">
        <v>56</v>
      </c>
      <c r="M458" s="29" t="str">
        <f t="shared" si="35"/>
        <v>✓ OK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4.25" customHeight="1" x14ac:dyDescent="0.3">
      <c r="A459" s="23">
        <v>455</v>
      </c>
      <c r="B459" s="24" t="s">
        <v>2191</v>
      </c>
      <c r="C459" s="25" t="s">
        <v>2192</v>
      </c>
      <c r="D459" s="23" t="s">
        <v>1283</v>
      </c>
      <c r="E459" s="55">
        <v>46125</v>
      </c>
      <c r="F459" s="26" t="s">
        <v>948</v>
      </c>
      <c r="G459" s="26" t="s">
        <v>58</v>
      </c>
      <c r="H459" s="26" t="s">
        <v>56</v>
      </c>
      <c r="I459" s="26" t="s">
        <v>1284</v>
      </c>
      <c r="J459" s="26" t="s">
        <v>58</v>
      </c>
      <c r="K459" s="27"/>
      <c r="L459" s="28" t="s">
        <v>56</v>
      </c>
      <c r="M459" s="29" t="str">
        <f t="shared" si="35"/>
        <v>✓ OK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4.25" customHeight="1" x14ac:dyDescent="0.3">
      <c r="A460" s="42">
        <v>456</v>
      </c>
      <c r="B460" s="43" t="s">
        <v>2193</v>
      </c>
      <c r="C460" s="44" t="s">
        <v>2194</v>
      </c>
      <c r="D460" s="42" t="s">
        <v>1283</v>
      </c>
      <c r="E460" s="55">
        <v>46125</v>
      </c>
      <c r="F460" s="26" t="s">
        <v>948</v>
      </c>
      <c r="G460" s="26" t="s">
        <v>58</v>
      </c>
      <c r="H460" s="26" t="s">
        <v>56</v>
      </c>
      <c r="I460" s="26" t="s">
        <v>1284</v>
      </c>
      <c r="J460" s="26" t="s">
        <v>58</v>
      </c>
      <c r="K460" s="27"/>
      <c r="L460" s="28" t="s">
        <v>56</v>
      </c>
      <c r="M460" s="29" t="str">
        <f t="shared" si="35"/>
        <v>✓ OK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4.25" customHeight="1" x14ac:dyDescent="0.3">
      <c r="A461" s="23">
        <v>457</v>
      </c>
      <c r="B461" s="24" t="s">
        <v>2195</v>
      </c>
      <c r="C461" s="25" t="s">
        <v>2196</v>
      </c>
      <c r="D461" s="23" t="s">
        <v>1283</v>
      </c>
      <c r="E461" s="55">
        <v>46125</v>
      </c>
      <c r="F461" s="26" t="s">
        <v>948</v>
      </c>
      <c r="G461" s="26" t="s">
        <v>58</v>
      </c>
      <c r="H461" s="26" t="s">
        <v>56</v>
      </c>
      <c r="I461" s="26" t="s">
        <v>1284</v>
      </c>
      <c r="J461" s="26" t="s">
        <v>58</v>
      </c>
      <c r="K461" s="27"/>
      <c r="L461" s="28" t="s">
        <v>56</v>
      </c>
      <c r="M461" s="29" t="str">
        <f t="shared" si="35"/>
        <v>✓ OK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4.25" customHeight="1" x14ac:dyDescent="0.3">
      <c r="A462" s="42">
        <v>458</v>
      </c>
      <c r="B462" s="43" t="s">
        <v>2197</v>
      </c>
      <c r="C462" s="44" t="s">
        <v>2198</v>
      </c>
      <c r="D462" s="42" t="s">
        <v>1283</v>
      </c>
      <c r="E462" s="55">
        <v>46125</v>
      </c>
      <c r="F462" s="26" t="s">
        <v>948</v>
      </c>
      <c r="G462" s="26" t="s">
        <v>58</v>
      </c>
      <c r="H462" s="26" t="s">
        <v>56</v>
      </c>
      <c r="I462" s="26" t="s">
        <v>1284</v>
      </c>
      <c r="J462" s="26" t="s">
        <v>58</v>
      </c>
      <c r="K462" s="27"/>
      <c r="L462" s="28" t="s">
        <v>56</v>
      </c>
      <c r="M462" s="29" t="str">
        <f t="shared" si="35"/>
        <v>✓ OK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4.25" customHeight="1" x14ac:dyDescent="0.3">
      <c r="A463" s="23">
        <v>459</v>
      </c>
      <c r="B463" s="24" t="s">
        <v>2199</v>
      </c>
      <c r="C463" s="25" t="s">
        <v>2200</v>
      </c>
      <c r="D463" s="23" t="s">
        <v>1283</v>
      </c>
      <c r="E463" s="55">
        <v>46125</v>
      </c>
      <c r="F463" s="26" t="s">
        <v>948</v>
      </c>
      <c r="G463" s="26" t="s">
        <v>58</v>
      </c>
      <c r="H463" s="26" t="s">
        <v>56</v>
      </c>
      <c r="I463" s="26" t="s">
        <v>1284</v>
      </c>
      <c r="J463" s="26" t="s">
        <v>58</v>
      </c>
      <c r="K463" s="27"/>
      <c r="L463" s="28" t="s">
        <v>56</v>
      </c>
      <c r="M463" s="29" t="str">
        <f t="shared" si="35"/>
        <v>✓ OK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4.25" customHeight="1" x14ac:dyDescent="0.3">
      <c r="A464" s="42">
        <v>460</v>
      </c>
      <c r="B464" s="43" t="s">
        <v>2201</v>
      </c>
      <c r="C464" s="44" t="s">
        <v>2202</v>
      </c>
      <c r="D464" s="42" t="s">
        <v>1283</v>
      </c>
      <c r="E464" s="55">
        <v>46125</v>
      </c>
      <c r="F464" s="26" t="s">
        <v>948</v>
      </c>
      <c r="G464" s="26" t="s">
        <v>58</v>
      </c>
      <c r="H464" s="26" t="s">
        <v>56</v>
      </c>
      <c r="I464" s="26" t="s">
        <v>1284</v>
      </c>
      <c r="J464" s="26" t="s">
        <v>58</v>
      </c>
      <c r="K464" s="27"/>
      <c r="L464" s="28" t="s">
        <v>56</v>
      </c>
      <c r="M464" s="29" t="str">
        <f t="shared" si="35"/>
        <v>✓ OK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4.25" customHeight="1" x14ac:dyDescent="0.3">
      <c r="A465" s="23">
        <v>461</v>
      </c>
      <c r="B465" s="24" t="s">
        <v>2203</v>
      </c>
      <c r="C465" s="25" t="s">
        <v>2204</v>
      </c>
      <c r="D465" s="23" t="s">
        <v>1283</v>
      </c>
      <c r="E465" s="55">
        <v>46125</v>
      </c>
      <c r="F465" s="26" t="s">
        <v>948</v>
      </c>
      <c r="G465" s="26" t="s">
        <v>58</v>
      </c>
      <c r="H465" s="26" t="s">
        <v>56</v>
      </c>
      <c r="I465" s="26" t="s">
        <v>1284</v>
      </c>
      <c r="J465" s="26" t="s">
        <v>58</v>
      </c>
      <c r="K465" s="27"/>
      <c r="L465" s="28" t="s">
        <v>56</v>
      </c>
      <c r="M465" s="29" t="str">
        <f t="shared" si="35"/>
        <v>✓ OK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4.25" customHeight="1" x14ac:dyDescent="0.3">
      <c r="A466" s="42">
        <v>462</v>
      </c>
      <c r="B466" s="43" t="s">
        <v>2205</v>
      </c>
      <c r="C466" s="44" t="s">
        <v>2206</v>
      </c>
      <c r="D466" s="42" t="s">
        <v>1283</v>
      </c>
      <c r="E466" s="55">
        <v>46125</v>
      </c>
      <c r="F466" s="26" t="s">
        <v>948</v>
      </c>
      <c r="G466" s="26" t="s">
        <v>58</v>
      </c>
      <c r="H466" s="26" t="s">
        <v>56</v>
      </c>
      <c r="I466" s="26" t="s">
        <v>1284</v>
      </c>
      <c r="J466" s="26" t="s">
        <v>58</v>
      </c>
      <c r="K466" s="27"/>
      <c r="L466" s="28" t="s">
        <v>56</v>
      </c>
      <c r="M466" s="29" t="str">
        <f t="shared" si="35"/>
        <v>✓ OK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4.25" customHeight="1" x14ac:dyDescent="0.3">
      <c r="A467" s="23">
        <v>463</v>
      </c>
      <c r="B467" s="24" t="s">
        <v>2207</v>
      </c>
      <c r="C467" s="25" t="s">
        <v>2208</v>
      </c>
      <c r="D467" s="23" t="s">
        <v>1283</v>
      </c>
      <c r="E467" s="55">
        <v>46125</v>
      </c>
      <c r="F467" s="26" t="s">
        <v>948</v>
      </c>
      <c r="G467" s="26" t="s">
        <v>58</v>
      </c>
      <c r="H467" s="26" t="s">
        <v>56</v>
      </c>
      <c r="I467" s="26" t="s">
        <v>1284</v>
      </c>
      <c r="J467" s="26" t="s">
        <v>58</v>
      </c>
      <c r="K467" s="27"/>
      <c r="L467" s="28" t="s">
        <v>56</v>
      </c>
      <c r="M467" s="29" t="str">
        <f t="shared" si="35"/>
        <v>✓ OK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4.25" customHeight="1" x14ac:dyDescent="0.3">
      <c r="A468" s="42">
        <v>464</v>
      </c>
      <c r="B468" s="43" t="s">
        <v>2209</v>
      </c>
      <c r="C468" s="44" t="s">
        <v>2210</v>
      </c>
      <c r="D468" s="42" t="s">
        <v>1283</v>
      </c>
      <c r="E468" s="55">
        <v>46125</v>
      </c>
      <c r="F468" s="26" t="s">
        <v>948</v>
      </c>
      <c r="G468" s="26" t="s">
        <v>58</v>
      </c>
      <c r="H468" s="26" t="s">
        <v>56</v>
      </c>
      <c r="I468" s="26" t="s">
        <v>1284</v>
      </c>
      <c r="J468" s="26" t="s">
        <v>58</v>
      </c>
      <c r="K468" s="27"/>
      <c r="L468" s="28" t="s">
        <v>56</v>
      </c>
      <c r="M468" s="29" t="str">
        <f t="shared" si="35"/>
        <v>✓ OK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4.25" customHeight="1" x14ac:dyDescent="0.3">
      <c r="A469" s="23">
        <v>465</v>
      </c>
      <c r="B469" s="24" t="s">
        <v>2211</v>
      </c>
      <c r="C469" s="25" t="s">
        <v>2212</v>
      </c>
      <c r="D469" s="23" t="s">
        <v>1283</v>
      </c>
      <c r="E469" s="55">
        <v>46125</v>
      </c>
      <c r="F469" s="26" t="s">
        <v>948</v>
      </c>
      <c r="G469" s="26" t="s">
        <v>58</v>
      </c>
      <c r="H469" s="26" t="s">
        <v>56</v>
      </c>
      <c r="I469" s="26" t="s">
        <v>1284</v>
      </c>
      <c r="J469" s="26" t="s">
        <v>58</v>
      </c>
      <c r="K469" s="27"/>
      <c r="L469" s="28" t="s">
        <v>56</v>
      </c>
      <c r="M469" s="29" t="str">
        <f t="shared" si="35"/>
        <v>✓ OK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4.25" customHeight="1" x14ac:dyDescent="0.3">
      <c r="A470" s="42">
        <v>466</v>
      </c>
      <c r="B470" s="43" t="s">
        <v>2213</v>
      </c>
      <c r="C470" s="44" t="s">
        <v>2214</v>
      </c>
      <c r="D470" s="42" t="s">
        <v>1283</v>
      </c>
      <c r="E470" s="55">
        <v>46125</v>
      </c>
      <c r="F470" s="26" t="s">
        <v>948</v>
      </c>
      <c r="G470" s="26" t="s">
        <v>58</v>
      </c>
      <c r="H470" s="26" t="s">
        <v>56</v>
      </c>
      <c r="I470" s="26" t="s">
        <v>1284</v>
      </c>
      <c r="J470" s="26" t="s">
        <v>58</v>
      </c>
      <c r="K470" s="27"/>
      <c r="L470" s="28" t="s">
        <v>56</v>
      </c>
      <c r="M470" s="29" t="str">
        <f t="shared" si="35"/>
        <v>✓ OK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4.25" customHeight="1" x14ac:dyDescent="0.3">
      <c r="A471" s="23">
        <v>467</v>
      </c>
      <c r="B471" s="24" t="s">
        <v>2215</v>
      </c>
      <c r="C471" s="25" t="s">
        <v>2216</v>
      </c>
      <c r="D471" s="23" t="s">
        <v>1283</v>
      </c>
      <c r="E471" s="55">
        <v>46125</v>
      </c>
      <c r="F471" s="26" t="s">
        <v>948</v>
      </c>
      <c r="G471" s="26" t="s">
        <v>58</v>
      </c>
      <c r="H471" s="26" t="s">
        <v>56</v>
      </c>
      <c r="I471" s="26" t="s">
        <v>1284</v>
      </c>
      <c r="J471" s="26" t="s">
        <v>58</v>
      </c>
      <c r="K471" s="27"/>
      <c r="L471" s="28" t="s">
        <v>56</v>
      </c>
      <c r="M471" s="29" t="str">
        <f t="shared" si="35"/>
        <v>✓ OK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4.25" customHeight="1" x14ac:dyDescent="0.3">
      <c r="A472" s="42">
        <v>468</v>
      </c>
      <c r="B472" s="43" t="s">
        <v>2217</v>
      </c>
      <c r="C472" s="44" t="s">
        <v>2218</v>
      </c>
      <c r="D472" s="42" t="s">
        <v>1283</v>
      </c>
      <c r="E472" s="55">
        <v>46125</v>
      </c>
      <c r="F472" s="26" t="s">
        <v>948</v>
      </c>
      <c r="G472" s="26" t="s">
        <v>58</v>
      </c>
      <c r="H472" s="26" t="s">
        <v>56</v>
      </c>
      <c r="I472" s="26" t="s">
        <v>1284</v>
      </c>
      <c r="J472" s="26" t="s">
        <v>58</v>
      </c>
      <c r="K472" s="27"/>
      <c r="L472" s="28" t="s">
        <v>56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4.25" customHeight="1" x14ac:dyDescent="0.3">
      <c r="A473" s="23">
        <v>469</v>
      </c>
      <c r="B473" s="24" t="s">
        <v>2219</v>
      </c>
      <c r="C473" s="25" t="s">
        <v>2220</v>
      </c>
      <c r="D473" s="23" t="s">
        <v>1283</v>
      </c>
      <c r="E473" s="55">
        <v>46125</v>
      </c>
      <c r="F473" s="26" t="s">
        <v>948</v>
      </c>
      <c r="G473" s="26" t="s">
        <v>58</v>
      </c>
      <c r="H473" s="26" t="s">
        <v>56</v>
      </c>
      <c r="I473" s="26" t="s">
        <v>1284</v>
      </c>
      <c r="J473" s="26" t="s">
        <v>58</v>
      </c>
      <c r="K473" s="27"/>
      <c r="L473" s="28" t="s">
        <v>56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4.25" customHeight="1" x14ac:dyDescent="0.3">
      <c r="A474" s="42">
        <v>470</v>
      </c>
      <c r="B474" s="43" t="s">
        <v>2221</v>
      </c>
      <c r="C474" s="44" t="s">
        <v>2222</v>
      </c>
      <c r="D474" s="42" t="s">
        <v>1283</v>
      </c>
      <c r="E474" s="55">
        <v>46125</v>
      </c>
      <c r="F474" s="26" t="s">
        <v>948</v>
      </c>
      <c r="G474" s="26" t="s">
        <v>58</v>
      </c>
      <c r="H474" s="26" t="s">
        <v>56</v>
      </c>
      <c r="I474" s="26" t="s">
        <v>1284</v>
      </c>
      <c r="J474" s="26" t="s">
        <v>58</v>
      </c>
      <c r="K474" s="27"/>
      <c r="L474" s="28" t="s">
        <v>56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4.25" customHeight="1" x14ac:dyDescent="0.3">
      <c r="A475" s="23">
        <v>471</v>
      </c>
      <c r="B475" s="24" t="s">
        <v>2223</v>
      </c>
      <c r="C475" s="25" t="s">
        <v>2224</v>
      </c>
      <c r="D475" s="23" t="s">
        <v>1283</v>
      </c>
      <c r="E475" s="55">
        <v>46125</v>
      </c>
      <c r="F475" s="26" t="s">
        <v>948</v>
      </c>
      <c r="G475" s="26" t="s">
        <v>58</v>
      </c>
      <c r="H475" s="26" t="s">
        <v>56</v>
      </c>
      <c r="I475" s="26" t="s">
        <v>1284</v>
      </c>
      <c r="J475" s="26" t="s">
        <v>58</v>
      </c>
      <c r="K475" s="27"/>
      <c r="L475" s="28" t="s">
        <v>56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4.25" customHeight="1" x14ac:dyDescent="0.3">
      <c r="A476" s="42">
        <v>472</v>
      </c>
      <c r="B476" s="43" t="s">
        <v>2225</v>
      </c>
      <c r="C476" s="44" t="s">
        <v>2226</v>
      </c>
      <c r="D476" s="42" t="s">
        <v>1283</v>
      </c>
      <c r="E476" s="55">
        <v>46125</v>
      </c>
      <c r="F476" s="26" t="s">
        <v>948</v>
      </c>
      <c r="G476" s="26" t="s">
        <v>58</v>
      </c>
      <c r="H476" s="26" t="s">
        <v>56</v>
      </c>
      <c r="I476" s="26" t="s">
        <v>1284</v>
      </c>
      <c r="J476" s="26" t="s">
        <v>58</v>
      </c>
      <c r="K476" s="27"/>
      <c r="L476" s="28" t="s">
        <v>56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4.25" customHeight="1" x14ac:dyDescent="0.3">
      <c r="A477" s="23">
        <v>473</v>
      </c>
      <c r="B477" s="24" t="s">
        <v>2227</v>
      </c>
      <c r="C477" s="25" t="s">
        <v>2228</v>
      </c>
      <c r="D477" s="23" t="s">
        <v>1283</v>
      </c>
      <c r="E477" s="55">
        <v>46125</v>
      </c>
      <c r="F477" s="26" t="s">
        <v>948</v>
      </c>
      <c r="G477" s="26" t="s">
        <v>58</v>
      </c>
      <c r="H477" s="26" t="s">
        <v>56</v>
      </c>
      <c r="I477" s="26" t="s">
        <v>1284</v>
      </c>
      <c r="J477" s="26" t="s">
        <v>58</v>
      </c>
      <c r="K477" s="27"/>
      <c r="L477" s="28" t="s">
        <v>56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4.25" customHeight="1" x14ac:dyDescent="0.3">
      <c r="A478" s="42">
        <v>474</v>
      </c>
      <c r="B478" s="43" t="s">
        <v>2229</v>
      </c>
      <c r="C478" s="44" t="s">
        <v>2230</v>
      </c>
      <c r="D478" s="42" t="s">
        <v>1283</v>
      </c>
      <c r="E478" s="55">
        <v>46125</v>
      </c>
      <c r="F478" s="26" t="s">
        <v>948</v>
      </c>
      <c r="G478" s="26" t="s">
        <v>58</v>
      </c>
      <c r="H478" s="26" t="s">
        <v>56</v>
      </c>
      <c r="I478" s="26" t="s">
        <v>1284</v>
      </c>
      <c r="J478" s="26" t="s">
        <v>58</v>
      </c>
      <c r="K478" s="27"/>
      <c r="L478" s="28" t="s">
        <v>56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4.25" customHeight="1" x14ac:dyDescent="0.3">
      <c r="A479" s="23">
        <v>475</v>
      </c>
      <c r="B479" s="24" t="s">
        <v>2231</v>
      </c>
      <c r="C479" s="25" t="s">
        <v>2232</v>
      </c>
      <c r="D479" s="23" t="s">
        <v>1283</v>
      </c>
      <c r="E479" s="55">
        <v>46125</v>
      </c>
      <c r="F479" s="26" t="s">
        <v>948</v>
      </c>
      <c r="G479" s="26" t="s">
        <v>58</v>
      </c>
      <c r="H479" s="26" t="s">
        <v>56</v>
      </c>
      <c r="I479" s="26" t="s">
        <v>1284</v>
      </c>
      <c r="J479" s="26" t="s">
        <v>58</v>
      </c>
      <c r="K479" s="27"/>
      <c r="L479" s="28" t="s">
        <v>56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4.25" customHeight="1" x14ac:dyDescent="0.3">
      <c r="A480" s="42">
        <v>476</v>
      </c>
      <c r="B480" s="43" t="s">
        <v>2233</v>
      </c>
      <c r="C480" s="44" t="s">
        <v>2234</v>
      </c>
      <c r="D480" s="42" t="s">
        <v>1283</v>
      </c>
      <c r="E480" s="55">
        <v>46125</v>
      </c>
      <c r="F480" s="26" t="s">
        <v>948</v>
      </c>
      <c r="G480" s="26" t="s">
        <v>58</v>
      </c>
      <c r="H480" s="26" t="s">
        <v>56</v>
      </c>
      <c r="I480" s="26" t="s">
        <v>1284</v>
      </c>
      <c r="J480" s="26" t="s">
        <v>58</v>
      </c>
      <c r="K480" s="27"/>
      <c r="L480" s="28" t="s">
        <v>56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4.25" customHeight="1" x14ac:dyDescent="0.3">
      <c r="A481" s="23">
        <v>477</v>
      </c>
      <c r="B481" s="24" t="s">
        <v>2235</v>
      </c>
      <c r="C481" s="25" t="s">
        <v>2236</v>
      </c>
      <c r="D481" s="23" t="s">
        <v>1283</v>
      </c>
      <c r="E481" s="55">
        <v>46125</v>
      </c>
      <c r="F481" s="26" t="s">
        <v>948</v>
      </c>
      <c r="G481" s="26" t="s">
        <v>58</v>
      </c>
      <c r="H481" s="26" t="s">
        <v>56</v>
      </c>
      <c r="I481" s="26" t="s">
        <v>1284</v>
      </c>
      <c r="J481" s="26" t="s">
        <v>58</v>
      </c>
      <c r="K481" s="27"/>
      <c r="L481" s="28" t="s">
        <v>56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4.25" customHeight="1" x14ac:dyDescent="0.3">
      <c r="A482" s="42">
        <v>478</v>
      </c>
      <c r="B482" s="43" t="s">
        <v>2237</v>
      </c>
      <c r="C482" s="44" t="s">
        <v>2238</v>
      </c>
      <c r="D482" s="42" t="s">
        <v>1283</v>
      </c>
      <c r="E482" s="55">
        <v>46125</v>
      </c>
      <c r="F482" s="26" t="s">
        <v>948</v>
      </c>
      <c r="G482" s="26" t="s">
        <v>58</v>
      </c>
      <c r="H482" s="26" t="s">
        <v>56</v>
      </c>
      <c r="I482" s="26" t="s">
        <v>1284</v>
      </c>
      <c r="J482" s="26" t="s">
        <v>58</v>
      </c>
      <c r="K482" s="27"/>
      <c r="L482" s="28" t="s">
        <v>56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4.25" customHeight="1" x14ac:dyDescent="0.3">
      <c r="A483" s="23">
        <v>479</v>
      </c>
      <c r="B483" s="24" t="s">
        <v>2239</v>
      </c>
      <c r="C483" s="25" t="s">
        <v>2240</v>
      </c>
      <c r="D483" s="23" t="s">
        <v>1283</v>
      </c>
      <c r="E483" s="55">
        <v>46125</v>
      </c>
      <c r="F483" s="26" t="s">
        <v>948</v>
      </c>
      <c r="G483" s="26" t="s">
        <v>58</v>
      </c>
      <c r="H483" s="26" t="s">
        <v>56</v>
      </c>
      <c r="I483" s="26" t="s">
        <v>1284</v>
      </c>
      <c r="J483" s="26" t="s">
        <v>58</v>
      </c>
      <c r="K483" s="27"/>
      <c r="L483" s="28" t="s">
        <v>56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4.25" customHeight="1" x14ac:dyDescent="0.3">
      <c r="A484" s="42">
        <v>480</v>
      </c>
      <c r="B484" s="43" t="s">
        <v>2241</v>
      </c>
      <c r="C484" s="44" t="s">
        <v>2242</v>
      </c>
      <c r="D484" s="42" t="s">
        <v>1283</v>
      </c>
      <c r="E484" s="55">
        <v>46125</v>
      </c>
      <c r="F484" s="26" t="s">
        <v>948</v>
      </c>
      <c r="G484" s="26" t="s">
        <v>58</v>
      </c>
      <c r="H484" s="26" t="s">
        <v>56</v>
      </c>
      <c r="I484" s="26" t="s">
        <v>1284</v>
      </c>
      <c r="J484" s="26" t="s">
        <v>58</v>
      </c>
      <c r="K484" s="27"/>
      <c r="L484" s="28" t="s">
        <v>56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4.25" customHeight="1" x14ac:dyDescent="0.3">
      <c r="A485" s="23">
        <v>481</v>
      </c>
      <c r="B485" s="24" t="s">
        <v>2243</v>
      </c>
      <c r="C485" s="25" t="s">
        <v>2244</v>
      </c>
      <c r="D485" s="23" t="s">
        <v>1283</v>
      </c>
      <c r="E485" s="55">
        <v>46125</v>
      </c>
      <c r="F485" s="26" t="s">
        <v>948</v>
      </c>
      <c r="G485" s="26" t="s">
        <v>58</v>
      </c>
      <c r="H485" s="26" t="s">
        <v>56</v>
      </c>
      <c r="I485" s="26" t="s">
        <v>1284</v>
      </c>
      <c r="J485" s="26" t="s">
        <v>58</v>
      </c>
      <c r="K485" s="27"/>
      <c r="L485" s="28" t="s">
        <v>56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4.25" customHeight="1" x14ac:dyDescent="0.3">
      <c r="A486" s="42">
        <v>482</v>
      </c>
      <c r="B486" s="43" t="s">
        <v>2245</v>
      </c>
      <c r="C486" s="44" t="s">
        <v>2246</v>
      </c>
      <c r="D486" s="42" t="s">
        <v>1283</v>
      </c>
      <c r="E486" s="55">
        <v>46125</v>
      </c>
      <c r="F486" s="26" t="s">
        <v>948</v>
      </c>
      <c r="G486" s="26" t="s">
        <v>58</v>
      </c>
      <c r="H486" s="26" t="s">
        <v>56</v>
      </c>
      <c r="I486" s="26" t="s">
        <v>1284</v>
      </c>
      <c r="J486" s="26" t="s">
        <v>58</v>
      </c>
      <c r="K486" s="27"/>
      <c r="L486" s="28" t="s">
        <v>56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4.25" customHeight="1" x14ac:dyDescent="0.3">
      <c r="A487" s="23">
        <v>483</v>
      </c>
      <c r="B487" s="24" t="s">
        <v>2247</v>
      </c>
      <c r="C487" s="25" t="s">
        <v>2248</v>
      </c>
      <c r="D487" s="23" t="s">
        <v>1283</v>
      </c>
      <c r="E487" s="55">
        <v>46125</v>
      </c>
      <c r="F487" s="26" t="s">
        <v>948</v>
      </c>
      <c r="G487" s="26" t="s">
        <v>58</v>
      </c>
      <c r="H487" s="26" t="s">
        <v>56</v>
      </c>
      <c r="I487" s="26" t="s">
        <v>1284</v>
      </c>
      <c r="J487" s="26" t="s">
        <v>58</v>
      </c>
      <c r="K487" s="27"/>
      <c r="L487" s="28" t="s">
        <v>56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4.25" customHeight="1" x14ac:dyDescent="0.3">
      <c r="A488" s="42">
        <v>484</v>
      </c>
      <c r="B488" s="43" t="s">
        <v>2249</v>
      </c>
      <c r="C488" s="44" t="s">
        <v>2250</v>
      </c>
      <c r="D488" s="42" t="s">
        <v>1283</v>
      </c>
      <c r="E488" s="55">
        <v>46125</v>
      </c>
      <c r="F488" s="26" t="s">
        <v>948</v>
      </c>
      <c r="G488" s="26" t="s">
        <v>58</v>
      </c>
      <c r="H488" s="26" t="s">
        <v>56</v>
      </c>
      <c r="I488" s="26" t="s">
        <v>1284</v>
      </c>
      <c r="J488" s="26" t="s">
        <v>58</v>
      </c>
      <c r="K488" s="27"/>
      <c r="L488" s="28" t="s">
        <v>56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4.25" customHeight="1" x14ac:dyDescent="0.3">
      <c r="A489" s="23">
        <v>485</v>
      </c>
      <c r="B489" s="24" t="s">
        <v>2251</v>
      </c>
      <c r="C489" s="25" t="s">
        <v>2252</v>
      </c>
      <c r="D489" s="23" t="s">
        <v>2253</v>
      </c>
      <c r="E489" s="55">
        <v>46125</v>
      </c>
      <c r="F489" s="26" t="s">
        <v>948</v>
      </c>
      <c r="G489" s="26" t="s">
        <v>58</v>
      </c>
      <c r="H489" s="26" t="s">
        <v>56</v>
      </c>
      <c r="I489" s="26" t="s">
        <v>70</v>
      </c>
      <c r="J489" s="26" t="s">
        <v>58</v>
      </c>
      <c r="K489" s="27"/>
      <c r="L489" s="28" t="s">
        <v>56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4.25" customHeight="1" x14ac:dyDescent="0.3">
      <c r="A490" s="42">
        <v>486</v>
      </c>
      <c r="B490" s="43" t="s">
        <v>2254</v>
      </c>
      <c r="C490" s="44" t="s">
        <v>2255</v>
      </c>
      <c r="D490" s="42" t="s">
        <v>2253</v>
      </c>
      <c r="E490" s="55">
        <v>46125</v>
      </c>
      <c r="F490" s="26" t="s">
        <v>948</v>
      </c>
      <c r="G490" s="26" t="s">
        <v>58</v>
      </c>
      <c r="H490" s="26" t="s">
        <v>56</v>
      </c>
      <c r="I490" s="26" t="s">
        <v>70</v>
      </c>
      <c r="J490" s="26" t="s">
        <v>58</v>
      </c>
      <c r="K490" s="27"/>
      <c r="L490" s="28" t="s">
        <v>56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4.25" customHeight="1" x14ac:dyDescent="0.3">
      <c r="A491" s="23">
        <v>487</v>
      </c>
      <c r="B491" s="24" t="s">
        <v>2256</v>
      </c>
      <c r="C491" s="25" t="s">
        <v>2257</v>
      </c>
      <c r="D491" s="23" t="s">
        <v>2253</v>
      </c>
      <c r="E491" s="55">
        <v>46125</v>
      </c>
      <c r="F491" s="26" t="s">
        <v>948</v>
      </c>
      <c r="G491" s="26" t="s">
        <v>58</v>
      </c>
      <c r="H491" s="26" t="s">
        <v>56</v>
      </c>
      <c r="I491" s="26" t="s">
        <v>70</v>
      </c>
      <c r="J491" s="26" t="s">
        <v>58</v>
      </c>
      <c r="K491" s="27"/>
      <c r="L491" s="28" t="s">
        <v>56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4.25" customHeight="1" x14ac:dyDescent="0.3">
      <c r="A492" s="42">
        <v>488</v>
      </c>
      <c r="B492" s="43" t="s">
        <v>2258</v>
      </c>
      <c r="C492" s="44" t="s">
        <v>2259</v>
      </c>
      <c r="D492" s="42" t="s">
        <v>2253</v>
      </c>
      <c r="E492" s="55">
        <v>46125</v>
      </c>
      <c r="F492" s="26" t="s">
        <v>948</v>
      </c>
      <c r="G492" s="26" t="s">
        <v>58</v>
      </c>
      <c r="H492" s="26" t="s">
        <v>56</v>
      </c>
      <c r="I492" s="26" t="s">
        <v>70</v>
      </c>
      <c r="J492" s="26" t="s">
        <v>58</v>
      </c>
      <c r="K492" s="27"/>
      <c r="L492" s="28" t="s">
        <v>56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4.25" customHeight="1" x14ac:dyDescent="0.3">
      <c r="A493" s="23">
        <v>489</v>
      </c>
      <c r="B493" s="24" t="s">
        <v>2260</v>
      </c>
      <c r="C493" s="25" t="s">
        <v>2261</v>
      </c>
      <c r="D493" s="23" t="s">
        <v>2253</v>
      </c>
      <c r="E493" s="55">
        <v>46125</v>
      </c>
      <c r="F493" s="26" t="s">
        <v>948</v>
      </c>
      <c r="G493" s="26" t="s">
        <v>58</v>
      </c>
      <c r="H493" s="26" t="s">
        <v>56</v>
      </c>
      <c r="I493" s="26" t="s">
        <v>70</v>
      </c>
      <c r="J493" s="26" t="s">
        <v>58</v>
      </c>
      <c r="K493" s="27"/>
      <c r="L493" s="28" t="s">
        <v>56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4.25" customHeight="1" x14ac:dyDescent="0.3">
      <c r="A494" s="42">
        <v>490</v>
      </c>
      <c r="B494" s="43" t="s">
        <v>2262</v>
      </c>
      <c r="C494" s="44" t="s">
        <v>2263</v>
      </c>
      <c r="D494" s="42" t="s">
        <v>2253</v>
      </c>
      <c r="E494" s="55">
        <v>46125</v>
      </c>
      <c r="F494" s="26" t="s">
        <v>948</v>
      </c>
      <c r="G494" s="26" t="s">
        <v>58</v>
      </c>
      <c r="H494" s="26" t="s">
        <v>56</v>
      </c>
      <c r="I494" s="26" t="s">
        <v>70</v>
      </c>
      <c r="J494" s="26" t="s">
        <v>58</v>
      </c>
      <c r="K494" s="27"/>
      <c r="L494" s="28" t="s">
        <v>56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4.25" customHeight="1" x14ac:dyDescent="0.3">
      <c r="A495" s="23">
        <v>491</v>
      </c>
      <c r="B495" s="24" t="s">
        <v>2264</v>
      </c>
      <c r="C495" s="25" t="s">
        <v>2265</v>
      </c>
      <c r="D495" s="23" t="s">
        <v>2253</v>
      </c>
      <c r="E495" s="55">
        <v>46125</v>
      </c>
      <c r="F495" s="26" t="s">
        <v>948</v>
      </c>
      <c r="G495" s="26" t="s">
        <v>58</v>
      </c>
      <c r="H495" s="26" t="s">
        <v>56</v>
      </c>
      <c r="I495" s="26" t="s">
        <v>70</v>
      </c>
      <c r="J495" s="26" t="s">
        <v>58</v>
      </c>
      <c r="K495" s="27"/>
      <c r="L495" s="28" t="s">
        <v>56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4.25" customHeight="1" x14ac:dyDescent="0.3">
      <c r="A496" s="42">
        <v>492</v>
      </c>
      <c r="B496" s="43" t="s">
        <v>2266</v>
      </c>
      <c r="C496" s="44" t="s">
        <v>2267</v>
      </c>
      <c r="D496" s="42" t="s">
        <v>2253</v>
      </c>
      <c r="E496" s="55">
        <v>46125</v>
      </c>
      <c r="F496" s="26" t="s">
        <v>948</v>
      </c>
      <c r="G496" s="26" t="s">
        <v>58</v>
      </c>
      <c r="H496" s="26" t="s">
        <v>56</v>
      </c>
      <c r="I496" s="26" t="s">
        <v>70</v>
      </c>
      <c r="J496" s="26" t="s">
        <v>58</v>
      </c>
      <c r="K496" s="27"/>
      <c r="L496" s="28" t="s">
        <v>56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4.25" customHeight="1" x14ac:dyDescent="0.3">
      <c r="A497" s="23">
        <v>493</v>
      </c>
      <c r="B497" s="24" t="s">
        <v>2268</v>
      </c>
      <c r="C497" s="25" t="s">
        <v>2269</v>
      </c>
      <c r="D497" s="23" t="s">
        <v>2253</v>
      </c>
      <c r="E497" s="55">
        <v>46125</v>
      </c>
      <c r="F497" s="26" t="s">
        <v>948</v>
      </c>
      <c r="G497" s="26" t="s">
        <v>58</v>
      </c>
      <c r="H497" s="26" t="s">
        <v>56</v>
      </c>
      <c r="I497" s="26" t="s">
        <v>70</v>
      </c>
      <c r="J497" s="26" t="s">
        <v>58</v>
      </c>
      <c r="K497" s="27"/>
      <c r="L497" s="28" t="s">
        <v>56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4.25" customHeight="1" x14ac:dyDescent="0.3">
      <c r="A498" s="42">
        <v>494</v>
      </c>
      <c r="B498" s="43" t="s">
        <v>2270</v>
      </c>
      <c r="C498" s="44" t="s">
        <v>2271</v>
      </c>
      <c r="D498" s="42" t="s">
        <v>2253</v>
      </c>
      <c r="E498" s="55">
        <v>46125</v>
      </c>
      <c r="F498" s="26" t="s">
        <v>948</v>
      </c>
      <c r="G498" s="26" t="s">
        <v>58</v>
      </c>
      <c r="H498" s="26" t="s">
        <v>56</v>
      </c>
      <c r="I498" s="26" t="s">
        <v>70</v>
      </c>
      <c r="J498" s="26" t="s">
        <v>58</v>
      </c>
      <c r="K498" s="27"/>
      <c r="L498" s="28" t="s">
        <v>56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4.25" customHeight="1" x14ac:dyDescent="0.3">
      <c r="A499" s="23">
        <v>495</v>
      </c>
      <c r="B499" s="24" t="s">
        <v>2272</v>
      </c>
      <c r="C499" s="25" t="s">
        <v>2273</v>
      </c>
      <c r="D499" s="23" t="s">
        <v>2253</v>
      </c>
      <c r="E499" s="55">
        <v>46125</v>
      </c>
      <c r="F499" s="26" t="s">
        <v>948</v>
      </c>
      <c r="G499" s="26" t="s">
        <v>58</v>
      </c>
      <c r="H499" s="26" t="s">
        <v>56</v>
      </c>
      <c r="I499" s="26" t="s">
        <v>70</v>
      </c>
      <c r="J499" s="26" t="s">
        <v>58</v>
      </c>
      <c r="K499" s="27"/>
      <c r="L499" s="28" t="s">
        <v>56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4.25" customHeight="1" x14ac:dyDescent="0.3">
      <c r="A500" s="42">
        <v>496</v>
      </c>
      <c r="B500" s="43" t="s">
        <v>2274</v>
      </c>
      <c r="C500" s="44" t="s">
        <v>2275</v>
      </c>
      <c r="D500" s="42" t="s">
        <v>2253</v>
      </c>
      <c r="E500" s="55">
        <v>46125</v>
      </c>
      <c r="F500" s="26" t="s">
        <v>948</v>
      </c>
      <c r="G500" s="26" t="s">
        <v>58</v>
      </c>
      <c r="H500" s="26" t="s">
        <v>56</v>
      </c>
      <c r="I500" s="26" t="s">
        <v>70</v>
      </c>
      <c r="J500" s="26" t="s">
        <v>58</v>
      </c>
      <c r="K500" s="27"/>
      <c r="L500" s="28" t="s">
        <v>56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4.25" customHeight="1" x14ac:dyDescent="0.3">
      <c r="A501" s="23">
        <v>497</v>
      </c>
      <c r="B501" s="24" t="s">
        <v>2276</v>
      </c>
      <c r="C501" s="25" t="s">
        <v>2277</v>
      </c>
      <c r="D501" s="23" t="s">
        <v>2253</v>
      </c>
      <c r="E501" s="55">
        <v>46125</v>
      </c>
      <c r="F501" s="26" t="s">
        <v>948</v>
      </c>
      <c r="G501" s="26" t="s">
        <v>58</v>
      </c>
      <c r="H501" s="26" t="s">
        <v>56</v>
      </c>
      <c r="I501" s="26" t="s">
        <v>70</v>
      </c>
      <c r="J501" s="26" t="s">
        <v>58</v>
      </c>
      <c r="K501" s="27"/>
      <c r="L501" s="28" t="s">
        <v>56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4.25" customHeight="1" x14ac:dyDescent="0.3">
      <c r="A502" s="42">
        <v>498</v>
      </c>
      <c r="B502" s="43" t="s">
        <v>2278</v>
      </c>
      <c r="C502" s="44" t="s">
        <v>2279</v>
      </c>
      <c r="D502" s="42" t="s">
        <v>2253</v>
      </c>
      <c r="E502" s="55">
        <v>46125</v>
      </c>
      <c r="F502" s="26" t="s">
        <v>948</v>
      </c>
      <c r="G502" s="26" t="s">
        <v>58</v>
      </c>
      <c r="H502" s="26" t="s">
        <v>56</v>
      </c>
      <c r="I502" s="26" t="s">
        <v>70</v>
      </c>
      <c r="J502" s="26" t="s">
        <v>58</v>
      </c>
      <c r="K502" s="27"/>
      <c r="L502" s="28" t="s">
        <v>56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4.25" customHeight="1" x14ac:dyDescent="0.3">
      <c r="A503" s="23">
        <v>499</v>
      </c>
      <c r="B503" s="24" t="s">
        <v>2280</v>
      </c>
      <c r="C503" s="25" t="s">
        <v>2281</v>
      </c>
      <c r="D503" s="23" t="s">
        <v>2253</v>
      </c>
      <c r="E503" s="55">
        <v>46125</v>
      </c>
      <c r="F503" s="26" t="s">
        <v>948</v>
      </c>
      <c r="G503" s="26" t="s">
        <v>58</v>
      </c>
      <c r="H503" s="26" t="s">
        <v>56</v>
      </c>
      <c r="I503" s="26" t="s">
        <v>70</v>
      </c>
      <c r="J503" s="26" t="s">
        <v>58</v>
      </c>
      <c r="K503" s="27"/>
      <c r="L503" s="28" t="s">
        <v>56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4.25" customHeight="1" x14ac:dyDescent="0.3">
      <c r="A504" s="42">
        <v>500</v>
      </c>
      <c r="B504" s="43" t="s">
        <v>2282</v>
      </c>
      <c r="C504" s="44" t="s">
        <v>2283</v>
      </c>
      <c r="D504" s="42" t="s">
        <v>2253</v>
      </c>
      <c r="E504" s="55">
        <v>46125</v>
      </c>
      <c r="F504" s="26" t="s">
        <v>948</v>
      </c>
      <c r="G504" s="26" t="s">
        <v>58</v>
      </c>
      <c r="H504" s="26" t="s">
        <v>56</v>
      </c>
      <c r="I504" s="26" t="s">
        <v>70</v>
      </c>
      <c r="J504" s="26" t="s">
        <v>58</v>
      </c>
      <c r="K504" s="27"/>
      <c r="L504" s="28" t="s">
        <v>56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4.25" customHeight="1" x14ac:dyDescent="0.3">
      <c r="A505" s="23">
        <v>501</v>
      </c>
      <c r="B505" s="24" t="s">
        <v>2284</v>
      </c>
      <c r="C505" s="25" t="s">
        <v>2285</v>
      </c>
      <c r="D505" s="23" t="s">
        <v>2253</v>
      </c>
      <c r="E505" s="55">
        <v>46125</v>
      </c>
      <c r="F505" s="26" t="s">
        <v>948</v>
      </c>
      <c r="G505" s="26" t="s">
        <v>58</v>
      </c>
      <c r="H505" s="26" t="s">
        <v>56</v>
      </c>
      <c r="I505" s="26" t="s">
        <v>70</v>
      </c>
      <c r="J505" s="26" t="s">
        <v>58</v>
      </c>
      <c r="K505" s="27"/>
      <c r="L505" s="28" t="s">
        <v>56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4.25" customHeight="1" x14ac:dyDescent="0.3">
      <c r="A506" s="42">
        <v>502</v>
      </c>
      <c r="B506" s="43" t="s">
        <v>2286</v>
      </c>
      <c r="C506" s="44" t="s">
        <v>2287</v>
      </c>
      <c r="D506" s="42" t="s">
        <v>2253</v>
      </c>
      <c r="E506" s="55">
        <v>46125</v>
      </c>
      <c r="F506" s="26" t="s">
        <v>948</v>
      </c>
      <c r="G506" s="26" t="s">
        <v>58</v>
      </c>
      <c r="H506" s="26" t="s">
        <v>56</v>
      </c>
      <c r="I506" s="26" t="s">
        <v>70</v>
      </c>
      <c r="J506" s="26" t="s">
        <v>58</v>
      </c>
      <c r="K506" s="27"/>
      <c r="L506" s="28" t="s">
        <v>56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4.25" customHeight="1" x14ac:dyDescent="0.3">
      <c r="A507" s="23">
        <v>503</v>
      </c>
      <c r="B507" s="24" t="s">
        <v>2288</v>
      </c>
      <c r="C507" s="25" t="s">
        <v>2289</v>
      </c>
      <c r="D507" s="23" t="s">
        <v>2253</v>
      </c>
      <c r="E507" s="55">
        <v>46125</v>
      </c>
      <c r="F507" s="26" t="s">
        <v>948</v>
      </c>
      <c r="G507" s="26" t="s">
        <v>58</v>
      </c>
      <c r="H507" s="26" t="s">
        <v>56</v>
      </c>
      <c r="I507" s="26" t="s">
        <v>70</v>
      </c>
      <c r="J507" s="26" t="s">
        <v>58</v>
      </c>
      <c r="K507" s="27"/>
      <c r="L507" s="28" t="s">
        <v>56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4.25" customHeight="1" x14ac:dyDescent="0.3">
      <c r="A508" s="42">
        <v>504</v>
      </c>
      <c r="B508" s="43" t="s">
        <v>2290</v>
      </c>
      <c r="C508" s="44" t="s">
        <v>2291</v>
      </c>
      <c r="D508" s="42" t="s">
        <v>2253</v>
      </c>
      <c r="E508" s="55">
        <v>46125</v>
      </c>
      <c r="F508" s="26" t="s">
        <v>948</v>
      </c>
      <c r="G508" s="26" t="s">
        <v>58</v>
      </c>
      <c r="H508" s="26" t="s">
        <v>56</v>
      </c>
      <c r="I508" s="26" t="s">
        <v>70</v>
      </c>
      <c r="J508" s="26" t="s">
        <v>58</v>
      </c>
      <c r="K508" s="27"/>
      <c r="L508" s="28" t="s">
        <v>56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4.25" customHeight="1" x14ac:dyDescent="0.3">
      <c r="A509" s="23">
        <v>505</v>
      </c>
      <c r="B509" s="24" t="s">
        <v>2292</v>
      </c>
      <c r="C509" s="25" t="s">
        <v>2293</v>
      </c>
      <c r="D509" s="23" t="s">
        <v>2253</v>
      </c>
      <c r="E509" s="55">
        <v>46125</v>
      </c>
      <c r="F509" s="26" t="s">
        <v>948</v>
      </c>
      <c r="G509" s="26" t="s">
        <v>58</v>
      </c>
      <c r="H509" s="26" t="s">
        <v>56</v>
      </c>
      <c r="I509" s="26" t="s">
        <v>70</v>
      </c>
      <c r="J509" s="26" t="s">
        <v>58</v>
      </c>
      <c r="K509" s="27"/>
      <c r="L509" s="28" t="s">
        <v>56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4.25" customHeight="1" x14ac:dyDescent="0.3">
      <c r="A510" s="42">
        <v>506</v>
      </c>
      <c r="B510" s="43" t="s">
        <v>2294</v>
      </c>
      <c r="C510" s="44" t="s">
        <v>2295</v>
      </c>
      <c r="D510" s="42" t="s">
        <v>2253</v>
      </c>
      <c r="E510" s="55">
        <v>46125</v>
      </c>
      <c r="F510" s="26" t="s">
        <v>948</v>
      </c>
      <c r="G510" s="26" t="s">
        <v>58</v>
      </c>
      <c r="H510" s="26" t="s">
        <v>56</v>
      </c>
      <c r="I510" s="26" t="s">
        <v>70</v>
      </c>
      <c r="J510" s="26" t="s">
        <v>58</v>
      </c>
      <c r="K510" s="27"/>
      <c r="L510" s="28" t="s">
        <v>56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4.25" customHeight="1" x14ac:dyDescent="0.3">
      <c r="A511" s="23">
        <v>507</v>
      </c>
      <c r="B511" s="24" t="s">
        <v>2296</v>
      </c>
      <c r="C511" s="25" t="s">
        <v>2297</v>
      </c>
      <c r="D511" s="23" t="s">
        <v>2253</v>
      </c>
      <c r="E511" s="55">
        <v>46125</v>
      </c>
      <c r="F511" s="26" t="s">
        <v>948</v>
      </c>
      <c r="G511" s="26" t="s">
        <v>58</v>
      </c>
      <c r="H511" s="26" t="s">
        <v>56</v>
      </c>
      <c r="I511" s="26" t="s">
        <v>70</v>
      </c>
      <c r="J511" s="26" t="s">
        <v>58</v>
      </c>
      <c r="K511" s="27"/>
      <c r="L511" s="28" t="s">
        <v>56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4.25" customHeight="1" x14ac:dyDescent="0.3">
      <c r="A512" s="42">
        <v>508</v>
      </c>
      <c r="B512" s="43" t="s">
        <v>2298</v>
      </c>
      <c r="C512" s="44" t="s">
        <v>2299</v>
      </c>
      <c r="D512" s="42" t="s">
        <v>2253</v>
      </c>
      <c r="E512" s="55">
        <v>46125</v>
      </c>
      <c r="F512" s="26" t="s">
        <v>948</v>
      </c>
      <c r="G512" s="26" t="s">
        <v>58</v>
      </c>
      <c r="H512" s="26" t="s">
        <v>56</v>
      </c>
      <c r="I512" s="26" t="s">
        <v>70</v>
      </c>
      <c r="J512" s="26" t="s">
        <v>58</v>
      </c>
      <c r="K512" s="27"/>
      <c r="L512" s="28" t="s">
        <v>56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4.25" customHeight="1" x14ac:dyDescent="0.3">
      <c r="A513" s="23">
        <v>509</v>
      </c>
      <c r="B513" s="24" t="s">
        <v>2300</v>
      </c>
      <c r="C513" s="25" t="s">
        <v>2301</v>
      </c>
      <c r="D513" s="23" t="s">
        <v>2253</v>
      </c>
      <c r="E513" s="55">
        <v>46125</v>
      </c>
      <c r="F513" s="26" t="s">
        <v>948</v>
      </c>
      <c r="G513" s="26" t="s">
        <v>58</v>
      </c>
      <c r="H513" s="26" t="s">
        <v>56</v>
      </c>
      <c r="I513" s="26" t="s">
        <v>70</v>
      </c>
      <c r="J513" s="26" t="s">
        <v>58</v>
      </c>
      <c r="K513" s="27"/>
      <c r="L513" s="28" t="s">
        <v>56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4.25" customHeight="1" x14ac:dyDescent="0.3">
      <c r="A514" s="42">
        <v>510</v>
      </c>
      <c r="B514" s="43" t="s">
        <v>2302</v>
      </c>
      <c r="C514" s="44" t="s">
        <v>2303</v>
      </c>
      <c r="D514" s="42" t="s">
        <v>2253</v>
      </c>
      <c r="E514" s="55">
        <v>46125</v>
      </c>
      <c r="F514" s="26" t="s">
        <v>948</v>
      </c>
      <c r="G514" s="26" t="s">
        <v>58</v>
      </c>
      <c r="H514" s="26" t="s">
        <v>56</v>
      </c>
      <c r="I514" s="26" t="s">
        <v>70</v>
      </c>
      <c r="J514" s="26" t="s">
        <v>58</v>
      </c>
      <c r="K514" s="27"/>
      <c r="L514" s="28" t="s">
        <v>56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4.25" customHeight="1" x14ac:dyDescent="0.3">
      <c r="A515" s="23">
        <v>511</v>
      </c>
      <c r="B515" s="24" t="s">
        <v>2304</v>
      </c>
      <c r="C515" s="25" t="s">
        <v>2305</v>
      </c>
      <c r="D515" s="23" t="s">
        <v>2253</v>
      </c>
      <c r="E515" s="55">
        <v>46125</v>
      </c>
      <c r="F515" s="26" t="s">
        <v>948</v>
      </c>
      <c r="G515" s="26" t="s">
        <v>58</v>
      </c>
      <c r="H515" s="26" t="s">
        <v>56</v>
      </c>
      <c r="I515" s="26" t="s">
        <v>70</v>
      </c>
      <c r="J515" s="26" t="s">
        <v>58</v>
      </c>
      <c r="K515" s="27"/>
      <c r="L515" s="28" t="s">
        <v>56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4.25" customHeight="1" x14ac:dyDescent="0.3">
      <c r="A516" s="42">
        <v>512</v>
      </c>
      <c r="B516" s="43" t="s">
        <v>2306</v>
      </c>
      <c r="C516" s="44" t="s">
        <v>2307</v>
      </c>
      <c r="D516" s="42" t="s">
        <v>2253</v>
      </c>
      <c r="E516" s="55">
        <v>46125</v>
      </c>
      <c r="F516" s="26" t="s">
        <v>948</v>
      </c>
      <c r="G516" s="26" t="s">
        <v>58</v>
      </c>
      <c r="H516" s="26" t="s">
        <v>56</v>
      </c>
      <c r="I516" s="26" t="s">
        <v>70</v>
      </c>
      <c r="J516" s="26" t="s">
        <v>58</v>
      </c>
      <c r="K516" s="27"/>
      <c r="L516" s="28" t="s">
        <v>56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4.25" customHeight="1" x14ac:dyDescent="0.3">
      <c r="A517" s="23">
        <v>513</v>
      </c>
      <c r="B517" s="24" t="s">
        <v>2308</v>
      </c>
      <c r="C517" s="25" t="s">
        <v>2309</v>
      </c>
      <c r="D517" s="23" t="s">
        <v>2253</v>
      </c>
      <c r="E517" s="55">
        <v>46125</v>
      </c>
      <c r="F517" s="26" t="s">
        <v>948</v>
      </c>
      <c r="G517" s="26" t="s">
        <v>58</v>
      </c>
      <c r="H517" s="26" t="s">
        <v>56</v>
      </c>
      <c r="I517" s="26" t="s">
        <v>70</v>
      </c>
      <c r="J517" s="26" t="s">
        <v>58</v>
      </c>
      <c r="K517" s="27"/>
      <c r="L517" s="28" t="s">
        <v>56</v>
      </c>
      <c r="M517" s="29" t="str">
        <f t="shared" ref="M517:M580" si="40">IF(E517="","",IF(H517="Yes","❌ Disc",IF(G517="No","⚠ Missing",IF(J517="Yes","✓ OK","⚠ Check"))))</f>
        <v>✓ OK</v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4.25" customHeight="1" x14ac:dyDescent="0.3">
      <c r="A518" s="42">
        <v>514</v>
      </c>
      <c r="B518" s="43" t="s">
        <v>2310</v>
      </c>
      <c r="C518" s="44" t="s">
        <v>2311</v>
      </c>
      <c r="D518" s="42" t="s">
        <v>2253</v>
      </c>
      <c r="E518" s="55">
        <v>46125</v>
      </c>
      <c r="F518" s="26" t="s">
        <v>948</v>
      </c>
      <c r="G518" s="26" t="s">
        <v>58</v>
      </c>
      <c r="H518" s="26" t="s">
        <v>56</v>
      </c>
      <c r="I518" s="26" t="s">
        <v>70</v>
      </c>
      <c r="J518" s="26" t="s">
        <v>58</v>
      </c>
      <c r="K518" s="27"/>
      <c r="L518" s="28" t="s">
        <v>56</v>
      </c>
      <c r="M518" s="29" t="str">
        <f t="shared" si="40"/>
        <v>✓ OK</v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4.25" customHeight="1" x14ac:dyDescent="0.3">
      <c r="A519" s="23">
        <v>515</v>
      </c>
      <c r="B519" s="24" t="s">
        <v>2312</v>
      </c>
      <c r="C519" s="25" t="s">
        <v>2313</v>
      </c>
      <c r="D519" s="23" t="s">
        <v>2253</v>
      </c>
      <c r="E519" s="55">
        <v>46125</v>
      </c>
      <c r="F519" s="26" t="s">
        <v>948</v>
      </c>
      <c r="G519" s="26" t="s">
        <v>58</v>
      </c>
      <c r="H519" s="26" t="s">
        <v>56</v>
      </c>
      <c r="I519" s="26" t="s">
        <v>70</v>
      </c>
      <c r="J519" s="26" t="s">
        <v>58</v>
      </c>
      <c r="K519" s="27"/>
      <c r="L519" s="28" t="s">
        <v>56</v>
      </c>
      <c r="M519" s="29" t="str">
        <f t="shared" si="40"/>
        <v>✓ OK</v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4.25" customHeight="1" x14ac:dyDescent="0.3">
      <c r="A520" s="42">
        <v>516</v>
      </c>
      <c r="B520" s="43" t="s">
        <v>2314</v>
      </c>
      <c r="C520" s="44" t="s">
        <v>2315</v>
      </c>
      <c r="D520" s="42" t="s">
        <v>2253</v>
      </c>
      <c r="E520" s="55">
        <v>46125</v>
      </c>
      <c r="F520" s="26" t="s">
        <v>948</v>
      </c>
      <c r="G520" s="26" t="s">
        <v>58</v>
      </c>
      <c r="H520" s="26" t="s">
        <v>56</v>
      </c>
      <c r="I520" s="26" t="s">
        <v>70</v>
      </c>
      <c r="J520" s="26" t="s">
        <v>58</v>
      </c>
      <c r="K520" s="27"/>
      <c r="L520" s="28" t="s">
        <v>56</v>
      </c>
      <c r="M520" s="29" t="str">
        <f t="shared" si="40"/>
        <v>✓ OK</v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4.25" customHeight="1" x14ac:dyDescent="0.3">
      <c r="A521" s="23">
        <v>517</v>
      </c>
      <c r="B521" s="24" t="s">
        <v>2316</v>
      </c>
      <c r="C521" s="25" t="s">
        <v>2317</v>
      </c>
      <c r="D521" s="23" t="s">
        <v>2253</v>
      </c>
      <c r="E521" s="55">
        <v>46125</v>
      </c>
      <c r="F521" s="26" t="s">
        <v>948</v>
      </c>
      <c r="G521" s="26" t="s">
        <v>58</v>
      </c>
      <c r="H521" s="26" t="s">
        <v>56</v>
      </c>
      <c r="I521" s="26" t="s">
        <v>70</v>
      </c>
      <c r="J521" s="26" t="s">
        <v>58</v>
      </c>
      <c r="K521" s="27"/>
      <c r="L521" s="28" t="s">
        <v>56</v>
      </c>
      <c r="M521" s="29" t="str">
        <f t="shared" si="40"/>
        <v>✓ OK</v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4.25" customHeight="1" x14ac:dyDescent="0.3">
      <c r="A522" s="42">
        <v>518</v>
      </c>
      <c r="B522" s="43" t="s">
        <v>2318</v>
      </c>
      <c r="C522" s="44" t="s">
        <v>2319</v>
      </c>
      <c r="D522" s="42" t="s">
        <v>2253</v>
      </c>
      <c r="E522" s="55">
        <v>46125</v>
      </c>
      <c r="F522" s="26" t="s">
        <v>948</v>
      </c>
      <c r="G522" s="26" t="s">
        <v>58</v>
      </c>
      <c r="H522" s="26" t="s">
        <v>56</v>
      </c>
      <c r="I522" s="26" t="s">
        <v>70</v>
      </c>
      <c r="J522" s="26" t="s">
        <v>58</v>
      </c>
      <c r="K522" s="27"/>
      <c r="L522" s="28" t="s">
        <v>56</v>
      </c>
      <c r="M522" s="29" t="str">
        <f t="shared" si="40"/>
        <v>✓ OK</v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4.25" customHeight="1" x14ac:dyDescent="0.3">
      <c r="A523" s="23">
        <v>519</v>
      </c>
      <c r="B523" s="24" t="s">
        <v>2320</v>
      </c>
      <c r="C523" s="25" t="s">
        <v>2321</v>
      </c>
      <c r="D523" s="23" t="s">
        <v>2253</v>
      </c>
      <c r="E523" s="55">
        <v>46125</v>
      </c>
      <c r="F523" s="26" t="s">
        <v>948</v>
      </c>
      <c r="G523" s="26" t="s">
        <v>58</v>
      </c>
      <c r="H523" s="26" t="s">
        <v>56</v>
      </c>
      <c r="I523" s="26" t="s">
        <v>70</v>
      </c>
      <c r="J523" s="26" t="s">
        <v>58</v>
      </c>
      <c r="K523" s="27"/>
      <c r="L523" s="28" t="s">
        <v>56</v>
      </c>
      <c r="M523" s="29" t="str">
        <f t="shared" si="40"/>
        <v>✓ OK</v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4.25" customHeight="1" x14ac:dyDescent="0.3">
      <c r="A524" s="42">
        <v>520</v>
      </c>
      <c r="B524" s="43" t="s">
        <v>2322</v>
      </c>
      <c r="C524" s="44" t="s">
        <v>2323</v>
      </c>
      <c r="D524" s="42" t="s">
        <v>2253</v>
      </c>
      <c r="E524" s="55">
        <v>46125</v>
      </c>
      <c r="F524" s="26" t="s">
        <v>948</v>
      </c>
      <c r="G524" s="26" t="s">
        <v>58</v>
      </c>
      <c r="H524" s="26" t="s">
        <v>56</v>
      </c>
      <c r="I524" s="26" t="s">
        <v>70</v>
      </c>
      <c r="J524" s="26" t="s">
        <v>58</v>
      </c>
      <c r="K524" s="27"/>
      <c r="L524" s="28" t="s">
        <v>56</v>
      </c>
      <c r="M524" s="29" t="str">
        <f t="shared" si="40"/>
        <v>✓ OK</v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4.25" customHeight="1" x14ac:dyDescent="0.3">
      <c r="A525" s="23">
        <v>521</v>
      </c>
      <c r="B525" s="24" t="s">
        <v>2324</v>
      </c>
      <c r="C525" s="25" t="s">
        <v>2325</v>
      </c>
      <c r="D525" s="23" t="s">
        <v>2253</v>
      </c>
      <c r="E525" s="55">
        <v>46125</v>
      </c>
      <c r="F525" s="26" t="s">
        <v>948</v>
      </c>
      <c r="G525" s="26" t="s">
        <v>58</v>
      </c>
      <c r="H525" s="26" t="s">
        <v>56</v>
      </c>
      <c r="I525" s="26" t="s">
        <v>70</v>
      </c>
      <c r="J525" s="26" t="s">
        <v>58</v>
      </c>
      <c r="K525" s="27"/>
      <c r="L525" s="28" t="s">
        <v>56</v>
      </c>
      <c r="M525" s="29" t="str">
        <f t="shared" si="40"/>
        <v>✓ OK</v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4.25" customHeight="1" x14ac:dyDescent="0.3">
      <c r="A526" s="42">
        <v>522</v>
      </c>
      <c r="B526" s="43" t="s">
        <v>2326</v>
      </c>
      <c r="C526" s="44" t="s">
        <v>2327</v>
      </c>
      <c r="D526" s="42" t="s">
        <v>2253</v>
      </c>
      <c r="E526" s="55">
        <v>46125</v>
      </c>
      <c r="F526" s="26" t="s">
        <v>948</v>
      </c>
      <c r="G526" s="26" t="s">
        <v>58</v>
      </c>
      <c r="H526" s="26" t="s">
        <v>56</v>
      </c>
      <c r="I526" s="26" t="s">
        <v>70</v>
      </c>
      <c r="J526" s="26" t="s">
        <v>58</v>
      </c>
      <c r="K526" s="27"/>
      <c r="L526" s="28" t="s">
        <v>56</v>
      </c>
      <c r="M526" s="29" t="str">
        <f t="shared" si="40"/>
        <v>✓ OK</v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4.25" customHeight="1" x14ac:dyDescent="0.3">
      <c r="A527" s="23">
        <v>523</v>
      </c>
      <c r="B527" s="24" t="s">
        <v>2328</v>
      </c>
      <c r="C527" s="25" t="s">
        <v>2329</v>
      </c>
      <c r="D527" s="23" t="s">
        <v>2253</v>
      </c>
      <c r="E527" s="55">
        <v>46125</v>
      </c>
      <c r="F527" s="26" t="s">
        <v>948</v>
      </c>
      <c r="G527" s="26" t="s">
        <v>58</v>
      </c>
      <c r="H527" s="26" t="s">
        <v>56</v>
      </c>
      <c r="I527" s="26" t="s">
        <v>70</v>
      </c>
      <c r="J527" s="26" t="s">
        <v>58</v>
      </c>
      <c r="K527" s="27"/>
      <c r="L527" s="28" t="s">
        <v>56</v>
      </c>
      <c r="M527" s="29" t="str">
        <f t="shared" si="40"/>
        <v>✓ OK</v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4.25" customHeight="1" x14ac:dyDescent="0.3">
      <c r="A528" s="42">
        <v>524</v>
      </c>
      <c r="B528" s="43" t="s">
        <v>2330</v>
      </c>
      <c r="C528" s="44" t="s">
        <v>2331</v>
      </c>
      <c r="D528" s="42" t="s">
        <v>2253</v>
      </c>
      <c r="E528" s="55">
        <v>46125</v>
      </c>
      <c r="F528" s="26" t="s">
        <v>948</v>
      </c>
      <c r="G528" s="26" t="s">
        <v>58</v>
      </c>
      <c r="H528" s="26" t="s">
        <v>56</v>
      </c>
      <c r="I528" s="26" t="s">
        <v>70</v>
      </c>
      <c r="J528" s="26" t="s">
        <v>58</v>
      </c>
      <c r="K528" s="27"/>
      <c r="L528" s="28" t="s">
        <v>56</v>
      </c>
      <c r="M528" s="29" t="str">
        <f t="shared" si="40"/>
        <v>✓ OK</v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4.25" customHeight="1" x14ac:dyDescent="0.3">
      <c r="A529" s="23">
        <v>525</v>
      </c>
      <c r="B529" s="24" t="s">
        <v>2332</v>
      </c>
      <c r="C529" s="25" t="s">
        <v>2333</v>
      </c>
      <c r="D529" s="23" t="s">
        <v>2253</v>
      </c>
      <c r="E529" s="55">
        <v>46125</v>
      </c>
      <c r="F529" s="26" t="s">
        <v>948</v>
      </c>
      <c r="G529" s="26" t="s">
        <v>58</v>
      </c>
      <c r="H529" s="26" t="s">
        <v>56</v>
      </c>
      <c r="I529" s="26" t="s">
        <v>70</v>
      </c>
      <c r="J529" s="26" t="s">
        <v>58</v>
      </c>
      <c r="K529" s="27"/>
      <c r="L529" s="28" t="s">
        <v>56</v>
      </c>
      <c r="M529" s="29" t="str">
        <f t="shared" si="40"/>
        <v>✓ OK</v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4.25" customHeight="1" x14ac:dyDescent="0.3">
      <c r="A530" s="42">
        <v>526</v>
      </c>
      <c r="B530" s="43" t="s">
        <v>2334</v>
      </c>
      <c r="C530" s="44" t="s">
        <v>2335</v>
      </c>
      <c r="D530" s="42" t="s">
        <v>2253</v>
      </c>
      <c r="E530" s="55">
        <v>46125</v>
      </c>
      <c r="F530" s="26" t="s">
        <v>948</v>
      </c>
      <c r="G530" s="26" t="s">
        <v>58</v>
      </c>
      <c r="H530" s="26" t="s">
        <v>56</v>
      </c>
      <c r="I530" s="26" t="s">
        <v>70</v>
      </c>
      <c r="J530" s="26" t="s">
        <v>58</v>
      </c>
      <c r="K530" s="27"/>
      <c r="L530" s="28" t="s">
        <v>56</v>
      </c>
      <c r="M530" s="29" t="str">
        <f t="shared" si="40"/>
        <v>✓ OK</v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4.25" customHeight="1" x14ac:dyDescent="0.3">
      <c r="A531" s="23">
        <v>527</v>
      </c>
      <c r="B531" s="24" t="s">
        <v>2336</v>
      </c>
      <c r="C531" s="25" t="s">
        <v>2337</v>
      </c>
      <c r="D531" s="23" t="s">
        <v>2253</v>
      </c>
      <c r="E531" s="55">
        <v>46125</v>
      </c>
      <c r="F531" s="26" t="s">
        <v>948</v>
      </c>
      <c r="G531" s="26" t="s">
        <v>58</v>
      </c>
      <c r="H531" s="26" t="s">
        <v>56</v>
      </c>
      <c r="I531" s="26" t="s">
        <v>70</v>
      </c>
      <c r="J531" s="26" t="s">
        <v>58</v>
      </c>
      <c r="K531" s="27"/>
      <c r="L531" s="28" t="s">
        <v>56</v>
      </c>
      <c r="M531" s="29" t="str">
        <f t="shared" si="40"/>
        <v>✓ OK</v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4.25" customHeight="1" x14ac:dyDescent="0.3">
      <c r="A532" s="42">
        <v>528</v>
      </c>
      <c r="B532" s="43" t="s">
        <v>2338</v>
      </c>
      <c r="C532" s="44" t="s">
        <v>2339</v>
      </c>
      <c r="D532" s="42" t="s">
        <v>2253</v>
      </c>
      <c r="E532" s="55">
        <v>46125</v>
      </c>
      <c r="F532" s="26" t="s">
        <v>948</v>
      </c>
      <c r="G532" s="26" t="s">
        <v>58</v>
      </c>
      <c r="H532" s="26" t="s">
        <v>56</v>
      </c>
      <c r="I532" s="26" t="s">
        <v>70</v>
      </c>
      <c r="J532" s="26" t="s">
        <v>58</v>
      </c>
      <c r="K532" s="27"/>
      <c r="L532" s="28" t="s">
        <v>56</v>
      </c>
      <c r="M532" s="29" t="str">
        <f t="shared" si="40"/>
        <v>✓ OK</v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4.25" customHeight="1" x14ac:dyDescent="0.3">
      <c r="A533" s="23">
        <v>529</v>
      </c>
      <c r="B533" s="24" t="s">
        <v>2340</v>
      </c>
      <c r="C533" s="25" t="s">
        <v>2341</v>
      </c>
      <c r="D533" s="23" t="s">
        <v>2253</v>
      </c>
      <c r="E533" s="55">
        <v>46125</v>
      </c>
      <c r="F533" s="26" t="s">
        <v>948</v>
      </c>
      <c r="G533" s="26" t="s">
        <v>58</v>
      </c>
      <c r="H533" s="26" t="s">
        <v>56</v>
      </c>
      <c r="I533" s="26" t="s">
        <v>70</v>
      </c>
      <c r="J533" s="26" t="s">
        <v>58</v>
      </c>
      <c r="K533" s="27"/>
      <c r="L533" s="28" t="s">
        <v>56</v>
      </c>
      <c r="M533" s="29" t="str">
        <f t="shared" si="40"/>
        <v>✓ OK</v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4.25" customHeight="1" x14ac:dyDescent="0.3">
      <c r="A534" s="42">
        <v>530</v>
      </c>
      <c r="B534" s="43" t="s">
        <v>2342</v>
      </c>
      <c r="C534" s="44" t="s">
        <v>2343</v>
      </c>
      <c r="D534" s="42" t="s">
        <v>2253</v>
      </c>
      <c r="E534" s="55">
        <v>46125</v>
      </c>
      <c r="F534" s="26" t="s">
        <v>948</v>
      </c>
      <c r="G534" s="26" t="s">
        <v>58</v>
      </c>
      <c r="H534" s="26" t="s">
        <v>56</v>
      </c>
      <c r="I534" s="26" t="s">
        <v>70</v>
      </c>
      <c r="J534" s="26" t="s">
        <v>58</v>
      </c>
      <c r="K534" s="27"/>
      <c r="L534" s="28" t="s">
        <v>56</v>
      </c>
      <c r="M534" s="29" t="str">
        <f t="shared" si="40"/>
        <v>✓ OK</v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4.25" customHeight="1" x14ac:dyDescent="0.3">
      <c r="A535" s="23">
        <v>531</v>
      </c>
      <c r="B535" s="24" t="s">
        <v>2344</v>
      </c>
      <c r="C535" s="25" t="s">
        <v>2345</v>
      </c>
      <c r="D535" s="23" t="s">
        <v>2253</v>
      </c>
      <c r="E535" s="55">
        <v>46125</v>
      </c>
      <c r="F535" s="26" t="s">
        <v>948</v>
      </c>
      <c r="G535" s="26" t="s">
        <v>58</v>
      </c>
      <c r="H535" s="26" t="s">
        <v>56</v>
      </c>
      <c r="I535" s="26" t="s">
        <v>70</v>
      </c>
      <c r="J535" s="26" t="s">
        <v>58</v>
      </c>
      <c r="K535" s="27"/>
      <c r="L535" s="28" t="s">
        <v>56</v>
      </c>
      <c r="M535" s="29" t="str">
        <f t="shared" si="40"/>
        <v>✓ OK</v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4.25" customHeight="1" x14ac:dyDescent="0.3">
      <c r="A536" s="42">
        <v>532</v>
      </c>
      <c r="B536" s="43" t="s">
        <v>2346</v>
      </c>
      <c r="C536" s="44" t="s">
        <v>2347</v>
      </c>
      <c r="D536" s="42" t="s">
        <v>2253</v>
      </c>
      <c r="E536" s="55">
        <v>46125</v>
      </c>
      <c r="F536" s="26" t="s">
        <v>948</v>
      </c>
      <c r="G536" s="26" t="s">
        <v>58</v>
      </c>
      <c r="H536" s="26" t="s">
        <v>56</v>
      </c>
      <c r="I536" s="26" t="s">
        <v>70</v>
      </c>
      <c r="J536" s="26" t="s">
        <v>58</v>
      </c>
      <c r="K536" s="27"/>
      <c r="L536" s="28" t="s">
        <v>56</v>
      </c>
      <c r="M536" s="29" t="str">
        <f t="shared" si="40"/>
        <v>✓ OK</v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4.25" customHeight="1" x14ac:dyDescent="0.3">
      <c r="A537" s="23">
        <v>533</v>
      </c>
      <c r="B537" s="24" t="s">
        <v>2348</v>
      </c>
      <c r="C537" s="25" t="s">
        <v>2349</v>
      </c>
      <c r="D537" s="23" t="s">
        <v>2253</v>
      </c>
      <c r="E537" s="55">
        <v>46125</v>
      </c>
      <c r="F537" s="26" t="s">
        <v>948</v>
      </c>
      <c r="G537" s="26" t="s">
        <v>58</v>
      </c>
      <c r="H537" s="26" t="s">
        <v>56</v>
      </c>
      <c r="I537" s="26" t="s">
        <v>70</v>
      </c>
      <c r="J537" s="26" t="s">
        <v>58</v>
      </c>
      <c r="K537" s="27"/>
      <c r="L537" s="28" t="s">
        <v>56</v>
      </c>
      <c r="M537" s="29" t="str">
        <f t="shared" si="40"/>
        <v>✓ OK</v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4.25" customHeight="1" x14ac:dyDescent="0.3">
      <c r="A538" s="42">
        <v>534</v>
      </c>
      <c r="B538" s="43" t="s">
        <v>2350</v>
      </c>
      <c r="C538" s="44" t="s">
        <v>2351</v>
      </c>
      <c r="D538" s="42" t="s">
        <v>2253</v>
      </c>
      <c r="E538" s="55">
        <v>46125</v>
      </c>
      <c r="F538" s="26" t="s">
        <v>948</v>
      </c>
      <c r="G538" s="26" t="s">
        <v>58</v>
      </c>
      <c r="H538" s="26" t="s">
        <v>56</v>
      </c>
      <c r="I538" s="26" t="s">
        <v>70</v>
      </c>
      <c r="J538" s="26" t="s">
        <v>58</v>
      </c>
      <c r="K538" s="27"/>
      <c r="L538" s="28" t="s">
        <v>56</v>
      </c>
      <c r="M538" s="29" t="str">
        <f t="shared" si="40"/>
        <v>✓ OK</v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4.25" customHeight="1" x14ac:dyDescent="0.3">
      <c r="A539" s="23">
        <v>535</v>
      </c>
      <c r="B539" s="24" t="s">
        <v>2352</v>
      </c>
      <c r="C539" s="25" t="s">
        <v>2353</v>
      </c>
      <c r="D539" s="23" t="s">
        <v>2253</v>
      </c>
      <c r="E539" s="55">
        <v>46125</v>
      </c>
      <c r="F539" s="26" t="s">
        <v>948</v>
      </c>
      <c r="G539" s="26" t="s">
        <v>58</v>
      </c>
      <c r="H539" s="26" t="s">
        <v>56</v>
      </c>
      <c r="I539" s="26" t="s">
        <v>70</v>
      </c>
      <c r="J539" s="26" t="s">
        <v>58</v>
      </c>
      <c r="K539" s="27"/>
      <c r="L539" s="28" t="s">
        <v>56</v>
      </c>
      <c r="M539" s="29" t="str">
        <f t="shared" si="40"/>
        <v>✓ OK</v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4.25" customHeight="1" x14ac:dyDescent="0.3">
      <c r="A540" s="42">
        <v>536</v>
      </c>
      <c r="B540" s="43" t="s">
        <v>2354</v>
      </c>
      <c r="C540" s="44" t="s">
        <v>2355</v>
      </c>
      <c r="D540" s="42" t="s">
        <v>2253</v>
      </c>
      <c r="E540" s="55">
        <v>46125</v>
      </c>
      <c r="F540" s="26" t="s">
        <v>948</v>
      </c>
      <c r="G540" s="26" t="s">
        <v>58</v>
      </c>
      <c r="H540" s="26" t="s">
        <v>56</v>
      </c>
      <c r="I540" s="26" t="s">
        <v>70</v>
      </c>
      <c r="J540" s="26" t="s">
        <v>58</v>
      </c>
      <c r="K540" s="27"/>
      <c r="L540" s="28" t="s">
        <v>56</v>
      </c>
      <c r="M540" s="29" t="str">
        <f t="shared" si="40"/>
        <v>✓ OK</v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4.25" customHeight="1" x14ac:dyDescent="0.3">
      <c r="A541" s="23">
        <v>537</v>
      </c>
      <c r="B541" s="24" t="s">
        <v>2356</v>
      </c>
      <c r="C541" s="25" t="s">
        <v>2357</v>
      </c>
      <c r="D541" s="23" t="s">
        <v>2253</v>
      </c>
      <c r="E541" s="55">
        <v>46125</v>
      </c>
      <c r="F541" s="26" t="s">
        <v>948</v>
      </c>
      <c r="G541" s="26" t="s">
        <v>58</v>
      </c>
      <c r="H541" s="26" t="s">
        <v>56</v>
      </c>
      <c r="I541" s="26" t="s">
        <v>70</v>
      </c>
      <c r="J541" s="26" t="s">
        <v>58</v>
      </c>
      <c r="K541" s="27"/>
      <c r="L541" s="28" t="s">
        <v>56</v>
      </c>
      <c r="M541" s="29" t="str">
        <f t="shared" si="40"/>
        <v>✓ OK</v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4.25" customHeight="1" x14ac:dyDescent="0.3">
      <c r="A542" s="42">
        <v>538</v>
      </c>
      <c r="B542" s="43" t="s">
        <v>2358</v>
      </c>
      <c r="C542" s="44" t="s">
        <v>2359</v>
      </c>
      <c r="D542" s="42" t="s">
        <v>2253</v>
      </c>
      <c r="E542" s="55">
        <v>46125</v>
      </c>
      <c r="F542" s="26" t="s">
        <v>948</v>
      </c>
      <c r="G542" s="26" t="s">
        <v>58</v>
      </c>
      <c r="H542" s="26" t="s">
        <v>56</v>
      </c>
      <c r="I542" s="26" t="s">
        <v>70</v>
      </c>
      <c r="J542" s="26" t="s">
        <v>58</v>
      </c>
      <c r="K542" s="27"/>
      <c r="L542" s="28" t="s">
        <v>56</v>
      </c>
      <c r="M542" s="29" t="str">
        <f t="shared" si="40"/>
        <v>✓ OK</v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4.25" customHeight="1" x14ac:dyDescent="0.3">
      <c r="A543" s="23">
        <v>539</v>
      </c>
      <c r="B543" s="24" t="s">
        <v>2360</v>
      </c>
      <c r="C543" s="25" t="s">
        <v>2361</v>
      </c>
      <c r="D543" s="23" t="s">
        <v>2253</v>
      </c>
      <c r="E543" s="55">
        <v>46125</v>
      </c>
      <c r="F543" s="26" t="s">
        <v>948</v>
      </c>
      <c r="G543" s="26" t="s">
        <v>58</v>
      </c>
      <c r="H543" s="26" t="s">
        <v>56</v>
      </c>
      <c r="I543" s="26" t="s">
        <v>70</v>
      </c>
      <c r="J543" s="26" t="s">
        <v>58</v>
      </c>
      <c r="K543" s="27"/>
      <c r="L543" s="28" t="s">
        <v>56</v>
      </c>
      <c r="M543" s="29" t="str">
        <f t="shared" si="40"/>
        <v>✓ OK</v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4.25" customHeight="1" x14ac:dyDescent="0.3">
      <c r="A544" s="42">
        <v>540</v>
      </c>
      <c r="B544" s="43" t="s">
        <v>2362</v>
      </c>
      <c r="C544" s="44" t="s">
        <v>2363</v>
      </c>
      <c r="D544" s="42" t="s">
        <v>2253</v>
      </c>
      <c r="E544" s="55">
        <v>46125</v>
      </c>
      <c r="F544" s="26" t="s">
        <v>948</v>
      </c>
      <c r="G544" s="26" t="s">
        <v>58</v>
      </c>
      <c r="H544" s="26" t="s">
        <v>56</v>
      </c>
      <c r="I544" s="26" t="s">
        <v>70</v>
      </c>
      <c r="J544" s="26" t="s">
        <v>58</v>
      </c>
      <c r="K544" s="27"/>
      <c r="L544" s="28" t="s">
        <v>56</v>
      </c>
      <c r="M544" s="29" t="str">
        <f t="shared" si="40"/>
        <v>✓ OK</v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4.25" customHeight="1" x14ac:dyDescent="0.3">
      <c r="A545" s="23">
        <v>541</v>
      </c>
      <c r="B545" s="24" t="s">
        <v>2364</v>
      </c>
      <c r="C545" s="25" t="s">
        <v>2365</v>
      </c>
      <c r="D545" s="23" t="s">
        <v>2253</v>
      </c>
      <c r="E545" s="55">
        <v>46125</v>
      </c>
      <c r="F545" s="26" t="s">
        <v>948</v>
      </c>
      <c r="G545" s="26" t="s">
        <v>58</v>
      </c>
      <c r="H545" s="26" t="s">
        <v>56</v>
      </c>
      <c r="I545" s="26" t="s">
        <v>70</v>
      </c>
      <c r="J545" s="26" t="s">
        <v>58</v>
      </c>
      <c r="K545" s="27"/>
      <c r="L545" s="28" t="s">
        <v>56</v>
      </c>
      <c r="M545" s="29" t="str">
        <f t="shared" si="40"/>
        <v>✓ OK</v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4.25" customHeight="1" x14ac:dyDescent="0.3">
      <c r="A546" s="42">
        <v>542</v>
      </c>
      <c r="B546" s="43" t="s">
        <v>2366</v>
      </c>
      <c r="C546" s="44" t="s">
        <v>2367</v>
      </c>
      <c r="D546" s="42" t="s">
        <v>2253</v>
      </c>
      <c r="E546" s="55">
        <v>46125</v>
      </c>
      <c r="F546" s="26" t="s">
        <v>948</v>
      </c>
      <c r="G546" s="26" t="s">
        <v>58</v>
      </c>
      <c r="H546" s="26" t="s">
        <v>56</v>
      </c>
      <c r="I546" s="26" t="s">
        <v>70</v>
      </c>
      <c r="J546" s="26" t="s">
        <v>58</v>
      </c>
      <c r="K546" s="27"/>
      <c r="L546" s="28" t="s">
        <v>56</v>
      </c>
      <c r="M546" s="29" t="str">
        <f t="shared" si="40"/>
        <v>✓ OK</v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4.25" customHeight="1" x14ac:dyDescent="0.3">
      <c r="A547" s="23">
        <v>543</v>
      </c>
      <c r="B547" s="24" t="s">
        <v>2368</v>
      </c>
      <c r="C547" s="25" t="s">
        <v>2369</v>
      </c>
      <c r="D547" s="23" t="s">
        <v>2253</v>
      </c>
      <c r="E547" s="55">
        <v>46125</v>
      </c>
      <c r="F547" s="26" t="s">
        <v>948</v>
      </c>
      <c r="G547" s="26" t="s">
        <v>58</v>
      </c>
      <c r="H547" s="26" t="s">
        <v>56</v>
      </c>
      <c r="I547" s="26" t="s">
        <v>70</v>
      </c>
      <c r="J547" s="26" t="s">
        <v>58</v>
      </c>
      <c r="K547" s="27"/>
      <c r="L547" s="28" t="s">
        <v>56</v>
      </c>
      <c r="M547" s="29" t="str">
        <f t="shared" si="40"/>
        <v>✓ OK</v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4.25" customHeight="1" x14ac:dyDescent="0.3">
      <c r="A548" s="42">
        <v>544</v>
      </c>
      <c r="B548" s="43" t="s">
        <v>2370</v>
      </c>
      <c r="C548" s="44" t="s">
        <v>2371</v>
      </c>
      <c r="D548" s="42" t="s">
        <v>2253</v>
      </c>
      <c r="E548" s="55">
        <v>46125</v>
      </c>
      <c r="F548" s="26" t="s">
        <v>948</v>
      </c>
      <c r="G548" s="26" t="s">
        <v>58</v>
      </c>
      <c r="H548" s="26" t="s">
        <v>56</v>
      </c>
      <c r="I548" s="26" t="s">
        <v>70</v>
      </c>
      <c r="J548" s="26" t="s">
        <v>58</v>
      </c>
      <c r="K548" s="27"/>
      <c r="L548" s="28" t="s">
        <v>56</v>
      </c>
      <c r="M548" s="29" t="str">
        <f t="shared" si="40"/>
        <v>✓ OK</v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4.25" customHeight="1" x14ac:dyDescent="0.3">
      <c r="A549" s="23">
        <v>545</v>
      </c>
      <c r="B549" s="24" t="s">
        <v>2372</v>
      </c>
      <c r="C549" s="25" t="s">
        <v>2373</v>
      </c>
      <c r="D549" s="23" t="s">
        <v>2253</v>
      </c>
      <c r="E549" s="55">
        <v>46125</v>
      </c>
      <c r="F549" s="26" t="s">
        <v>948</v>
      </c>
      <c r="G549" s="26" t="s">
        <v>58</v>
      </c>
      <c r="H549" s="26" t="s">
        <v>56</v>
      </c>
      <c r="I549" s="26" t="s">
        <v>70</v>
      </c>
      <c r="J549" s="26" t="s">
        <v>58</v>
      </c>
      <c r="K549" s="27"/>
      <c r="L549" s="28" t="s">
        <v>56</v>
      </c>
      <c r="M549" s="29" t="str">
        <f t="shared" si="40"/>
        <v>✓ OK</v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4.25" customHeight="1" x14ac:dyDescent="0.3">
      <c r="A550" s="42">
        <v>546</v>
      </c>
      <c r="B550" s="43" t="s">
        <v>2374</v>
      </c>
      <c r="C550" s="44" t="s">
        <v>2375</v>
      </c>
      <c r="D550" s="42" t="s">
        <v>2253</v>
      </c>
      <c r="E550" s="55">
        <v>46125</v>
      </c>
      <c r="F550" s="26" t="s">
        <v>948</v>
      </c>
      <c r="G550" s="26" t="s">
        <v>58</v>
      </c>
      <c r="H550" s="26" t="s">
        <v>56</v>
      </c>
      <c r="I550" s="26" t="s">
        <v>70</v>
      </c>
      <c r="J550" s="26" t="s">
        <v>58</v>
      </c>
      <c r="K550" s="27"/>
      <c r="L550" s="28" t="s">
        <v>56</v>
      </c>
      <c r="M550" s="29" t="str">
        <f t="shared" si="40"/>
        <v>✓ OK</v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4.25" customHeight="1" x14ac:dyDescent="0.3">
      <c r="A551" s="23">
        <v>547</v>
      </c>
      <c r="B551" s="24" t="s">
        <v>2376</v>
      </c>
      <c r="C551" s="25" t="s">
        <v>2377</v>
      </c>
      <c r="D551" s="23" t="s">
        <v>2253</v>
      </c>
      <c r="E551" s="55">
        <v>46125</v>
      </c>
      <c r="F551" s="26" t="s">
        <v>948</v>
      </c>
      <c r="G551" s="26" t="s">
        <v>58</v>
      </c>
      <c r="H551" s="26" t="s">
        <v>56</v>
      </c>
      <c r="I551" s="26" t="s">
        <v>70</v>
      </c>
      <c r="J551" s="26" t="s">
        <v>58</v>
      </c>
      <c r="K551" s="27"/>
      <c r="L551" s="28" t="s">
        <v>56</v>
      </c>
      <c r="M551" s="29" t="str">
        <f t="shared" si="40"/>
        <v>✓ OK</v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4.25" customHeight="1" x14ac:dyDescent="0.3">
      <c r="A552" s="42">
        <v>548</v>
      </c>
      <c r="B552" s="43" t="s">
        <v>2378</v>
      </c>
      <c r="C552" s="44" t="s">
        <v>2379</v>
      </c>
      <c r="D552" s="42" t="s">
        <v>2253</v>
      </c>
      <c r="E552" s="55">
        <v>46125</v>
      </c>
      <c r="F552" s="26" t="s">
        <v>948</v>
      </c>
      <c r="G552" s="26" t="s">
        <v>58</v>
      </c>
      <c r="H552" s="26" t="s">
        <v>56</v>
      </c>
      <c r="I552" s="26" t="s">
        <v>70</v>
      </c>
      <c r="J552" s="26" t="s">
        <v>58</v>
      </c>
      <c r="K552" s="27"/>
      <c r="L552" s="28" t="s">
        <v>56</v>
      </c>
      <c r="M552" s="29" t="str">
        <f t="shared" si="40"/>
        <v>✓ OK</v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4.25" customHeight="1" x14ac:dyDescent="0.3">
      <c r="A553" s="23">
        <v>549</v>
      </c>
      <c r="B553" s="24" t="s">
        <v>2380</v>
      </c>
      <c r="C553" s="25" t="s">
        <v>2381</v>
      </c>
      <c r="D553" s="23" t="s">
        <v>2253</v>
      </c>
      <c r="E553" s="55">
        <v>46125</v>
      </c>
      <c r="F553" s="26" t="s">
        <v>948</v>
      </c>
      <c r="G553" s="26" t="s">
        <v>58</v>
      </c>
      <c r="H553" s="26" t="s">
        <v>56</v>
      </c>
      <c r="I553" s="26" t="s">
        <v>70</v>
      </c>
      <c r="J553" s="26" t="s">
        <v>58</v>
      </c>
      <c r="K553" s="27"/>
      <c r="L553" s="28" t="s">
        <v>56</v>
      </c>
      <c r="M553" s="29" t="str">
        <f t="shared" si="40"/>
        <v>✓ OK</v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4.25" customHeight="1" x14ac:dyDescent="0.3">
      <c r="A554" s="42">
        <v>550</v>
      </c>
      <c r="B554" s="43" t="s">
        <v>2382</v>
      </c>
      <c r="C554" s="44" t="s">
        <v>2383</v>
      </c>
      <c r="D554" s="42" t="s">
        <v>2253</v>
      </c>
      <c r="E554" s="55">
        <v>46125</v>
      </c>
      <c r="F554" s="26" t="s">
        <v>948</v>
      </c>
      <c r="G554" s="26" t="s">
        <v>58</v>
      </c>
      <c r="H554" s="26" t="s">
        <v>56</v>
      </c>
      <c r="I554" s="26" t="s">
        <v>70</v>
      </c>
      <c r="J554" s="26" t="s">
        <v>58</v>
      </c>
      <c r="K554" s="27"/>
      <c r="L554" s="28" t="s">
        <v>56</v>
      </c>
      <c r="M554" s="29" t="str">
        <f t="shared" si="40"/>
        <v>✓ OK</v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4.25" customHeight="1" x14ac:dyDescent="0.3">
      <c r="A555" s="23">
        <v>551</v>
      </c>
      <c r="B555" s="24" t="s">
        <v>2384</v>
      </c>
      <c r="C555" s="25" t="s">
        <v>2385</v>
      </c>
      <c r="D555" s="23" t="s">
        <v>2253</v>
      </c>
      <c r="E555" s="55">
        <v>46125</v>
      </c>
      <c r="F555" s="26" t="s">
        <v>948</v>
      </c>
      <c r="G555" s="26" t="s">
        <v>58</v>
      </c>
      <c r="H555" s="26" t="s">
        <v>56</v>
      </c>
      <c r="I555" s="26" t="s">
        <v>70</v>
      </c>
      <c r="J555" s="26" t="s">
        <v>58</v>
      </c>
      <c r="K555" s="27"/>
      <c r="L555" s="28" t="s">
        <v>56</v>
      </c>
      <c r="M555" s="29" t="str">
        <f t="shared" si="40"/>
        <v>✓ OK</v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4.25" customHeight="1" x14ac:dyDescent="0.3">
      <c r="A556" s="42">
        <v>552</v>
      </c>
      <c r="B556" s="43" t="s">
        <v>2386</v>
      </c>
      <c r="C556" s="44" t="s">
        <v>2387</v>
      </c>
      <c r="D556" s="42" t="s">
        <v>2253</v>
      </c>
      <c r="E556" s="55">
        <v>46125</v>
      </c>
      <c r="F556" s="26" t="s">
        <v>948</v>
      </c>
      <c r="G556" s="26" t="s">
        <v>58</v>
      </c>
      <c r="H556" s="26" t="s">
        <v>56</v>
      </c>
      <c r="I556" s="26" t="s">
        <v>70</v>
      </c>
      <c r="J556" s="26" t="s">
        <v>58</v>
      </c>
      <c r="K556" s="27"/>
      <c r="L556" s="28" t="s">
        <v>56</v>
      </c>
      <c r="M556" s="29" t="str">
        <f t="shared" si="40"/>
        <v>✓ OK</v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4.25" customHeight="1" x14ac:dyDescent="0.3">
      <c r="A557" s="23">
        <v>553</v>
      </c>
      <c r="B557" s="24" t="s">
        <v>2388</v>
      </c>
      <c r="C557" s="25" t="s">
        <v>2389</v>
      </c>
      <c r="D557" s="23" t="s">
        <v>2253</v>
      </c>
      <c r="E557" s="55">
        <v>46125</v>
      </c>
      <c r="F557" s="26" t="s">
        <v>948</v>
      </c>
      <c r="G557" s="26" t="s">
        <v>58</v>
      </c>
      <c r="H557" s="26" t="s">
        <v>56</v>
      </c>
      <c r="I557" s="26" t="s">
        <v>70</v>
      </c>
      <c r="J557" s="26" t="s">
        <v>58</v>
      </c>
      <c r="K557" s="27"/>
      <c r="L557" s="28" t="s">
        <v>56</v>
      </c>
      <c r="M557" s="29" t="str">
        <f t="shared" si="40"/>
        <v>✓ OK</v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4.25" customHeight="1" x14ac:dyDescent="0.3">
      <c r="A558" s="42">
        <v>554</v>
      </c>
      <c r="B558" s="43" t="s">
        <v>2390</v>
      </c>
      <c r="C558" s="44" t="s">
        <v>2391</v>
      </c>
      <c r="D558" s="42" t="s">
        <v>2253</v>
      </c>
      <c r="E558" s="55">
        <v>46125</v>
      </c>
      <c r="F558" s="26" t="s">
        <v>948</v>
      </c>
      <c r="G558" s="26" t="s">
        <v>58</v>
      </c>
      <c r="H558" s="26" t="s">
        <v>56</v>
      </c>
      <c r="I558" s="26" t="s">
        <v>70</v>
      </c>
      <c r="J558" s="26" t="s">
        <v>58</v>
      </c>
      <c r="K558" s="27"/>
      <c r="L558" s="28" t="s">
        <v>56</v>
      </c>
      <c r="M558" s="29" t="str">
        <f t="shared" si="40"/>
        <v>✓ OK</v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4.25" customHeight="1" x14ac:dyDescent="0.3">
      <c r="A559" s="23">
        <v>555</v>
      </c>
      <c r="B559" s="24" t="s">
        <v>2392</v>
      </c>
      <c r="C559" s="25" t="s">
        <v>2393</v>
      </c>
      <c r="D559" s="23" t="s">
        <v>2253</v>
      </c>
      <c r="E559" s="55">
        <v>46125</v>
      </c>
      <c r="F559" s="26" t="s">
        <v>948</v>
      </c>
      <c r="G559" s="26" t="s">
        <v>58</v>
      </c>
      <c r="H559" s="26" t="s">
        <v>56</v>
      </c>
      <c r="I559" s="26" t="s">
        <v>70</v>
      </c>
      <c r="J559" s="26" t="s">
        <v>58</v>
      </c>
      <c r="K559" s="27"/>
      <c r="L559" s="28" t="s">
        <v>56</v>
      </c>
      <c r="M559" s="29" t="str">
        <f t="shared" si="40"/>
        <v>✓ OK</v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4.25" customHeight="1" x14ac:dyDescent="0.3">
      <c r="A560" s="42">
        <v>556</v>
      </c>
      <c r="B560" s="43" t="s">
        <v>2394</v>
      </c>
      <c r="C560" s="44" t="s">
        <v>2395</v>
      </c>
      <c r="D560" s="42" t="s">
        <v>2253</v>
      </c>
      <c r="E560" s="55">
        <v>46125</v>
      </c>
      <c r="F560" s="26" t="s">
        <v>948</v>
      </c>
      <c r="G560" s="26" t="s">
        <v>58</v>
      </c>
      <c r="H560" s="26" t="s">
        <v>56</v>
      </c>
      <c r="I560" s="26" t="s">
        <v>70</v>
      </c>
      <c r="J560" s="26" t="s">
        <v>58</v>
      </c>
      <c r="K560" s="27"/>
      <c r="L560" s="28" t="s">
        <v>56</v>
      </c>
      <c r="M560" s="29" t="str">
        <f t="shared" si="40"/>
        <v>✓ OK</v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4.25" customHeight="1" x14ac:dyDescent="0.3">
      <c r="A561" s="23">
        <v>557</v>
      </c>
      <c r="B561" s="24" t="s">
        <v>2396</v>
      </c>
      <c r="C561" s="25" t="s">
        <v>2397</v>
      </c>
      <c r="D561" s="23" t="s">
        <v>2253</v>
      </c>
      <c r="E561" s="55">
        <v>46125</v>
      </c>
      <c r="F561" s="26" t="s">
        <v>948</v>
      </c>
      <c r="G561" s="26" t="s">
        <v>58</v>
      </c>
      <c r="H561" s="26" t="s">
        <v>56</v>
      </c>
      <c r="I561" s="26" t="s">
        <v>70</v>
      </c>
      <c r="J561" s="26" t="s">
        <v>58</v>
      </c>
      <c r="K561" s="27"/>
      <c r="L561" s="28" t="s">
        <v>56</v>
      </c>
      <c r="M561" s="29" t="str">
        <f t="shared" si="40"/>
        <v>✓ OK</v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4.25" customHeight="1" x14ac:dyDescent="0.3">
      <c r="A562" s="42">
        <v>558</v>
      </c>
      <c r="B562" s="43" t="s">
        <v>2398</v>
      </c>
      <c r="C562" s="44" t="s">
        <v>2399</v>
      </c>
      <c r="D562" s="42" t="s">
        <v>2253</v>
      </c>
      <c r="E562" s="55">
        <v>46125</v>
      </c>
      <c r="F562" s="26" t="s">
        <v>948</v>
      </c>
      <c r="G562" s="26" t="s">
        <v>58</v>
      </c>
      <c r="H562" s="26" t="s">
        <v>56</v>
      </c>
      <c r="I562" s="26" t="s">
        <v>70</v>
      </c>
      <c r="J562" s="26" t="s">
        <v>58</v>
      </c>
      <c r="K562" s="27"/>
      <c r="L562" s="28" t="s">
        <v>56</v>
      </c>
      <c r="M562" s="29" t="str">
        <f t="shared" si="40"/>
        <v>✓ OK</v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4.25" customHeight="1" x14ac:dyDescent="0.3">
      <c r="A563" s="23">
        <v>559</v>
      </c>
      <c r="B563" s="24" t="s">
        <v>2400</v>
      </c>
      <c r="C563" s="25" t="s">
        <v>2401</v>
      </c>
      <c r="D563" s="23" t="s">
        <v>2253</v>
      </c>
      <c r="E563" s="55">
        <v>46125</v>
      </c>
      <c r="F563" s="26" t="s">
        <v>948</v>
      </c>
      <c r="G563" s="26" t="s">
        <v>58</v>
      </c>
      <c r="H563" s="26" t="s">
        <v>56</v>
      </c>
      <c r="I563" s="26" t="s">
        <v>70</v>
      </c>
      <c r="J563" s="26" t="s">
        <v>58</v>
      </c>
      <c r="K563" s="27"/>
      <c r="L563" s="28" t="s">
        <v>56</v>
      </c>
      <c r="M563" s="29" t="str">
        <f t="shared" si="40"/>
        <v>✓ OK</v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4.25" customHeight="1" x14ac:dyDescent="0.3">
      <c r="A564" s="42">
        <v>560</v>
      </c>
      <c r="B564" s="43" t="s">
        <v>2402</v>
      </c>
      <c r="C564" s="44" t="s">
        <v>2403</v>
      </c>
      <c r="D564" s="42" t="s">
        <v>2253</v>
      </c>
      <c r="E564" s="55">
        <v>46125</v>
      </c>
      <c r="F564" s="26" t="s">
        <v>948</v>
      </c>
      <c r="G564" s="26" t="s">
        <v>58</v>
      </c>
      <c r="H564" s="26" t="s">
        <v>56</v>
      </c>
      <c r="I564" s="26" t="s">
        <v>70</v>
      </c>
      <c r="J564" s="26" t="s">
        <v>58</v>
      </c>
      <c r="K564" s="27"/>
      <c r="L564" s="28" t="s">
        <v>56</v>
      </c>
      <c r="M564" s="29" t="str">
        <f t="shared" si="40"/>
        <v>✓ OK</v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4.25" customHeight="1" x14ac:dyDescent="0.3">
      <c r="A565" s="23">
        <v>561</v>
      </c>
      <c r="B565" s="24" t="s">
        <v>2404</v>
      </c>
      <c r="C565" s="25" t="s">
        <v>2405</v>
      </c>
      <c r="D565" s="23" t="s">
        <v>2253</v>
      </c>
      <c r="E565" s="55">
        <v>46125</v>
      </c>
      <c r="F565" s="26" t="s">
        <v>948</v>
      </c>
      <c r="G565" s="26" t="s">
        <v>58</v>
      </c>
      <c r="H565" s="26" t="s">
        <v>56</v>
      </c>
      <c r="I565" s="26" t="s">
        <v>70</v>
      </c>
      <c r="J565" s="26" t="s">
        <v>58</v>
      </c>
      <c r="K565" s="27"/>
      <c r="L565" s="28" t="s">
        <v>56</v>
      </c>
      <c r="M565" s="29" t="str">
        <f t="shared" si="40"/>
        <v>✓ OK</v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4.25" customHeight="1" x14ac:dyDescent="0.3">
      <c r="A566" s="42">
        <v>562</v>
      </c>
      <c r="B566" s="43" t="s">
        <v>2406</v>
      </c>
      <c r="C566" s="44" t="s">
        <v>2407</v>
      </c>
      <c r="D566" s="42" t="s">
        <v>2253</v>
      </c>
      <c r="E566" s="55">
        <v>46125</v>
      </c>
      <c r="F566" s="26" t="s">
        <v>948</v>
      </c>
      <c r="G566" s="26" t="s">
        <v>58</v>
      </c>
      <c r="H566" s="26" t="s">
        <v>56</v>
      </c>
      <c r="I566" s="26" t="s">
        <v>70</v>
      </c>
      <c r="J566" s="26" t="s">
        <v>58</v>
      </c>
      <c r="K566" s="27"/>
      <c r="L566" s="28" t="s">
        <v>56</v>
      </c>
      <c r="M566" s="29" t="str">
        <f t="shared" si="40"/>
        <v>✓ OK</v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4.25" customHeight="1" x14ac:dyDescent="0.3">
      <c r="A567" s="23">
        <v>563</v>
      </c>
      <c r="B567" s="24" t="s">
        <v>2408</v>
      </c>
      <c r="C567" s="25" t="s">
        <v>2409</v>
      </c>
      <c r="D567" s="23" t="s">
        <v>2253</v>
      </c>
      <c r="E567" s="55">
        <v>46125</v>
      </c>
      <c r="F567" s="26" t="s">
        <v>948</v>
      </c>
      <c r="G567" s="26" t="s">
        <v>58</v>
      </c>
      <c r="H567" s="26" t="s">
        <v>56</v>
      </c>
      <c r="I567" s="26" t="s">
        <v>70</v>
      </c>
      <c r="J567" s="26" t="s">
        <v>58</v>
      </c>
      <c r="K567" s="27"/>
      <c r="L567" s="28" t="s">
        <v>56</v>
      </c>
      <c r="M567" s="29" t="str">
        <f t="shared" si="40"/>
        <v>✓ OK</v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4.25" customHeight="1" x14ac:dyDescent="0.3">
      <c r="A568" s="42">
        <v>564</v>
      </c>
      <c r="B568" s="43" t="s">
        <v>2410</v>
      </c>
      <c r="C568" s="44" t="s">
        <v>2411</v>
      </c>
      <c r="D568" s="42" t="s">
        <v>2253</v>
      </c>
      <c r="E568" s="55">
        <v>46125</v>
      </c>
      <c r="F568" s="26" t="s">
        <v>948</v>
      </c>
      <c r="G568" s="26" t="s">
        <v>58</v>
      </c>
      <c r="H568" s="26" t="s">
        <v>56</v>
      </c>
      <c r="I568" s="26" t="s">
        <v>70</v>
      </c>
      <c r="J568" s="26" t="s">
        <v>58</v>
      </c>
      <c r="K568" s="27"/>
      <c r="L568" s="28" t="s">
        <v>56</v>
      </c>
      <c r="M568" s="29" t="str">
        <f t="shared" si="40"/>
        <v>✓ OK</v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4.25" customHeight="1" x14ac:dyDescent="0.3">
      <c r="A569" s="23">
        <v>565</v>
      </c>
      <c r="B569" s="24" t="s">
        <v>2412</v>
      </c>
      <c r="C569" s="25" t="s">
        <v>2413</v>
      </c>
      <c r="D569" s="23" t="s">
        <v>2253</v>
      </c>
      <c r="E569" s="55">
        <v>46125</v>
      </c>
      <c r="F569" s="26" t="s">
        <v>948</v>
      </c>
      <c r="G569" s="26" t="s">
        <v>58</v>
      </c>
      <c r="H569" s="26" t="s">
        <v>56</v>
      </c>
      <c r="I569" s="26" t="s">
        <v>70</v>
      </c>
      <c r="J569" s="26" t="s">
        <v>58</v>
      </c>
      <c r="K569" s="27"/>
      <c r="L569" s="28" t="s">
        <v>56</v>
      </c>
      <c r="M569" s="29" t="str">
        <f t="shared" si="40"/>
        <v>✓ OK</v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4.25" customHeight="1" x14ac:dyDescent="0.3">
      <c r="A570" s="42">
        <v>566</v>
      </c>
      <c r="B570" s="43" t="s">
        <v>2414</v>
      </c>
      <c r="C570" s="44" t="s">
        <v>2415</v>
      </c>
      <c r="D570" s="42" t="s">
        <v>2253</v>
      </c>
      <c r="E570" s="55">
        <v>46125</v>
      </c>
      <c r="F570" s="26" t="s">
        <v>948</v>
      </c>
      <c r="G570" s="26" t="s">
        <v>58</v>
      </c>
      <c r="H570" s="26" t="s">
        <v>56</v>
      </c>
      <c r="I570" s="26" t="s">
        <v>70</v>
      </c>
      <c r="J570" s="26" t="s">
        <v>58</v>
      </c>
      <c r="K570" s="27"/>
      <c r="L570" s="28" t="s">
        <v>56</v>
      </c>
      <c r="M570" s="29" t="str">
        <f t="shared" si="40"/>
        <v>✓ OK</v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4.25" customHeight="1" x14ac:dyDescent="0.3">
      <c r="A571" s="23">
        <v>567</v>
      </c>
      <c r="B571" s="24" t="s">
        <v>2416</v>
      </c>
      <c r="C571" s="25" t="s">
        <v>2417</v>
      </c>
      <c r="D571" s="23" t="s">
        <v>2253</v>
      </c>
      <c r="E571" s="55">
        <v>46125</v>
      </c>
      <c r="F571" s="26" t="s">
        <v>948</v>
      </c>
      <c r="G571" s="26" t="s">
        <v>58</v>
      </c>
      <c r="H571" s="26" t="s">
        <v>56</v>
      </c>
      <c r="I571" s="26" t="s">
        <v>70</v>
      </c>
      <c r="J571" s="26" t="s">
        <v>58</v>
      </c>
      <c r="K571" s="27"/>
      <c r="L571" s="28" t="s">
        <v>56</v>
      </c>
      <c r="M571" s="29" t="str">
        <f t="shared" si="40"/>
        <v>✓ OK</v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4.25" customHeight="1" x14ac:dyDescent="0.3">
      <c r="A572" s="42">
        <v>568</v>
      </c>
      <c r="B572" s="43" t="s">
        <v>2418</v>
      </c>
      <c r="C572" s="44" t="s">
        <v>2419</v>
      </c>
      <c r="D572" s="42" t="s">
        <v>2253</v>
      </c>
      <c r="E572" s="55">
        <v>46125</v>
      </c>
      <c r="F572" s="26" t="s">
        <v>948</v>
      </c>
      <c r="G572" s="26" t="s">
        <v>58</v>
      </c>
      <c r="H572" s="26" t="s">
        <v>56</v>
      </c>
      <c r="I572" s="26" t="s">
        <v>70</v>
      </c>
      <c r="J572" s="26" t="s">
        <v>58</v>
      </c>
      <c r="K572" s="27"/>
      <c r="L572" s="28" t="s">
        <v>56</v>
      </c>
      <c r="M572" s="29" t="str">
        <f t="shared" si="40"/>
        <v>✓ OK</v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4.25" customHeight="1" x14ac:dyDescent="0.3">
      <c r="A573" s="23">
        <v>569</v>
      </c>
      <c r="B573" s="24" t="s">
        <v>2420</v>
      </c>
      <c r="C573" s="25" t="s">
        <v>2421</v>
      </c>
      <c r="D573" s="23" t="s">
        <v>2253</v>
      </c>
      <c r="E573" s="55">
        <v>46125</v>
      </c>
      <c r="F573" s="26" t="s">
        <v>948</v>
      </c>
      <c r="G573" s="26" t="s">
        <v>58</v>
      </c>
      <c r="H573" s="26" t="s">
        <v>56</v>
      </c>
      <c r="I573" s="26" t="s">
        <v>70</v>
      </c>
      <c r="J573" s="26" t="s">
        <v>58</v>
      </c>
      <c r="K573" s="27"/>
      <c r="L573" s="28" t="s">
        <v>56</v>
      </c>
      <c r="M573" s="29" t="str">
        <f t="shared" si="40"/>
        <v>✓ OK</v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4.25" customHeight="1" x14ac:dyDescent="0.3">
      <c r="A574" s="42">
        <v>570</v>
      </c>
      <c r="B574" s="43" t="s">
        <v>2422</v>
      </c>
      <c r="C574" s="44" t="s">
        <v>2423</v>
      </c>
      <c r="D574" s="42" t="s">
        <v>2253</v>
      </c>
      <c r="E574" s="55">
        <v>46125</v>
      </c>
      <c r="F574" s="26" t="s">
        <v>948</v>
      </c>
      <c r="G574" s="26" t="s">
        <v>58</v>
      </c>
      <c r="H574" s="26" t="s">
        <v>56</v>
      </c>
      <c r="I574" s="26" t="s">
        <v>70</v>
      </c>
      <c r="J574" s="26" t="s">
        <v>58</v>
      </c>
      <c r="K574" s="27"/>
      <c r="L574" s="28" t="s">
        <v>56</v>
      </c>
      <c r="M574" s="29" t="str">
        <f t="shared" si="40"/>
        <v>✓ OK</v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4.25" customHeight="1" x14ac:dyDescent="0.3">
      <c r="A575" s="23">
        <v>571</v>
      </c>
      <c r="B575" s="24" t="s">
        <v>2424</v>
      </c>
      <c r="C575" s="25" t="s">
        <v>2425</v>
      </c>
      <c r="D575" s="23" t="s">
        <v>2253</v>
      </c>
      <c r="E575" s="55">
        <v>46125</v>
      </c>
      <c r="F575" s="26" t="s">
        <v>948</v>
      </c>
      <c r="G575" s="26" t="s">
        <v>58</v>
      </c>
      <c r="H575" s="26" t="s">
        <v>56</v>
      </c>
      <c r="I575" s="26" t="s">
        <v>70</v>
      </c>
      <c r="J575" s="26" t="s">
        <v>58</v>
      </c>
      <c r="K575" s="27"/>
      <c r="L575" s="28" t="s">
        <v>56</v>
      </c>
      <c r="M575" s="29" t="str">
        <f t="shared" si="40"/>
        <v>✓ OK</v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4.25" customHeight="1" x14ac:dyDescent="0.3">
      <c r="A576" s="42">
        <v>572</v>
      </c>
      <c r="B576" s="43" t="s">
        <v>2426</v>
      </c>
      <c r="C576" s="44" t="s">
        <v>2427</v>
      </c>
      <c r="D576" s="42" t="s">
        <v>2253</v>
      </c>
      <c r="E576" s="55">
        <v>46125</v>
      </c>
      <c r="F576" s="26" t="s">
        <v>948</v>
      </c>
      <c r="G576" s="26" t="s">
        <v>58</v>
      </c>
      <c r="H576" s="26" t="s">
        <v>56</v>
      </c>
      <c r="I576" s="26" t="s">
        <v>70</v>
      </c>
      <c r="J576" s="26" t="s">
        <v>58</v>
      </c>
      <c r="K576" s="27"/>
      <c r="L576" s="28" t="s">
        <v>56</v>
      </c>
      <c r="M576" s="29" t="str">
        <f t="shared" si="40"/>
        <v>✓ OK</v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4.25" customHeight="1" x14ac:dyDescent="0.3">
      <c r="A577" s="23">
        <v>573</v>
      </c>
      <c r="B577" s="24" t="s">
        <v>2428</v>
      </c>
      <c r="C577" s="25" t="s">
        <v>2429</v>
      </c>
      <c r="D577" s="23" t="s">
        <v>2253</v>
      </c>
      <c r="E577" s="55">
        <v>46125</v>
      </c>
      <c r="F577" s="26" t="s">
        <v>948</v>
      </c>
      <c r="G577" s="26" t="s">
        <v>58</v>
      </c>
      <c r="H577" s="26" t="s">
        <v>56</v>
      </c>
      <c r="I577" s="26" t="s">
        <v>70</v>
      </c>
      <c r="J577" s="26" t="s">
        <v>58</v>
      </c>
      <c r="K577" s="27"/>
      <c r="L577" s="28" t="s">
        <v>56</v>
      </c>
      <c r="M577" s="29" t="str">
        <f t="shared" si="40"/>
        <v>✓ OK</v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4.25" customHeight="1" x14ac:dyDescent="0.3">
      <c r="A578" s="42">
        <v>574</v>
      </c>
      <c r="B578" s="43" t="s">
        <v>2430</v>
      </c>
      <c r="C578" s="44" t="s">
        <v>2431</v>
      </c>
      <c r="D578" s="42" t="s">
        <v>2253</v>
      </c>
      <c r="E578" s="55">
        <v>46125</v>
      </c>
      <c r="F578" s="26" t="s">
        <v>948</v>
      </c>
      <c r="G578" s="26" t="s">
        <v>58</v>
      </c>
      <c r="H578" s="26" t="s">
        <v>56</v>
      </c>
      <c r="I578" s="26" t="s">
        <v>70</v>
      </c>
      <c r="J578" s="26" t="s">
        <v>58</v>
      </c>
      <c r="K578" s="27"/>
      <c r="L578" s="28" t="s">
        <v>56</v>
      </c>
      <c r="M578" s="29" t="str">
        <f t="shared" si="40"/>
        <v>✓ OK</v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4.25" customHeight="1" x14ac:dyDescent="0.3">
      <c r="A579" s="23">
        <v>575</v>
      </c>
      <c r="B579" s="24" t="s">
        <v>2432</v>
      </c>
      <c r="C579" s="25" t="s">
        <v>2433</v>
      </c>
      <c r="D579" s="23" t="s">
        <v>2253</v>
      </c>
      <c r="E579" s="55">
        <v>46125</v>
      </c>
      <c r="F579" s="26" t="s">
        <v>948</v>
      </c>
      <c r="G579" s="26" t="s">
        <v>58</v>
      </c>
      <c r="H579" s="26" t="s">
        <v>56</v>
      </c>
      <c r="I579" s="26" t="s">
        <v>70</v>
      </c>
      <c r="J579" s="26" t="s">
        <v>58</v>
      </c>
      <c r="K579" s="27"/>
      <c r="L579" s="28" t="s">
        <v>56</v>
      </c>
      <c r="M579" s="29" t="str">
        <f t="shared" si="40"/>
        <v>✓ OK</v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4.25" customHeight="1" x14ac:dyDescent="0.3">
      <c r="A580" s="42">
        <v>576</v>
      </c>
      <c r="B580" s="43" t="s">
        <v>2434</v>
      </c>
      <c r="C580" s="44" t="s">
        <v>2435</v>
      </c>
      <c r="D580" s="42" t="s">
        <v>2253</v>
      </c>
      <c r="E580" s="55">
        <v>46125</v>
      </c>
      <c r="F580" s="26" t="s">
        <v>948</v>
      </c>
      <c r="G580" s="26" t="s">
        <v>58</v>
      </c>
      <c r="H580" s="26" t="s">
        <v>56</v>
      </c>
      <c r="I580" s="26" t="s">
        <v>70</v>
      </c>
      <c r="J580" s="26" t="s">
        <v>58</v>
      </c>
      <c r="K580" s="27"/>
      <c r="L580" s="28" t="s">
        <v>56</v>
      </c>
      <c r="M580" s="29" t="str">
        <f t="shared" si="40"/>
        <v>✓ OK</v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4.25" customHeight="1" x14ac:dyDescent="0.3">
      <c r="A581" s="23">
        <v>577</v>
      </c>
      <c r="B581" s="24" t="s">
        <v>2436</v>
      </c>
      <c r="C581" s="25" t="s">
        <v>2437</v>
      </c>
      <c r="D581" s="23" t="s">
        <v>2253</v>
      </c>
      <c r="E581" s="55">
        <v>46125</v>
      </c>
      <c r="F581" s="26" t="s">
        <v>948</v>
      </c>
      <c r="G581" s="26" t="s">
        <v>58</v>
      </c>
      <c r="H581" s="26" t="s">
        <v>56</v>
      </c>
      <c r="I581" s="26" t="s">
        <v>70</v>
      </c>
      <c r="J581" s="26" t="s">
        <v>58</v>
      </c>
      <c r="K581" s="27"/>
      <c r="L581" s="28" t="s">
        <v>56</v>
      </c>
      <c r="M581" s="29" t="str">
        <f t="shared" ref="M581:M644" si="45">IF(E581="","",IF(H581="Yes","❌ Disc",IF(G581="No","⚠ Missing",IF(J581="Yes","✓ OK","⚠ Check"))))</f>
        <v>✓ OK</v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4.25" customHeight="1" x14ac:dyDescent="0.3">
      <c r="A582" s="42">
        <v>578</v>
      </c>
      <c r="B582" s="43" t="s">
        <v>2438</v>
      </c>
      <c r="C582" s="44" t="s">
        <v>2439</v>
      </c>
      <c r="D582" s="42" t="s">
        <v>2253</v>
      </c>
      <c r="E582" s="55">
        <v>46125</v>
      </c>
      <c r="F582" s="26" t="s">
        <v>948</v>
      </c>
      <c r="G582" s="26" t="s">
        <v>58</v>
      </c>
      <c r="H582" s="26" t="s">
        <v>56</v>
      </c>
      <c r="I582" s="26" t="s">
        <v>70</v>
      </c>
      <c r="J582" s="26" t="s">
        <v>58</v>
      </c>
      <c r="K582" s="27"/>
      <c r="L582" s="28" t="s">
        <v>56</v>
      </c>
      <c r="M582" s="29" t="str">
        <f t="shared" si="45"/>
        <v>✓ OK</v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4.25" customHeight="1" x14ac:dyDescent="0.3">
      <c r="A583" s="23">
        <v>579</v>
      </c>
      <c r="B583" s="24" t="s">
        <v>2440</v>
      </c>
      <c r="C583" s="25" t="s">
        <v>2441</v>
      </c>
      <c r="D583" s="23" t="s">
        <v>2253</v>
      </c>
      <c r="E583" s="55">
        <v>46125</v>
      </c>
      <c r="F583" s="26" t="s">
        <v>948</v>
      </c>
      <c r="G583" s="26" t="s">
        <v>58</v>
      </c>
      <c r="H583" s="26" t="s">
        <v>56</v>
      </c>
      <c r="I583" s="26" t="s">
        <v>70</v>
      </c>
      <c r="J583" s="26" t="s">
        <v>58</v>
      </c>
      <c r="K583" s="27"/>
      <c r="L583" s="28" t="s">
        <v>56</v>
      </c>
      <c r="M583" s="29" t="str">
        <f t="shared" si="45"/>
        <v>✓ OK</v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4.25" customHeight="1" x14ac:dyDescent="0.3">
      <c r="A584" s="42">
        <v>580</v>
      </c>
      <c r="B584" s="43" t="s">
        <v>2442</v>
      </c>
      <c r="C584" s="44" t="s">
        <v>2443</v>
      </c>
      <c r="D584" s="42" t="s">
        <v>2253</v>
      </c>
      <c r="E584" s="55">
        <v>46125</v>
      </c>
      <c r="F584" s="26" t="s">
        <v>948</v>
      </c>
      <c r="G584" s="26" t="s">
        <v>58</v>
      </c>
      <c r="H584" s="26" t="s">
        <v>56</v>
      </c>
      <c r="I584" s="26" t="s">
        <v>70</v>
      </c>
      <c r="J584" s="26" t="s">
        <v>58</v>
      </c>
      <c r="K584" s="27"/>
      <c r="L584" s="28" t="s">
        <v>56</v>
      </c>
      <c r="M584" s="29" t="str">
        <f t="shared" si="45"/>
        <v>✓ OK</v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4.25" customHeight="1" x14ac:dyDescent="0.3">
      <c r="A585" s="23">
        <v>581</v>
      </c>
      <c r="B585" s="24" t="s">
        <v>2444</v>
      </c>
      <c r="C585" s="25" t="s">
        <v>2445</v>
      </c>
      <c r="D585" s="23" t="s">
        <v>2253</v>
      </c>
      <c r="E585" s="55">
        <v>46125</v>
      </c>
      <c r="F585" s="26" t="s">
        <v>948</v>
      </c>
      <c r="G585" s="26" t="s">
        <v>58</v>
      </c>
      <c r="H585" s="26" t="s">
        <v>56</v>
      </c>
      <c r="I585" s="26" t="s">
        <v>70</v>
      </c>
      <c r="J585" s="26" t="s">
        <v>58</v>
      </c>
      <c r="K585" s="27"/>
      <c r="L585" s="28" t="s">
        <v>56</v>
      </c>
      <c r="M585" s="29" t="str">
        <f t="shared" si="45"/>
        <v>✓ OK</v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4.25" customHeight="1" x14ac:dyDescent="0.3">
      <c r="A586" s="42">
        <v>582</v>
      </c>
      <c r="B586" s="43" t="s">
        <v>2446</v>
      </c>
      <c r="C586" s="44" t="s">
        <v>2447</v>
      </c>
      <c r="D586" s="42" t="s">
        <v>2253</v>
      </c>
      <c r="E586" s="55">
        <v>46125</v>
      </c>
      <c r="F586" s="26" t="s">
        <v>948</v>
      </c>
      <c r="G586" s="26" t="s">
        <v>58</v>
      </c>
      <c r="H586" s="26" t="s">
        <v>56</v>
      </c>
      <c r="I586" s="26" t="s">
        <v>70</v>
      </c>
      <c r="J586" s="26" t="s">
        <v>58</v>
      </c>
      <c r="K586" s="27"/>
      <c r="L586" s="28" t="s">
        <v>56</v>
      </c>
      <c r="M586" s="29" t="str">
        <f t="shared" si="45"/>
        <v>✓ OK</v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4.25" customHeight="1" x14ac:dyDescent="0.3">
      <c r="A587" s="23">
        <v>583</v>
      </c>
      <c r="B587" s="24" t="s">
        <v>2448</v>
      </c>
      <c r="C587" s="25" t="s">
        <v>2449</v>
      </c>
      <c r="D587" s="23" t="s">
        <v>2253</v>
      </c>
      <c r="E587" s="55">
        <v>46125</v>
      </c>
      <c r="F587" s="26" t="s">
        <v>948</v>
      </c>
      <c r="G587" s="26" t="s">
        <v>58</v>
      </c>
      <c r="H587" s="26" t="s">
        <v>56</v>
      </c>
      <c r="I587" s="26" t="s">
        <v>70</v>
      </c>
      <c r="J587" s="26" t="s">
        <v>58</v>
      </c>
      <c r="K587" s="27"/>
      <c r="L587" s="28" t="s">
        <v>56</v>
      </c>
      <c r="M587" s="29" t="str">
        <f t="shared" si="45"/>
        <v>✓ OK</v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4.25" customHeight="1" x14ac:dyDescent="0.3">
      <c r="A588" s="42">
        <v>584</v>
      </c>
      <c r="B588" s="43" t="s">
        <v>2450</v>
      </c>
      <c r="C588" s="44" t="s">
        <v>2451</v>
      </c>
      <c r="D588" s="42" t="s">
        <v>2253</v>
      </c>
      <c r="E588" s="55">
        <v>46125</v>
      </c>
      <c r="F588" s="26" t="s">
        <v>948</v>
      </c>
      <c r="G588" s="26" t="s">
        <v>58</v>
      </c>
      <c r="H588" s="26" t="s">
        <v>56</v>
      </c>
      <c r="I588" s="26" t="s">
        <v>70</v>
      </c>
      <c r="J588" s="26" t="s">
        <v>58</v>
      </c>
      <c r="K588" s="27"/>
      <c r="L588" s="28" t="s">
        <v>56</v>
      </c>
      <c r="M588" s="29" t="str">
        <f t="shared" si="45"/>
        <v>✓ OK</v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4.25" customHeight="1" x14ac:dyDescent="0.3">
      <c r="A589" s="23">
        <v>585</v>
      </c>
      <c r="B589" s="24" t="s">
        <v>2452</v>
      </c>
      <c r="C589" s="25" t="s">
        <v>2453</v>
      </c>
      <c r="D589" s="23" t="s">
        <v>2253</v>
      </c>
      <c r="E589" s="55">
        <v>46125</v>
      </c>
      <c r="F589" s="26" t="s">
        <v>948</v>
      </c>
      <c r="G589" s="26" t="s">
        <v>58</v>
      </c>
      <c r="H589" s="26" t="s">
        <v>56</v>
      </c>
      <c r="I589" s="26" t="s">
        <v>70</v>
      </c>
      <c r="J589" s="26" t="s">
        <v>58</v>
      </c>
      <c r="K589" s="27"/>
      <c r="L589" s="28" t="s">
        <v>56</v>
      </c>
      <c r="M589" s="29" t="str">
        <f t="shared" si="45"/>
        <v>✓ OK</v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4.25" customHeight="1" x14ac:dyDescent="0.3">
      <c r="A590" s="42">
        <v>586</v>
      </c>
      <c r="B590" s="43" t="s">
        <v>2454</v>
      </c>
      <c r="C590" s="44" t="s">
        <v>2455</v>
      </c>
      <c r="D590" s="42" t="s">
        <v>2253</v>
      </c>
      <c r="E590" s="55">
        <v>46125</v>
      </c>
      <c r="F590" s="26" t="s">
        <v>948</v>
      </c>
      <c r="G590" s="26" t="s">
        <v>58</v>
      </c>
      <c r="H590" s="26" t="s">
        <v>56</v>
      </c>
      <c r="I590" s="26" t="s">
        <v>70</v>
      </c>
      <c r="J590" s="26" t="s">
        <v>58</v>
      </c>
      <c r="K590" s="27"/>
      <c r="L590" s="28" t="s">
        <v>56</v>
      </c>
      <c r="M590" s="29" t="str">
        <f t="shared" si="45"/>
        <v>✓ OK</v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4.25" customHeight="1" x14ac:dyDescent="0.3">
      <c r="A591" s="23">
        <v>587</v>
      </c>
      <c r="B591" s="24" t="s">
        <v>2456</v>
      </c>
      <c r="C591" s="25" t="s">
        <v>2457</v>
      </c>
      <c r="D591" s="23" t="s">
        <v>2253</v>
      </c>
      <c r="E591" s="55">
        <v>46125</v>
      </c>
      <c r="F591" s="26" t="s">
        <v>948</v>
      </c>
      <c r="G591" s="26" t="s">
        <v>58</v>
      </c>
      <c r="H591" s="26" t="s">
        <v>56</v>
      </c>
      <c r="I591" s="26" t="s">
        <v>70</v>
      </c>
      <c r="J591" s="26" t="s">
        <v>58</v>
      </c>
      <c r="K591" s="27"/>
      <c r="L591" s="28" t="s">
        <v>56</v>
      </c>
      <c r="M591" s="29" t="str">
        <f t="shared" si="45"/>
        <v>✓ OK</v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4.25" customHeight="1" x14ac:dyDescent="0.3">
      <c r="A592" s="42">
        <v>588</v>
      </c>
      <c r="B592" s="43" t="s">
        <v>2458</v>
      </c>
      <c r="C592" s="44" t="s">
        <v>2459</v>
      </c>
      <c r="D592" s="42" t="s">
        <v>2253</v>
      </c>
      <c r="E592" s="55">
        <v>46125</v>
      </c>
      <c r="F592" s="26" t="s">
        <v>948</v>
      </c>
      <c r="G592" s="26" t="s">
        <v>58</v>
      </c>
      <c r="H592" s="26" t="s">
        <v>56</v>
      </c>
      <c r="I592" s="26" t="s">
        <v>70</v>
      </c>
      <c r="J592" s="26" t="s">
        <v>58</v>
      </c>
      <c r="K592" s="27"/>
      <c r="L592" s="28" t="s">
        <v>56</v>
      </c>
      <c r="M592" s="29" t="str">
        <f t="shared" si="45"/>
        <v>✓ OK</v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4.25" customHeight="1" x14ac:dyDescent="0.3">
      <c r="A593" s="23">
        <v>589</v>
      </c>
      <c r="B593" s="24" t="s">
        <v>2460</v>
      </c>
      <c r="C593" s="25" t="s">
        <v>2461</v>
      </c>
      <c r="D593" s="23" t="s">
        <v>2253</v>
      </c>
      <c r="E593" s="55">
        <v>46125</v>
      </c>
      <c r="F593" s="26" t="s">
        <v>948</v>
      </c>
      <c r="G593" s="26" t="s">
        <v>58</v>
      </c>
      <c r="H593" s="26" t="s">
        <v>56</v>
      </c>
      <c r="I593" s="26" t="s">
        <v>70</v>
      </c>
      <c r="J593" s="26" t="s">
        <v>58</v>
      </c>
      <c r="K593" s="27"/>
      <c r="L593" s="28" t="s">
        <v>56</v>
      </c>
      <c r="M593" s="29" t="str">
        <f t="shared" si="45"/>
        <v>✓ OK</v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4.25" customHeight="1" x14ac:dyDescent="0.3">
      <c r="A594" s="42">
        <v>590</v>
      </c>
      <c r="B594" s="43" t="s">
        <v>2462</v>
      </c>
      <c r="C594" s="44" t="s">
        <v>2463</v>
      </c>
      <c r="D594" s="42" t="s">
        <v>2253</v>
      </c>
      <c r="E594" s="55">
        <v>46125</v>
      </c>
      <c r="F594" s="26" t="s">
        <v>948</v>
      </c>
      <c r="G594" s="26" t="s">
        <v>58</v>
      </c>
      <c r="H594" s="26" t="s">
        <v>56</v>
      </c>
      <c r="I594" s="26" t="s">
        <v>70</v>
      </c>
      <c r="J594" s="26" t="s">
        <v>58</v>
      </c>
      <c r="K594" s="27"/>
      <c r="L594" s="28" t="s">
        <v>56</v>
      </c>
      <c r="M594" s="29" t="str">
        <f t="shared" si="45"/>
        <v>✓ OK</v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4.25" customHeight="1" x14ac:dyDescent="0.3">
      <c r="A595" s="23">
        <v>591</v>
      </c>
      <c r="B595" s="24" t="s">
        <v>2464</v>
      </c>
      <c r="C595" s="25" t="s">
        <v>2465</v>
      </c>
      <c r="D595" s="23" t="s">
        <v>2253</v>
      </c>
      <c r="E595" s="55">
        <v>46125</v>
      </c>
      <c r="F595" s="26" t="s">
        <v>948</v>
      </c>
      <c r="G595" s="26" t="s">
        <v>58</v>
      </c>
      <c r="H595" s="26" t="s">
        <v>56</v>
      </c>
      <c r="I595" s="26" t="s">
        <v>70</v>
      </c>
      <c r="J595" s="26" t="s">
        <v>58</v>
      </c>
      <c r="K595" s="27"/>
      <c r="L595" s="28" t="s">
        <v>56</v>
      </c>
      <c r="M595" s="29" t="str">
        <f t="shared" si="45"/>
        <v>✓ OK</v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4.25" customHeight="1" x14ac:dyDescent="0.3">
      <c r="A596" s="42">
        <v>592</v>
      </c>
      <c r="B596" s="43" t="s">
        <v>2466</v>
      </c>
      <c r="C596" s="44" t="s">
        <v>2467</v>
      </c>
      <c r="D596" s="42" t="s">
        <v>2253</v>
      </c>
      <c r="E596" s="55">
        <v>46125</v>
      </c>
      <c r="F596" s="26" t="s">
        <v>948</v>
      </c>
      <c r="G596" s="26" t="s">
        <v>58</v>
      </c>
      <c r="H596" s="26" t="s">
        <v>56</v>
      </c>
      <c r="I596" s="26" t="s">
        <v>70</v>
      </c>
      <c r="J596" s="26" t="s">
        <v>58</v>
      </c>
      <c r="K596" s="27"/>
      <c r="L596" s="28" t="s">
        <v>56</v>
      </c>
      <c r="M596" s="29" t="str">
        <f t="shared" si="45"/>
        <v>✓ OK</v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4.25" customHeight="1" x14ac:dyDescent="0.3">
      <c r="A597" s="23">
        <v>593</v>
      </c>
      <c r="B597" s="24" t="s">
        <v>2468</v>
      </c>
      <c r="C597" s="25" t="s">
        <v>2469</v>
      </c>
      <c r="D597" s="23" t="s">
        <v>2253</v>
      </c>
      <c r="E597" s="55">
        <v>46125</v>
      </c>
      <c r="F597" s="26" t="s">
        <v>948</v>
      </c>
      <c r="G597" s="26" t="s">
        <v>58</v>
      </c>
      <c r="H597" s="26" t="s">
        <v>56</v>
      </c>
      <c r="I597" s="26" t="s">
        <v>70</v>
      </c>
      <c r="J597" s="26" t="s">
        <v>58</v>
      </c>
      <c r="K597" s="27"/>
      <c r="L597" s="28" t="s">
        <v>56</v>
      </c>
      <c r="M597" s="29" t="str">
        <f t="shared" si="45"/>
        <v>✓ OK</v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4.25" customHeight="1" x14ac:dyDescent="0.3">
      <c r="A598" s="42">
        <v>594</v>
      </c>
      <c r="B598" s="43" t="s">
        <v>2470</v>
      </c>
      <c r="C598" s="44" t="s">
        <v>2471</v>
      </c>
      <c r="D598" s="42" t="s">
        <v>2253</v>
      </c>
      <c r="E598" s="55">
        <v>46125</v>
      </c>
      <c r="F598" s="26" t="s">
        <v>948</v>
      </c>
      <c r="G598" s="26" t="s">
        <v>58</v>
      </c>
      <c r="H598" s="26" t="s">
        <v>56</v>
      </c>
      <c r="I598" s="26" t="s">
        <v>70</v>
      </c>
      <c r="J598" s="26" t="s">
        <v>58</v>
      </c>
      <c r="K598" s="27"/>
      <c r="L598" s="28" t="s">
        <v>56</v>
      </c>
      <c r="M598" s="29" t="str">
        <f t="shared" si="45"/>
        <v>✓ OK</v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4.25" customHeight="1" x14ac:dyDescent="0.3">
      <c r="A599" s="23">
        <v>595</v>
      </c>
      <c r="B599" s="24" t="s">
        <v>2472</v>
      </c>
      <c r="C599" s="25" t="s">
        <v>2473</v>
      </c>
      <c r="D599" s="23" t="s">
        <v>2253</v>
      </c>
      <c r="E599" s="55">
        <v>46125</v>
      </c>
      <c r="F599" s="26" t="s">
        <v>948</v>
      </c>
      <c r="G599" s="26" t="s">
        <v>58</v>
      </c>
      <c r="H599" s="26" t="s">
        <v>56</v>
      </c>
      <c r="I599" s="26" t="s">
        <v>70</v>
      </c>
      <c r="J599" s="26" t="s">
        <v>58</v>
      </c>
      <c r="K599" s="27"/>
      <c r="L599" s="28" t="s">
        <v>56</v>
      </c>
      <c r="M599" s="29" t="str">
        <f t="shared" si="45"/>
        <v>✓ OK</v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4.25" customHeight="1" x14ac:dyDescent="0.3">
      <c r="A600" s="42">
        <v>596</v>
      </c>
      <c r="B600" s="43" t="s">
        <v>2474</v>
      </c>
      <c r="C600" s="44" t="s">
        <v>2475</v>
      </c>
      <c r="D600" s="42" t="s">
        <v>2253</v>
      </c>
      <c r="E600" s="55">
        <v>46125</v>
      </c>
      <c r="F600" s="26" t="s">
        <v>948</v>
      </c>
      <c r="G600" s="26" t="s">
        <v>58</v>
      </c>
      <c r="H600" s="26" t="s">
        <v>56</v>
      </c>
      <c r="I600" s="26" t="s">
        <v>70</v>
      </c>
      <c r="J600" s="26" t="s">
        <v>58</v>
      </c>
      <c r="K600" s="27"/>
      <c r="L600" s="28" t="s">
        <v>56</v>
      </c>
      <c r="M600" s="29" t="str">
        <f t="shared" si="45"/>
        <v>✓ OK</v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4.25" customHeight="1" x14ac:dyDescent="0.3">
      <c r="A601" s="23">
        <v>597</v>
      </c>
      <c r="B601" s="24" t="s">
        <v>2476</v>
      </c>
      <c r="C601" s="25" t="s">
        <v>2477</v>
      </c>
      <c r="D601" s="23" t="s">
        <v>2253</v>
      </c>
      <c r="E601" s="55">
        <v>46125</v>
      </c>
      <c r="F601" s="26" t="s">
        <v>948</v>
      </c>
      <c r="G601" s="26" t="s">
        <v>58</v>
      </c>
      <c r="H601" s="26" t="s">
        <v>56</v>
      </c>
      <c r="I601" s="26" t="s">
        <v>70</v>
      </c>
      <c r="J601" s="26" t="s">
        <v>58</v>
      </c>
      <c r="K601" s="27"/>
      <c r="L601" s="28" t="s">
        <v>56</v>
      </c>
      <c r="M601" s="29" t="str">
        <f t="shared" si="45"/>
        <v>✓ OK</v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4.25" customHeight="1" x14ac:dyDescent="0.3">
      <c r="A602" s="42">
        <v>598</v>
      </c>
      <c r="B602" s="43" t="s">
        <v>2478</v>
      </c>
      <c r="C602" s="44" t="s">
        <v>2479</v>
      </c>
      <c r="D602" s="42" t="s">
        <v>2253</v>
      </c>
      <c r="E602" s="55">
        <v>46125</v>
      </c>
      <c r="F602" s="26" t="s">
        <v>948</v>
      </c>
      <c r="G602" s="26" t="s">
        <v>58</v>
      </c>
      <c r="H602" s="26" t="s">
        <v>56</v>
      </c>
      <c r="I602" s="26" t="s">
        <v>70</v>
      </c>
      <c r="J602" s="26" t="s">
        <v>58</v>
      </c>
      <c r="K602" s="27"/>
      <c r="L602" s="28" t="s">
        <v>56</v>
      </c>
      <c r="M602" s="29" t="str">
        <f t="shared" si="45"/>
        <v>✓ OK</v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4.25" customHeight="1" x14ac:dyDescent="0.3">
      <c r="A603" s="23">
        <v>599</v>
      </c>
      <c r="B603" s="24" t="s">
        <v>2480</v>
      </c>
      <c r="C603" s="25" t="s">
        <v>2481</v>
      </c>
      <c r="D603" s="23" t="s">
        <v>2253</v>
      </c>
      <c r="E603" s="55">
        <v>46125</v>
      </c>
      <c r="F603" s="26" t="s">
        <v>948</v>
      </c>
      <c r="G603" s="26" t="s">
        <v>58</v>
      </c>
      <c r="H603" s="26" t="s">
        <v>56</v>
      </c>
      <c r="I603" s="26" t="s">
        <v>70</v>
      </c>
      <c r="J603" s="26" t="s">
        <v>58</v>
      </c>
      <c r="K603" s="27"/>
      <c r="L603" s="28" t="s">
        <v>56</v>
      </c>
      <c r="M603" s="29" t="str">
        <f t="shared" si="45"/>
        <v>✓ OK</v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4.25" customHeight="1" x14ac:dyDescent="0.3">
      <c r="A604" s="42">
        <v>600</v>
      </c>
      <c r="B604" s="43" t="s">
        <v>2482</v>
      </c>
      <c r="C604" s="44" t="s">
        <v>2483</v>
      </c>
      <c r="D604" s="42" t="s">
        <v>2253</v>
      </c>
      <c r="E604" s="55">
        <v>46125</v>
      </c>
      <c r="F604" s="26" t="s">
        <v>948</v>
      </c>
      <c r="G604" s="26" t="s">
        <v>58</v>
      </c>
      <c r="H604" s="26" t="s">
        <v>56</v>
      </c>
      <c r="I604" s="26" t="s">
        <v>70</v>
      </c>
      <c r="J604" s="26" t="s">
        <v>58</v>
      </c>
      <c r="K604" s="27"/>
      <c r="L604" s="28" t="s">
        <v>56</v>
      </c>
      <c r="M604" s="29" t="str">
        <f t="shared" si="45"/>
        <v>✓ OK</v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4.25" customHeight="1" x14ac:dyDescent="0.3">
      <c r="A605" s="23">
        <v>601</v>
      </c>
      <c r="B605" s="24" t="s">
        <v>2484</v>
      </c>
      <c r="C605" s="25" t="s">
        <v>2485</v>
      </c>
      <c r="D605" s="23" t="s">
        <v>2253</v>
      </c>
      <c r="E605" s="55">
        <v>46125</v>
      </c>
      <c r="F605" s="26" t="s">
        <v>948</v>
      </c>
      <c r="G605" s="26" t="s">
        <v>58</v>
      </c>
      <c r="H605" s="26" t="s">
        <v>56</v>
      </c>
      <c r="I605" s="26" t="s">
        <v>70</v>
      </c>
      <c r="J605" s="26" t="s">
        <v>58</v>
      </c>
      <c r="K605" s="27"/>
      <c r="L605" s="28" t="s">
        <v>56</v>
      </c>
      <c r="M605" s="29" t="str">
        <f t="shared" si="45"/>
        <v>✓ OK</v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4.25" customHeight="1" x14ac:dyDescent="0.3">
      <c r="A606" s="42">
        <v>602</v>
      </c>
      <c r="B606" s="43" t="s">
        <v>2486</v>
      </c>
      <c r="C606" s="44" t="s">
        <v>2487</v>
      </c>
      <c r="D606" s="42" t="s">
        <v>2253</v>
      </c>
      <c r="E606" s="55">
        <v>46125</v>
      </c>
      <c r="F606" s="26" t="s">
        <v>948</v>
      </c>
      <c r="G606" s="26" t="s">
        <v>58</v>
      </c>
      <c r="H606" s="26" t="s">
        <v>56</v>
      </c>
      <c r="I606" s="26" t="s">
        <v>70</v>
      </c>
      <c r="J606" s="26" t="s">
        <v>58</v>
      </c>
      <c r="K606" s="27"/>
      <c r="L606" s="28" t="s">
        <v>56</v>
      </c>
      <c r="M606" s="29" t="str">
        <f t="shared" si="45"/>
        <v>✓ OK</v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4.25" customHeight="1" x14ac:dyDescent="0.3">
      <c r="A607" s="23">
        <v>603</v>
      </c>
      <c r="B607" s="24" t="s">
        <v>2488</v>
      </c>
      <c r="C607" s="25" t="s">
        <v>2489</v>
      </c>
      <c r="D607" s="23" t="s">
        <v>2253</v>
      </c>
      <c r="E607" s="55">
        <v>46125</v>
      </c>
      <c r="F607" s="26" t="s">
        <v>948</v>
      </c>
      <c r="G607" s="26" t="s">
        <v>58</v>
      </c>
      <c r="H607" s="26" t="s">
        <v>56</v>
      </c>
      <c r="I607" s="26" t="s">
        <v>70</v>
      </c>
      <c r="J607" s="26" t="s">
        <v>58</v>
      </c>
      <c r="K607" s="27"/>
      <c r="L607" s="28" t="s">
        <v>56</v>
      </c>
      <c r="M607" s="29" t="str">
        <f t="shared" si="45"/>
        <v>✓ OK</v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4.25" customHeight="1" x14ac:dyDescent="0.3">
      <c r="A608" s="42">
        <v>604</v>
      </c>
      <c r="B608" s="43" t="s">
        <v>2490</v>
      </c>
      <c r="C608" s="44" t="s">
        <v>2491</v>
      </c>
      <c r="D608" s="42" t="s">
        <v>2253</v>
      </c>
      <c r="E608" s="55">
        <v>46125</v>
      </c>
      <c r="F608" s="26" t="s">
        <v>948</v>
      </c>
      <c r="G608" s="26" t="s">
        <v>58</v>
      </c>
      <c r="H608" s="26" t="s">
        <v>56</v>
      </c>
      <c r="I608" s="26" t="s">
        <v>70</v>
      </c>
      <c r="J608" s="26" t="s">
        <v>58</v>
      </c>
      <c r="K608" s="27"/>
      <c r="L608" s="28" t="s">
        <v>56</v>
      </c>
      <c r="M608" s="29" t="str">
        <f t="shared" si="45"/>
        <v>✓ OK</v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4.25" customHeight="1" x14ac:dyDescent="0.3">
      <c r="A609" s="23">
        <v>605</v>
      </c>
      <c r="B609" s="24" t="s">
        <v>2492</v>
      </c>
      <c r="C609" s="25" t="s">
        <v>2493</v>
      </c>
      <c r="D609" s="23" t="s">
        <v>2253</v>
      </c>
      <c r="E609" s="55">
        <v>46125</v>
      </c>
      <c r="F609" s="26" t="s">
        <v>948</v>
      </c>
      <c r="G609" s="26" t="s">
        <v>58</v>
      </c>
      <c r="H609" s="26" t="s">
        <v>56</v>
      </c>
      <c r="I609" s="26" t="s">
        <v>70</v>
      </c>
      <c r="J609" s="26" t="s">
        <v>58</v>
      </c>
      <c r="K609" s="27"/>
      <c r="L609" s="28" t="s">
        <v>56</v>
      </c>
      <c r="M609" s="29" t="str">
        <f t="shared" si="45"/>
        <v>✓ OK</v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4.25" customHeight="1" x14ac:dyDescent="0.3">
      <c r="A610" s="42">
        <v>606</v>
      </c>
      <c r="B610" s="43" t="s">
        <v>2494</v>
      </c>
      <c r="C610" s="44" t="s">
        <v>2495</v>
      </c>
      <c r="D610" s="42" t="s">
        <v>2253</v>
      </c>
      <c r="E610" s="55">
        <v>46125</v>
      </c>
      <c r="F610" s="26" t="s">
        <v>948</v>
      </c>
      <c r="G610" s="26" t="s">
        <v>58</v>
      </c>
      <c r="H610" s="26" t="s">
        <v>56</v>
      </c>
      <c r="I610" s="26" t="s">
        <v>70</v>
      </c>
      <c r="J610" s="26" t="s">
        <v>58</v>
      </c>
      <c r="K610" s="27"/>
      <c r="L610" s="28" t="s">
        <v>56</v>
      </c>
      <c r="M610" s="29" t="str">
        <f t="shared" si="45"/>
        <v>✓ OK</v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4.25" customHeight="1" x14ac:dyDescent="0.3">
      <c r="A611" s="23">
        <v>607</v>
      </c>
      <c r="B611" s="24" t="s">
        <v>2496</v>
      </c>
      <c r="C611" s="25" t="s">
        <v>2497</v>
      </c>
      <c r="D611" s="23" t="s">
        <v>2253</v>
      </c>
      <c r="E611" s="55">
        <v>46125</v>
      </c>
      <c r="F611" s="26" t="s">
        <v>948</v>
      </c>
      <c r="G611" s="26" t="s">
        <v>58</v>
      </c>
      <c r="H611" s="26" t="s">
        <v>56</v>
      </c>
      <c r="I611" s="26" t="s">
        <v>70</v>
      </c>
      <c r="J611" s="26" t="s">
        <v>58</v>
      </c>
      <c r="K611" s="27"/>
      <c r="L611" s="28" t="s">
        <v>56</v>
      </c>
      <c r="M611" s="29" t="str">
        <f t="shared" si="45"/>
        <v>✓ OK</v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4.25" customHeight="1" x14ac:dyDescent="0.3">
      <c r="A612" s="42">
        <v>608</v>
      </c>
      <c r="B612" s="43" t="s">
        <v>2498</v>
      </c>
      <c r="C612" s="44" t="s">
        <v>2499</v>
      </c>
      <c r="D612" s="42" t="s">
        <v>2253</v>
      </c>
      <c r="E612" s="55">
        <v>46125</v>
      </c>
      <c r="F612" s="26" t="s">
        <v>948</v>
      </c>
      <c r="G612" s="26" t="s">
        <v>58</v>
      </c>
      <c r="H612" s="26" t="s">
        <v>56</v>
      </c>
      <c r="I612" s="26" t="s">
        <v>70</v>
      </c>
      <c r="J612" s="26" t="s">
        <v>58</v>
      </c>
      <c r="K612" s="27"/>
      <c r="L612" s="28" t="s">
        <v>56</v>
      </c>
      <c r="M612" s="29" t="str">
        <f t="shared" si="45"/>
        <v>✓ OK</v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4.25" customHeight="1" x14ac:dyDescent="0.3">
      <c r="A613" s="23">
        <v>609</v>
      </c>
      <c r="B613" s="24" t="s">
        <v>2500</v>
      </c>
      <c r="C613" s="25" t="s">
        <v>2501</v>
      </c>
      <c r="D613" s="23" t="s">
        <v>2253</v>
      </c>
      <c r="E613" s="55">
        <v>46125</v>
      </c>
      <c r="F613" s="26" t="s">
        <v>948</v>
      </c>
      <c r="G613" s="26" t="s">
        <v>58</v>
      </c>
      <c r="H613" s="26" t="s">
        <v>56</v>
      </c>
      <c r="I613" s="26" t="s">
        <v>70</v>
      </c>
      <c r="J613" s="26" t="s">
        <v>58</v>
      </c>
      <c r="K613" s="27"/>
      <c r="L613" s="28" t="s">
        <v>56</v>
      </c>
      <c r="M613" s="29" t="str">
        <f t="shared" si="45"/>
        <v>✓ OK</v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4.25" customHeight="1" x14ac:dyDescent="0.3">
      <c r="A614" s="42">
        <v>610</v>
      </c>
      <c r="B614" s="43" t="s">
        <v>2502</v>
      </c>
      <c r="C614" s="44" t="s">
        <v>2503</v>
      </c>
      <c r="D614" s="42" t="s">
        <v>2253</v>
      </c>
      <c r="E614" s="55">
        <v>46125</v>
      </c>
      <c r="F614" s="26" t="s">
        <v>948</v>
      </c>
      <c r="G614" s="26" t="s">
        <v>58</v>
      </c>
      <c r="H614" s="26" t="s">
        <v>56</v>
      </c>
      <c r="I614" s="26" t="s">
        <v>70</v>
      </c>
      <c r="J614" s="26" t="s">
        <v>58</v>
      </c>
      <c r="K614" s="27"/>
      <c r="L614" s="28" t="s">
        <v>56</v>
      </c>
      <c r="M614" s="29" t="str">
        <f t="shared" si="45"/>
        <v>✓ OK</v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4.25" customHeight="1" x14ac:dyDescent="0.3">
      <c r="A615" s="23">
        <v>611</v>
      </c>
      <c r="B615" s="24" t="s">
        <v>2504</v>
      </c>
      <c r="C615" s="25" t="s">
        <v>2505</v>
      </c>
      <c r="D615" s="23" t="s">
        <v>2253</v>
      </c>
      <c r="E615" s="55">
        <v>46125</v>
      </c>
      <c r="F615" s="26" t="s">
        <v>948</v>
      </c>
      <c r="G615" s="26" t="s">
        <v>58</v>
      </c>
      <c r="H615" s="26" t="s">
        <v>56</v>
      </c>
      <c r="I615" s="26" t="s">
        <v>70</v>
      </c>
      <c r="J615" s="26" t="s">
        <v>58</v>
      </c>
      <c r="K615" s="27"/>
      <c r="L615" s="28" t="s">
        <v>56</v>
      </c>
      <c r="M615" s="29" t="str">
        <f t="shared" si="45"/>
        <v>✓ OK</v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4.25" customHeight="1" x14ac:dyDescent="0.3">
      <c r="A616" s="42">
        <v>612</v>
      </c>
      <c r="B616" s="43" t="s">
        <v>2506</v>
      </c>
      <c r="C616" s="44" t="s">
        <v>2507</v>
      </c>
      <c r="D616" s="42" t="s">
        <v>2253</v>
      </c>
      <c r="E616" s="55">
        <v>46125</v>
      </c>
      <c r="F616" s="26" t="s">
        <v>948</v>
      </c>
      <c r="G616" s="26" t="s">
        <v>58</v>
      </c>
      <c r="H616" s="26" t="s">
        <v>56</v>
      </c>
      <c r="I616" s="26" t="s">
        <v>70</v>
      </c>
      <c r="J616" s="26" t="s">
        <v>58</v>
      </c>
      <c r="K616" s="27"/>
      <c r="L616" s="28" t="s">
        <v>56</v>
      </c>
      <c r="M616" s="29" t="str">
        <f t="shared" si="45"/>
        <v>✓ OK</v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4.25" customHeight="1" x14ac:dyDescent="0.3">
      <c r="A617" s="23">
        <v>613</v>
      </c>
      <c r="B617" s="24" t="s">
        <v>2508</v>
      </c>
      <c r="C617" s="25" t="s">
        <v>2509</v>
      </c>
      <c r="D617" s="23" t="s">
        <v>2253</v>
      </c>
      <c r="E617" s="55">
        <v>46125</v>
      </c>
      <c r="F617" s="26" t="s">
        <v>948</v>
      </c>
      <c r="G617" s="26" t="s">
        <v>58</v>
      </c>
      <c r="H617" s="26" t="s">
        <v>56</v>
      </c>
      <c r="I617" s="26" t="s">
        <v>70</v>
      </c>
      <c r="J617" s="26" t="s">
        <v>58</v>
      </c>
      <c r="K617" s="27"/>
      <c r="L617" s="28" t="s">
        <v>56</v>
      </c>
      <c r="M617" s="29" t="str">
        <f t="shared" si="45"/>
        <v>✓ OK</v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4.25" customHeight="1" x14ac:dyDescent="0.3">
      <c r="A618" s="42">
        <v>614</v>
      </c>
      <c r="B618" s="43" t="s">
        <v>2510</v>
      </c>
      <c r="C618" s="44" t="s">
        <v>2511</v>
      </c>
      <c r="D618" s="42" t="s">
        <v>2253</v>
      </c>
      <c r="E618" s="55">
        <v>46125</v>
      </c>
      <c r="F618" s="26" t="s">
        <v>948</v>
      </c>
      <c r="G618" s="26" t="s">
        <v>58</v>
      </c>
      <c r="H618" s="26" t="s">
        <v>56</v>
      </c>
      <c r="I618" s="26" t="s">
        <v>70</v>
      </c>
      <c r="J618" s="26" t="s">
        <v>58</v>
      </c>
      <c r="K618" s="27"/>
      <c r="L618" s="28" t="s">
        <v>56</v>
      </c>
      <c r="M618" s="29" t="str">
        <f t="shared" si="45"/>
        <v>✓ OK</v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4.25" customHeight="1" x14ac:dyDescent="0.3">
      <c r="A619" s="23">
        <v>615</v>
      </c>
      <c r="B619" s="24" t="s">
        <v>2512</v>
      </c>
      <c r="C619" s="25" t="s">
        <v>2513</v>
      </c>
      <c r="D619" s="23" t="s">
        <v>2253</v>
      </c>
      <c r="E619" s="55">
        <v>46125</v>
      </c>
      <c r="F619" s="26" t="s">
        <v>948</v>
      </c>
      <c r="G619" s="26" t="s">
        <v>58</v>
      </c>
      <c r="H619" s="26" t="s">
        <v>56</v>
      </c>
      <c r="I619" s="26" t="s">
        <v>70</v>
      </c>
      <c r="J619" s="26" t="s">
        <v>58</v>
      </c>
      <c r="K619" s="27"/>
      <c r="L619" s="28" t="s">
        <v>56</v>
      </c>
      <c r="M619" s="29" t="str">
        <f t="shared" si="45"/>
        <v>✓ OK</v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4.25" customHeight="1" x14ac:dyDescent="0.3">
      <c r="A620" s="42">
        <v>616</v>
      </c>
      <c r="B620" s="43" t="s">
        <v>2514</v>
      </c>
      <c r="C620" s="44" t="s">
        <v>2515</v>
      </c>
      <c r="D620" s="42" t="s">
        <v>2253</v>
      </c>
      <c r="E620" s="55">
        <v>46125</v>
      </c>
      <c r="F620" s="26" t="s">
        <v>948</v>
      </c>
      <c r="G620" s="26" t="s">
        <v>58</v>
      </c>
      <c r="H620" s="26" t="s">
        <v>56</v>
      </c>
      <c r="I620" s="26" t="s">
        <v>70</v>
      </c>
      <c r="J620" s="26" t="s">
        <v>58</v>
      </c>
      <c r="K620" s="27"/>
      <c r="L620" s="28" t="s">
        <v>56</v>
      </c>
      <c r="M620" s="29" t="str">
        <f t="shared" si="45"/>
        <v>✓ OK</v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4.25" customHeight="1" x14ac:dyDescent="0.3">
      <c r="A621" s="23">
        <v>617</v>
      </c>
      <c r="B621" s="24" t="s">
        <v>2516</v>
      </c>
      <c r="C621" s="25" t="s">
        <v>2517</v>
      </c>
      <c r="D621" s="23" t="s">
        <v>2253</v>
      </c>
      <c r="E621" s="55">
        <v>46125</v>
      </c>
      <c r="F621" s="26" t="s">
        <v>948</v>
      </c>
      <c r="G621" s="26" t="s">
        <v>58</v>
      </c>
      <c r="H621" s="26" t="s">
        <v>56</v>
      </c>
      <c r="I621" s="26" t="s">
        <v>70</v>
      </c>
      <c r="J621" s="26" t="s">
        <v>58</v>
      </c>
      <c r="K621" s="27"/>
      <c r="L621" s="28" t="s">
        <v>56</v>
      </c>
      <c r="M621" s="29" t="str">
        <f t="shared" si="45"/>
        <v>✓ OK</v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4.25" customHeight="1" x14ac:dyDescent="0.3">
      <c r="A622" s="42">
        <v>618</v>
      </c>
      <c r="B622" s="43" t="s">
        <v>2518</v>
      </c>
      <c r="C622" s="44" t="s">
        <v>2519</v>
      </c>
      <c r="D622" s="42" t="s">
        <v>2253</v>
      </c>
      <c r="E622" s="55">
        <v>46125</v>
      </c>
      <c r="F622" s="26" t="s">
        <v>948</v>
      </c>
      <c r="G622" s="26" t="s">
        <v>58</v>
      </c>
      <c r="H622" s="26" t="s">
        <v>56</v>
      </c>
      <c r="I622" s="26" t="s">
        <v>70</v>
      </c>
      <c r="J622" s="26" t="s">
        <v>58</v>
      </c>
      <c r="K622" s="27"/>
      <c r="L622" s="28" t="s">
        <v>56</v>
      </c>
      <c r="M622" s="29" t="str">
        <f t="shared" si="45"/>
        <v>✓ OK</v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4.25" customHeight="1" x14ac:dyDescent="0.3">
      <c r="A623" s="23">
        <v>619</v>
      </c>
      <c r="B623" s="24" t="s">
        <v>2520</v>
      </c>
      <c r="C623" s="25" t="s">
        <v>2521</v>
      </c>
      <c r="D623" s="23" t="s">
        <v>2253</v>
      </c>
      <c r="E623" s="55">
        <v>46125</v>
      </c>
      <c r="F623" s="26" t="s">
        <v>948</v>
      </c>
      <c r="G623" s="26" t="s">
        <v>58</v>
      </c>
      <c r="H623" s="26" t="s">
        <v>56</v>
      </c>
      <c r="I623" s="26" t="s">
        <v>70</v>
      </c>
      <c r="J623" s="26" t="s">
        <v>58</v>
      </c>
      <c r="K623" s="27"/>
      <c r="L623" s="28" t="s">
        <v>56</v>
      </c>
      <c r="M623" s="29" t="str">
        <f t="shared" si="45"/>
        <v>✓ OK</v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4.25" customHeight="1" x14ac:dyDescent="0.3">
      <c r="A624" s="42">
        <v>620</v>
      </c>
      <c r="B624" s="43" t="s">
        <v>2522</v>
      </c>
      <c r="C624" s="44" t="s">
        <v>2523</v>
      </c>
      <c r="D624" s="42" t="s">
        <v>2253</v>
      </c>
      <c r="E624" s="55">
        <v>46125</v>
      </c>
      <c r="F624" s="26" t="s">
        <v>948</v>
      </c>
      <c r="G624" s="26" t="s">
        <v>58</v>
      </c>
      <c r="H624" s="26" t="s">
        <v>56</v>
      </c>
      <c r="I624" s="26" t="s">
        <v>70</v>
      </c>
      <c r="J624" s="26" t="s">
        <v>58</v>
      </c>
      <c r="K624" s="27"/>
      <c r="L624" s="28" t="s">
        <v>56</v>
      </c>
      <c r="M624" s="29" t="str">
        <f t="shared" si="45"/>
        <v>✓ OK</v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4.25" customHeight="1" x14ac:dyDescent="0.3">
      <c r="A625" s="23">
        <v>621</v>
      </c>
      <c r="B625" s="24" t="s">
        <v>2524</v>
      </c>
      <c r="C625" s="25" t="s">
        <v>2525</v>
      </c>
      <c r="D625" s="23" t="s">
        <v>2253</v>
      </c>
      <c r="E625" s="55">
        <v>46125</v>
      </c>
      <c r="F625" s="26" t="s">
        <v>948</v>
      </c>
      <c r="G625" s="26" t="s">
        <v>58</v>
      </c>
      <c r="H625" s="26" t="s">
        <v>56</v>
      </c>
      <c r="I625" s="26" t="s">
        <v>70</v>
      </c>
      <c r="J625" s="26" t="s">
        <v>58</v>
      </c>
      <c r="K625" s="27"/>
      <c r="L625" s="28" t="s">
        <v>56</v>
      </c>
      <c r="M625" s="29" t="str">
        <f t="shared" si="45"/>
        <v>✓ OK</v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4.25" customHeight="1" x14ac:dyDescent="0.3">
      <c r="A626" s="42">
        <v>622</v>
      </c>
      <c r="B626" s="43" t="s">
        <v>2526</v>
      </c>
      <c r="C626" s="44" t="s">
        <v>2527</v>
      </c>
      <c r="D626" s="42" t="s">
        <v>2253</v>
      </c>
      <c r="E626" s="55">
        <v>46125</v>
      </c>
      <c r="F626" s="26" t="s">
        <v>948</v>
      </c>
      <c r="G626" s="26" t="s">
        <v>58</v>
      </c>
      <c r="H626" s="26" t="s">
        <v>56</v>
      </c>
      <c r="I626" s="26" t="s">
        <v>70</v>
      </c>
      <c r="J626" s="26" t="s">
        <v>58</v>
      </c>
      <c r="K626" s="27"/>
      <c r="L626" s="28" t="s">
        <v>56</v>
      </c>
      <c r="M626" s="29" t="str">
        <f t="shared" si="45"/>
        <v>✓ OK</v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4.25" customHeight="1" x14ac:dyDescent="0.3">
      <c r="A627" s="23">
        <v>623</v>
      </c>
      <c r="B627" s="24" t="s">
        <v>2528</v>
      </c>
      <c r="C627" s="25" t="s">
        <v>2529</v>
      </c>
      <c r="D627" s="23" t="s">
        <v>2253</v>
      </c>
      <c r="E627" s="55">
        <v>46125</v>
      </c>
      <c r="F627" s="26" t="s">
        <v>948</v>
      </c>
      <c r="G627" s="26" t="s">
        <v>58</v>
      </c>
      <c r="H627" s="26" t="s">
        <v>56</v>
      </c>
      <c r="I627" s="26" t="s">
        <v>70</v>
      </c>
      <c r="J627" s="26" t="s">
        <v>58</v>
      </c>
      <c r="K627" s="27"/>
      <c r="L627" s="28" t="s">
        <v>56</v>
      </c>
      <c r="M627" s="29" t="str">
        <f t="shared" si="45"/>
        <v>✓ OK</v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4.25" customHeight="1" x14ac:dyDescent="0.3">
      <c r="A628" s="42">
        <v>624</v>
      </c>
      <c r="B628" s="43" t="s">
        <v>2530</v>
      </c>
      <c r="C628" s="44" t="s">
        <v>2531</v>
      </c>
      <c r="D628" s="42" t="s">
        <v>2253</v>
      </c>
      <c r="E628" s="55">
        <v>46125</v>
      </c>
      <c r="F628" s="26" t="s">
        <v>948</v>
      </c>
      <c r="G628" s="26" t="s">
        <v>58</v>
      </c>
      <c r="H628" s="26" t="s">
        <v>56</v>
      </c>
      <c r="I628" s="26" t="s">
        <v>70</v>
      </c>
      <c r="J628" s="26" t="s">
        <v>58</v>
      </c>
      <c r="K628" s="27"/>
      <c r="L628" s="28" t="s">
        <v>56</v>
      </c>
      <c r="M628" s="29" t="str">
        <f t="shared" si="45"/>
        <v>✓ OK</v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4.25" customHeight="1" x14ac:dyDescent="0.3">
      <c r="A629" s="23">
        <v>625</v>
      </c>
      <c r="B629" s="24" t="s">
        <v>2532</v>
      </c>
      <c r="C629" s="25" t="s">
        <v>2533</v>
      </c>
      <c r="D629" s="23" t="s">
        <v>2253</v>
      </c>
      <c r="E629" s="55">
        <v>46125</v>
      </c>
      <c r="F629" s="26" t="s">
        <v>948</v>
      </c>
      <c r="G629" s="26" t="s">
        <v>58</v>
      </c>
      <c r="H629" s="26" t="s">
        <v>56</v>
      </c>
      <c r="I629" s="26" t="s">
        <v>70</v>
      </c>
      <c r="J629" s="26" t="s">
        <v>58</v>
      </c>
      <c r="K629" s="27"/>
      <c r="L629" s="28" t="s">
        <v>56</v>
      </c>
      <c r="M629" s="29" t="str">
        <f t="shared" si="45"/>
        <v>✓ OK</v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4.25" customHeight="1" x14ac:dyDescent="0.3">
      <c r="A630" s="42">
        <v>626</v>
      </c>
      <c r="B630" s="43" t="s">
        <v>2534</v>
      </c>
      <c r="C630" s="44" t="s">
        <v>2535</v>
      </c>
      <c r="D630" s="42" t="s">
        <v>2253</v>
      </c>
      <c r="E630" s="55">
        <v>46125</v>
      </c>
      <c r="F630" s="26" t="s">
        <v>948</v>
      </c>
      <c r="G630" s="26" t="s">
        <v>58</v>
      </c>
      <c r="H630" s="26" t="s">
        <v>56</v>
      </c>
      <c r="I630" s="26" t="s">
        <v>70</v>
      </c>
      <c r="J630" s="26" t="s">
        <v>58</v>
      </c>
      <c r="K630" s="27"/>
      <c r="L630" s="28" t="s">
        <v>56</v>
      </c>
      <c r="M630" s="29" t="str">
        <f t="shared" si="45"/>
        <v>✓ OK</v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4.25" customHeight="1" x14ac:dyDescent="0.3">
      <c r="A631" s="23">
        <v>627</v>
      </c>
      <c r="B631" s="24" t="s">
        <v>2536</v>
      </c>
      <c r="C631" s="25" t="s">
        <v>2537</v>
      </c>
      <c r="D631" s="23" t="s">
        <v>2253</v>
      </c>
      <c r="E631" s="55">
        <v>46125</v>
      </c>
      <c r="F631" s="26" t="s">
        <v>948</v>
      </c>
      <c r="G631" s="26" t="s">
        <v>58</v>
      </c>
      <c r="H631" s="26" t="s">
        <v>56</v>
      </c>
      <c r="I631" s="26" t="s">
        <v>70</v>
      </c>
      <c r="J631" s="26" t="s">
        <v>58</v>
      </c>
      <c r="K631" s="27"/>
      <c r="L631" s="28" t="s">
        <v>56</v>
      </c>
      <c r="M631" s="29" t="str">
        <f t="shared" si="45"/>
        <v>✓ OK</v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4.25" customHeight="1" x14ac:dyDescent="0.3">
      <c r="A632" s="42">
        <v>628</v>
      </c>
      <c r="B632" s="43" t="s">
        <v>2538</v>
      </c>
      <c r="C632" s="44" t="s">
        <v>2539</v>
      </c>
      <c r="D632" s="42" t="s">
        <v>2253</v>
      </c>
      <c r="E632" s="55">
        <v>46125</v>
      </c>
      <c r="F632" s="26" t="s">
        <v>948</v>
      </c>
      <c r="G632" s="26" t="s">
        <v>58</v>
      </c>
      <c r="H632" s="26" t="s">
        <v>56</v>
      </c>
      <c r="I632" s="26" t="s">
        <v>70</v>
      </c>
      <c r="J632" s="26" t="s">
        <v>58</v>
      </c>
      <c r="K632" s="27"/>
      <c r="L632" s="28" t="s">
        <v>56</v>
      </c>
      <c r="M632" s="29" t="str">
        <f t="shared" si="45"/>
        <v>✓ OK</v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4.25" customHeight="1" x14ac:dyDescent="0.3">
      <c r="A633" s="23">
        <v>629</v>
      </c>
      <c r="B633" s="24" t="s">
        <v>2540</v>
      </c>
      <c r="C633" s="25" t="s">
        <v>2541</v>
      </c>
      <c r="D633" s="23" t="s">
        <v>2253</v>
      </c>
      <c r="E633" s="55">
        <v>46125</v>
      </c>
      <c r="F633" s="26" t="s">
        <v>948</v>
      </c>
      <c r="G633" s="26" t="s">
        <v>58</v>
      </c>
      <c r="H633" s="26" t="s">
        <v>56</v>
      </c>
      <c r="I633" s="26" t="s">
        <v>70</v>
      </c>
      <c r="J633" s="26" t="s">
        <v>58</v>
      </c>
      <c r="K633" s="27"/>
      <c r="L633" s="28" t="s">
        <v>56</v>
      </c>
      <c r="M633" s="29" t="str">
        <f t="shared" si="45"/>
        <v>✓ OK</v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4.25" customHeight="1" x14ac:dyDescent="0.3">
      <c r="A634" s="42">
        <v>630</v>
      </c>
      <c r="B634" s="43" t="s">
        <v>2542</v>
      </c>
      <c r="C634" s="44" t="s">
        <v>2543</v>
      </c>
      <c r="D634" s="42" t="s">
        <v>2253</v>
      </c>
      <c r="E634" s="55">
        <v>46125</v>
      </c>
      <c r="F634" s="26" t="s">
        <v>948</v>
      </c>
      <c r="G634" s="26" t="s">
        <v>58</v>
      </c>
      <c r="H634" s="26" t="s">
        <v>56</v>
      </c>
      <c r="I634" s="26" t="s">
        <v>70</v>
      </c>
      <c r="J634" s="26" t="s">
        <v>58</v>
      </c>
      <c r="K634" s="27"/>
      <c r="L634" s="28" t="s">
        <v>56</v>
      </c>
      <c r="M634" s="29" t="str">
        <f t="shared" si="45"/>
        <v>✓ OK</v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4.25" customHeight="1" x14ac:dyDescent="0.3">
      <c r="A635" s="23">
        <v>631</v>
      </c>
      <c r="B635" s="24" t="s">
        <v>2544</v>
      </c>
      <c r="C635" s="25" t="s">
        <v>2545</v>
      </c>
      <c r="D635" s="23" t="s">
        <v>2253</v>
      </c>
      <c r="E635" s="55">
        <v>46125</v>
      </c>
      <c r="F635" s="26" t="s">
        <v>948</v>
      </c>
      <c r="G635" s="26" t="s">
        <v>58</v>
      </c>
      <c r="H635" s="26" t="s">
        <v>56</v>
      </c>
      <c r="I635" s="26" t="s">
        <v>70</v>
      </c>
      <c r="J635" s="26" t="s">
        <v>58</v>
      </c>
      <c r="K635" s="27"/>
      <c r="L635" s="28" t="s">
        <v>56</v>
      </c>
      <c r="M635" s="29" t="str">
        <f t="shared" si="45"/>
        <v>✓ OK</v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4.25" customHeight="1" x14ac:dyDescent="0.3">
      <c r="A636" s="42">
        <v>632</v>
      </c>
      <c r="B636" s="43" t="s">
        <v>2546</v>
      </c>
      <c r="C636" s="44" t="s">
        <v>2547</v>
      </c>
      <c r="D636" s="42" t="s">
        <v>2253</v>
      </c>
      <c r="E636" s="55">
        <v>46125</v>
      </c>
      <c r="F636" s="26" t="s">
        <v>948</v>
      </c>
      <c r="G636" s="26" t="s">
        <v>58</v>
      </c>
      <c r="H636" s="26" t="s">
        <v>56</v>
      </c>
      <c r="I636" s="26" t="s">
        <v>70</v>
      </c>
      <c r="J636" s="26" t="s">
        <v>58</v>
      </c>
      <c r="K636" s="27"/>
      <c r="L636" s="28" t="s">
        <v>56</v>
      </c>
      <c r="M636" s="29" t="str">
        <f t="shared" si="45"/>
        <v>✓ OK</v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4.25" customHeight="1" x14ac:dyDescent="0.3">
      <c r="A637" s="23">
        <v>633</v>
      </c>
      <c r="B637" s="24" t="s">
        <v>2548</v>
      </c>
      <c r="C637" s="25" t="s">
        <v>2549</v>
      </c>
      <c r="D637" s="23" t="s">
        <v>2253</v>
      </c>
      <c r="E637" s="55">
        <v>46125</v>
      </c>
      <c r="F637" s="26" t="s">
        <v>948</v>
      </c>
      <c r="G637" s="26" t="s">
        <v>58</v>
      </c>
      <c r="H637" s="26" t="s">
        <v>56</v>
      </c>
      <c r="I637" s="26" t="s">
        <v>70</v>
      </c>
      <c r="J637" s="26" t="s">
        <v>58</v>
      </c>
      <c r="K637" s="27"/>
      <c r="L637" s="28" t="s">
        <v>56</v>
      </c>
      <c r="M637" s="29" t="str">
        <f t="shared" si="45"/>
        <v>✓ OK</v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4.25" customHeight="1" x14ac:dyDescent="0.3">
      <c r="A638" s="42">
        <v>634</v>
      </c>
      <c r="B638" s="43" t="s">
        <v>2550</v>
      </c>
      <c r="C638" s="44" t="s">
        <v>2551</v>
      </c>
      <c r="D638" s="42" t="s">
        <v>2253</v>
      </c>
      <c r="E638" s="55">
        <v>46125</v>
      </c>
      <c r="F638" s="26" t="s">
        <v>948</v>
      </c>
      <c r="G638" s="26" t="s">
        <v>58</v>
      </c>
      <c r="H638" s="26" t="s">
        <v>56</v>
      </c>
      <c r="I638" s="26" t="s">
        <v>70</v>
      </c>
      <c r="J638" s="26" t="s">
        <v>58</v>
      </c>
      <c r="K638" s="27"/>
      <c r="L638" s="28" t="s">
        <v>56</v>
      </c>
      <c r="M638" s="29" t="str">
        <f t="shared" si="45"/>
        <v>✓ OK</v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4.25" customHeight="1" x14ac:dyDescent="0.3">
      <c r="A639" s="23">
        <v>635</v>
      </c>
      <c r="B639" s="24" t="s">
        <v>2552</v>
      </c>
      <c r="C639" s="25" t="s">
        <v>2553</v>
      </c>
      <c r="D639" s="23" t="s">
        <v>2253</v>
      </c>
      <c r="E639" s="55">
        <v>46125</v>
      </c>
      <c r="F639" s="26" t="s">
        <v>948</v>
      </c>
      <c r="G639" s="26" t="s">
        <v>58</v>
      </c>
      <c r="H639" s="26" t="s">
        <v>56</v>
      </c>
      <c r="I639" s="26" t="s">
        <v>70</v>
      </c>
      <c r="J639" s="26" t="s">
        <v>58</v>
      </c>
      <c r="K639" s="27"/>
      <c r="L639" s="28" t="s">
        <v>56</v>
      </c>
      <c r="M639" s="29" t="str">
        <f t="shared" si="45"/>
        <v>✓ OK</v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4.25" customHeight="1" x14ac:dyDescent="0.3">
      <c r="A640" s="42">
        <v>636</v>
      </c>
      <c r="B640" s="43" t="s">
        <v>2554</v>
      </c>
      <c r="C640" s="44" t="s">
        <v>2555</v>
      </c>
      <c r="D640" s="42" t="s">
        <v>2253</v>
      </c>
      <c r="E640" s="55">
        <v>46125</v>
      </c>
      <c r="F640" s="26" t="s">
        <v>948</v>
      </c>
      <c r="G640" s="26" t="s">
        <v>58</v>
      </c>
      <c r="H640" s="26" t="s">
        <v>56</v>
      </c>
      <c r="I640" s="26" t="s">
        <v>70</v>
      </c>
      <c r="J640" s="26" t="s">
        <v>58</v>
      </c>
      <c r="K640" s="27"/>
      <c r="L640" s="28" t="s">
        <v>56</v>
      </c>
      <c r="M640" s="29" t="str">
        <f t="shared" si="45"/>
        <v>✓ OK</v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4.25" customHeight="1" x14ac:dyDescent="0.3">
      <c r="A641" s="23">
        <v>637</v>
      </c>
      <c r="B641" s="24" t="s">
        <v>2556</v>
      </c>
      <c r="C641" s="25" t="s">
        <v>2557</v>
      </c>
      <c r="D641" s="23" t="s">
        <v>2253</v>
      </c>
      <c r="E641" s="55">
        <v>46125</v>
      </c>
      <c r="F641" s="26" t="s">
        <v>948</v>
      </c>
      <c r="G641" s="26" t="s">
        <v>58</v>
      </c>
      <c r="H641" s="26" t="s">
        <v>56</v>
      </c>
      <c r="I641" s="26" t="s">
        <v>70</v>
      </c>
      <c r="J641" s="26" t="s">
        <v>58</v>
      </c>
      <c r="K641" s="27"/>
      <c r="L641" s="28" t="s">
        <v>56</v>
      </c>
      <c r="M641" s="29" t="str">
        <f t="shared" si="45"/>
        <v>✓ OK</v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4.25" customHeight="1" x14ac:dyDescent="0.3">
      <c r="A642" s="42">
        <v>638</v>
      </c>
      <c r="B642" s="43" t="s">
        <v>2558</v>
      </c>
      <c r="C642" s="44" t="s">
        <v>2559</v>
      </c>
      <c r="D642" s="42" t="s">
        <v>2253</v>
      </c>
      <c r="E642" s="55">
        <v>46125</v>
      </c>
      <c r="F642" s="26" t="s">
        <v>948</v>
      </c>
      <c r="G642" s="26" t="s">
        <v>58</v>
      </c>
      <c r="H642" s="26" t="s">
        <v>56</v>
      </c>
      <c r="I642" s="26" t="s">
        <v>70</v>
      </c>
      <c r="J642" s="26" t="s">
        <v>58</v>
      </c>
      <c r="K642" s="27"/>
      <c r="L642" s="28" t="s">
        <v>56</v>
      </c>
      <c r="M642" s="29" t="str">
        <f t="shared" si="45"/>
        <v>✓ OK</v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4.25" customHeight="1" x14ac:dyDescent="0.3">
      <c r="A643" s="23">
        <v>639</v>
      </c>
      <c r="B643" s="24" t="s">
        <v>2560</v>
      </c>
      <c r="C643" s="25" t="s">
        <v>2561</v>
      </c>
      <c r="D643" s="23" t="s">
        <v>2253</v>
      </c>
      <c r="E643" s="55">
        <v>46125</v>
      </c>
      <c r="F643" s="26" t="s">
        <v>948</v>
      </c>
      <c r="G643" s="26" t="s">
        <v>58</v>
      </c>
      <c r="H643" s="26" t="s">
        <v>56</v>
      </c>
      <c r="I643" s="26" t="s">
        <v>70</v>
      </c>
      <c r="J643" s="26" t="s">
        <v>58</v>
      </c>
      <c r="K643" s="27"/>
      <c r="L643" s="28" t="s">
        <v>56</v>
      </c>
      <c r="M643" s="29" t="str">
        <f t="shared" si="45"/>
        <v>✓ OK</v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4.25" customHeight="1" x14ac:dyDescent="0.3">
      <c r="A644" s="42">
        <v>640</v>
      </c>
      <c r="B644" s="43" t="s">
        <v>2562</v>
      </c>
      <c r="C644" s="44" t="s">
        <v>2563</v>
      </c>
      <c r="D644" s="42" t="s">
        <v>2253</v>
      </c>
      <c r="E644" s="55">
        <v>46125</v>
      </c>
      <c r="F644" s="26" t="s">
        <v>948</v>
      </c>
      <c r="G644" s="26" t="s">
        <v>58</v>
      </c>
      <c r="H644" s="26" t="s">
        <v>56</v>
      </c>
      <c r="I644" s="26" t="s">
        <v>70</v>
      </c>
      <c r="J644" s="26" t="s">
        <v>58</v>
      </c>
      <c r="K644" s="27"/>
      <c r="L644" s="28" t="s">
        <v>56</v>
      </c>
      <c r="M644" s="29" t="str">
        <f t="shared" si="45"/>
        <v>✓ OK</v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4.25" customHeight="1" x14ac:dyDescent="0.3">
      <c r="A645" s="23">
        <v>641</v>
      </c>
      <c r="B645" s="24" t="s">
        <v>2564</v>
      </c>
      <c r="C645" s="25" t="s">
        <v>2565</v>
      </c>
      <c r="D645" s="23" t="s">
        <v>2253</v>
      </c>
      <c r="E645" s="55">
        <v>46125</v>
      </c>
      <c r="F645" s="26" t="s">
        <v>948</v>
      </c>
      <c r="G645" s="26" t="s">
        <v>58</v>
      </c>
      <c r="H645" s="26" t="s">
        <v>56</v>
      </c>
      <c r="I645" s="26" t="s">
        <v>70</v>
      </c>
      <c r="J645" s="26" t="s">
        <v>58</v>
      </c>
      <c r="K645" s="27"/>
      <c r="L645" s="28" t="s">
        <v>56</v>
      </c>
      <c r="M645" s="29" t="str">
        <f t="shared" ref="M645:M708" si="50">IF(E645="","",IF(H645="Yes","❌ Disc",IF(G645="No","⚠ Missing",IF(J645="Yes","✓ OK","⚠ Check"))))</f>
        <v>✓ OK</v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4.25" customHeight="1" x14ac:dyDescent="0.3">
      <c r="A646" s="42">
        <v>642</v>
      </c>
      <c r="B646" s="43" t="s">
        <v>2566</v>
      </c>
      <c r="C646" s="44" t="s">
        <v>2567</v>
      </c>
      <c r="D646" s="42" t="s">
        <v>2253</v>
      </c>
      <c r="E646" s="55">
        <v>46125</v>
      </c>
      <c r="F646" s="26" t="s">
        <v>948</v>
      </c>
      <c r="G646" s="26" t="s">
        <v>58</v>
      </c>
      <c r="H646" s="26" t="s">
        <v>56</v>
      </c>
      <c r="I646" s="26" t="s">
        <v>70</v>
      </c>
      <c r="J646" s="26" t="s">
        <v>58</v>
      </c>
      <c r="K646" s="27"/>
      <c r="L646" s="28" t="s">
        <v>56</v>
      </c>
      <c r="M646" s="29" t="str">
        <f t="shared" si="50"/>
        <v>✓ OK</v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4.25" customHeight="1" x14ac:dyDescent="0.3">
      <c r="A647" s="23">
        <v>643</v>
      </c>
      <c r="B647" s="24" t="s">
        <v>2568</v>
      </c>
      <c r="C647" s="25" t="s">
        <v>2569</v>
      </c>
      <c r="D647" s="23" t="s">
        <v>2253</v>
      </c>
      <c r="E647" s="55">
        <v>46125</v>
      </c>
      <c r="F647" s="26" t="s">
        <v>948</v>
      </c>
      <c r="G647" s="26" t="s">
        <v>58</v>
      </c>
      <c r="H647" s="26" t="s">
        <v>56</v>
      </c>
      <c r="I647" s="26" t="s">
        <v>70</v>
      </c>
      <c r="J647" s="26" t="s">
        <v>58</v>
      </c>
      <c r="K647" s="27"/>
      <c r="L647" s="28" t="s">
        <v>56</v>
      </c>
      <c r="M647" s="29" t="str">
        <f t="shared" si="50"/>
        <v>✓ OK</v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4.25" customHeight="1" x14ac:dyDescent="0.3">
      <c r="A648" s="42">
        <v>644</v>
      </c>
      <c r="B648" s="43" t="s">
        <v>2570</v>
      </c>
      <c r="C648" s="44" t="s">
        <v>2571</v>
      </c>
      <c r="D648" s="42" t="s">
        <v>2253</v>
      </c>
      <c r="E648" s="55">
        <v>46125</v>
      </c>
      <c r="F648" s="26" t="s">
        <v>948</v>
      </c>
      <c r="G648" s="26" t="s">
        <v>58</v>
      </c>
      <c r="H648" s="26" t="s">
        <v>56</v>
      </c>
      <c r="I648" s="26" t="s">
        <v>70</v>
      </c>
      <c r="J648" s="26" t="s">
        <v>58</v>
      </c>
      <c r="K648" s="27"/>
      <c r="L648" s="28" t="s">
        <v>56</v>
      </c>
      <c r="M648" s="29" t="str">
        <f t="shared" si="50"/>
        <v>✓ OK</v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4.25" customHeight="1" x14ac:dyDescent="0.3">
      <c r="A649" s="23">
        <v>645</v>
      </c>
      <c r="B649" s="24" t="s">
        <v>2572</v>
      </c>
      <c r="C649" s="25" t="s">
        <v>2573</v>
      </c>
      <c r="D649" s="23" t="s">
        <v>2253</v>
      </c>
      <c r="E649" s="55">
        <v>46125</v>
      </c>
      <c r="F649" s="26" t="s">
        <v>948</v>
      </c>
      <c r="G649" s="26" t="s">
        <v>58</v>
      </c>
      <c r="H649" s="26" t="s">
        <v>56</v>
      </c>
      <c r="I649" s="26" t="s">
        <v>70</v>
      </c>
      <c r="J649" s="26" t="s">
        <v>58</v>
      </c>
      <c r="K649" s="27"/>
      <c r="L649" s="28" t="s">
        <v>56</v>
      </c>
      <c r="M649" s="29" t="str">
        <f t="shared" si="50"/>
        <v>✓ OK</v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4.25" customHeight="1" x14ac:dyDescent="0.3">
      <c r="A650" s="42">
        <v>646</v>
      </c>
      <c r="B650" s="43" t="s">
        <v>2574</v>
      </c>
      <c r="C650" s="44" t="s">
        <v>2575</v>
      </c>
      <c r="D650" s="42" t="s">
        <v>2253</v>
      </c>
      <c r="E650" s="55">
        <v>46125</v>
      </c>
      <c r="F650" s="26" t="s">
        <v>948</v>
      </c>
      <c r="G650" s="26" t="s">
        <v>58</v>
      </c>
      <c r="H650" s="26" t="s">
        <v>56</v>
      </c>
      <c r="I650" s="26" t="s">
        <v>70</v>
      </c>
      <c r="J650" s="26" t="s">
        <v>58</v>
      </c>
      <c r="K650" s="27"/>
      <c r="L650" s="28" t="s">
        <v>56</v>
      </c>
      <c r="M650" s="29" t="str">
        <f t="shared" si="50"/>
        <v>✓ OK</v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4.25" customHeight="1" x14ac:dyDescent="0.3">
      <c r="A651" s="23">
        <v>647</v>
      </c>
      <c r="B651" s="24" t="s">
        <v>2576</v>
      </c>
      <c r="C651" s="25" t="s">
        <v>2577</v>
      </c>
      <c r="D651" s="23" t="s">
        <v>2253</v>
      </c>
      <c r="E651" s="55">
        <v>46125</v>
      </c>
      <c r="F651" s="26" t="s">
        <v>948</v>
      </c>
      <c r="G651" s="26" t="s">
        <v>58</v>
      </c>
      <c r="H651" s="26" t="s">
        <v>56</v>
      </c>
      <c r="I651" s="26" t="s">
        <v>70</v>
      </c>
      <c r="J651" s="26" t="s">
        <v>58</v>
      </c>
      <c r="K651" s="27"/>
      <c r="L651" s="28" t="s">
        <v>56</v>
      </c>
      <c r="M651" s="29" t="str">
        <f t="shared" si="50"/>
        <v>✓ OK</v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4.25" customHeight="1" x14ac:dyDescent="0.3">
      <c r="A652" s="42">
        <v>648</v>
      </c>
      <c r="B652" s="43" t="s">
        <v>2578</v>
      </c>
      <c r="C652" s="44" t="s">
        <v>2579</v>
      </c>
      <c r="D652" s="42" t="s">
        <v>2253</v>
      </c>
      <c r="E652" s="55">
        <v>46125</v>
      </c>
      <c r="F652" s="26" t="s">
        <v>948</v>
      </c>
      <c r="G652" s="26" t="s">
        <v>58</v>
      </c>
      <c r="H652" s="26" t="s">
        <v>56</v>
      </c>
      <c r="I652" s="26" t="s">
        <v>70</v>
      </c>
      <c r="J652" s="26" t="s">
        <v>58</v>
      </c>
      <c r="K652" s="27"/>
      <c r="L652" s="28" t="s">
        <v>56</v>
      </c>
      <c r="M652" s="29" t="str">
        <f t="shared" si="50"/>
        <v>✓ OK</v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4.25" customHeight="1" x14ac:dyDescent="0.3">
      <c r="A653" s="23">
        <v>649</v>
      </c>
      <c r="B653" s="24" t="s">
        <v>2580</v>
      </c>
      <c r="C653" s="25" t="s">
        <v>2581</v>
      </c>
      <c r="D653" s="23" t="s">
        <v>2253</v>
      </c>
      <c r="E653" s="55">
        <v>46125</v>
      </c>
      <c r="F653" s="26" t="s">
        <v>948</v>
      </c>
      <c r="G653" s="26" t="s">
        <v>58</v>
      </c>
      <c r="H653" s="26" t="s">
        <v>56</v>
      </c>
      <c r="I653" s="26" t="s">
        <v>70</v>
      </c>
      <c r="J653" s="26" t="s">
        <v>58</v>
      </c>
      <c r="K653" s="27"/>
      <c r="L653" s="28" t="s">
        <v>56</v>
      </c>
      <c r="M653" s="29" t="str">
        <f t="shared" si="50"/>
        <v>✓ OK</v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4.25" customHeight="1" x14ac:dyDescent="0.3">
      <c r="A654" s="42">
        <v>650</v>
      </c>
      <c r="B654" s="43" t="s">
        <v>2582</v>
      </c>
      <c r="C654" s="44" t="s">
        <v>2583</v>
      </c>
      <c r="D654" s="42" t="s">
        <v>2253</v>
      </c>
      <c r="E654" s="55">
        <v>46125</v>
      </c>
      <c r="F654" s="26" t="s">
        <v>948</v>
      </c>
      <c r="G654" s="26" t="s">
        <v>58</v>
      </c>
      <c r="H654" s="26" t="s">
        <v>56</v>
      </c>
      <c r="I654" s="26" t="s">
        <v>70</v>
      </c>
      <c r="J654" s="26" t="s">
        <v>58</v>
      </c>
      <c r="K654" s="27"/>
      <c r="L654" s="28" t="s">
        <v>56</v>
      </c>
      <c r="M654" s="29" t="str">
        <f t="shared" si="50"/>
        <v>✓ OK</v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4.25" customHeight="1" x14ac:dyDescent="0.3">
      <c r="A655" s="23">
        <v>651</v>
      </c>
      <c r="B655" s="24" t="s">
        <v>2584</v>
      </c>
      <c r="C655" s="25" t="s">
        <v>2585</v>
      </c>
      <c r="D655" s="23" t="s">
        <v>2253</v>
      </c>
      <c r="E655" s="55">
        <v>46125</v>
      </c>
      <c r="F655" s="26" t="s">
        <v>948</v>
      </c>
      <c r="G655" s="26" t="s">
        <v>58</v>
      </c>
      <c r="H655" s="26" t="s">
        <v>56</v>
      </c>
      <c r="I655" s="26" t="s">
        <v>70</v>
      </c>
      <c r="J655" s="26" t="s">
        <v>58</v>
      </c>
      <c r="K655" s="27"/>
      <c r="L655" s="28" t="s">
        <v>56</v>
      </c>
      <c r="M655" s="29" t="str">
        <f t="shared" si="50"/>
        <v>✓ OK</v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4.25" customHeight="1" x14ac:dyDescent="0.3">
      <c r="A656" s="42">
        <v>652</v>
      </c>
      <c r="B656" s="43" t="s">
        <v>2586</v>
      </c>
      <c r="C656" s="44" t="s">
        <v>2587</v>
      </c>
      <c r="D656" s="42" t="s">
        <v>2253</v>
      </c>
      <c r="E656" s="55">
        <v>46125</v>
      </c>
      <c r="F656" s="26" t="s">
        <v>948</v>
      </c>
      <c r="G656" s="26" t="s">
        <v>58</v>
      </c>
      <c r="H656" s="26" t="s">
        <v>56</v>
      </c>
      <c r="I656" s="26" t="s">
        <v>70</v>
      </c>
      <c r="J656" s="26" t="s">
        <v>58</v>
      </c>
      <c r="K656" s="27"/>
      <c r="L656" s="28" t="s">
        <v>56</v>
      </c>
      <c r="M656" s="29" t="str">
        <f t="shared" si="50"/>
        <v>✓ OK</v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4.25" customHeight="1" x14ac:dyDescent="0.3">
      <c r="A657" s="23">
        <v>653</v>
      </c>
      <c r="B657" s="24" t="s">
        <v>2588</v>
      </c>
      <c r="C657" s="25" t="s">
        <v>2589</v>
      </c>
      <c r="D657" s="23" t="s">
        <v>2253</v>
      </c>
      <c r="E657" s="55">
        <v>46125</v>
      </c>
      <c r="F657" s="26" t="s">
        <v>948</v>
      </c>
      <c r="G657" s="26" t="s">
        <v>58</v>
      </c>
      <c r="H657" s="26" t="s">
        <v>56</v>
      </c>
      <c r="I657" s="26" t="s">
        <v>70</v>
      </c>
      <c r="J657" s="26" t="s">
        <v>58</v>
      </c>
      <c r="K657" s="27"/>
      <c r="L657" s="28" t="s">
        <v>56</v>
      </c>
      <c r="M657" s="29" t="str">
        <f t="shared" si="50"/>
        <v>✓ OK</v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4.25" customHeight="1" x14ac:dyDescent="0.3">
      <c r="A658" s="42">
        <v>654</v>
      </c>
      <c r="B658" s="43" t="s">
        <v>2590</v>
      </c>
      <c r="C658" s="44" t="s">
        <v>2591</v>
      </c>
      <c r="D658" s="42" t="s">
        <v>2253</v>
      </c>
      <c r="E658" s="55">
        <v>46125</v>
      </c>
      <c r="F658" s="26" t="s">
        <v>948</v>
      </c>
      <c r="G658" s="26" t="s">
        <v>58</v>
      </c>
      <c r="H658" s="26" t="s">
        <v>56</v>
      </c>
      <c r="I658" s="26" t="s">
        <v>70</v>
      </c>
      <c r="J658" s="26" t="s">
        <v>58</v>
      </c>
      <c r="K658" s="27"/>
      <c r="L658" s="28" t="s">
        <v>56</v>
      </c>
      <c r="M658" s="29" t="str">
        <f t="shared" si="50"/>
        <v>✓ OK</v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4.25" customHeight="1" x14ac:dyDescent="0.3">
      <c r="A659" s="23">
        <v>655</v>
      </c>
      <c r="B659" s="24" t="s">
        <v>2592</v>
      </c>
      <c r="C659" s="25" t="s">
        <v>2593</v>
      </c>
      <c r="D659" s="23" t="s">
        <v>2253</v>
      </c>
      <c r="E659" s="55">
        <v>46125</v>
      </c>
      <c r="F659" s="26" t="s">
        <v>948</v>
      </c>
      <c r="G659" s="26" t="s">
        <v>58</v>
      </c>
      <c r="H659" s="26" t="s">
        <v>56</v>
      </c>
      <c r="I659" s="26" t="s">
        <v>70</v>
      </c>
      <c r="J659" s="26" t="s">
        <v>58</v>
      </c>
      <c r="K659" s="27"/>
      <c r="L659" s="28" t="s">
        <v>56</v>
      </c>
      <c r="M659" s="29" t="str">
        <f t="shared" si="50"/>
        <v>✓ OK</v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4.25" customHeight="1" x14ac:dyDescent="0.3">
      <c r="A660" s="42">
        <v>656</v>
      </c>
      <c r="B660" s="43" t="s">
        <v>2594</v>
      </c>
      <c r="C660" s="44" t="s">
        <v>2595</v>
      </c>
      <c r="D660" s="42" t="s">
        <v>2253</v>
      </c>
      <c r="E660" s="55">
        <v>46125</v>
      </c>
      <c r="F660" s="26" t="s">
        <v>948</v>
      </c>
      <c r="G660" s="26" t="s">
        <v>58</v>
      </c>
      <c r="H660" s="26" t="s">
        <v>56</v>
      </c>
      <c r="I660" s="26" t="s">
        <v>70</v>
      </c>
      <c r="J660" s="26" t="s">
        <v>58</v>
      </c>
      <c r="K660" s="27"/>
      <c r="L660" s="28" t="s">
        <v>56</v>
      </c>
      <c r="M660" s="29" t="str">
        <f t="shared" si="50"/>
        <v>✓ OK</v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4.25" customHeight="1" x14ac:dyDescent="0.3">
      <c r="A661" s="23">
        <v>657</v>
      </c>
      <c r="B661" s="24" t="s">
        <v>2596</v>
      </c>
      <c r="C661" s="25" t="s">
        <v>2597</v>
      </c>
      <c r="D661" s="23" t="s">
        <v>2253</v>
      </c>
      <c r="E661" s="55">
        <v>46125</v>
      </c>
      <c r="F661" s="26" t="s">
        <v>948</v>
      </c>
      <c r="G661" s="26" t="s">
        <v>58</v>
      </c>
      <c r="H661" s="26" t="s">
        <v>56</v>
      </c>
      <c r="I661" s="26" t="s">
        <v>70</v>
      </c>
      <c r="J661" s="26" t="s">
        <v>58</v>
      </c>
      <c r="K661" s="27"/>
      <c r="L661" s="28" t="s">
        <v>56</v>
      </c>
      <c r="M661" s="29" t="str">
        <f t="shared" si="50"/>
        <v>✓ OK</v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4.25" customHeight="1" x14ac:dyDescent="0.3">
      <c r="A662" s="42">
        <v>658</v>
      </c>
      <c r="B662" s="43" t="s">
        <v>2598</v>
      </c>
      <c r="C662" s="44" t="s">
        <v>2599</v>
      </c>
      <c r="D662" s="42" t="s">
        <v>2253</v>
      </c>
      <c r="E662" s="55">
        <v>46125</v>
      </c>
      <c r="F662" s="26" t="s">
        <v>948</v>
      </c>
      <c r="G662" s="26" t="s">
        <v>58</v>
      </c>
      <c r="H662" s="26" t="s">
        <v>56</v>
      </c>
      <c r="I662" s="26" t="s">
        <v>70</v>
      </c>
      <c r="J662" s="26" t="s">
        <v>58</v>
      </c>
      <c r="K662" s="27"/>
      <c r="L662" s="28" t="s">
        <v>56</v>
      </c>
      <c r="M662" s="29" t="str">
        <f t="shared" si="50"/>
        <v>✓ OK</v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4.25" customHeight="1" x14ac:dyDescent="0.3">
      <c r="A663" s="23">
        <v>659</v>
      </c>
      <c r="B663" s="24" t="s">
        <v>2600</v>
      </c>
      <c r="C663" s="25" t="s">
        <v>2601</v>
      </c>
      <c r="D663" s="23" t="s">
        <v>2253</v>
      </c>
      <c r="E663" s="55">
        <v>46125</v>
      </c>
      <c r="F663" s="26" t="s">
        <v>948</v>
      </c>
      <c r="G663" s="26" t="s">
        <v>58</v>
      </c>
      <c r="H663" s="26" t="s">
        <v>56</v>
      </c>
      <c r="I663" s="26" t="s">
        <v>70</v>
      </c>
      <c r="J663" s="26" t="s">
        <v>58</v>
      </c>
      <c r="K663" s="27"/>
      <c r="L663" s="28" t="s">
        <v>56</v>
      </c>
      <c r="M663" s="29" t="str">
        <f t="shared" si="50"/>
        <v>✓ OK</v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4.25" customHeight="1" x14ac:dyDescent="0.3">
      <c r="A664" s="42">
        <v>660</v>
      </c>
      <c r="B664" s="43" t="s">
        <v>2602</v>
      </c>
      <c r="C664" s="44" t="s">
        <v>2603</v>
      </c>
      <c r="D664" s="42" t="s">
        <v>2253</v>
      </c>
      <c r="E664" s="55">
        <v>46125</v>
      </c>
      <c r="F664" s="26" t="s">
        <v>948</v>
      </c>
      <c r="G664" s="26" t="s">
        <v>58</v>
      </c>
      <c r="H664" s="26" t="s">
        <v>56</v>
      </c>
      <c r="I664" s="26" t="s">
        <v>70</v>
      </c>
      <c r="J664" s="26" t="s">
        <v>58</v>
      </c>
      <c r="K664" s="27"/>
      <c r="L664" s="28" t="s">
        <v>56</v>
      </c>
      <c r="M664" s="29" t="str">
        <f t="shared" si="50"/>
        <v>✓ OK</v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4.25" customHeight="1" x14ac:dyDescent="0.3">
      <c r="A665" s="23">
        <v>661</v>
      </c>
      <c r="B665" s="24" t="s">
        <v>2604</v>
      </c>
      <c r="C665" s="25" t="s">
        <v>2605</v>
      </c>
      <c r="D665" s="23" t="s">
        <v>2253</v>
      </c>
      <c r="E665" s="55">
        <v>46125</v>
      </c>
      <c r="F665" s="26" t="s">
        <v>948</v>
      </c>
      <c r="G665" s="26" t="s">
        <v>58</v>
      </c>
      <c r="H665" s="26" t="s">
        <v>56</v>
      </c>
      <c r="I665" s="26" t="s">
        <v>70</v>
      </c>
      <c r="J665" s="26" t="s">
        <v>58</v>
      </c>
      <c r="K665" s="27"/>
      <c r="L665" s="28" t="s">
        <v>56</v>
      </c>
      <c r="M665" s="29" t="str">
        <f t="shared" si="50"/>
        <v>✓ OK</v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4.25" customHeight="1" x14ac:dyDescent="0.3">
      <c r="A666" s="42">
        <v>662</v>
      </c>
      <c r="B666" s="43" t="s">
        <v>2606</v>
      </c>
      <c r="C666" s="44" t="s">
        <v>2607</v>
      </c>
      <c r="D666" s="42" t="s">
        <v>2253</v>
      </c>
      <c r="E666" s="55">
        <v>46125</v>
      </c>
      <c r="F666" s="26" t="s">
        <v>948</v>
      </c>
      <c r="G666" s="26" t="s">
        <v>58</v>
      </c>
      <c r="H666" s="26" t="s">
        <v>56</v>
      </c>
      <c r="I666" s="26" t="s">
        <v>70</v>
      </c>
      <c r="J666" s="26" t="s">
        <v>58</v>
      </c>
      <c r="K666" s="27"/>
      <c r="L666" s="28" t="s">
        <v>56</v>
      </c>
      <c r="M666" s="29" t="str">
        <f t="shared" si="50"/>
        <v>✓ OK</v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4.25" customHeight="1" x14ac:dyDescent="0.3">
      <c r="A667" s="23">
        <v>663</v>
      </c>
      <c r="B667" s="24" t="s">
        <v>2608</v>
      </c>
      <c r="C667" s="25" t="s">
        <v>2609</v>
      </c>
      <c r="D667" s="23" t="s">
        <v>2253</v>
      </c>
      <c r="E667" s="55">
        <v>46125</v>
      </c>
      <c r="F667" s="26" t="s">
        <v>948</v>
      </c>
      <c r="G667" s="26" t="s">
        <v>58</v>
      </c>
      <c r="H667" s="26" t="s">
        <v>56</v>
      </c>
      <c r="I667" s="26" t="s">
        <v>70</v>
      </c>
      <c r="J667" s="26" t="s">
        <v>58</v>
      </c>
      <c r="K667" s="27"/>
      <c r="L667" s="28" t="s">
        <v>56</v>
      </c>
      <c r="M667" s="29" t="str">
        <f t="shared" si="50"/>
        <v>✓ OK</v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4.25" customHeight="1" x14ac:dyDescent="0.3">
      <c r="A668" s="42">
        <v>664</v>
      </c>
      <c r="B668" s="43" t="s">
        <v>2610</v>
      </c>
      <c r="C668" s="44" t="s">
        <v>2611</v>
      </c>
      <c r="D668" s="42" t="s">
        <v>2253</v>
      </c>
      <c r="E668" s="55">
        <v>46125</v>
      </c>
      <c r="F668" s="26" t="s">
        <v>948</v>
      </c>
      <c r="G668" s="26" t="s">
        <v>58</v>
      </c>
      <c r="H668" s="26" t="s">
        <v>56</v>
      </c>
      <c r="I668" s="26" t="s">
        <v>70</v>
      </c>
      <c r="J668" s="26" t="s">
        <v>58</v>
      </c>
      <c r="K668" s="27"/>
      <c r="L668" s="28" t="s">
        <v>56</v>
      </c>
      <c r="M668" s="29" t="str">
        <f t="shared" si="50"/>
        <v>✓ OK</v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4.25" customHeight="1" x14ac:dyDescent="0.3">
      <c r="A669" s="23">
        <v>665</v>
      </c>
      <c r="B669" s="24" t="s">
        <v>2612</v>
      </c>
      <c r="C669" s="25" t="s">
        <v>2613</v>
      </c>
      <c r="D669" s="23" t="s">
        <v>2253</v>
      </c>
      <c r="E669" s="55">
        <v>46125</v>
      </c>
      <c r="F669" s="26" t="s">
        <v>948</v>
      </c>
      <c r="G669" s="26" t="s">
        <v>58</v>
      </c>
      <c r="H669" s="26" t="s">
        <v>56</v>
      </c>
      <c r="I669" s="26" t="s">
        <v>70</v>
      </c>
      <c r="J669" s="26" t="s">
        <v>58</v>
      </c>
      <c r="K669" s="27"/>
      <c r="L669" s="28" t="s">
        <v>56</v>
      </c>
      <c r="M669" s="29" t="str">
        <f t="shared" si="50"/>
        <v>✓ OK</v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4.25" customHeight="1" x14ac:dyDescent="0.3">
      <c r="A670" s="42">
        <v>666</v>
      </c>
      <c r="B670" s="43" t="s">
        <v>2614</v>
      </c>
      <c r="C670" s="44" t="s">
        <v>2615</v>
      </c>
      <c r="D670" s="42" t="s">
        <v>2253</v>
      </c>
      <c r="E670" s="55">
        <v>46125</v>
      </c>
      <c r="F670" s="26" t="s">
        <v>948</v>
      </c>
      <c r="G670" s="26" t="s">
        <v>58</v>
      </c>
      <c r="H670" s="26" t="s">
        <v>56</v>
      </c>
      <c r="I670" s="26" t="s">
        <v>70</v>
      </c>
      <c r="J670" s="26" t="s">
        <v>58</v>
      </c>
      <c r="K670" s="27"/>
      <c r="L670" s="28" t="s">
        <v>56</v>
      </c>
      <c r="M670" s="29" t="str">
        <f t="shared" si="50"/>
        <v>✓ OK</v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4.25" customHeight="1" x14ac:dyDescent="0.3">
      <c r="A671" s="23">
        <v>667</v>
      </c>
      <c r="B671" s="24" t="s">
        <v>2616</v>
      </c>
      <c r="C671" s="25" t="s">
        <v>2617</v>
      </c>
      <c r="D671" s="23" t="s">
        <v>2253</v>
      </c>
      <c r="E671" s="55">
        <v>46125</v>
      </c>
      <c r="F671" s="26" t="s">
        <v>948</v>
      </c>
      <c r="G671" s="26" t="s">
        <v>58</v>
      </c>
      <c r="H671" s="26" t="s">
        <v>56</v>
      </c>
      <c r="I671" s="26" t="s">
        <v>70</v>
      </c>
      <c r="J671" s="26" t="s">
        <v>58</v>
      </c>
      <c r="K671" s="27"/>
      <c r="L671" s="28" t="s">
        <v>56</v>
      </c>
      <c r="M671" s="29" t="str">
        <f t="shared" si="50"/>
        <v>✓ OK</v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4.25" customHeight="1" x14ac:dyDescent="0.3">
      <c r="A672" s="42">
        <v>668</v>
      </c>
      <c r="B672" s="43" t="s">
        <v>2618</v>
      </c>
      <c r="C672" s="44" t="s">
        <v>2619</v>
      </c>
      <c r="D672" s="42" t="s">
        <v>2253</v>
      </c>
      <c r="E672" s="55">
        <v>46125</v>
      </c>
      <c r="F672" s="26" t="s">
        <v>948</v>
      </c>
      <c r="G672" s="26" t="s">
        <v>58</v>
      </c>
      <c r="H672" s="26" t="s">
        <v>56</v>
      </c>
      <c r="I672" s="26" t="s">
        <v>70</v>
      </c>
      <c r="J672" s="26" t="s">
        <v>58</v>
      </c>
      <c r="K672" s="27"/>
      <c r="L672" s="28" t="s">
        <v>56</v>
      </c>
      <c r="M672" s="29" t="str">
        <f t="shared" si="50"/>
        <v>✓ OK</v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4.25" customHeight="1" x14ac:dyDescent="0.3">
      <c r="A673" s="23">
        <v>669</v>
      </c>
      <c r="B673" s="24" t="s">
        <v>2620</v>
      </c>
      <c r="C673" s="25" t="s">
        <v>2621</v>
      </c>
      <c r="D673" s="23" t="s">
        <v>2253</v>
      </c>
      <c r="E673" s="55">
        <v>46125</v>
      </c>
      <c r="F673" s="26" t="s">
        <v>948</v>
      </c>
      <c r="G673" s="26" t="s">
        <v>58</v>
      </c>
      <c r="H673" s="26" t="s">
        <v>56</v>
      </c>
      <c r="I673" s="26" t="s">
        <v>70</v>
      </c>
      <c r="J673" s="26" t="s">
        <v>58</v>
      </c>
      <c r="K673" s="27"/>
      <c r="L673" s="28" t="s">
        <v>56</v>
      </c>
      <c r="M673" s="29" t="str">
        <f t="shared" si="50"/>
        <v>✓ OK</v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4.25" customHeight="1" x14ac:dyDescent="0.3">
      <c r="A674" s="42">
        <v>670</v>
      </c>
      <c r="B674" s="43" t="s">
        <v>2622</v>
      </c>
      <c r="C674" s="44" t="s">
        <v>2623</v>
      </c>
      <c r="D674" s="42" t="s">
        <v>2253</v>
      </c>
      <c r="E674" s="55">
        <v>46125</v>
      </c>
      <c r="F674" s="26" t="s">
        <v>948</v>
      </c>
      <c r="G674" s="26" t="s">
        <v>58</v>
      </c>
      <c r="H674" s="26" t="s">
        <v>56</v>
      </c>
      <c r="I674" s="26" t="s">
        <v>70</v>
      </c>
      <c r="J674" s="26" t="s">
        <v>58</v>
      </c>
      <c r="K674" s="27"/>
      <c r="L674" s="28" t="s">
        <v>56</v>
      </c>
      <c r="M674" s="29" t="str">
        <f t="shared" si="50"/>
        <v>✓ OK</v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4.25" customHeight="1" x14ac:dyDescent="0.3">
      <c r="A675" s="23">
        <v>671</v>
      </c>
      <c r="B675" s="24" t="s">
        <v>2624</v>
      </c>
      <c r="C675" s="25" t="s">
        <v>2625</v>
      </c>
      <c r="D675" s="23" t="s">
        <v>2253</v>
      </c>
      <c r="E675" s="55">
        <v>46125</v>
      </c>
      <c r="F675" s="26" t="s">
        <v>948</v>
      </c>
      <c r="G675" s="26" t="s">
        <v>58</v>
      </c>
      <c r="H675" s="26" t="s">
        <v>56</v>
      </c>
      <c r="I675" s="26" t="s">
        <v>70</v>
      </c>
      <c r="J675" s="26" t="s">
        <v>58</v>
      </c>
      <c r="K675" s="27"/>
      <c r="L675" s="28" t="s">
        <v>56</v>
      </c>
      <c r="M675" s="29" t="str">
        <f t="shared" si="50"/>
        <v>✓ OK</v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4.25" customHeight="1" x14ac:dyDescent="0.3">
      <c r="A676" s="42">
        <v>672</v>
      </c>
      <c r="B676" s="43" t="s">
        <v>2626</v>
      </c>
      <c r="C676" s="44" t="s">
        <v>2627</v>
      </c>
      <c r="D676" s="42" t="s">
        <v>2253</v>
      </c>
      <c r="E676" s="55">
        <v>46125</v>
      </c>
      <c r="F676" s="26" t="s">
        <v>948</v>
      </c>
      <c r="G676" s="26" t="s">
        <v>58</v>
      </c>
      <c r="H676" s="26" t="s">
        <v>56</v>
      </c>
      <c r="I676" s="26" t="s">
        <v>70</v>
      </c>
      <c r="J676" s="26" t="s">
        <v>58</v>
      </c>
      <c r="K676" s="27"/>
      <c r="L676" s="28" t="s">
        <v>56</v>
      </c>
      <c r="M676" s="29" t="str">
        <f t="shared" si="50"/>
        <v>✓ OK</v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4.25" customHeight="1" x14ac:dyDescent="0.3">
      <c r="A677" s="23">
        <v>673</v>
      </c>
      <c r="B677" s="24" t="s">
        <v>2628</v>
      </c>
      <c r="C677" s="25" t="s">
        <v>2629</v>
      </c>
      <c r="D677" s="23" t="s">
        <v>2253</v>
      </c>
      <c r="E677" s="55">
        <v>46125</v>
      </c>
      <c r="F677" s="26" t="s">
        <v>948</v>
      </c>
      <c r="G677" s="26" t="s">
        <v>58</v>
      </c>
      <c r="H677" s="26" t="s">
        <v>56</v>
      </c>
      <c r="I677" s="26" t="s">
        <v>70</v>
      </c>
      <c r="J677" s="26" t="s">
        <v>58</v>
      </c>
      <c r="K677" s="27"/>
      <c r="L677" s="28" t="s">
        <v>56</v>
      </c>
      <c r="M677" s="29" t="str">
        <f t="shared" si="50"/>
        <v>✓ OK</v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4.25" customHeight="1" x14ac:dyDescent="0.3">
      <c r="A678" s="42">
        <v>674</v>
      </c>
      <c r="B678" s="43" t="s">
        <v>2630</v>
      </c>
      <c r="C678" s="44" t="s">
        <v>2631</v>
      </c>
      <c r="D678" s="42" t="s">
        <v>2253</v>
      </c>
      <c r="E678" s="55">
        <v>46125</v>
      </c>
      <c r="F678" s="26" t="s">
        <v>948</v>
      </c>
      <c r="G678" s="26" t="s">
        <v>58</v>
      </c>
      <c r="H678" s="26" t="s">
        <v>56</v>
      </c>
      <c r="I678" s="26" t="s">
        <v>70</v>
      </c>
      <c r="J678" s="26" t="s">
        <v>58</v>
      </c>
      <c r="K678" s="27"/>
      <c r="L678" s="28" t="s">
        <v>56</v>
      </c>
      <c r="M678" s="29" t="str">
        <f t="shared" si="50"/>
        <v>✓ OK</v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4.25" customHeight="1" x14ac:dyDescent="0.3">
      <c r="A679" s="23">
        <v>675</v>
      </c>
      <c r="B679" s="24" t="s">
        <v>2632</v>
      </c>
      <c r="C679" s="25" t="s">
        <v>2633</v>
      </c>
      <c r="D679" s="23" t="s">
        <v>2253</v>
      </c>
      <c r="E679" s="55">
        <v>46125</v>
      </c>
      <c r="F679" s="26" t="s">
        <v>948</v>
      </c>
      <c r="G679" s="26" t="s">
        <v>58</v>
      </c>
      <c r="H679" s="26" t="s">
        <v>56</v>
      </c>
      <c r="I679" s="26" t="s">
        <v>70</v>
      </c>
      <c r="J679" s="26" t="s">
        <v>58</v>
      </c>
      <c r="K679" s="27"/>
      <c r="L679" s="28" t="s">
        <v>56</v>
      </c>
      <c r="M679" s="29" t="str">
        <f t="shared" si="50"/>
        <v>✓ OK</v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4.25" customHeight="1" x14ac:dyDescent="0.3">
      <c r="A680" s="42">
        <v>676</v>
      </c>
      <c r="B680" s="43" t="s">
        <v>2634</v>
      </c>
      <c r="C680" s="44" t="s">
        <v>2635</v>
      </c>
      <c r="D680" s="42" t="s">
        <v>2253</v>
      </c>
      <c r="E680" s="55">
        <v>46125</v>
      </c>
      <c r="F680" s="26" t="s">
        <v>948</v>
      </c>
      <c r="G680" s="26" t="s">
        <v>58</v>
      </c>
      <c r="H680" s="26" t="s">
        <v>56</v>
      </c>
      <c r="I680" s="26" t="s">
        <v>70</v>
      </c>
      <c r="J680" s="26" t="s">
        <v>58</v>
      </c>
      <c r="K680" s="27"/>
      <c r="L680" s="28" t="s">
        <v>56</v>
      </c>
      <c r="M680" s="29" t="str">
        <f t="shared" si="50"/>
        <v>✓ OK</v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4.25" customHeight="1" x14ac:dyDescent="0.3">
      <c r="A681" s="23">
        <v>677</v>
      </c>
      <c r="B681" s="24" t="s">
        <v>2636</v>
      </c>
      <c r="C681" s="25" t="s">
        <v>2637</v>
      </c>
      <c r="D681" s="23" t="s">
        <v>2253</v>
      </c>
      <c r="E681" s="55">
        <v>46125</v>
      </c>
      <c r="F681" s="26" t="s">
        <v>948</v>
      </c>
      <c r="G681" s="26" t="s">
        <v>58</v>
      </c>
      <c r="H681" s="26" t="s">
        <v>56</v>
      </c>
      <c r="I681" s="26" t="s">
        <v>70</v>
      </c>
      <c r="J681" s="26" t="s">
        <v>58</v>
      </c>
      <c r="K681" s="27"/>
      <c r="L681" s="28" t="s">
        <v>56</v>
      </c>
      <c r="M681" s="29" t="str">
        <f t="shared" si="50"/>
        <v>✓ OK</v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4.25" customHeight="1" x14ac:dyDescent="0.3">
      <c r="A682" s="42">
        <v>678</v>
      </c>
      <c r="B682" s="43" t="s">
        <v>2638</v>
      </c>
      <c r="C682" s="44" t="s">
        <v>2639</v>
      </c>
      <c r="D682" s="42" t="s">
        <v>2253</v>
      </c>
      <c r="E682" s="55">
        <v>46125</v>
      </c>
      <c r="F682" s="26" t="s">
        <v>948</v>
      </c>
      <c r="G682" s="26" t="s">
        <v>58</v>
      </c>
      <c r="H682" s="26" t="s">
        <v>56</v>
      </c>
      <c r="I682" s="26" t="s">
        <v>70</v>
      </c>
      <c r="J682" s="26" t="s">
        <v>58</v>
      </c>
      <c r="K682" s="27"/>
      <c r="L682" s="28" t="s">
        <v>56</v>
      </c>
      <c r="M682" s="29" t="str">
        <f t="shared" si="50"/>
        <v>✓ OK</v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4.25" customHeight="1" x14ac:dyDescent="0.3">
      <c r="A683" s="23">
        <v>679</v>
      </c>
      <c r="B683" s="24" t="s">
        <v>2640</v>
      </c>
      <c r="C683" s="25" t="s">
        <v>2641</v>
      </c>
      <c r="D683" s="23" t="s">
        <v>2253</v>
      </c>
      <c r="E683" s="55">
        <v>46125</v>
      </c>
      <c r="F683" s="26" t="s">
        <v>948</v>
      </c>
      <c r="G683" s="26" t="s">
        <v>58</v>
      </c>
      <c r="H683" s="26" t="s">
        <v>56</v>
      </c>
      <c r="I683" s="26" t="s">
        <v>70</v>
      </c>
      <c r="J683" s="26" t="s">
        <v>58</v>
      </c>
      <c r="K683" s="27"/>
      <c r="L683" s="28" t="s">
        <v>56</v>
      </c>
      <c r="M683" s="29" t="str">
        <f t="shared" si="50"/>
        <v>✓ OK</v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4.25" customHeight="1" x14ac:dyDescent="0.3">
      <c r="A684" s="42">
        <v>680</v>
      </c>
      <c r="B684" s="43" t="s">
        <v>2642</v>
      </c>
      <c r="C684" s="44" t="s">
        <v>2643</v>
      </c>
      <c r="D684" s="42" t="s">
        <v>2253</v>
      </c>
      <c r="E684" s="55">
        <v>46125</v>
      </c>
      <c r="F684" s="26" t="s">
        <v>948</v>
      </c>
      <c r="G684" s="26" t="s">
        <v>58</v>
      </c>
      <c r="H684" s="26" t="s">
        <v>56</v>
      </c>
      <c r="I684" s="26" t="s">
        <v>70</v>
      </c>
      <c r="J684" s="26" t="s">
        <v>58</v>
      </c>
      <c r="K684" s="27"/>
      <c r="L684" s="28" t="s">
        <v>56</v>
      </c>
      <c r="M684" s="29" t="str">
        <f t="shared" si="50"/>
        <v>✓ OK</v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4.25" customHeight="1" x14ac:dyDescent="0.3">
      <c r="A685" s="23">
        <v>681</v>
      </c>
      <c r="B685" s="24" t="s">
        <v>2644</v>
      </c>
      <c r="C685" s="25" t="s">
        <v>2645</v>
      </c>
      <c r="D685" s="23" t="s">
        <v>2253</v>
      </c>
      <c r="E685" s="55">
        <v>46125</v>
      </c>
      <c r="F685" s="26" t="s">
        <v>948</v>
      </c>
      <c r="G685" s="26" t="s">
        <v>58</v>
      </c>
      <c r="H685" s="26" t="s">
        <v>56</v>
      </c>
      <c r="I685" s="26" t="s">
        <v>70</v>
      </c>
      <c r="J685" s="26" t="s">
        <v>58</v>
      </c>
      <c r="K685" s="27"/>
      <c r="L685" s="28" t="s">
        <v>56</v>
      </c>
      <c r="M685" s="29" t="str">
        <f t="shared" si="50"/>
        <v>✓ OK</v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4.25" customHeight="1" x14ac:dyDescent="0.3">
      <c r="A686" s="42">
        <v>682</v>
      </c>
      <c r="B686" s="43" t="s">
        <v>2646</v>
      </c>
      <c r="C686" s="44" t="s">
        <v>2647</v>
      </c>
      <c r="D686" s="42" t="s">
        <v>2253</v>
      </c>
      <c r="E686" s="55">
        <v>46125</v>
      </c>
      <c r="F686" s="26" t="s">
        <v>948</v>
      </c>
      <c r="G686" s="26" t="s">
        <v>58</v>
      </c>
      <c r="H686" s="26" t="s">
        <v>56</v>
      </c>
      <c r="I686" s="26" t="s">
        <v>70</v>
      </c>
      <c r="J686" s="26" t="s">
        <v>58</v>
      </c>
      <c r="K686" s="27"/>
      <c r="L686" s="28" t="s">
        <v>56</v>
      </c>
      <c r="M686" s="29" t="str">
        <f t="shared" si="50"/>
        <v>✓ OK</v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4.25" customHeight="1" x14ac:dyDescent="0.3">
      <c r="A687" s="23">
        <v>683</v>
      </c>
      <c r="B687" s="24" t="s">
        <v>2648</v>
      </c>
      <c r="C687" s="25" t="s">
        <v>2649</v>
      </c>
      <c r="D687" s="23" t="s">
        <v>2253</v>
      </c>
      <c r="E687" s="55">
        <v>46125</v>
      </c>
      <c r="F687" s="26" t="s">
        <v>948</v>
      </c>
      <c r="G687" s="26" t="s">
        <v>58</v>
      </c>
      <c r="H687" s="26" t="s">
        <v>56</v>
      </c>
      <c r="I687" s="26" t="s">
        <v>70</v>
      </c>
      <c r="J687" s="26" t="s">
        <v>58</v>
      </c>
      <c r="K687" s="27"/>
      <c r="L687" s="28" t="s">
        <v>56</v>
      </c>
      <c r="M687" s="29" t="str">
        <f t="shared" si="50"/>
        <v>✓ OK</v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4.25" customHeight="1" x14ac:dyDescent="0.3">
      <c r="A688" s="42">
        <v>684</v>
      </c>
      <c r="B688" s="43" t="s">
        <v>2650</v>
      </c>
      <c r="C688" s="44" t="s">
        <v>2651</v>
      </c>
      <c r="D688" s="42" t="s">
        <v>2253</v>
      </c>
      <c r="E688" s="55">
        <v>46125</v>
      </c>
      <c r="F688" s="26" t="s">
        <v>948</v>
      </c>
      <c r="G688" s="26" t="s">
        <v>58</v>
      </c>
      <c r="H688" s="26" t="s">
        <v>56</v>
      </c>
      <c r="I688" s="26" t="s">
        <v>70</v>
      </c>
      <c r="J688" s="26" t="s">
        <v>58</v>
      </c>
      <c r="K688" s="27"/>
      <c r="L688" s="28" t="s">
        <v>56</v>
      </c>
      <c r="M688" s="29" t="str">
        <f t="shared" si="50"/>
        <v>✓ OK</v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4.25" customHeight="1" x14ac:dyDescent="0.3">
      <c r="A689" s="23">
        <v>685</v>
      </c>
      <c r="B689" s="24" t="s">
        <v>2652</v>
      </c>
      <c r="C689" s="25" t="s">
        <v>2653</v>
      </c>
      <c r="D689" s="23" t="s">
        <v>2253</v>
      </c>
      <c r="E689" s="55">
        <v>46125</v>
      </c>
      <c r="F689" s="26" t="s">
        <v>948</v>
      </c>
      <c r="G689" s="26" t="s">
        <v>58</v>
      </c>
      <c r="H689" s="26" t="s">
        <v>56</v>
      </c>
      <c r="I689" s="26" t="s">
        <v>70</v>
      </c>
      <c r="J689" s="26" t="s">
        <v>58</v>
      </c>
      <c r="K689" s="27"/>
      <c r="L689" s="28" t="s">
        <v>56</v>
      </c>
      <c r="M689" s="29" t="str">
        <f t="shared" si="50"/>
        <v>✓ OK</v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4.25" customHeight="1" x14ac:dyDescent="0.3">
      <c r="A690" s="42">
        <v>686</v>
      </c>
      <c r="B690" s="43" t="s">
        <v>2654</v>
      </c>
      <c r="C690" s="44" t="s">
        <v>2655</v>
      </c>
      <c r="D690" s="42" t="s">
        <v>2253</v>
      </c>
      <c r="E690" s="55">
        <v>46125</v>
      </c>
      <c r="F690" s="26" t="s">
        <v>948</v>
      </c>
      <c r="G690" s="26" t="s">
        <v>58</v>
      </c>
      <c r="H690" s="26" t="s">
        <v>56</v>
      </c>
      <c r="I690" s="26" t="s">
        <v>70</v>
      </c>
      <c r="J690" s="26" t="s">
        <v>58</v>
      </c>
      <c r="K690" s="27"/>
      <c r="L690" s="28" t="s">
        <v>56</v>
      </c>
      <c r="M690" s="29" t="str">
        <f t="shared" si="50"/>
        <v>✓ OK</v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4.25" customHeight="1" x14ac:dyDescent="0.3">
      <c r="A691" s="23">
        <v>687</v>
      </c>
      <c r="B691" s="24" t="s">
        <v>2656</v>
      </c>
      <c r="C691" s="25" t="s">
        <v>2657</v>
      </c>
      <c r="D691" s="23" t="s">
        <v>2253</v>
      </c>
      <c r="E691" s="55">
        <v>46125</v>
      </c>
      <c r="F691" s="26" t="s">
        <v>948</v>
      </c>
      <c r="G691" s="26" t="s">
        <v>58</v>
      </c>
      <c r="H691" s="26" t="s">
        <v>56</v>
      </c>
      <c r="I691" s="26" t="s">
        <v>70</v>
      </c>
      <c r="J691" s="26" t="s">
        <v>58</v>
      </c>
      <c r="K691" s="27"/>
      <c r="L691" s="28" t="s">
        <v>56</v>
      </c>
      <c r="M691" s="29" t="str">
        <f t="shared" si="50"/>
        <v>✓ OK</v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4.25" customHeight="1" x14ac:dyDescent="0.3">
      <c r="A692" s="42">
        <v>688</v>
      </c>
      <c r="B692" s="43" t="s">
        <v>2658</v>
      </c>
      <c r="C692" s="44" t="s">
        <v>2659</v>
      </c>
      <c r="D692" s="42" t="s">
        <v>2253</v>
      </c>
      <c r="E692" s="55">
        <v>46125</v>
      </c>
      <c r="F692" s="26" t="s">
        <v>948</v>
      </c>
      <c r="G692" s="26" t="s">
        <v>58</v>
      </c>
      <c r="H692" s="26" t="s">
        <v>56</v>
      </c>
      <c r="I692" s="26" t="s">
        <v>70</v>
      </c>
      <c r="J692" s="26" t="s">
        <v>58</v>
      </c>
      <c r="K692" s="27"/>
      <c r="L692" s="28" t="s">
        <v>56</v>
      </c>
      <c r="M692" s="29" t="str">
        <f t="shared" si="50"/>
        <v>✓ OK</v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4.25" customHeight="1" x14ac:dyDescent="0.3">
      <c r="A693" s="23">
        <v>689</v>
      </c>
      <c r="B693" s="24" t="s">
        <v>2660</v>
      </c>
      <c r="C693" s="25" t="s">
        <v>2661</v>
      </c>
      <c r="D693" s="23" t="s">
        <v>2253</v>
      </c>
      <c r="E693" s="55">
        <v>46125</v>
      </c>
      <c r="F693" s="26" t="s">
        <v>948</v>
      </c>
      <c r="G693" s="26" t="s">
        <v>58</v>
      </c>
      <c r="H693" s="26" t="s">
        <v>56</v>
      </c>
      <c r="I693" s="26" t="s">
        <v>70</v>
      </c>
      <c r="J693" s="26" t="s">
        <v>58</v>
      </c>
      <c r="K693" s="27"/>
      <c r="L693" s="28" t="s">
        <v>56</v>
      </c>
      <c r="M693" s="29" t="str">
        <f t="shared" si="50"/>
        <v>✓ OK</v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4.25" customHeight="1" x14ac:dyDescent="0.3">
      <c r="A694" s="42">
        <v>690</v>
      </c>
      <c r="B694" s="43" t="s">
        <v>2662</v>
      </c>
      <c r="C694" s="44" t="s">
        <v>2663</v>
      </c>
      <c r="D694" s="42" t="s">
        <v>2253</v>
      </c>
      <c r="E694" s="55">
        <v>46125</v>
      </c>
      <c r="F694" s="26" t="s">
        <v>948</v>
      </c>
      <c r="G694" s="26" t="s">
        <v>58</v>
      </c>
      <c r="H694" s="26" t="s">
        <v>56</v>
      </c>
      <c r="I694" s="26" t="s">
        <v>70</v>
      </c>
      <c r="J694" s="26" t="s">
        <v>58</v>
      </c>
      <c r="K694" s="27"/>
      <c r="L694" s="28" t="s">
        <v>56</v>
      </c>
      <c r="M694" s="29" t="str">
        <f t="shared" si="50"/>
        <v>✓ OK</v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4.25" customHeight="1" x14ac:dyDescent="0.3">
      <c r="A695" s="23">
        <v>691</v>
      </c>
      <c r="B695" s="24" t="s">
        <v>2664</v>
      </c>
      <c r="C695" s="25" t="s">
        <v>2665</v>
      </c>
      <c r="D695" s="23" t="s">
        <v>2253</v>
      </c>
      <c r="E695" s="55">
        <v>46125</v>
      </c>
      <c r="F695" s="26" t="s">
        <v>948</v>
      </c>
      <c r="G695" s="26" t="s">
        <v>58</v>
      </c>
      <c r="H695" s="26" t="s">
        <v>56</v>
      </c>
      <c r="I695" s="26" t="s">
        <v>70</v>
      </c>
      <c r="J695" s="26" t="s">
        <v>58</v>
      </c>
      <c r="K695" s="27"/>
      <c r="L695" s="28" t="s">
        <v>56</v>
      </c>
      <c r="M695" s="29" t="str">
        <f t="shared" si="50"/>
        <v>✓ OK</v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4.25" customHeight="1" x14ac:dyDescent="0.3">
      <c r="A696" s="42">
        <v>692</v>
      </c>
      <c r="B696" s="43" t="s">
        <v>2666</v>
      </c>
      <c r="C696" s="44" t="s">
        <v>2667</v>
      </c>
      <c r="D696" s="42" t="s">
        <v>2253</v>
      </c>
      <c r="E696" s="55">
        <v>46125</v>
      </c>
      <c r="F696" s="26" t="s">
        <v>948</v>
      </c>
      <c r="G696" s="26" t="s">
        <v>58</v>
      </c>
      <c r="H696" s="26" t="s">
        <v>56</v>
      </c>
      <c r="I696" s="26" t="s">
        <v>70</v>
      </c>
      <c r="J696" s="26" t="s">
        <v>58</v>
      </c>
      <c r="K696" s="27"/>
      <c r="L696" s="28" t="s">
        <v>56</v>
      </c>
      <c r="M696" s="29" t="str">
        <f t="shared" si="50"/>
        <v>✓ OK</v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4.25" customHeight="1" x14ac:dyDescent="0.3">
      <c r="A697" s="23">
        <v>693</v>
      </c>
      <c r="B697" s="24" t="s">
        <v>2668</v>
      </c>
      <c r="C697" s="25" t="s">
        <v>2669</v>
      </c>
      <c r="D697" s="23" t="s">
        <v>2253</v>
      </c>
      <c r="E697" s="55">
        <v>46125</v>
      </c>
      <c r="F697" s="26" t="s">
        <v>948</v>
      </c>
      <c r="G697" s="26" t="s">
        <v>58</v>
      </c>
      <c r="H697" s="26" t="s">
        <v>56</v>
      </c>
      <c r="I697" s="26" t="s">
        <v>70</v>
      </c>
      <c r="J697" s="26" t="s">
        <v>58</v>
      </c>
      <c r="K697" s="27"/>
      <c r="L697" s="28" t="s">
        <v>56</v>
      </c>
      <c r="M697" s="29" t="str">
        <f t="shared" si="50"/>
        <v>✓ OK</v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4.25" customHeight="1" x14ac:dyDescent="0.3">
      <c r="A698" s="42">
        <v>694</v>
      </c>
      <c r="B698" s="43" t="s">
        <v>2670</v>
      </c>
      <c r="C698" s="44" t="s">
        <v>2671</v>
      </c>
      <c r="D698" s="42" t="s">
        <v>2253</v>
      </c>
      <c r="E698" s="55">
        <v>46125</v>
      </c>
      <c r="F698" s="26" t="s">
        <v>948</v>
      </c>
      <c r="G698" s="26" t="s">
        <v>58</v>
      </c>
      <c r="H698" s="26" t="s">
        <v>56</v>
      </c>
      <c r="I698" s="26" t="s">
        <v>70</v>
      </c>
      <c r="J698" s="26" t="s">
        <v>58</v>
      </c>
      <c r="K698" s="27"/>
      <c r="L698" s="28" t="s">
        <v>56</v>
      </c>
      <c r="M698" s="29" t="str">
        <f t="shared" si="50"/>
        <v>✓ OK</v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4.25" customHeight="1" x14ac:dyDescent="0.3">
      <c r="A699" s="23">
        <v>695</v>
      </c>
      <c r="B699" s="24" t="s">
        <v>2672</v>
      </c>
      <c r="C699" s="25" t="s">
        <v>2673</v>
      </c>
      <c r="D699" s="23" t="s">
        <v>2253</v>
      </c>
      <c r="E699" s="55">
        <v>46125</v>
      </c>
      <c r="F699" s="26" t="s">
        <v>948</v>
      </c>
      <c r="G699" s="26" t="s">
        <v>58</v>
      </c>
      <c r="H699" s="26" t="s">
        <v>56</v>
      </c>
      <c r="I699" s="26" t="s">
        <v>70</v>
      </c>
      <c r="J699" s="26" t="s">
        <v>58</v>
      </c>
      <c r="K699" s="27"/>
      <c r="L699" s="28" t="s">
        <v>56</v>
      </c>
      <c r="M699" s="29" t="str">
        <f t="shared" si="50"/>
        <v>✓ OK</v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4.25" customHeight="1" x14ac:dyDescent="0.3">
      <c r="A700" s="42">
        <v>696</v>
      </c>
      <c r="B700" s="43" t="s">
        <v>2674</v>
      </c>
      <c r="C700" s="44" t="s">
        <v>2675</v>
      </c>
      <c r="D700" s="42" t="s">
        <v>2253</v>
      </c>
      <c r="E700" s="55">
        <v>46125</v>
      </c>
      <c r="F700" s="26" t="s">
        <v>948</v>
      </c>
      <c r="G700" s="26" t="s">
        <v>58</v>
      </c>
      <c r="H700" s="26" t="s">
        <v>56</v>
      </c>
      <c r="I700" s="26" t="s">
        <v>70</v>
      </c>
      <c r="J700" s="26" t="s">
        <v>58</v>
      </c>
      <c r="K700" s="27"/>
      <c r="L700" s="28" t="s">
        <v>56</v>
      </c>
      <c r="M700" s="29" t="str">
        <f t="shared" si="50"/>
        <v>✓ OK</v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4.25" customHeight="1" x14ac:dyDescent="0.3">
      <c r="A701" s="23">
        <v>697</v>
      </c>
      <c r="B701" s="24" t="s">
        <v>2676</v>
      </c>
      <c r="C701" s="25" t="s">
        <v>2677</v>
      </c>
      <c r="D701" s="23" t="s">
        <v>2253</v>
      </c>
      <c r="E701" s="55">
        <v>46125</v>
      </c>
      <c r="F701" s="26" t="s">
        <v>948</v>
      </c>
      <c r="G701" s="26" t="s">
        <v>58</v>
      </c>
      <c r="H701" s="26" t="s">
        <v>56</v>
      </c>
      <c r="I701" s="26" t="s">
        <v>70</v>
      </c>
      <c r="J701" s="26" t="s">
        <v>58</v>
      </c>
      <c r="K701" s="27"/>
      <c r="L701" s="28" t="s">
        <v>56</v>
      </c>
      <c r="M701" s="29" t="str">
        <f t="shared" si="50"/>
        <v>✓ OK</v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4.25" customHeight="1" x14ac:dyDescent="0.3">
      <c r="A702" s="42">
        <v>698</v>
      </c>
      <c r="B702" s="43" t="s">
        <v>2678</v>
      </c>
      <c r="C702" s="44" t="s">
        <v>2679</v>
      </c>
      <c r="D702" s="42" t="s">
        <v>2253</v>
      </c>
      <c r="E702" s="55">
        <v>46125</v>
      </c>
      <c r="F702" s="26" t="s">
        <v>948</v>
      </c>
      <c r="G702" s="26" t="s">
        <v>58</v>
      </c>
      <c r="H702" s="26" t="s">
        <v>56</v>
      </c>
      <c r="I702" s="26" t="s">
        <v>70</v>
      </c>
      <c r="J702" s="26" t="s">
        <v>58</v>
      </c>
      <c r="K702" s="27"/>
      <c r="L702" s="28" t="s">
        <v>56</v>
      </c>
      <c r="M702" s="29" t="str">
        <f t="shared" si="50"/>
        <v>✓ OK</v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4.25" customHeight="1" x14ac:dyDescent="0.3">
      <c r="A703" s="23">
        <v>699</v>
      </c>
      <c r="B703" s="24" t="s">
        <v>2680</v>
      </c>
      <c r="C703" s="25" t="s">
        <v>2681</v>
      </c>
      <c r="D703" s="23" t="s">
        <v>2253</v>
      </c>
      <c r="E703" s="55">
        <v>46125</v>
      </c>
      <c r="F703" s="26" t="s">
        <v>948</v>
      </c>
      <c r="G703" s="26" t="s">
        <v>58</v>
      </c>
      <c r="H703" s="26" t="s">
        <v>56</v>
      </c>
      <c r="I703" s="26" t="s">
        <v>70</v>
      </c>
      <c r="J703" s="26" t="s">
        <v>58</v>
      </c>
      <c r="K703" s="27"/>
      <c r="L703" s="28" t="s">
        <v>56</v>
      </c>
      <c r="M703" s="29" t="str">
        <f t="shared" si="50"/>
        <v>✓ OK</v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4.25" customHeight="1" x14ac:dyDescent="0.3">
      <c r="A704" s="42">
        <v>700</v>
      </c>
      <c r="B704" s="43" t="s">
        <v>2682</v>
      </c>
      <c r="C704" s="44" t="s">
        <v>2683</v>
      </c>
      <c r="D704" s="42" t="s">
        <v>2253</v>
      </c>
      <c r="E704" s="55">
        <v>46125</v>
      </c>
      <c r="F704" s="26" t="s">
        <v>948</v>
      </c>
      <c r="G704" s="26" t="s">
        <v>58</v>
      </c>
      <c r="H704" s="26" t="s">
        <v>56</v>
      </c>
      <c r="I704" s="26" t="s">
        <v>70</v>
      </c>
      <c r="J704" s="26" t="s">
        <v>58</v>
      </c>
      <c r="K704" s="27"/>
      <c r="L704" s="28" t="s">
        <v>56</v>
      </c>
      <c r="M704" s="29" t="str">
        <f t="shared" si="50"/>
        <v>✓ OK</v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4.25" customHeight="1" x14ac:dyDescent="0.3">
      <c r="A705" s="23">
        <v>701</v>
      </c>
      <c r="B705" s="24" t="s">
        <v>2684</v>
      </c>
      <c r="C705" s="25" t="s">
        <v>2685</v>
      </c>
      <c r="D705" s="23" t="s">
        <v>2253</v>
      </c>
      <c r="E705" s="55">
        <v>46125</v>
      </c>
      <c r="F705" s="26" t="s">
        <v>948</v>
      </c>
      <c r="G705" s="26" t="s">
        <v>58</v>
      </c>
      <c r="H705" s="26" t="s">
        <v>56</v>
      </c>
      <c r="I705" s="26" t="s">
        <v>70</v>
      </c>
      <c r="J705" s="26" t="s">
        <v>58</v>
      </c>
      <c r="K705" s="27"/>
      <c r="L705" s="28" t="s">
        <v>56</v>
      </c>
      <c r="M705" s="29" t="str">
        <f t="shared" si="50"/>
        <v>✓ OK</v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4.25" customHeight="1" x14ac:dyDescent="0.3">
      <c r="A706" s="42">
        <v>702</v>
      </c>
      <c r="B706" s="43" t="s">
        <v>2686</v>
      </c>
      <c r="C706" s="44" t="s">
        <v>2687</v>
      </c>
      <c r="D706" s="42" t="s">
        <v>2253</v>
      </c>
      <c r="E706" s="55">
        <v>46125</v>
      </c>
      <c r="F706" s="26" t="s">
        <v>948</v>
      </c>
      <c r="G706" s="26" t="s">
        <v>58</v>
      </c>
      <c r="H706" s="26" t="s">
        <v>56</v>
      </c>
      <c r="I706" s="26" t="s">
        <v>70</v>
      </c>
      <c r="J706" s="26" t="s">
        <v>58</v>
      </c>
      <c r="K706" s="27"/>
      <c r="L706" s="28" t="s">
        <v>56</v>
      </c>
      <c r="M706" s="29" t="str">
        <f t="shared" si="50"/>
        <v>✓ OK</v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4.25" customHeight="1" x14ac:dyDescent="0.3">
      <c r="A707" s="23">
        <v>703</v>
      </c>
      <c r="B707" s="24" t="s">
        <v>2688</v>
      </c>
      <c r="C707" s="25" t="s">
        <v>2689</v>
      </c>
      <c r="D707" s="23" t="s">
        <v>2253</v>
      </c>
      <c r="E707" s="55">
        <v>46125</v>
      </c>
      <c r="F707" s="26" t="s">
        <v>948</v>
      </c>
      <c r="G707" s="26" t="s">
        <v>58</v>
      </c>
      <c r="H707" s="26" t="s">
        <v>56</v>
      </c>
      <c r="I707" s="26" t="s">
        <v>70</v>
      </c>
      <c r="J707" s="26" t="s">
        <v>58</v>
      </c>
      <c r="K707" s="27"/>
      <c r="L707" s="28" t="s">
        <v>56</v>
      </c>
      <c r="M707" s="29" t="str">
        <f t="shared" si="50"/>
        <v>✓ OK</v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4.25" customHeight="1" x14ac:dyDescent="0.3">
      <c r="A708" s="42">
        <v>704</v>
      </c>
      <c r="B708" s="43" t="s">
        <v>2690</v>
      </c>
      <c r="C708" s="44" t="s">
        <v>2691</v>
      </c>
      <c r="D708" s="42" t="s">
        <v>2253</v>
      </c>
      <c r="E708" s="55">
        <v>46125</v>
      </c>
      <c r="F708" s="26" t="s">
        <v>948</v>
      </c>
      <c r="G708" s="26" t="s">
        <v>58</v>
      </c>
      <c r="H708" s="26" t="s">
        <v>56</v>
      </c>
      <c r="I708" s="26" t="s">
        <v>70</v>
      </c>
      <c r="J708" s="26" t="s">
        <v>58</v>
      </c>
      <c r="K708" s="27"/>
      <c r="L708" s="28" t="s">
        <v>56</v>
      </c>
      <c r="M708" s="29" t="str">
        <f t="shared" si="50"/>
        <v>✓ OK</v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4.25" customHeight="1" x14ac:dyDescent="0.3">
      <c r="A709" s="23">
        <v>705</v>
      </c>
      <c r="B709" s="24" t="s">
        <v>2692</v>
      </c>
      <c r="C709" s="25" t="s">
        <v>2693</v>
      </c>
      <c r="D709" s="23" t="s">
        <v>2253</v>
      </c>
      <c r="E709" s="55">
        <v>46125</v>
      </c>
      <c r="F709" s="26" t="s">
        <v>948</v>
      </c>
      <c r="G709" s="26" t="s">
        <v>58</v>
      </c>
      <c r="H709" s="26" t="s">
        <v>56</v>
      </c>
      <c r="I709" s="26" t="s">
        <v>70</v>
      </c>
      <c r="J709" s="26" t="s">
        <v>58</v>
      </c>
      <c r="K709" s="27"/>
      <c r="L709" s="28" t="s">
        <v>56</v>
      </c>
      <c r="M709" s="29" t="str">
        <f t="shared" ref="M709:M772" si="55">IF(E709="","",IF(H709="Yes","❌ Disc",IF(G709="No","⚠ Missing",IF(J709="Yes","✓ OK","⚠ Check"))))</f>
        <v>✓ OK</v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4.25" customHeight="1" x14ac:dyDescent="0.3">
      <c r="A710" s="42">
        <v>706</v>
      </c>
      <c r="B710" s="43" t="s">
        <v>2694</v>
      </c>
      <c r="C710" s="44" t="s">
        <v>2695</v>
      </c>
      <c r="D710" s="42" t="s">
        <v>2253</v>
      </c>
      <c r="E710" s="55">
        <v>46125</v>
      </c>
      <c r="F710" s="26" t="s">
        <v>948</v>
      </c>
      <c r="G710" s="26" t="s">
        <v>58</v>
      </c>
      <c r="H710" s="26" t="s">
        <v>56</v>
      </c>
      <c r="I710" s="26" t="s">
        <v>70</v>
      </c>
      <c r="J710" s="26" t="s">
        <v>58</v>
      </c>
      <c r="K710" s="27"/>
      <c r="L710" s="28" t="s">
        <v>56</v>
      </c>
      <c r="M710" s="29" t="str">
        <f t="shared" si="55"/>
        <v>✓ OK</v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4.25" customHeight="1" x14ac:dyDescent="0.3">
      <c r="A711" s="23">
        <v>707</v>
      </c>
      <c r="B711" s="24" t="s">
        <v>2696</v>
      </c>
      <c r="C711" s="25" t="s">
        <v>2697</v>
      </c>
      <c r="D711" s="23" t="s">
        <v>2253</v>
      </c>
      <c r="E711" s="55">
        <v>46125</v>
      </c>
      <c r="F711" s="26" t="s">
        <v>948</v>
      </c>
      <c r="G711" s="26" t="s">
        <v>58</v>
      </c>
      <c r="H711" s="26" t="s">
        <v>56</v>
      </c>
      <c r="I711" s="26" t="s">
        <v>70</v>
      </c>
      <c r="J711" s="26" t="s">
        <v>58</v>
      </c>
      <c r="K711" s="27"/>
      <c r="L711" s="28" t="s">
        <v>56</v>
      </c>
      <c r="M711" s="29" t="str">
        <f t="shared" si="55"/>
        <v>✓ OK</v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4.25" customHeight="1" x14ac:dyDescent="0.3">
      <c r="A712" s="42">
        <v>708</v>
      </c>
      <c r="B712" s="43" t="s">
        <v>2698</v>
      </c>
      <c r="C712" s="44" t="s">
        <v>2699</v>
      </c>
      <c r="D712" s="42" t="s">
        <v>2253</v>
      </c>
      <c r="E712" s="55">
        <v>46125</v>
      </c>
      <c r="F712" s="26" t="s">
        <v>948</v>
      </c>
      <c r="G712" s="26" t="s">
        <v>58</v>
      </c>
      <c r="H712" s="26" t="s">
        <v>56</v>
      </c>
      <c r="I712" s="26" t="s">
        <v>70</v>
      </c>
      <c r="J712" s="26" t="s">
        <v>58</v>
      </c>
      <c r="K712" s="27"/>
      <c r="L712" s="28" t="s">
        <v>56</v>
      </c>
      <c r="M712" s="29" t="str">
        <f t="shared" si="55"/>
        <v>✓ OK</v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4.25" customHeight="1" x14ac:dyDescent="0.3">
      <c r="A713" s="23">
        <v>709</v>
      </c>
      <c r="B713" s="24" t="s">
        <v>2700</v>
      </c>
      <c r="C713" s="25" t="s">
        <v>2701</v>
      </c>
      <c r="D713" s="23" t="s">
        <v>2253</v>
      </c>
      <c r="E713" s="55">
        <v>46125</v>
      </c>
      <c r="F713" s="26" t="s">
        <v>948</v>
      </c>
      <c r="G713" s="26" t="s">
        <v>58</v>
      </c>
      <c r="H713" s="26" t="s">
        <v>56</v>
      </c>
      <c r="I713" s="26" t="s">
        <v>70</v>
      </c>
      <c r="J713" s="26" t="s">
        <v>58</v>
      </c>
      <c r="K713" s="27"/>
      <c r="L713" s="28" t="s">
        <v>56</v>
      </c>
      <c r="M713" s="29" t="str">
        <f t="shared" si="55"/>
        <v>✓ OK</v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4.25" customHeight="1" x14ac:dyDescent="0.3">
      <c r="A714" s="42">
        <v>710</v>
      </c>
      <c r="B714" s="43" t="s">
        <v>2702</v>
      </c>
      <c r="C714" s="44" t="s">
        <v>2703</v>
      </c>
      <c r="D714" s="42" t="s">
        <v>2253</v>
      </c>
      <c r="E714" s="55">
        <v>46125</v>
      </c>
      <c r="F714" s="26" t="s">
        <v>948</v>
      </c>
      <c r="G714" s="26" t="s">
        <v>58</v>
      </c>
      <c r="H714" s="26" t="s">
        <v>56</v>
      </c>
      <c r="I714" s="26" t="s">
        <v>70</v>
      </c>
      <c r="J714" s="26" t="s">
        <v>58</v>
      </c>
      <c r="K714" s="27"/>
      <c r="L714" s="28" t="s">
        <v>56</v>
      </c>
      <c r="M714" s="29" t="str">
        <f t="shared" si="55"/>
        <v>✓ OK</v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4.25" customHeight="1" x14ac:dyDescent="0.3">
      <c r="A715" s="23">
        <v>711</v>
      </c>
      <c r="B715" s="24" t="s">
        <v>2704</v>
      </c>
      <c r="C715" s="25" t="s">
        <v>2705</v>
      </c>
      <c r="D715" s="23" t="s">
        <v>2253</v>
      </c>
      <c r="E715" s="55">
        <v>46125</v>
      </c>
      <c r="F715" s="26" t="s">
        <v>948</v>
      </c>
      <c r="G715" s="26" t="s">
        <v>58</v>
      </c>
      <c r="H715" s="26" t="s">
        <v>56</v>
      </c>
      <c r="I715" s="26" t="s">
        <v>70</v>
      </c>
      <c r="J715" s="26" t="s">
        <v>58</v>
      </c>
      <c r="K715" s="27"/>
      <c r="L715" s="28" t="s">
        <v>56</v>
      </c>
      <c r="M715" s="29" t="str">
        <f t="shared" si="55"/>
        <v>✓ OK</v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4.25" customHeight="1" x14ac:dyDescent="0.3">
      <c r="A716" s="42">
        <v>712</v>
      </c>
      <c r="B716" s="43" t="s">
        <v>2706</v>
      </c>
      <c r="C716" s="44" t="s">
        <v>2707</v>
      </c>
      <c r="D716" s="42" t="s">
        <v>2253</v>
      </c>
      <c r="E716" s="55">
        <v>46125</v>
      </c>
      <c r="F716" s="26" t="s">
        <v>948</v>
      </c>
      <c r="G716" s="26" t="s">
        <v>58</v>
      </c>
      <c r="H716" s="26" t="s">
        <v>56</v>
      </c>
      <c r="I716" s="26" t="s">
        <v>70</v>
      </c>
      <c r="J716" s="26" t="s">
        <v>58</v>
      </c>
      <c r="K716" s="27"/>
      <c r="L716" s="28" t="s">
        <v>56</v>
      </c>
      <c r="M716" s="29" t="str">
        <f t="shared" si="55"/>
        <v>✓ OK</v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4.25" customHeight="1" x14ac:dyDescent="0.3">
      <c r="A717" s="23">
        <v>713</v>
      </c>
      <c r="B717" s="24" t="s">
        <v>2708</v>
      </c>
      <c r="C717" s="25" t="s">
        <v>2709</v>
      </c>
      <c r="D717" s="23" t="s">
        <v>2253</v>
      </c>
      <c r="E717" s="55">
        <v>46125</v>
      </c>
      <c r="F717" s="26" t="s">
        <v>948</v>
      </c>
      <c r="G717" s="26" t="s">
        <v>58</v>
      </c>
      <c r="H717" s="26" t="s">
        <v>56</v>
      </c>
      <c r="I717" s="26" t="s">
        <v>70</v>
      </c>
      <c r="J717" s="26" t="s">
        <v>58</v>
      </c>
      <c r="K717" s="27"/>
      <c r="L717" s="28" t="s">
        <v>56</v>
      </c>
      <c r="M717" s="29" t="str">
        <f t="shared" si="55"/>
        <v>✓ OK</v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4.25" customHeight="1" x14ac:dyDescent="0.3">
      <c r="A718" s="42">
        <v>714</v>
      </c>
      <c r="B718" s="43" t="s">
        <v>2710</v>
      </c>
      <c r="C718" s="44" t="s">
        <v>2711</v>
      </c>
      <c r="D718" s="42" t="s">
        <v>2253</v>
      </c>
      <c r="E718" s="55">
        <v>46125</v>
      </c>
      <c r="F718" s="26" t="s">
        <v>948</v>
      </c>
      <c r="G718" s="26" t="s">
        <v>58</v>
      </c>
      <c r="H718" s="26" t="s">
        <v>56</v>
      </c>
      <c r="I718" s="26" t="s">
        <v>70</v>
      </c>
      <c r="J718" s="26" t="s">
        <v>58</v>
      </c>
      <c r="K718" s="27"/>
      <c r="L718" s="28" t="s">
        <v>56</v>
      </c>
      <c r="M718" s="29" t="str">
        <f t="shared" si="55"/>
        <v>✓ OK</v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4.25" customHeight="1" x14ac:dyDescent="0.3">
      <c r="A719" s="23">
        <v>715</v>
      </c>
      <c r="B719" s="24" t="s">
        <v>2712</v>
      </c>
      <c r="C719" s="25" t="s">
        <v>2713</v>
      </c>
      <c r="D719" s="23" t="s">
        <v>2253</v>
      </c>
      <c r="E719" s="55">
        <v>46125</v>
      </c>
      <c r="F719" s="26" t="s">
        <v>948</v>
      </c>
      <c r="G719" s="26" t="s">
        <v>58</v>
      </c>
      <c r="H719" s="26" t="s">
        <v>56</v>
      </c>
      <c r="I719" s="26" t="s">
        <v>70</v>
      </c>
      <c r="J719" s="26" t="s">
        <v>58</v>
      </c>
      <c r="K719" s="27"/>
      <c r="L719" s="28" t="s">
        <v>56</v>
      </c>
      <c r="M719" s="29" t="str">
        <f t="shared" si="55"/>
        <v>✓ OK</v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4.25" customHeight="1" x14ac:dyDescent="0.3">
      <c r="A720" s="42">
        <v>716</v>
      </c>
      <c r="B720" s="43" t="s">
        <v>2714</v>
      </c>
      <c r="C720" s="44" t="s">
        <v>2715</v>
      </c>
      <c r="D720" s="42" t="s">
        <v>2253</v>
      </c>
      <c r="E720" s="55">
        <v>46125</v>
      </c>
      <c r="F720" s="26" t="s">
        <v>948</v>
      </c>
      <c r="G720" s="26" t="s">
        <v>58</v>
      </c>
      <c r="H720" s="26" t="s">
        <v>56</v>
      </c>
      <c r="I720" s="26" t="s">
        <v>70</v>
      </c>
      <c r="J720" s="26" t="s">
        <v>58</v>
      </c>
      <c r="K720" s="27"/>
      <c r="L720" s="28" t="s">
        <v>56</v>
      </c>
      <c r="M720" s="29" t="str">
        <f t="shared" si="55"/>
        <v>✓ OK</v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4.25" customHeight="1" x14ac:dyDescent="0.3">
      <c r="A721" s="23">
        <v>717</v>
      </c>
      <c r="B721" s="24" t="s">
        <v>2716</v>
      </c>
      <c r="C721" s="25" t="s">
        <v>2717</v>
      </c>
      <c r="D721" s="23" t="s">
        <v>2253</v>
      </c>
      <c r="E721" s="55">
        <v>46125</v>
      </c>
      <c r="F721" s="26" t="s">
        <v>948</v>
      </c>
      <c r="G721" s="26" t="s">
        <v>58</v>
      </c>
      <c r="H721" s="26" t="s">
        <v>56</v>
      </c>
      <c r="I721" s="26" t="s">
        <v>70</v>
      </c>
      <c r="J721" s="26" t="s">
        <v>58</v>
      </c>
      <c r="K721" s="27"/>
      <c r="L721" s="28" t="s">
        <v>56</v>
      </c>
      <c r="M721" s="29" t="str">
        <f t="shared" si="55"/>
        <v>✓ OK</v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4.25" customHeight="1" x14ac:dyDescent="0.3">
      <c r="A722" s="42">
        <v>718</v>
      </c>
      <c r="B722" s="43" t="s">
        <v>2718</v>
      </c>
      <c r="C722" s="44" t="s">
        <v>2719</v>
      </c>
      <c r="D722" s="42" t="s">
        <v>2253</v>
      </c>
      <c r="E722" s="55">
        <v>46125</v>
      </c>
      <c r="F722" s="26" t="s">
        <v>948</v>
      </c>
      <c r="G722" s="26" t="s">
        <v>58</v>
      </c>
      <c r="H722" s="26" t="s">
        <v>56</v>
      </c>
      <c r="I722" s="26" t="s">
        <v>70</v>
      </c>
      <c r="J722" s="26" t="s">
        <v>58</v>
      </c>
      <c r="K722" s="27"/>
      <c r="L722" s="28" t="s">
        <v>56</v>
      </c>
      <c r="M722" s="29" t="str">
        <f t="shared" si="55"/>
        <v>✓ OK</v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4.25" customHeight="1" x14ac:dyDescent="0.3">
      <c r="A723" s="23">
        <v>719</v>
      </c>
      <c r="B723" s="24" t="s">
        <v>2720</v>
      </c>
      <c r="C723" s="25" t="s">
        <v>2721</v>
      </c>
      <c r="D723" s="23" t="s">
        <v>2253</v>
      </c>
      <c r="E723" s="55">
        <v>46125</v>
      </c>
      <c r="F723" s="26" t="s">
        <v>948</v>
      </c>
      <c r="G723" s="26" t="s">
        <v>58</v>
      </c>
      <c r="H723" s="26" t="s">
        <v>56</v>
      </c>
      <c r="I723" s="26" t="s">
        <v>70</v>
      </c>
      <c r="J723" s="26" t="s">
        <v>58</v>
      </c>
      <c r="K723" s="27"/>
      <c r="L723" s="28" t="s">
        <v>56</v>
      </c>
      <c r="M723" s="29" t="str">
        <f t="shared" si="55"/>
        <v>✓ OK</v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4.25" customHeight="1" x14ac:dyDescent="0.3">
      <c r="A724" s="42">
        <v>720</v>
      </c>
      <c r="B724" s="43" t="s">
        <v>2722</v>
      </c>
      <c r="C724" s="44" t="s">
        <v>2723</v>
      </c>
      <c r="D724" s="42" t="s">
        <v>2253</v>
      </c>
      <c r="E724" s="55">
        <v>46125</v>
      </c>
      <c r="F724" s="26" t="s">
        <v>948</v>
      </c>
      <c r="G724" s="26" t="s">
        <v>58</v>
      </c>
      <c r="H724" s="26" t="s">
        <v>56</v>
      </c>
      <c r="I724" s="26" t="s">
        <v>70</v>
      </c>
      <c r="J724" s="26" t="s">
        <v>58</v>
      </c>
      <c r="K724" s="27"/>
      <c r="L724" s="28" t="s">
        <v>56</v>
      </c>
      <c r="M724" s="29" t="str">
        <f t="shared" si="55"/>
        <v>✓ OK</v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4.25" customHeight="1" x14ac:dyDescent="0.3">
      <c r="A725" s="23">
        <v>721</v>
      </c>
      <c r="B725" s="24" t="s">
        <v>2724</v>
      </c>
      <c r="C725" s="25" t="s">
        <v>2725</v>
      </c>
      <c r="D725" s="23" t="s">
        <v>2253</v>
      </c>
      <c r="E725" s="55">
        <v>46125</v>
      </c>
      <c r="F725" s="26" t="s">
        <v>948</v>
      </c>
      <c r="G725" s="26" t="s">
        <v>58</v>
      </c>
      <c r="H725" s="26" t="s">
        <v>56</v>
      </c>
      <c r="I725" s="26" t="s">
        <v>70</v>
      </c>
      <c r="J725" s="26" t="s">
        <v>58</v>
      </c>
      <c r="K725" s="27"/>
      <c r="L725" s="28" t="s">
        <v>56</v>
      </c>
      <c r="M725" s="29" t="str">
        <f t="shared" si="55"/>
        <v>✓ OK</v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4.25" customHeight="1" x14ac:dyDescent="0.3">
      <c r="A726" s="42">
        <v>722</v>
      </c>
      <c r="B726" s="43" t="s">
        <v>2726</v>
      </c>
      <c r="C726" s="44" t="s">
        <v>2727</v>
      </c>
      <c r="D726" s="42" t="s">
        <v>2253</v>
      </c>
      <c r="E726" s="55">
        <v>46125</v>
      </c>
      <c r="F726" s="26" t="s">
        <v>948</v>
      </c>
      <c r="G726" s="26" t="s">
        <v>58</v>
      </c>
      <c r="H726" s="26" t="s">
        <v>56</v>
      </c>
      <c r="I726" s="26" t="s">
        <v>70</v>
      </c>
      <c r="J726" s="26" t="s">
        <v>58</v>
      </c>
      <c r="K726" s="27"/>
      <c r="L726" s="28" t="s">
        <v>56</v>
      </c>
      <c r="M726" s="29" t="str">
        <f t="shared" si="55"/>
        <v>✓ OK</v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4.25" customHeight="1" x14ac:dyDescent="0.3">
      <c r="A727" s="23">
        <v>723</v>
      </c>
      <c r="B727" s="24" t="s">
        <v>2728</v>
      </c>
      <c r="C727" s="25" t="s">
        <v>2729</v>
      </c>
      <c r="D727" s="23" t="s">
        <v>2253</v>
      </c>
      <c r="E727" s="55">
        <v>46125</v>
      </c>
      <c r="F727" s="26" t="s">
        <v>948</v>
      </c>
      <c r="G727" s="26" t="s">
        <v>58</v>
      </c>
      <c r="H727" s="26" t="s">
        <v>56</v>
      </c>
      <c r="I727" s="26" t="s">
        <v>70</v>
      </c>
      <c r="J727" s="26" t="s">
        <v>58</v>
      </c>
      <c r="K727" s="27"/>
      <c r="L727" s="28" t="s">
        <v>56</v>
      </c>
      <c r="M727" s="29" t="str">
        <f t="shared" si="55"/>
        <v>✓ OK</v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4.25" customHeight="1" x14ac:dyDescent="0.3">
      <c r="A728" s="42">
        <v>724</v>
      </c>
      <c r="B728" s="43" t="s">
        <v>2730</v>
      </c>
      <c r="C728" s="44" t="s">
        <v>2731</v>
      </c>
      <c r="D728" s="42" t="s">
        <v>2253</v>
      </c>
      <c r="E728" s="55">
        <v>46125</v>
      </c>
      <c r="F728" s="26" t="s">
        <v>948</v>
      </c>
      <c r="G728" s="26" t="s">
        <v>58</v>
      </c>
      <c r="H728" s="26" t="s">
        <v>56</v>
      </c>
      <c r="I728" s="26" t="s">
        <v>70</v>
      </c>
      <c r="J728" s="26" t="s">
        <v>58</v>
      </c>
      <c r="K728" s="27"/>
      <c r="L728" s="28" t="s">
        <v>56</v>
      </c>
      <c r="M728" s="29" t="str">
        <f t="shared" si="55"/>
        <v>✓ OK</v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4.25" customHeight="1" x14ac:dyDescent="0.3">
      <c r="A729" s="23">
        <v>725</v>
      </c>
      <c r="B729" s="24" t="s">
        <v>2732</v>
      </c>
      <c r="C729" s="25" t="s">
        <v>2733</v>
      </c>
      <c r="D729" s="23" t="s">
        <v>2253</v>
      </c>
      <c r="E729" s="55">
        <v>46125</v>
      </c>
      <c r="F729" s="26" t="s">
        <v>948</v>
      </c>
      <c r="G729" s="26" t="s">
        <v>58</v>
      </c>
      <c r="H729" s="26" t="s">
        <v>56</v>
      </c>
      <c r="I729" s="26" t="s">
        <v>70</v>
      </c>
      <c r="J729" s="26" t="s">
        <v>58</v>
      </c>
      <c r="K729" s="27"/>
      <c r="L729" s="28" t="s">
        <v>56</v>
      </c>
      <c r="M729" s="29" t="str">
        <f t="shared" si="55"/>
        <v>✓ OK</v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4.25" customHeight="1" x14ac:dyDescent="0.3">
      <c r="A730" s="42">
        <v>726</v>
      </c>
      <c r="B730" s="43" t="s">
        <v>2734</v>
      </c>
      <c r="C730" s="44" t="s">
        <v>2735</v>
      </c>
      <c r="D730" s="42" t="s">
        <v>2253</v>
      </c>
      <c r="E730" s="55">
        <v>46125</v>
      </c>
      <c r="F730" s="26" t="s">
        <v>948</v>
      </c>
      <c r="G730" s="26" t="s">
        <v>58</v>
      </c>
      <c r="H730" s="26" t="s">
        <v>56</v>
      </c>
      <c r="I730" s="26" t="s">
        <v>70</v>
      </c>
      <c r="J730" s="26" t="s">
        <v>58</v>
      </c>
      <c r="K730" s="27"/>
      <c r="L730" s="28" t="s">
        <v>56</v>
      </c>
      <c r="M730" s="29" t="str">
        <f t="shared" si="55"/>
        <v>✓ OK</v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4.25" customHeight="1" x14ac:dyDescent="0.3">
      <c r="A731" s="23">
        <v>727</v>
      </c>
      <c r="B731" s="24" t="s">
        <v>2736</v>
      </c>
      <c r="C731" s="25" t="s">
        <v>2737</v>
      </c>
      <c r="D731" s="23" t="s">
        <v>2253</v>
      </c>
      <c r="E731" s="55">
        <v>46125</v>
      </c>
      <c r="F731" s="26" t="s">
        <v>948</v>
      </c>
      <c r="G731" s="26" t="s">
        <v>58</v>
      </c>
      <c r="H731" s="26" t="s">
        <v>56</v>
      </c>
      <c r="I731" s="26" t="s">
        <v>70</v>
      </c>
      <c r="J731" s="26" t="s">
        <v>58</v>
      </c>
      <c r="K731" s="27"/>
      <c r="L731" s="28" t="s">
        <v>56</v>
      </c>
      <c r="M731" s="29" t="str">
        <f t="shared" si="55"/>
        <v>✓ OK</v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4.25" customHeight="1" x14ac:dyDescent="0.3">
      <c r="A732" s="42">
        <v>728</v>
      </c>
      <c r="B732" s="43" t="s">
        <v>2738</v>
      </c>
      <c r="C732" s="44" t="s">
        <v>2739</v>
      </c>
      <c r="D732" s="42" t="s">
        <v>2253</v>
      </c>
      <c r="E732" s="55">
        <v>46125</v>
      </c>
      <c r="F732" s="26" t="s">
        <v>948</v>
      </c>
      <c r="G732" s="26" t="s">
        <v>58</v>
      </c>
      <c r="H732" s="26" t="s">
        <v>56</v>
      </c>
      <c r="I732" s="26" t="s">
        <v>70</v>
      </c>
      <c r="J732" s="26" t="s">
        <v>58</v>
      </c>
      <c r="K732" s="27"/>
      <c r="L732" s="28" t="s">
        <v>56</v>
      </c>
      <c r="M732" s="29" t="str">
        <f t="shared" si="55"/>
        <v>✓ OK</v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4.25" customHeight="1" x14ac:dyDescent="0.3">
      <c r="A733" s="23">
        <v>729</v>
      </c>
      <c r="B733" s="24" t="s">
        <v>2740</v>
      </c>
      <c r="C733" s="25" t="s">
        <v>2741</v>
      </c>
      <c r="D733" s="23" t="s">
        <v>2253</v>
      </c>
      <c r="E733" s="55">
        <v>46125</v>
      </c>
      <c r="F733" s="26" t="s">
        <v>948</v>
      </c>
      <c r="G733" s="26" t="s">
        <v>58</v>
      </c>
      <c r="H733" s="26" t="s">
        <v>56</v>
      </c>
      <c r="I733" s="26" t="s">
        <v>70</v>
      </c>
      <c r="J733" s="26" t="s">
        <v>58</v>
      </c>
      <c r="K733" s="27"/>
      <c r="L733" s="28" t="s">
        <v>56</v>
      </c>
      <c r="M733" s="29" t="str">
        <f t="shared" si="55"/>
        <v>✓ OK</v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4.25" customHeight="1" x14ac:dyDescent="0.3">
      <c r="A734" s="42">
        <v>730</v>
      </c>
      <c r="B734" s="43" t="s">
        <v>2742</v>
      </c>
      <c r="C734" s="44" t="s">
        <v>2743</v>
      </c>
      <c r="D734" s="42" t="s">
        <v>2253</v>
      </c>
      <c r="E734" s="55">
        <v>46125</v>
      </c>
      <c r="F734" s="26" t="s">
        <v>948</v>
      </c>
      <c r="G734" s="26" t="s">
        <v>58</v>
      </c>
      <c r="H734" s="26" t="s">
        <v>56</v>
      </c>
      <c r="I734" s="26" t="s">
        <v>70</v>
      </c>
      <c r="J734" s="26" t="s">
        <v>58</v>
      </c>
      <c r="K734" s="27"/>
      <c r="L734" s="28" t="s">
        <v>56</v>
      </c>
      <c r="M734" s="29" t="str">
        <f t="shared" si="55"/>
        <v>✓ OK</v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4.25" customHeight="1" x14ac:dyDescent="0.3">
      <c r="A735" s="23">
        <v>731</v>
      </c>
      <c r="B735" s="24" t="s">
        <v>2744</v>
      </c>
      <c r="C735" s="25" t="s">
        <v>2745</v>
      </c>
      <c r="D735" s="23" t="s">
        <v>2253</v>
      </c>
      <c r="E735" s="55">
        <v>46125</v>
      </c>
      <c r="F735" s="26" t="s">
        <v>948</v>
      </c>
      <c r="G735" s="26" t="s">
        <v>58</v>
      </c>
      <c r="H735" s="26" t="s">
        <v>56</v>
      </c>
      <c r="I735" s="26" t="s">
        <v>70</v>
      </c>
      <c r="J735" s="26" t="s">
        <v>58</v>
      </c>
      <c r="K735" s="27"/>
      <c r="L735" s="28" t="s">
        <v>56</v>
      </c>
      <c r="M735" s="29" t="str">
        <f t="shared" si="55"/>
        <v>✓ OK</v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4.25" customHeight="1" x14ac:dyDescent="0.3">
      <c r="A736" s="42">
        <v>732</v>
      </c>
      <c r="B736" s="43" t="s">
        <v>2746</v>
      </c>
      <c r="C736" s="44" t="s">
        <v>2747</v>
      </c>
      <c r="D736" s="42" t="s">
        <v>2253</v>
      </c>
      <c r="E736" s="55">
        <v>46125</v>
      </c>
      <c r="F736" s="26" t="s">
        <v>948</v>
      </c>
      <c r="G736" s="26" t="s">
        <v>58</v>
      </c>
      <c r="H736" s="26" t="s">
        <v>56</v>
      </c>
      <c r="I736" s="26" t="s">
        <v>70</v>
      </c>
      <c r="J736" s="26" t="s">
        <v>58</v>
      </c>
      <c r="K736" s="27"/>
      <c r="L736" s="28" t="s">
        <v>56</v>
      </c>
      <c r="M736" s="29" t="str">
        <f t="shared" si="55"/>
        <v>✓ OK</v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4.25" customHeight="1" x14ac:dyDescent="0.3">
      <c r="A737" s="23">
        <v>733</v>
      </c>
      <c r="B737" s="24" t="s">
        <v>2748</v>
      </c>
      <c r="C737" s="25" t="s">
        <v>2749</v>
      </c>
      <c r="D737" s="23" t="s">
        <v>2253</v>
      </c>
      <c r="E737" s="55">
        <v>46125</v>
      </c>
      <c r="F737" s="26" t="s">
        <v>948</v>
      </c>
      <c r="G737" s="26" t="s">
        <v>58</v>
      </c>
      <c r="H737" s="26" t="s">
        <v>56</v>
      </c>
      <c r="I737" s="26" t="s">
        <v>70</v>
      </c>
      <c r="J737" s="26" t="s">
        <v>58</v>
      </c>
      <c r="K737" s="27"/>
      <c r="L737" s="28" t="s">
        <v>56</v>
      </c>
      <c r="M737" s="29" t="str">
        <f t="shared" si="55"/>
        <v>✓ OK</v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4.25" customHeight="1" x14ac:dyDescent="0.3">
      <c r="A738" s="42">
        <v>734</v>
      </c>
      <c r="B738" s="43" t="s">
        <v>2750</v>
      </c>
      <c r="C738" s="44" t="s">
        <v>2751</v>
      </c>
      <c r="D738" s="42" t="s">
        <v>2253</v>
      </c>
      <c r="E738" s="55">
        <v>46125</v>
      </c>
      <c r="F738" s="26" t="s">
        <v>948</v>
      </c>
      <c r="G738" s="26" t="s">
        <v>58</v>
      </c>
      <c r="H738" s="26" t="s">
        <v>56</v>
      </c>
      <c r="I738" s="26" t="s">
        <v>70</v>
      </c>
      <c r="J738" s="26" t="s">
        <v>58</v>
      </c>
      <c r="K738" s="27"/>
      <c r="L738" s="28" t="s">
        <v>56</v>
      </c>
      <c r="M738" s="29" t="str">
        <f t="shared" si="55"/>
        <v>✓ OK</v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4.25" customHeight="1" x14ac:dyDescent="0.3">
      <c r="A739" s="23">
        <v>735</v>
      </c>
      <c r="B739" s="24" t="s">
        <v>2752</v>
      </c>
      <c r="C739" s="25" t="s">
        <v>2753</v>
      </c>
      <c r="D739" s="23" t="s">
        <v>2253</v>
      </c>
      <c r="E739" s="55">
        <v>46125</v>
      </c>
      <c r="F739" s="26" t="s">
        <v>948</v>
      </c>
      <c r="G739" s="26" t="s">
        <v>58</v>
      </c>
      <c r="H739" s="26" t="s">
        <v>56</v>
      </c>
      <c r="I739" s="26" t="s">
        <v>70</v>
      </c>
      <c r="J739" s="26" t="s">
        <v>58</v>
      </c>
      <c r="K739" s="27"/>
      <c r="L739" s="28" t="s">
        <v>56</v>
      </c>
      <c r="M739" s="29" t="str">
        <f t="shared" si="55"/>
        <v>✓ OK</v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4.25" customHeight="1" x14ac:dyDescent="0.3">
      <c r="A740" s="42">
        <v>736</v>
      </c>
      <c r="B740" s="43" t="s">
        <v>2754</v>
      </c>
      <c r="C740" s="44" t="s">
        <v>2755</v>
      </c>
      <c r="D740" s="42" t="s">
        <v>2253</v>
      </c>
      <c r="E740" s="55">
        <v>46125</v>
      </c>
      <c r="F740" s="26" t="s">
        <v>948</v>
      </c>
      <c r="G740" s="26" t="s">
        <v>58</v>
      </c>
      <c r="H740" s="26" t="s">
        <v>56</v>
      </c>
      <c r="I740" s="26" t="s">
        <v>70</v>
      </c>
      <c r="J740" s="26" t="s">
        <v>58</v>
      </c>
      <c r="K740" s="27"/>
      <c r="L740" s="28" t="s">
        <v>56</v>
      </c>
      <c r="M740" s="29" t="str">
        <f t="shared" si="55"/>
        <v>✓ OK</v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4.25" customHeight="1" x14ac:dyDescent="0.3">
      <c r="A741" s="23">
        <v>737</v>
      </c>
      <c r="B741" s="24" t="s">
        <v>2756</v>
      </c>
      <c r="C741" s="25" t="s">
        <v>2757</v>
      </c>
      <c r="D741" s="23" t="s">
        <v>2253</v>
      </c>
      <c r="E741" s="55">
        <v>46125</v>
      </c>
      <c r="F741" s="26" t="s">
        <v>948</v>
      </c>
      <c r="G741" s="26" t="s">
        <v>58</v>
      </c>
      <c r="H741" s="26" t="s">
        <v>56</v>
      </c>
      <c r="I741" s="26" t="s">
        <v>70</v>
      </c>
      <c r="J741" s="26" t="s">
        <v>58</v>
      </c>
      <c r="K741" s="27"/>
      <c r="L741" s="28" t="s">
        <v>56</v>
      </c>
      <c r="M741" s="29" t="str">
        <f t="shared" si="55"/>
        <v>✓ OK</v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4.25" customHeight="1" x14ac:dyDescent="0.3">
      <c r="A742" s="42">
        <v>738</v>
      </c>
      <c r="B742" s="43" t="s">
        <v>2758</v>
      </c>
      <c r="C742" s="44" t="s">
        <v>2759</v>
      </c>
      <c r="D742" s="42" t="s">
        <v>2253</v>
      </c>
      <c r="E742" s="55">
        <v>46125</v>
      </c>
      <c r="F742" s="26" t="s">
        <v>948</v>
      </c>
      <c r="G742" s="26" t="s">
        <v>58</v>
      </c>
      <c r="H742" s="26" t="s">
        <v>56</v>
      </c>
      <c r="I742" s="26" t="s">
        <v>70</v>
      </c>
      <c r="J742" s="26" t="s">
        <v>58</v>
      </c>
      <c r="K742" s="27"/>
      <c r="L742" s="28" t="s">
        <v>56</v>
      </c>
      <c r="M742" s="29" t="str">
        <f t="shared" si="55"/>
        <v>✓ OK</v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4.25" customHeight="1" x14ac:dyDescent="0.3">
      <c r="A743" s="23">
        <v>739</v>
      </c>
      <c r="B743" s="24" t="s">
        <v>2760</v>
      </c>
      <c r="C743" s="25" t="s">
        <v>2761</v>
      </c>
      <c r="D743" s="23" t="s">
        <v>2253</v>
      </c>
      <c r="E743" s="55">
        <v>46125</v>
      </c>
      <c r="F743" s="26" t="s">
        <v>948</v>
      </c>
      <c r="G743" s="26" t="s">
        <v>58</v>
      </c>
      <c r="H743" s="26" t="s">
        <v>56</v>
      </c>
      <c r="I743" s="26" t="s">
        <v>70</v>
      </c>
      <c r="J743" s="26" t="s">
        <v>58</v>
      </c>
      <c r="K743" s="27"/>
      <c r="L743" s="28" t="s">
        <v>56</v>
      </c>
      <c r="M743" s="29" t="str">
        <f t="shared" si="55"/>
        <v>✓ OK</v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4.25" customHeight="1" x14ac:dyDescent="0.3">
      <c r="A744" s="42">
        <v>740</v>
      </c>
      <c r="B744" s="43" t="s">
        <v>2762</v>
      </c>
      <c r="C744" s="44" t="s">
        <v>2763</v>
      </c>
      <c r="D744" s="42" t="s">
        <v>2253</v>
      </c>
      <c r="E744" s="55">
        <v>46125</v>
      </c>
      <c r="F744" s="26" t="s">
        <v>948</v>
      </c>
      <c r="G744" s="26" t="s">
        <v>58</v>
      </c>
      <c r="H744" s="26" t="s">
        <v>56</v>
      </c>
      <c r="I744" s="26" t="s">
        <v>70</v>
      </c>
      <c r="J744" s="26" t="s">
        <v>58</v>
      </c>
      <c r="K744" s="27"/>
      <c r="L744" s="28" t="s">
        <v>56</v>
      </c>
      <c r="M744" s="29" t="str">
        <f t="shared" si="55"/>
        <v>✓ OK</v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4.25" customHeight="1" x14ac:dyDescent="0.3">
      <c r="A745" s="23">
        <v>741</v>
      </c>
      <c r="B745" s="24" t="s">
        <v>2764</v>
      </c>
      <c r="C745" s="25" t="s">
        <v>2765</v>
      </c>
      <c r="D745" s="23" t="s">
        <v>2253</v>
      </c>
      <c r="E745" s="55">
        <v>46125</v>
      </c>
      <c r="F745" s="26" t="s">
        <v>948</v>
      </c>
      <c r="G745" s="26" t="s">
        <v>58</v>
      </c>
      <c r="H745" s="26" t="s">
        <v>56</v>
      </c>
      <c r="I745" s="26" t="s">
        <v>70</v>
      </c>
      <c r="J745" s="26" t="s">
        <v>58</v>
      </c>
      <c r="K745" s="27"/>
      <c r="L745" s="28" t="s">
        <v>56</v>
      </c>
      <c r="M745" s="29" t="str">
        <f t="shared" si="55"/>
        <v>✓ OK</v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4.25" customHeight="1" x14ac:dyDescent="0.3">
      <c r="A746" s="42">
        <v>742</v>
      </c>
      <c r="B746" s="43" t="s">
        <v>2766</v>
      </c>
      <c r="C746" s="44" t="s">
        <v>2767</v>
      </c>
      <c r="D746" s="42" t="s">
        <v>2253</v>
      </c>
      <c r="E746" s="55">
        <v>46125</v>
      </c>
      <c r="F746" s="26" t="s">
        <v>948</v>
      </c>
      <c r="G746" s="26" t="s">
        <v>58</v>
      </c>
      <c r="H746" s="26" t="s">
        <v>56</v>
      </c>
      <c r="I746" s="26" t="s">
        <v>70</v>
      </c>
      <c r="J746" s="26" t="s">
        <v>58</v>
      </c>
      <c r="K746" s="27"/>
      <c r="L746" s="28" t="s">
        <v>56</v>
      </c>
      <c r="M746" s="29" t="str">
        <f t="shared" si="55"/>
        <v>✓ OK</v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4.25" customHeight="1" x14ac:dyDescent="0.3">
      <c r="A747" s="23">
        <v>743</v>
      </c>
      <c r="B747" s="24" t="s">
        <v>2768</v>
      </c>
      <c r="C747" s="25" t="s">
        <v>2769</v>
      </c>
      <c r="D747" s="23" t="s">
        <v>2253</v>
      </c>
      <c r="E747" s="55">
        <v>46125</v>
      </c>
      <c r="F747" s="26" t="s">
        <v>948</v>
      </c>
      <c r="G747" s="26" t="s">
        <v>58</v>
      </c>
      <c r="H747" s="26" t="s">
        <v>56</v>
      </c>
      <c r="I747" s="26" t="s">
        <v>70</v>
      </c>
      <c r="J747" s="26" t="s">
        <v>58</v>
      </c>
      <c r="K747" s="27"/>
      <c r="L747" s="28" t="s">
        <v>56</v>
      </c>
      <c r="M747" s="29" t="str">
        <f t="shared" si="55"/>
        <v>✓ OK</v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4.25" customHeight="1" x14ac:dyDescent="0.3">
      <c r="A748" s="42">
        <v>744</v>
      </c>
      <c r="B748" s="43" t="s">
        <v>2770</v>
      </c>
      <c r="C748" s="44" t="s">
        <v>2771</v>
      </c>
      <c r="D748" s="42" t="s">
        <v>2253</v>
      </c>
      <c r="E748" s="55">
        <v>46125</v>
      </c>
      <c r="F748" s="26" t="s">
        <v>948</v>
      </c>
      <c r="G748" s="26" t="s">
        <v>58</v>
      </c>
      <c r="H748" s="26" t="s">
        <v>56</v>
      </c>
      <c r="I748" s="26" t="s">
        <v>70</v>
      </c>
      <c r="J748" s="26" t="s">
        <v>58</v>
      </c>
      <c r="K748" s="27"/>
      <c r="L748" s="28" t="s">
        <v>56</v>
      </c>
      <c r="M748" s="29" t="str">
        <f t="shared" si="55"/>
        <v>✓ OK</v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4.25" customHeight="1" x14ac:dyDescent="0.3">
      <c r="A749" s="23">
        <v>745</v>
      </c>
      <c r="B749" s="24" t="s">
        <v>2772</v>
      </c>
      <c r="C749" s="25" t="s">
        <v>2773</v>
      </c>
      <c r="D749" s="23" t="s">
        <v>2253</v>
      </c>
      <c r="E749" s="55">
        <v>46125</v>
      </c>
      <c r="F749" s="26" t="s">
        <v>948</v>
      </c>
      <c r="G749" s="26" t="s">
        <v>58</v>
      </c>
      <c r="H749" s="26" t="s">
        <v>56</v>
      </c>
      <c r="I749" s="26" t="s">
        <v>70</v>
      </c>
      <c r="J749" s="26" t="s">
        <v>58</v>
      </c>
      <c r="K749" s="27"/>
      <c r="L749" s="28" t="s">
        <v>56</v>
      </c>
      <c r="M749" s="29" t="str">
        <f t="shared" si="55"/>
        <v>✓ OK</v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4.25" customHeight="1" x14ac:dyDescent="0.3">
      <c r="A750" s="42">
        <v>746</v>
      </c>
      <c r="B750" s="43" t="s">
        <v>2774</v>
      </c>
      <c r="C750" s="44" t="s">
        <v>2775</v>
      </c>
      <c r="D750" s="42" t="s">
        <v>2253</v>
      </c>
      <c r="E750" s="55">
        <v>46125</v>
      </c>
      <c r="F750" s="26" t="s">
        <v>948</v>
      </c>
      <c r="G750" s="26" t="s">
        <v>58</v>
      </c>
      <c r="H750" s="26" t="s">
        <v>56</v>
      </c>
      <c r="I750" s="26" t="s">
        <v>70</v>
      </c>
      <c r="J750" s="26" t="s">
        <v>58</v>
      </c>
      <c r="K750" s="27"/>
      <c r="L750" s="28" t="s">
        <v>56</v>
      </c>
      <c r="M750" s="29" t="str">
        <f t="shared" si="55"/>
        <v>✓ OK</v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4.25" customHeight="1" x14ac:dyDescent="0.3">
      <c r="A751" s="23">
        <v>747</v>
      </c>
      <c r="B751" s="24" t="s">
        <v>2776</v>
      </c>
      <c r="C751" s="25" t="s">
        <v>2777</v>
      </c>
      <c r="D751" s="23" t="s">
        <v>2253</v>
      </c>
      <c r="E751" s="55">
        <v>46125</v>
      </c>
      <c r="F751" s="26" t="s">
        <v>948</v>
      </c>
      <c r="G751" s="26" t="s">
        <v>58</v>
      </c>
      <c r="H751" s="26" t="s">
        <v>56</v>
      </c>
      <c r="I751" s="26" t="s">
        <v>70</v>
      </c>
      <c r="J751" s="26" t="s">
        <v>58</v>
      </c>
      <c r="K751" s="27"/>
      <c r="L751" s="28" t="s">
        <v>56</v>
      </c>
      <c r="M751" s="29" t="str">
        <f t="shared" si="55"/>
        <v>✓ OK</v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4.25" customHeight="1" x14ac:dyDescent="0.3">
      <c r="A752" s="42">
        <v>748</v>
      </c>
      <c r="B752" s="43" t="s">
        <v>2778</v>
      </c>
      <c r="C752" s="44" t="s">
        <v>2779</v>
      </c>
      <c r="D752" s="42" t="s">
        <v>2253</v>
      </c>
      <c r="E752" s="55">
        <v>46125</v>
      </c>
      <c r="F752" s="26" t="s">
        <v>948</v>
      </c>
      <c r="G752" s="26" t="s">
        <v>58</v>
      </c>
      <c r="H752" s="26" t="s">
        <v>56</v>
      </c>
      <c r="I752" s="26" t="s">
        <v>70</v>
      </c>
      <c r="J752" s="26" t="s">
        <v>58</v>
      </c>
      <c r="K752" s="27"/>
      <c r="L752" s="28" t="s">
        <v>56</v>
      </c>
      <c r="M752" s="29" t="str">
        <f t="shared" si="55"/>
        <v>✓ OK</v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4.25" customHeight="1" x14ac:dyDescent="0.3">
      <c r="A753" s="23">
        <v>749</v>
      </c>
      <c r="B753" s="24" t="s">
        <v>2780</v>
      </c>
      <c r="C753" s="25" t="s">
        <v>2781</v>
      </c>
      <c r="D753" s="23" t="s">
        <v>2253</v>
      </c>
      <c r="E753" s="55">
        <v>46125</v>
      </c>
      <c r="F753" s="26" t="s">
        <v>948</v>
      </c>
      <c r="G753" s="26" t="s">
        <v>58</v>
      </c>
      <c r="H753" s="26" t="s">
        <v>56</v>
      </c>
      <c r="I753" s="26" t="s">
        <v>70</v>
      </c>
      <c r="J753" s="26" t="s">
        <v>58</v>
      </c>
      <c r="K753" s="27"/>
      <c r="L753" s="28" t="s">
        <v>56</v>
      </c>
      <c r="M753" s="29" t="str">
        <f t="shared" si="55"/>
        <v>✓ OK</v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4.25" customHeight="1" x14ac:dyDescent="0.3">
      <c r="A754" s="42">
        <v>750</v>
      </c>
      <c r="B754" s="43" t="s">
        <v>2782</v>
      </c>
      <c r="C754" s="44" t="s">
        <v>2783</v>
      </c>
      <c r="D754" s="42" t="s">
        <v>2253</v>
      </c>
      <c r="E754" s="55">
        <v>46125</v>
      </c>
      <c r="F754" s="26" t="s">
        <v>948</v>
      </c>
      <c r="G754" s="26" t="s">
        <v>58</v>
      </c>
      <c r="H754" s="26" t="s">
        <v>56</v>
      </c>
      <c r="I754" s="26" t="s">
        <v>70</v>
      </c>
      <c r="J754" s="26" t="s">
        <v>58</v>
      </c>
      <c r="K754" s="27"/>
      <c r="L754" s="28" t="s">
        <v>56</v>
      </c>
      <c r="M754" s="29" t="str">
        <f t="shared" si="55"/>
        <v>✓ OK</v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4.25" customHeight="1" x14ac:dyDescent="0.3">
      <c r="A755" s="23">
        <v>751</v>
      </c>
      <c r="B755" s="24" t="s">
        <v>2784</v>
      </c>
      <c r="C755" s="25" t="s">
        <v>2785</v>
      </c>
      <c r="D755" s="23" t="s">
        <v>2253</v>
      </c>
      <c r="E755" s="55">
        <v>46125</v>
      </c>
      <c r="F755" s="26" t="s">
        <v>948</v>
      </c>
      <c r="G755" s="26" t="s">
        <v>58</v>
      </c>
      <c r="H755" s="26" t="s">
        <v>56</v>
      </c>
      <c r="I755" s="26" t="s">
        <v>70</v>
      </c>
      <c r="J755" s="26" t="s">
        <v>58</v>
      </c>
      <c r="K755" s="27"/>
      <c r="L755" s="28" t="s">
        <v>56</v>
      </c>
      <c r="M755" s="29" t="str">
        <f t="shared" si="55"/>
        <v>✓ OK</v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4.25" customHeight="1" x14ac:dyDescent="0.3">
      <c r="A756" s="42">
        <v>752</v>
      </c>
      <c r="B756" s="43" t="s">
        <v>2786</v>
      </c>
      <c r="C756" s="44" t="s">
        <v>2787</v>
      </c>
      <c r="D756" s="42" t="s">
        <v>2253</v>
      </c>
      <c r="E756" s="55">
        <v>46125</v>
      </c>
      <c r="F756" s="26" t="s">
        <v>948</v>
      </c>
      <c r="G756" s="26" t="s">
        <v>58</v>
      </c>
      <c r="H756" s="26" t="s">
        <v>56</v>
      </c>
      <c r="I756" s="26" t="s">
        <v>70</v>
      </c>
      <c r="J756" s="26" t="s">
        <v>58</v>
      </c>
      <c r="K756" s="27"/>
      <c r="L756" s="28" t="s">
        <v>56</v>
      </c>
      <c r="M756" s="29" t="str">
        <f t="shared" si="55"/>
        <v>✓ OK</v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4.25" customHeight="1" x14ac:dyDescent="0.3">
      <c r="A757" s="23">
        <v>753</v>
      </c>
      <c r="B757" s="24" t="s">
        <v>2788</v>
      </c>
      <c r="C757" s="25" t="s">
        <v>2789</v>
      </c>
      <c r="D757" s="23" t="s">
        <v>2253</v>
      </c>
      <c r="E757" s="55">
        <v>46125</v>
      </c>
      <c r="F757" s="26" t="s">
        <v>948</v>
      </c>
      <c r="G757" s="26" t="s">
        <v>58</v>
      </c>
      <c r="H757" s="26" t="s">
        <v>56</v>
      </c>
      <c r="I757" s="26" t="s">
        <v>70</v>
      </c>
      <c r="J757" s="26" t="s">
        <v>58</v>
      </c>
      <c r="K757" s="27"/>
      <c r="L757" s="28" t="s">
        <v>56</v>
      </c>
      <c r="M757" s="29" t="str">
        <f t="shared" si="55"/>
        <v>✓ OK</v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4.25" customHeight="1" x14ac:dyDescent="0.3">
      <c r="A758" s="42">
        <v>754</v>
      </c>
      <c r="B758" s="43" t="s">
        <v>2790</v>
      </c>
      <c r="C758" s="44" t="s">
        <v>2791</v>
      </c>
      <c r="D758" s="42" t="s">
        <v>2253</v>
      </c>
      <c r="E758" s="55">
        <v>46125</v>
      </c>
      <c r="F758" s="26" t="s">
        <v>948</v>
      </c>
      <c r="G758" s="26" t="s">
        <v>58</v>
      </c>
      <c r="H758" s="26" t="s">
        <v>56</v>
      </c>
      <c r="I758" s="26" t="s">
        <v>70</v>
      </c>
      <c r="J758" s="26" t="s">
        <v>58</v>
      </c>
      <c r="K758" s="27"/>
      <c r="L758" s="28" t="s">
        <v>56</v>
      </c>
      <c r="M758" s="29" t="str">
        <f t="shared" si="55"/>
        <v>✓ OK</v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4.25" customHeight="1" x14ac:dyDescent="0.3">
      <c r="A759" s="23">
        <v>755</v>
      </c>
      <c r="B759" s="24" t="s">
        <v>2792</v>
      </c>
      <c r="C759" s="25" t="s">
        <v>2793</v>
      </c>
      <c r="D759" s="23" t="s">
        <v>2253</v>
      </c>
      <c r="E759" s="55">
        <v>46125</v>
      </c>
      <c r="F759" s="26" t="s">
        <v>948</v>
      </c>
      <c r="G759" s="26" t="s">
        <v>58</v>
      </c>
      <c r="H759" s="26" t="s">
        <v>56</v>
      </c>
      <c r="I759" s="26" t="s">
        <v>70</v>
      </c>
      <c r="J759" s="26" t="s">
        <v>58</v>
      </c>
      <c r="K759" s="27"/>
      <c r="L759" s="28" t="s">
        <v>56</v>
      </c>
      <c r="M759" s="29" t="str">
        <f t="shared" si="55"/>
        <v>✓ OK</v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4.25" customHeight="1" x14ac:dyDescent="0.3">
      <c r="A760" s="42">
        <v>756</v>
      </c>
      <c r="B760" s="43" t="s">
        <v>2794</v>
      </c>
      <c r="C760" s="44" t="s">
        <v>2795</v>
      </c>
      <c r="D760" s="42" t="s">
        <v>2253</v>
      </c>
      <c r="E760" s="55">
        <v>46125</v>
      </c>
      <c r="F760" s="26" t="s">
        <v>948</v>
      </c>
      <c r="G760" s="26" t="s">
        <v>58</v>
      </c>
      <c r="H760" s="26" t="s">
        <v>56</v>
      </c>
      <c r="I760" s="26" t="s">
        <v>70</v>
      </c>
      <c r="J760" s="26" t="s">
        <v>58</v>
      </c>
      <c r="K760" s="27"/>
      <c r="L760" s="28" t="s">
        <v>56</v>
      </c>
      <c r="M760" s="29" t="str">
        <f t="shared" si="55"/>
        <v>✓ OK</v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4.25" customHeight="1" x14ac:dyDescent="0.3">
      <c r="A761" s="23">
        <v>757</v>
      </c>
      <c r="B761" s="24" t="s">
        <v>2796</v>
      </c>
      <c r="C761" s="25" t="s">
        <v>2797</v>
      </c>
      <c r="D761" s="23" t="s">
        <v>2253</v>
      </c>
      <c r="E761" s="55">
        <v>46125</v>
      </c>
      <c r="F761" s="26" t="s">
        <v>948</v>
      </c>
      <c r="G761" s="26" t="s">
        <v>58</v>
      </c>
      <c r="H761" s="26" t="s">
        <v>56</v>
      </c>
      <c r="I761" s="26" t="s">
        <v>70</v>
      </c>
      <c r="J761" s="26" t="s">
        <v>58</v>
      </c>
      <c r="K761" s="27"/>
      <c r="L761" s="28" t="s">
        <v>56</v>
      </c>
      <c r="M761" s="29" t="str">
        <f t="shared" si="55"/>
        <v>✓ OK</v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4.25" customHeight="1" x14ac:dyDescent="0.3">
      <c r="A762" s="42">
        <v>758</v>
      </c>
      <c r="B762" s="43" t="s">
        <v>2798</v>
      </c>
      <c r="C762" s="44" t="s">
        <v>2799</v>
      </c>
      <c r="D762" s="42" t="s">
        <v>2253</v>
      </c>
      <c r="E762" s="55">
        <v>46125</v>
      </c>
      <c r="F762" s="26" t="s">
        <v>948</v>
      </c>
      <c r="G762" s="26" t="s">
        <v>58</v>
      </c>
      <c r="H762" s="26" t="s">
        <v>56</v>
      </c>
      <c r="I762" s="26" t="s">
        <v>70</v>
      </c>
      <c r="J762" s="26" t="s">
        <v>58</v>
      </c>
      <c r="K762" s="27"/>
      <c r="L762" s="28" t="s">
        <v>56</v>
      </c>
      <c r="M762" s="29" t="str">
        <f t="shared" si="55"/>
        <v>✓ OK</v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4.25" customHeight="1" x14ac:dyDescent="0.3">
      <c r="A763" s="23">
        <v>759</v>
      </c>
      <c r="B763" s="24" t="s">
        <v>2800</v>
      </c>
      <c r="C763" s="25" t="s">
        <v>2801</v>
      </c>
      <c r="D763" s="23" t="s">
        <v>2253</v>
      </c>
      <c r="E763" s="55">
        <v>46125</v>
      </c>
      <c r="F763" s="26" t="s">
        <v>948</v>
      </c>
      <c r="G763" s="26" t="s">
        <v>58</v>
      </c>
      <c r="H763" s="26" t="s">
        <v>56</v>
      </c>
      <c r="I763" s="26" t="s">
        <v>70</v>
      </c>
      <c r="J763" s="26" t="s">
        <v>58</v>
      </c>
      <c r="K763" s="27"/>
      <c r="L763" s="28" t="s">
        <v>56</v>
      </c>
      <c r="M763" s="29" t="str">
        <f t="shared" si="55"/>
        <v>✓ OK</v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4.25" customHeight="1" x14ac:dyDescent="0.3">
      <c r="A764" s="42">
        <v>760</v>
      </c>
      <c r="B764" s="43" t="s">
        <v>2802</v>
      </c>
      <c r="C764" s="44" t="s">
        <v>2803</v>
      </c>
      <c r="D764" s="42" t="s">
        <v>2253</v>
      </c>
      <c r="E764" s="55">
        <v>46125</v>
      </c>
      <c r="F764" s="26" t="s">
        <v>948</v>
      </c>
      <c r="G764" s="26" t="s">
        <v>58</v>
      </c>
      <c r="H764" s="26" t="s">
        <v>56</v>
      </c>
      <c r="I764" s="26" t="s">
        <v>70</v>
      </c>
      <c r="J764" s="26" t="s">
        <v>58</v>
      </c>
      <c r="K764" s="27"/>
      <c r="L764" s="28" t="s">
        <v>56</v>
      </c>
      <c r="M764" s="29" t="str">
        <f t="shared" si="55"/>
        <v>✓ OK</v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4.25" customHeight="1" x14ac:dyDescent="0.3">
      <c r="A765" s="23">
        <v>761</v>
      </c>
      <c r="B765" s="24" t="s">
        <v>2804</v>
      </c>
      <c r="C765" s="25" t="s">
        <v>2805</v>
      </c>
      <c r="D765" s="23" t="s">
        <v>2253</v>
      </c>
      <c r="E765" s="55">
        <v>46125</v>
      </c>
      <c r="F765" s="26" t="s">
        <v>948</v>
      </c>
      <c r="G765" s="26" t="s">
        <v>58</v>
      </c>
      <c r="H765" s="26" t="s">
        <v>56</v>
      </c>
      <c r="I765" s="26" t="s">
        <v>70</v>
      </c>
      <c r="J765" s="26" t="s">
        <v>58</v>
      </c>
      <c r="K765" s="27"/>
      <c r="L765" s="28" t="s">
        <v>56</v>
      </c>
      <c r="M765" s="29" t="str">
        <f t="shared" si="55"/>
        <v>✓ OK</v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4.25" customHeight="1" x14ac:dyDescent="0.3">
      <c r="A766" s="42">
        <v>762</v>
      </c>
      <c r="B766" s="43" t="s">
        <v>2806</v>
      </c>
      <c r="C766" s="44" t="s">
        <v>2807</v>
      </c>
      <c r="D766" s="42" t="s">
        <v>2253</v>
      </c>
      <c r="E766" s="55">
        <v>46125</v>
      </c>
      <c r="F766" s="26" t="s">
        <v>948</v>
      </c>
      <c r="G766" s="26" t="s">
        <v>58</v>
      </c>
      <c r="H766" s="26" t="s">
        <v>56</v>
      </c>
      <c r="I766" s="26" t="s">
        <v>70</v>
      </c>
      <c r="J766" s="26" t="s">
        <v>58</v>
      </c>
      <c r="K766" s="27"/>
      <c r="L766" s="28" t="s">
        <v>56</v>
      </c>
      <c r="M766" s="29" t="str">
        <f t="shared" si="55"/>
        <v>✓ OK</v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4.25" customHeight="1" x14ac:dyDescent="0.3">
      <c r="A767" s="23">
        <v>763</v>
      </c>
      <c r="B767" s="24" t="s">
        <v>2808</v>
      </c>
      <c r="C767" s="25" t="s">
        <v>2809</v>
      </c>
      <c r="D767" s="23" t="s">
        <v>2253</v>
      </c>
      <c r="E767" s="55">
        <v>46125</v>
      </c>
      <c r="F767" s="26" t="s">
        <v>948</v>
      </c>
      <c r="G767" s="26" t="s">
        <v>58</v>
      </c>
      <c r="H767" s="26" t="s">
        <v>56</v>
      </c>
      <c r="I767" s="26" t="s">
        <v>70</v>
      </c>
      <c r="J767" s="26" t="s">
        <v>58</v>
      </c>
      <c r="K767" s="27"/>
      <c r="L767" s="28" t="s">
        <v>56</v>
      </c>
      <c r="M767" s="29" t="str">
        <f t="shared" si="55"/>
        <v>✓ OK</v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4.25" customHeight="1" x14ac:dyDescent="0.3">
      <c r="A768" s="42">
        <v>764</v>
      </c>
      <c r="B768" s="43" t="s">
        <v>2810</v>
      </c>
      <c r="C768" s="44" t="s">
        <v>2811</v>
      </c>
      <c r="D768" s="42" t="s">
        <v>2253</v>
      </c>
      <c r="E768" s="55">
        <v>46125</v>
      </c>
      <c r="F768" s="26" t="s">
        <v>948</v>
      </c>
      <c r="G768" s="26" t="s">
        <v>58</v>
      </c>
      <c r="H768" s="26" t="s">
        <v>56</v>
      </c>
      <c r="I768" s="26" t="s">
        <v>70</v>
      </c>
      <c r="J768" s="26" t="s">
        <v>58</v>
      </c>
      <c r="K768" s="27"/>
      <c r="L768" s="28" t="s">
        <v>56</v>
      </c>
      <c r="M768" s="29" t="str">
        <f t="shared" si="55"/>
        <v>✓ OK</v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4.25" customHeight="1" x14ac:dyDescent="0.3">
      <c r="A769" s="23">
        <v>765</v>
      </c>
      <c r="B769" s="24" t="s">
        <v>2812</v>
      </c>
      <c r="C769" s="25" t="s">
        <v>2813</v>
      </c>
      <c r="D769" s="23" t="s">
        <v>2253</v>
      </c>
      <c r="E769" s="55">
        <v>46125</v>
      </c>
      <c r="F769" s="26" t="s">
        <v>948</v>
      </c>
      <c r="G769" s="26" t="s">
        <v>58</v>
      </c>
      <c r="H769" s="26" t="s">
        <v>56</v>
      </c>
      <c r="I769" s="26" t="s">
        <v>70</v>
      </c>
      <c r="J769" s="26" t="s">
        <v>58</v>
      </c>
      <c r="K769" s="27"/>
      <c r="L769" s="28" t="s">
        <v>56</v>
      </c>
      <c r="M769" s="29" t="str">
        <f t="shared" si="55"/>
        <v>✓ OK</v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4.25" customHeight="1" x14ac:dyDescent="0.3">
      <c r="A770" s="42">
        <v>766</v>
      </c>
      <c r="B770" s="43" t="s">
        <v>2814</v>
      </c>
      <c r="C770" s="44" t="s">
        <v>2815</v>
      </c>
      <c r="D770" s="42" t="s">
        <v>2253</v>
      </c>
      <c r="E770" s="55">
        <v>46125</v>
      </c>
      <c r="F770" s="26" t="s">
        <v>948</v>
      </c>
      <c r="G770" s="26" t="s">
        <v>58</v>
      </c>
      <c r="H770" s="26" t="s">
        <v>56</v>
      </c>
      <c r="I770" s="26" t="s">
        <v>70</v>
      </c>
      <c r="J770" s="26" t="s">
        <v>58</v>
      </c>
      <c r="K770" s="27"/>
      <c r="L770" s="28" t="s">
        <v>56</v>
      </c>
      <c r="M770" s="29" t="str">
        <f t="shared" si="55"/>
        <v>✓ OK</v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4.25" customHeight="1" x14ac:dyDescent="0.3">
      <c r="A771" s="23">
        <v>767</v>
      </c>
      <c r="B771" s="24" t="s">
        <v>2816</v>
      </c>
      <c r="C771" s="25" t="s">
        <v>2817</v>
      </c>
      <c r="D771" s="23" t="s">
        <v>2253</v>
      </c>
      <c r="E771" s="55">
        <v>46125</v>
      </c>
      <c r="F771" s="26" t="s">
        <v>948</v>
      </c>
      <c r="G771" s="26" t="s">
        <v>58</v>
      </c>
      <c r="H771" s="26" t="s">
        <v>56</v>
      </c>
      <c r="I771" s="26" t="s">
        <v>70</v>
      </c>
      <c r="J771" s="26" t="s">
        <v>58</v>
      </c>
      <c r="K771" s="27"/>
      <c r="L771" s="28" t="s">
        <v>56</v>
      </c>
      <c r="M771" s="29" t="str">
        <f t="shared" si="55"/>
        <v>✓ OK</v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4.25" customHeight="1" x14ac:dyDescent="0.3">
      <c r="A772" s="42">
        <v>768</v>
      </c>
      <c r="B772" s="43" t="s">
        <v>2818</v>
      </c>
      <c r="C772" s="44" t="s">
        <v>2819</v>
      </c>
      <c r="D772" s="42" t="s">
        <v>2253</v>
      </c>
      <c r="E772" s="55">
        <v>46125</v>
      </c>
      <c r="F772" s="26" t="s">
        <v>948</v>
      </c>
      <c r="G772" s="26" t="s">
        <v>58</v>
      </c>
      <c r="H772" s="26" t="s">
        <v>56</v>
      </c>
      <c r="I772" s="26" t="s">
        <v>70</v>
      </c>
      <c r="J772" s="26" t="s">
        <v>58</v>
      </c>
      <c r="K772" s="27"/>
      <c r="L772" s="28" t="s">
        <v>56</v>
      </c>
      <c r="M772" s="29" t="str">
        <f t="shared" si="55"/>
        <v>✓ OK</v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4.25" customHeight="1" x14ac:dyDescent="0.3">
      <c r="A773" s="23">
        <v>769</v>
      </c>
      <c r="B773" s="24" t="s">
        <v>2820</v>
      </c>
      <c r="C773" s="25" t="s">
        <v>2821</v>
      </c>
      <c r="D773" s="23" t="s">
        <v>2253</v>
      </c>
      <c r="E773" s="55">
        <v>46125</v>
      </c>
      <c r="F773" s="26" t="s">
        <v>948</v>
      </c>
      <c r="G773" s="26" t="s">
        <v>58</v>
      </c>
      <c r="H773" s="26" t="s">
        <v>56</v>
      </c>
      <c r="I773" s="26" t="s">
        <v>70</v>
      </c>
      <c r="J773" s="26" t="s">
        <v>58</v>
      </c>
      <c r="K773" s="27"/>
      <c r="L773" s="28" t="s">
        <v>56</v>
      </c>
      <c r="M773" s="29" t="str">
        <f t="shared" ref="M773:M836" si="60">IF(E773="","",IF(H773="Yes","❌ Disc",IF(G773="No","⚠ Missing",IF(J773="Yes","✓ OK","⚠ Check"))))</f>
        <v>✓ OK</v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4.25" customHeight="1" x14ac:dyDescent="0.3">
      <c r="A774" s="42">
        <v>770</v>
      </c>
      <c r="B774" s="43" t="s">
        <v>2822</v>
      </c>
      <c r="C774" s="44" t="s">
        <v>2823</v>
      </c>
      <c r="D774" s="42" t="s">
        <v>2253</v>
      </c>
      <c r="E774" s="55">
        <v>46125</v>
      </c>
      <c r="F774" s="26" t="s">
        <v>948</v>
      </c>
      <c r="G774" s="26" t="s">
        <v>58</v>
      </c>
      <c r="H774" s="26" t="s">
        <v>56</v>
      </c>
      <c r="I774" s="26" t="s">
        <v>70</v>
      </c>
      <c r="J774" s="26" t="s">
        <v>58</v>
      </c>
      <c r="K774" s="27"/>
      <c r="L774" s="28" t="s">
        <v>56</v>
      </c>
      <c r="M774" s="29" t="str">
        <f t="shared" si="60"/>
        <v>✓ OK</v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4.25" customHeight="1" x14ac:dyDescent="0.3">
      <c r="A775" s="23">
        <v>771</v>
      </c>
      <c r="B775" s="24" t="s">
        <v>2824</v>
      </c>
      <c r="C775" s="25" t="s">
        <v>2825</v>
      </c>
      <c r="D775" s="23" t="s">
        <v>2253</v>
      </c>
      <c r="E775" s="55">
        <v>46125</v>
      </c>
      <c r="F775" s="26" t="s">
        <v>948</v>
      </c>
      <c r="G775" s="26" t="s">
        <v>58</v>
      </c>
      <c r="H775" s="26" t="s">
        <v>56</v>
      </c>
      <c r="I775" s="26" t="s">
        <v>70</v>
      </c>
      <c r="J775" s="26" t="s">
        <v>58</v>
      </c>
      <c r="K775" s="27"/>
      <c r="L775" s="28" t="s">
        <v>56</v>
      </c>
      <c r="M775" s="29" t="str">
        <f t="shared" si="60"/>
        <v>✓ OK</v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4.25" customHeight="1" x14ac:dyDescent="0.3">
      <c r="A776" s="42">
        <v>772</v>
      </c>
      <c r="B776" s="43" t="s">
        <v>2826</v>
      </c>
      <c r="C776" s="44" t="s">
        <v>2827</v>
      </c>
      <c r="D776" s="42" t="s">
        <v>2253</v>
      </c>
      <c r="E776" s="55">
        <v>46125</v>
      </c>
      <c r="F776" s="26" t="s">
        <v>948</v>
      </c>
      <c r="G776" s="26" t="s">
        <v>58</v>
      </c>
      <c r="H776" s="26" t="s">
        <v>56</v>
      </c>
      <c r="I776" s="26" t="s">
        <v>70</v>
      </c>
      <c r="J776" s="26" t="s">
        <v>58</v>
      </c>
      <c r="K776" s="27"/>
      <c r="L776" s="28" t="s">
        <v>56</v>
      </c>
      <c r="M776" s="29" t="str">
        <f t="shared" si="60"/>
        <v>✓ OK</v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4.25" customHeight="1" x14ac:dyDescent="0.3">
      <c r="A777" s="23">
        <v>773</v>
      </c>
      <c r="B777" s="24" t="s">
        <v>2828</v>
      </c>
      <c r="C777" s="25" t="s">
        <v>2829</v>
      </c>
      <c r="D777" s="23" t="s">
        <v>2253</v>
      </c>
      <c r="E777" s="55">
        <v>46125</v>
      </c>
      <c r="F777" s="26" t="s">
        <v>948</v>
      </c>
      <c r="G777" s="26" t="s">
        <v>58</v>
      </c>
      <c r="H777" s="26" t="s">
        <v>56</v>
      </c>
      <c r="I777" s="26" t="s">
        <v>70</v>
      </c>
      <c r="J777" s="26" t="s">
        <v>58</v>
      </c>
      <c r="K777" s="27"/>
      <c r="L777" s="28" t="s">
        <v>56</v>
      </c>
      <c r="M777" s="29" t="str">
        <f t="shared" si="60"/>
        <v>✓ OK</v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4.25" customHeight="1" x14ac:dyDescent="0.3">
      <c r="A778" s="42">
        <v>774</v>
      </c>
      <c r="B778" s="43" t="s">
        <v>2830</v>
      </c>
      <c r="C778" s="44" t="s">
        <v>2831</v>
      </c>
      <c r="D778" s="42" t="s">
        <v>2253</v>
      </c>
      <c r="E778" s="55">
        <v>46125</v>
      </c>
      <c r="F778" s="26" t="s">
        <v>948</v>
      </c>
      <c r="G778" s="26" t="s">
        <v>58</v>
      </c>
      <c r="H778" s="26" t="s">
        <v>56</v>
      </c>
      <c r="I778" s="26" t="s">
        <v>70</v>
      </c>
      <c r="J778" s="26" t="s">
        <v>58</v>
      </c>
      <c r="K778" s="27"/>
      <c r="L778" s="28" t="s">
        <v>56</v>
      </c>
      <c r="M778" s="29" t="str">
        <f t="shared" si="60"/>
        <v>✓ OK</v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4.25" customHeight="1" x14ac:dyDescent="0.3">
      <c r="A779" s="23">
        <v>775</v>
      </c>
      <c r="B779" s="24" t="s">
        <v>2832</v>
      </c>
      <c r="C779" s="25" t="s">
        <v>2833</v>
      </c>
      <c r="D779" s="23" t="s">
        <v>2253</v>
      </c>
      <c r="E779" s="55">
        <v>46125</v>
      </c>
      <c r="F779" s="26" t="s">
        <v>948</v>
      </c>
      <c r="G779" s="26" t="s">
        <v>58</v>
      </c>
      <c r="H779" s="26" t="s">
        <v>56</v>
      </c>
      <c r="I779" s="26" t="s">
        <v>70</v>
      </c>
      <c r="J779" s="26" t="s">
        <v>58</v>
      </c>
      <c r="K779" s="27"/>
      <c r="L779" s="28" t="s">
        <v>56</v>
      </c>
      <c r="M779" s="29" t="str">
        <f t="shared" si="60"/>
        <v>✓ OK</v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4.25" customHeight="1" x14ac:dyDescent="0.3">
      <c r="A780" s="42">
        <v>776</v>
      </c>
      <c r="B780" s="43" t="s">
        <v>2834</v>
      </c>
      <c r="C780" s="44" t="s">
        <v>2835</v>
      </c>
      <c r="D780" s="42" t="s">
        <v>2253</v>
      </c>
      <c r="E780" s="55">
        <v>46125</v>
      </c>
      <c r="F780" s="26" t="s">
        <v>948</v>
      </c>
      <c r="G780" s="26" t="s">
        <v>58</v>
      </c>
      <c r="H780" s="26" t="s">
        <v>56</v>
      </c>
      <c r="I780" s="26" t="s">
        <v>70</v>
      </c>
      <c r="J780" s="26" t="s">
        <v>58</v>
      </c>
      <c r="K780" s="27"/>
      <c r="L780" s="28" t="s">
        <v>56</v>
      </c>
      <c r="M780" s="29" t="str">
        <f t="shared" si="60"/>
        <v>✓ OK</v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4.25" customHeight="1" x14ac:dyDescent="0.3">
      <c r="A781" s="23">
        <v>777</v>
      </c>
      <c r="B781" s="24" t="s">
        <v>2836</v>
      </c>
      <c r="C781" s="25" t="s">
        <v>2837</v>
      </c>
      <c r="D781" s="23" t="s">
        <v>2253</v>
      </c>
      <c r="E781" s="55">
        <v>46125</v>
      </c>
      <c r="F781" s="26" t="s">
        <v>948</v>
      </c>
      <c r="G781" s="26" t="s">
        <v>58</v>
      </c>
      <c r="H781" s="26" t="s">
        <v>56</v>
      </c>
      <c r="I781" s="26" t="s">
        <v>70</v>
      </c>
      <c r="J781" s="26" t="s">
        <v>58</v>
      </c>
      <c r="K781" s="27"/>
      <c r="L781" s="28" t="s">
        <v>56</v>
      </c>
      <c r="M781" s="29" t="str">
        <f t="shared" si="60"/>
        <v>✓ OK</v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4.25" customHeight="1" x14ac:dyDescent="0.3">
      <c r="A782" s="42">
        <v>778</v>
      </c>
      <c r="B782" s="43" t="s">
        <v>2838</v>
      </c>
      <c r="C782" s="44" t="s">
        <v>2839</v>
      </c>
      <c r="D782" s="42" t="s">
        <v>2253</v>
      </c>
      <c r="E782" s="55">
        <v>46125</v>
      </c>
      <c r="F782" s="26" t="s">
        <v>948</v>
      </c>
      <c r="G782" s="26" t="s">
        <v>58</v>
      </c>
      <c r="H782" s="26" t="s">
        <v>56</v>
      </c>
      <c r="I782" s="26" t="s">
        <v>70</v>
      </c>
      <c r="J782" s="26" t="s">
        <v>58</v>
      </c>
      <c r="K782" s="27"/>
      <c r="L782" s="28" t="s">
        <v>56</v>
      </c>
      <c r="M782" s="29" t="str">
        <f t="shared" si="60"/>
        <v>✓ OK</v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4.25" customHeight="1" x14ac:dyDescent="0.3">
      <c r="A783" s="23">
        <v>779</v>
      </c>
      <c r="B783" s="24" t="s">
        <v>2840</v>
      </c>
      <c r="C783" s="25" t="s">
        <v>2841</v>
      </c>
      <c r="D783" s="23" t="s">
        <v>2253</v>
      </c>
      <c r="E783" s="55">
        <v>46125</v>
      </c>
      <c r="F783" s="26" t="s">
        <v>948</v>
      </c>
      <c r="G783" s="26" t="s">
        <v>58</v>
      </c>
      <c r="H783" s="26" t="s">
        <v>56</v>
      </c>
      <c r="I783" s="26" t="s">
        <v>70</v>
      </c>
      <c r="J783" s="26" t="s">
        <v>58</v>
      </c>
      <c r="K783" s="27"/>
      <c r="L783" s="28" t="s">
        <v>56</v>
      </c>
      <c r="M783" s="29" t="str">
        <f t="shared" si="60"/>
        <v>✓ OK</v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4.25" customHeight="1" x14ac:dyDescent="0.3">
      <c r="A784" s="42">
        <v>780</v>
      </c>
      <c r="B784" s="43" t="s">
        <v>2842</v>
      </c>
      <c r="C784" s="44" t="s">
        <v>2843</v>
      </c>
      <c r="D784" s="42" t="s">
        <v>2253</v>
      </c>
      <c r="E784" s="55">
        <v>46125</v>
      </c>
      <c r="F784" s="26" t="s">
        <v>948</v>
      </c>
      <c r="G784" s="26" t="s">
        <v>58</v>
      </c>
      <c r="H784" s="26" t="s">
        <v>56</v>
      </c>
      <c r="I784" s="26" t="s">
        <v>70</v>
      </c>
      <c r="J784" s="26" t="s">
        <v>58</v>
      </c>
      <c r="K784" s="27"/>
      <c r="L784" s="28" t="s">
        <v>56</v>
      </c>
      <c r="M784" s="29" t="str">
        <f t="shared" si="60"/>
        <v>✓ OK</v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4.25" customHeight="1" x14ac:dyDescent="0.3">
      <c r="A785" s="23">
        <v>781</v>
      </c>
      <c r="B785" s="24" t="s">
        <v>2844</v>
      </c>
      <c r="C785" s="25" t="s">
        <v>2845</v>
      </c>
      <c r="D785" s="23" t="s">
        <v>2253</v>
      </c>
      <c r="E785" s="55">
        <v>46125</v>
      </c>
      <c r="F785" s="26" t="s">
        <v>948</v>
      </c>
      <c r="G785" s="26" t="s">
        <v>58</v>
      </c>
      <c r="H785" s="26" t="s">
        <v>56</v>
      </c>
      <c r="I785" s="26" t="s">
        <v>70</v>
      </c>
      <c r="J785" s="26" t="s">
        <v>58</v>
      </c>
      <c r="K785" s="27"/>
      <c r="L785" s="28" t="s">
        <v>56</v>
      </c>
      <c r="M785" s="29" t="str">
        <f t="shared" si="60"/>
        <v>✓ OK</v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4.25" customHeight="1" x14ac:dyDescent="0.3">
      <c r="A786" s="42">
        <v>782</v>
      </c>
      <c r="B786" s="43" t="s">
        <v>2846</v>
      </c>
      <c r="C786" s="44" t="s">
        <v>2847</v>
      </c>
      <c r="D786" s="42" t="s">
        <v>2253</v>
      </c>
      <c r="E786" s="55">
        <v>46125</v>
      </c>
      <c r="F786" s="26" t="s">
        <v>948</v>
      </c>
      <c r="G786" s="26" t="s">
        <v>58</v>
      </c>
      <c r="H786" s="26" t="s">
        <v>56</v>
      </c>
      <c r="I786" s="26" t="s">
        <v>70</v>
      </c>
      <c r="J786" s="26" t="s">
        <v>58</v>
      </c>
      <c r="K786" s="27"/>
      <c r="L786" s="28" t="s">
        <v>56</v>
      </c>
      <c r="M786" s="29" t="str">
        <f t="shared" si="60"/>
        <v>✓ OK</v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4.25" customHeight="1" x14ac:dyDescent="0.3">
      <c r="A787" s="23">
        <v>783</v>
      </c>
      <c r="B787" s="24" t="s">
        <v>2848</v>
      </c>
      <c r="C787" s="25" t="s">
        <v>2849</v>
      </c>
      <c r="D787" s="23" t="s">
        <v>2253</v>
      </c>
      <c r="E787" s="55">
        <v>46125</v>
      </c>
      <c r="F787" s="26" t="s">
        <v>948</v>
      </c>
      <c r="G787" s="26" t="s">
        <v>58</v>
      </c>
      <c r="H787" s="26" t="s">
        <v>56</v>
      </c>
      <c r="I787" s="26" t="s">
        <v>70</v>
      </c>
      <c r="J787" s="26" t="s">
        <v>58</v>
      </c>
      <c r="K787" s="27"/>
      <c r="L787" s="28" t="s">
        <v>56</v>
      </c>
      <c r="M787" s="29" t="str">
        <f t="shared" si="60"/>
        <v>✓ OK</v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4.25" customHeight="1" x14ac:dyDescent="0.3">
      <c r="A788" s="42">
        <v>784</v>
      </c>
      <c r="B788" s="43" t="s">
        <v>2850</v>
      </c>
      <c r="C788" s="44" t="s">
        <v>2851</v>
      </c>
      <c r="D788" s="42" t="s">
        <v>2253</v>
      </c>
      <c r="E788" s="55">
        <v>46125</v>
      </c>
      <c r="F788" s="26" t="s">
        <v>948</v>
      </c>
      <c r="G788" s="26" t="s">
        <v>58</v>
      </c>
      <c r="H788" s="26" t="s">
        <v>56</v>
      </c>
      <c r="I788" s="26" t="s">
        <v>70</v>
      </c>
      <c r="J788" s="26" t="s">
        <v>58</v>
      </c>
      <c r="K788" s="27"/>
      <c r="L788" s="28" t="s">
        <v>56</v>
      </c>
      <c r="M788" s="29" t="str">
        <f t="shared" si="60"/>
        <v>✓ OK</v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4.25" customHeight="1" x14ac:dyDescent="0.3">
      <c r="A789" s="23">
        <v>785</v>
      </c>
      <c r="B789" s="24" t="s">
        <v>2852</v>
      </c>
      <c r="C789" s="25" t="s">
        <v>2853</v>
      </c>
      <c r="D789" s="23" t="s">
        <v>2253</v>
      </c>
      <c r="E789" s="55">
        <v>46125</v>
      </c>
      <c r="F789" s="26" t="s">
        <v>948</v>
      </c>
      <c r="G789" s="26" t="s">
        <v>58</v>
      </c>
      <c r="H789" s="26" t="s">
        <v>56</v>
      </c>
      <c r="I789" s="26" t="s">
        <v>70</v>
      </c>
      <c r="J789" s="26" t="s">
        <v>58</v>
      </c>
      <c r="K789" s="27"/>
      <c r="L789" s="28" t="s">
        <v>56</v>
      </c>
      <c r="M789" s="29" t="str">
        <f t="shared" si="60"/>
        <v>✓ OK</v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4.25" customHeight="1" x14ac:dyDescent="0.3">
      <c r="A790" s="42">
        <v>786</v>
      </c>
      <c r="B790" s="43" t="s">
        <v>2854</v>
      </c>
      <c r="C790" s="44" t="s">
        <v>2855</v>
      </c>
      <c r="D790" s="42" t="s">
        <v>2253</v>
      </c>
      <c r="E790" s="55">
        <v>46125</v>
      </c>
      <c r="F790" s="26" t="s">
        <v>948</v>
      </c>
      <c r="G790" s="26" t="s">
        <v>58</v>
      </c>
      <c r="H790" s="26" t="s">
        <v>56</v>
      </c>
      <c r="I790" s="26" t="s">
        <v>70</v>
      </c>
      <c r="J790" s="26" t="s">
        <v>58</v>
      </c>
      <c r="K790" s="27"/>
      <c r="L790" s="28" t="s">
        <v>56</v>
      </c>
      <c r="M790" s="29" t="str">
        <f t="shared" si="60"/>
        <v>✓ OK</v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4.25" customHeight="1" x14ac:dyDescent="0.3">
      <c r="A791" s="23">
        <v>787</v>
      </c>
      <c r="B791" s="24" t="s">
        <v>2856</v>
      </c>
      <c r="C791" s="25" t="s">
        <v>2857</v>
      </c>
      <c r="D791" s="23" t="s">
        <v>2253</v>
      </c>
      <c r="E791" s="55">
        <v>46125</v>
      </c>
      <c r="F791" s="26" t="s">
        <v>948</v>
      </c>
      <c r="G791" s="26" t="s">
        <v>58</v>
      </c>
      <c r="H791" s="26" t="s">
        <v>56</v>
      </c>
      <c r="I791" s="26" t="s">
        <v>70</v>
      </c>
      <c r="J791" s="26" t="s">
        <v>58</v>
      </c>
      <c r="K791" s="27"/>
      <c r="L791" s="28" t="s">
        <v>56</v>
      </c>
      <c r="M791" s="29" t="str">
        <f t="shared" si="60"/>
        <v>✓ OK</v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4.25" customHeight="1" x14ac:dyDescent="0.3">
      <c r="A792" s="42">
        <v>788</v>
      </c>
      <c r="B792" s="43" t="s">
        <v>2858</v>
      </c>
      <c r="C792" s="44" t="s">
        <v>2859</v>
      </c>
      <c r="D792" s="42" t="s">
        <v>2253</v>
      </c>
      <c r="E792" s="55">
        <v>46125</v>
      </c>
      <c r="F792" s="26" t="s">
        <v>948</v>
      </c>
      <c r="G792" s="26" t="s">
        <v>58</v>
      </c>
      <c r="H792" s="26" t="s">
        <v>56</v>
      </c>
      <c r="I792" s="26" t="s">
        <v>70</v>
      </c>
      <c r="J792" s="26" t="s">
        <v>58</v>
      </c>
      <c r="K792" s="27"/>
      <c r="L792" s="28" t="s">
        <v>56</v>
      </c>
      <c r="M792" s="29" t="str">
        <f t="shared" si="60"/>
        <v>✓ OK</v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4.25" customHeight="1" x14ac:dyDescent="0.3">
      <c r="A793" s="23">
        <v>789</v>
      </c>
      <c r="B793" s="24" t="s">
        <v>2860</v>
      </c>
      <c r="C793" s="25" t="s">
        <v>2861</v>
      </c>
      <c r="D793" s="23" t="s">
        <v>2253</v>
      </c>
      <c r="E793" s="55">
        <v>46125</v>
      </c>
      <c r="F793" s="26" t="s">
        <v>948</v>
      </c>
      <c r="G793" s="26" t="s">
        <v>58</v>
      </c>
      <c r="H793" s="26" t="s">
        <v>56</v>
      </c>
      <c r="I793" s="26" t="s">
        <v>70</v>
      </c>
      <c r="J793" s="26" t="s">
        <v>58</v>
      </c>
      <c r="K793" s="27"/>
      <c r="L793" s="28" t="s">
        <v>56</v>
      </c>
      <c r="M793" s="29" t="str">
        <f t="shared" si="60"/>
        <v>✓ OK</v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4.25" customHeight="1" x14ac:dyDescent="0.3">
      <c r="A794" s="42">
        <v>790</v>
      </c>
      <c r="B794" s="43" t="s">
        <v>2862</v>
      </c>
      <c r="C794" s="44" t="s">
        <v>2863</v>
      </c>
      <c r="D794" s="42" t="s">
        <v>2253</v>
      </c>
      <c r="E794" s="55">
        <v>46125</v>
      </c>
      <c r="F794" s="26" t="s">
        <v>948</v>
      </c>
      <c r="G794" s="26" t="s">
        <v>58</v>
      </c>
      <c r="H794" s="26" t="s">
        <v>56</v>
      </c>
      <c r="I794" s="26" t="s">
        <v>70</v>
      </c>
      <c r="J794" s="26" t="s">
        <v>58</v>
      </c>
      <c r="K794" s="27"/>
      <c r="L794" s="28" t="s">
        <v>56</v>
      </c>
      <c r="M794" s="29" t="str">
        <f t="shared" si="60"/>
        <v>✓ OK</v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4.25" customHeight="1" x14ac:dyDescent="0.3">
      <c r="A795" s="23">
        <v>791</v>
      </c>
      <c r="B795" s="24" t="s">
        <v>2864</v>
      </c>
      <c r="C795" s="25" t="s">
        <v>2865</v>
      </c>
      <c r="D795" s="23" t="s">
        <v>2253</v>
      </c>
      <c r="E795" s="55">
        <v>46125</v>
      </c>
      <c r="F795" s="26" t="s">
        <v>948</v>
      </c>
      <c r="G795" s="26" t="s">
        <v>58</v>
      </c>
      <c r="H795" s="26" t="s">
        <v>56</v>
      </c>
      <c r="I795" s="26" t="s">
        <v>70</v>
      </c>
      <c r="J795" s="26" t="s">
        <v>58</v>
      </c>
      <c r="K795" s="27"/>
      <c r="L795" s="28" t="s">
        <v>56</v>
      </c>
      <c r="M795" s="29" t="str">
        <f t="shared" si="60"/>
        <v>✓ OK</v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4.25" customHeight="1" x14ac:dyDescent="0.3">
      <c r="A796" s="42">
        <v>792</v>
      </c>
      <c r="B796" s="43" t="s">
        <v>2866</v>
      </c>
      <c r="C796" s="44" t="s">
        <v>2867</v>
      </c>
      <c r="D796" s="42" t="s">
        <v>2253</v>
      </c>
      <c r="E796" s="55">
        <v>46125</v>
      </c>
      <c r="F796" s="26" t="s">
        <v>948</v>
      </c>
      <c r="G796" s="26" t="s">
        <v>58</v>
      </c>
      <c r="H796" s="26" t="s">
        <v>56</v>
      </c>
      <c r="I796" s="26" t="s">
        <v>70</v>
      </c>
      <c r="J796" s="26" t="s">
        <v>58</v>
      </c>
      <c r="K796" s="27"/>
      <c r="L796" s="28" t="s">
        <v>56</v>
      </c>
      <c r="M796" s="29" t="str">
        <f t="shared" si="60"/>
        <v>✓ OK</v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4.25" customHeight="1" x14ac:dyDescent="0.3">
      <c r="A797" s="23">
        <v>793</v>
      </c>
      <c r="B797" s="24" t="s">
        <v>2868</v>
      </c>
      <c r="C797" s="25" t="s">
        <v>2869</v>
      </c>
      <c r="D797" s="23" t="s">
        <v>2253</v>
      </c>
      <c r="E797" s="55">
        <v>46125</v>
      </c>
      <c r="F797" s="26" t="s">
        <v>948</v>
      </c>
      <c r="G797" s="26" t="s">
        <v>58</v>
      </c>
      <c r="H797" s="26" t="s">
        <v>56</v>
      </c>
      <c r="I797" s="26" t="s">
        <v>70</v>
      </c>
      <c r="J797" s="26" t="s">
        <v>58</v>
      </c>
      <c r="K797" s="27"/>
      <c r="L797" s="28" t="s">
        <v>56</v>
      </c>
      <c r="M797" s="29" t="str">
        <f t="shared" si="60"/>
        <v>✓ OK</v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4.25" customHeight="1" x14ac:dyDescent="0.3">
      <c r="A798" s="42">
        <v>794</v>
      </c>
      <c r="B798" s="43" t="s">
        <v>2870</v>
      </c>
      <c r="C798" s="44" t="s">
        <v>2871</v>
      </c>
      <c r="D798" s="42" t="s">
        <v>2253</v>
      </c>
      <c r="E798" s="55">
        <v>46125</v>
      </c>
      <c r="F798" s="26" t="s">
        <v>948</v>
      </c>
      <c r="G798" s="26" t="s">
        <v>58</v>
      </c>
      <c r="H798" s="26" t="s">
        <v>56</v>
      </c>
      <c r="I798" s="26" t="s">
        <v>70</v>
      </c>
      <c r="J798" s="26" t="s">
        <v>58</v>
      </c>
      <c r="K798" s="27"/>
      <c r="L798" s="28" t="s">
        <v>56</v>
      </c>
      <c r="M798" s="29" t="str">
        <f t="shared" si="60"/>
        <v>✓ OK</v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4.25" customHeight="1" x14ac:dyDescent="0.3">
      <c r="A799" s="23">
        <v>795</v>
      </c>
      <c r="B799" s="24" t="s">
        <v>2872</v>
      </c>
      <c r="C799" s="25" t="s">
        <v>2873</v>
      </c>
      <c r="D799" s="23" t="s">
        <v>2253</v>
      </c>
      <c r="E799" s="55">
        <v>46125</v>
      </c>
      <c r="F799" s="26" t="s">
        <v>948</v>
      </c>
      <c r="G799" s="26" t="s">
        <v>58</v>
      </c>
      <c r="H799" s="26" t="s">
        <v>56</v>
      </c>
      <c r="I799" s="26" t="s">
        <v>70</v>
      </c>
      <c r="J799" s="26" t="s">
        <v>58</v>
      </c>
      <c r="K799" s="27"/>
      <c r="L799" s="28" t="s">
        <v>56</v>
      </c>
      <c r="M799" s="29" t="str">
        <f t="shared" si="60"/>
        <v>✓ OK</v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4.25" customHeight="1" x14ac:dyDescent="0.3">
      <c r="A800" s="42">
        <v>796</v>
      </c>
      <c r="B800" s="43" t="s">
        <v>2874</v>
      </c>
      <c r="C800" s="44" t="s">
        <v>2875</v>
      </c>
      <c r="D800" s="42" t="s">
        <v>2253</v>
      </c>
      <c r="E800" s="55">
        <v>46125</v>
      </c>
      <c r="F800" s="26" t="s">
        <v>948</v>
      </c>
      <c r="G800" s="26" t="s">
        <v>58</v>
      </c>
      <c r="H800" s="26" t="s">
        <v>56</v>
      </c>
      <c r="I800" s="26" t="s">
        <v>70</v>
      </c>
      <c r="J800" s="26" t="s">
        <v>58</v>
      </c>
      <c r="K800" s="27"/>
      <c r="L800" s="28" t="s">
        <v>56</v>
      </c>
      <c r="M800" s="29" t="str">
        <f t="shared" si="60"/>
        <v>✓ OK</v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4.25" customHeight="1" x14ac:dyDescent="0.3">
      <c r="A801" s="23">
        <v>797</v>
      </c>
      <c r="B801" s="24" t="s">
        <v>2876</v>
      </c>
      <c r="C801" s="25" t="s">
        <v>2877</v>
      </c>
      <c r="D801" s="23" t="s">
        <v>2253</v>
      </c>
      <c r="E801" s="55">
        <v>46125</v>
      </c>
      <c r="F801" s="26" t="s">
        <v>948</v>
      </c>
      <c r="G801" s="26" t="s">
        <v>58</v>
      </c>
      <c r="H801" s="26" t="s">
        <v>56</v>
      </c>
      <c r="I801" s="26" t="s">
        <v>70</v>
      </c>
      <c r="J801" s="26" t="s">
        <v>58</v>
      </c>
      <c r="K801" s="27"/>
      <c r="L801" s="28" t="s">
        <v>56</v>
      </c>
      <c r="M801" s="29" t="str">
        <f t="shared" si="60"/>
        <v>✓ OK</v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4.25" customHeight="1" x14ac:dyDescent="0.3">
      <c r="A802" s="42">
        <v>798</v>
      </c>
      <c r="B802" s="43" t="s">
        <v>2878</v>
      </c>
      <c r="C802" s="44" t="s">
        <v>2879</v>
      </c>
      <c r="D802" s="42" t="s">
        <v>2253</v>
      </c>
      <c r="E802" s="55">
        <v>46125</v>
      </c>
      <c r="F802" s="26" t="s">
        <v>948</v>
      </c>
      <c r="G802" s="26" t="s">
        <v>58</v>
      </c>
      <c r="H802" s="26" t="s">
        <v>56</v>
      </c>
      <c r="I802" s="26" t="s">
        <v>70</v>
      </c>
      <c r="J802" s="26" t="s">
        <v>58</v>
      </c>
      <c r="K802" s="27"/>
      <c r="L802" s="28" t="s">
        <v>56</v>
      </c>
      <c r="M802" s="29" t="str">
        <f t="shared" si="60"/>
        <v>✓ OK</v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4.25" customHeight="1" x14ac:dyDescent="0.3">
      <c r="A803" s="23">
        <v>799</v>
      </c>
      <c r="B803" s="24" t="s">
        <v>2880</v>
      </c>
      <c r="C803" s="25" t="s">
        <v>2881</v>
      </c>
      <c r="D803" s="23" t="s">
        <v>2253</v>
      </c>
      <c r="E803" s="55">
        <v>46125</v>
      </c>
      <c r="F803" s="26" t="s">
        <v>948</v>
      </c>
      <c r="G803" s="26" t="s">
        <v>58</v>
      </c>
      <c r="H803" s="26" t="s">
        <v>56</v>
      </c>
      <c r="I803" s="26" t="s">
        <v>70</v>
      </c>
      <c r="J803" s="26" t="s">
        <v>58</v>
      </c>
      <c r="K803" s="27"/>
      <c r="L803" s="28" t="s">
        <v>56</v>
      </c>
      <c r="M803" s="29" t="str">
        <f t="shared" si="60"/>
        <v>✓ OK</v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4.25" customHeight="1" x14ac:dyDescent="0.3">
      <c r="A804" s="42">
        <v>800</v>
      </c>
      <c r="B804" s="43" t="s">
        <v>2882</v>
      </c>
      <c r="C804" s="44" t="s">
        <v>2883</v>
      </c>
      <c r="D804" s="42" t="s">
        <v>2253</v>
      </c>
      <c r="E804" s="55">
        <v>46125</v>
      </c>
      <c r="F804" s="26" t="s">
        <v>948</v>
      </c>
      <c r="G804" s="26" t="s">
        <v>58</v>
      </c>
      <c r="H804" s="26" t="s">
        <v>56</v>
      </c>
      <c r="I804" s="26" t="s">
        <v>70</v>
      </c>
      <c r="J804" s="26" t="s">
        <v>58</v>
      </c>
      <c r="K804" s="27"/>
      <c r="L804" s="28" t="s">
        <v>56</v>
      </c>
      <c r="M804" s="29" t="str">
        <f t="shared" si="60"/>
        <v>✓ OK</v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4.25" customHeight="1" x14ac:dyDescent="0.3">
      <c r="A805" s="23">
        <v>801</v>
      </c>
      <c r="B805" s="24" t="s">
        <v>2884</v>
      </c>
      <c r="C805" s="25" t="s">
        <v>2885</v>
      </c>
      <c r="D805" s="23" t="s">
        <v>2253</v>
      </c>
      <c r="E805" s="55">
        <v>46125</v>
      </c>
      <c r="F805" s="26" t="s">
        <v>948</v>
      </c>
      <c r="G805" s="26" t="s">
        <v>58</v>
      </c>
      <c r="H805" s="26" t="s">
        <v>56</v>
      </c>
      <c r="I805" s="26" t="s">
        <v>70</v>
      </c>
      <c r="J805" s="26" t="s">
        <v>58</v>
      </c>
      <c r="K805" s="27"/>
      <c r="L805" s="28" t="s">
        <v>56</v>
      </c>
      <c r="M805" s="29" t="str">
        <f t="shared" si="60"/>
        <v>✓ OK</v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4.25" customHeight="1" x14ac:dyDescent="0.3">
      <c r="A806" s="42">
        <v>802</v>
      </c>
      <c r="B806" s="43" t="s">
        <v>2886</v>
      </c>
      <c r="C806" s="44" t="s">
        <v>2887</v>
      </c>
      <c r="D806" s="42" t="s">
        <v>2253</v>
      </c>
      <c r="E806" s="55">
        <v>46125</v>
      </c>
      <c r="F806" s="26" t="s">
        <v>948</v>
      </c>
      <c r="G806" s="26" t="s">
        <v>58</v>
      </c>
      <c r="H806" s="26" t="s">
        <v>56</v>
      </c>
      <c r="I806" s="26" t="s">
        <v>70</v>
      </c>
      <c r="J806" s="26" t="s">
        <v>58</v>
      </c>
      <c r="K806" s="27"/>
      <c r="L806" s="28" t="s">
        <v>56</v>
      </c>
      <c r="M806" s="29" t="str">
        <f t="shared" si="60"/>
        <v>✓ OK</v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4.25" customHeight="1" x14ac:dyDescent="0.3">
      <c r="A807" s="23">
        <v>803</v>
      </c>
      <c r="B807" s="24" t="s">
        <v>2888</v>
      </c>
      <c r="C807" s="25" t="s">
        <v>2889</v>
      </c>
      <c r="D807" s="23" t="s">
        <v>2253</v>
      </c>
      <c r="E807" s="55">
        <v>46125</v>
      </c>
      <c r="F807" s="26" t="s">
        <v>948</v>
      </c>
      <c r="G807" s="26" t="s">
        <v>58</v>
      </c>
      <c r="H807" s="26" t="s">
        <v>56</v>
      </c>
      <c r="I807" s="26" t="s">
        <v>70</v>
      </c>
      <c r="J807" s="26" t="s">
        <v>58</v>
      </c>
      <c r="K807" s="27"/>
      <c r="L807" s="28" t="s">
        <v>56</v>
      </c>
      <c r="M807" s="29" t="str">
        <f t="shared" si="60"/>
        <v>✓ OK</v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4.25" customHeight="1" x14ac:dyDescent="0.3">
      <c r="A808" s="42">
        <v>804</v>
      </c>
      <c r="B808" s="43" t="s">
        <v>2890</v>
      </c>
      <c r="C808" s="44" t="s">
        <v>2891</v>
      </c>
      <c r="D808" s="42" t="s">
        <v>2253</v>
      </c>
      <c r="E808" s="55">
        <v>46125</v>
      </c>
      <c r="F808" s="26" t="s">
        <v>948</v>
      </c>
      <c r="G808" s="26" t="s">
        <v>58</v>
      </c>
      <c r="H808" s="26" t="s">
        <v>56</v>
      </c>
      <c r="I808" s="26" t="s">
        <v>70</v>
      </c>
      <c r="J808" s="26" t="s">
        <v>58</v>
      </c>
      <c r="K808" s="27"/>
      <c r="L808" s="28" t="s">
        <v>56</v>
      </c>
      <c r="M808" s="29" t="str">
        <f t="shared" si="60"/>
        <v>✓ OK</v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4.25" customHeight="1" x14ac:dyDescent="0.3">
      <c r="A809" s="23">
        <v>805</v>
      </c>
      <c r="B809" s="24" t="s">
        <v>2892</v>
      </c>
      <c r="C809" s="25" t="s">
        <v>2893</v>
      </c>
      <c r="D809" s="23" t="s">
        <v>2253</v>
      </c>
      <c r="E809" s="55">
        <v>46125</v>
      </c>
      <c r="F809" s="26" t="s">
        <v>948</v>
      </c>
      <c r="G809" s="26" t="s">
        <v>58</v>
      </c>
      <c r="H809" s="26" t="s">
        <v>56</v>
      </c>
      <c r="I809" s="26" t="s">
        <v>70</v>
      </c>
      <c r="J809" s="26" t="s">
        <v>58</v>
      </c>
      <c r="K809" s="27"/>
      <c r="L809" s="28" t="s">
        <v>56</v>
      </c>
      <c r="M809" s="29" t="str">
        <f t="shared" si="60"/>
        <v>✓ OK</v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4.25" customHeight="1" x14ac:dyDescent="0.3">
      <c r="A810" s="42">
        <v>806</v>
      </c>
      <c r="B810" s="43" t="s">
        <v>2894</v>
      </c>
      <c r="C810" s="44" t="s">
        <v>2895</v>
      </c>
      <c r="D810" s="42" t="s">
        <v>2253</v>
      </c>
      <c r="E810" s="55">
        <v>46125</v>
      </c>
      <c r="F810" s="26" t="s">
        <v>948</v>
      </c>
      <c r="G810" s="26" t="s">
        <v>58</v>
      </c>
      <c r="H810" s="26" t="s">
        <v>56</v>
      </c>
      <c r="I810" s="26" t="s">
        <v>70</v>
      </c>
      <c r="J810" s="26" t="s">
        <v>58</v>
      </c>
      <c r="K810" s="27"/>
      <c r="L810" s="28" t="s">
        <v>56</v>
      </c>
      <c r="M810" s="29" t="str">
        <f t="shared" si="60"/>
        <v>✓ OK</v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4.25" customHeight="1" x14ac:dyDescent="0.3">
      <c r="A811" s="23">
        <v>807</v>
      </c>
      <c r="B811" s="24" t="s">
        <v>2896</v>
      </c>
      <c r="C811" s="25" t="s">
        <v>2897</v>
      </c>
      <c r="D811" s="23" t="s">
        <v>2253</v>
      </c>
      <c r="E811" s="55">
        <v>46125</v>
      </c>
      <c r="F811" s="26" t="s">
        <v>948</v>
      </c>
      <c r="G811" s="26" t="s">
        <v>58</v>
      </c>
      <c r="H811" s="26" t="s">
        <v>56</v>
      </c>
      <c r="I811" s="26" t="s">
        <v>70</v>
      </c>
      <c r="J811" s="26" t="s">
        <v>58</v>
      </c>
      <c r="K811" s="27"/>
      <c r="L811" s="28" t="s">
        <v>56</v>
      </c>
      <c r="M811" s="29" t="str">
        <f t="shared" si="60"/>
        <v>✓ OK</v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4.25" customHeight="1" x14ac:dyDescent="0.3">
      <c r="A812" s="42">
        <v>808</v>
      </c>
      <c r="B812" s="43" t="s">
        <v>2898</v>
      </c>
      <c r="C812" s="44" t="s">
        <v>2899</v>
      </c>
      <c r="D812" s="42" t="s">
        <v>2253</v>
      </c>
      <c r="E812" s="55">
        <v>46125</v>
      </c>
      <c r="F812" s="26" t="s">
        <v>948</v>
      </c>
      <c r="G812" s="26" t="s">
        <v>58</v>
      </c>
      <c r="H812" s="26" t="s">
        <v>56</v>
      </c>
      <c r="I812" s="26" t="s">
        <v>70</v>
      </c>
      <c r="J812" s="26" t="s">
        <v>58</v>
      </c>
      <c r="K812" s="27"/>
      <c r="L812" s="28" t="s">
        <v>56</v>
      </c>
      <c r="M812" s="29" t="str">
        <f t="shared" si="60"/>
        <v>✓ OK</v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4.25" customHeight="1" x14ac:dyDescent="0.3">
      <c r="A813" s="23">
        <v>809</v>
      </c>
      <c r="B813" s="24" t="s">
        <v>2900</v>
      </c>
      <c r="C813" s="25" t="s">
        <v>2901</v>
      </c>
      <c r="D813" s="23" t="s">
        <v>2253</v>
      </c>
      <c r="E813" s="55">
        <v>46125</v>
      </c>
      <c r="F813" s="26" t="s">
        <v>948</v>
      </c>
      <c r="G813" s="26" t="s">
        <v>58</v>
      </c>
      <c r="H813" s="26" t="s">
        <v>56</v>
      </c>
      <c r="I813" s="26" t="s">
        <v>70</v>
      </c>
      <c r="J813" s="26" t="s">
        <v>58</v>
      </c>
      <c r="K813" s="27"/>
      <c r="L813" s="28" t="s">
        <v>56</v>
      </c>
      <c r="M813" s="29" t="str">
        <f t="shared" si="60"/>
        <v>✓ OK</v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4.25" customHeight="1" x14ac:dyDescent="0.3">
      <c r="A814" s="42">
        <v>810</v>
      </c>
      <c r="B814" s="43" t="s">
        <v>2902</v>
      </c>
      <c r="C814" s="44" t="s">
        <v>2903</v>
      </c>
      <c r="D814" s="42" t="s">
        <v>2253</v>
      </c>
      <c r="E814" s="55">
        <v>46125</v>
      </c>
      <c r="F814" s="26" t="s">
        <v>948</v>
      </c>
      <c r="G814" s="26" t="s">
        <v>58</v>
      </c>
      <c r="H814" s="26" t="s">
        <v>56</v>
      </c>
      <c r="I814" s="26" t="s">
        <v>70</v>
      </c>
      <c r="J814" s="26" t="s">
        <v>58</v>
      </c>
      <c r="K814" s="27"/>
      <c r="L814" s="28" t="s">
        <v>56</v>
      </c>
      <c r="M814" s="29" t="str">
        <f t="shared" si="60"/>
        <v>✓ OK</v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4.25" customHeight="1" x14ac:dyDescent="0.3">
      <c r="A815" s="23">
        <v>811</v>
      </c>
      <c r="B815" s="24" t="s">
        <v>2904</v>
      </c>
      <c r="C815" s="25" t="s">
        <v>2905</v>
      </c>
      <c r="D815" s="23" t="s">
        <v>2253</v>
      </c>
      <c r="E815" s="55">
        <v>46125</v>
      </c>
      <c r="F815" s="26" t="s">
        <v>948</v>
      </c>
      <c r="G815" s="26" t="s">
        <v>58</v>
      </c>
      <c r="H815" s="26" t="s">
        <v>56</v>
      </c>
      <c r="I815" s="26" t="s">
        <v>70</v>
      </c>
      <c r="J815" s="26" t="s">
        <v>58</v>
      </c>
      <c r="K815" s="27"/>
      <c r="L815" s="28" t="s">
        <v>56</v>
      </c>
      <c r="M815" s="29" t="str">
        <f t="shared" si="60"/>
        <v>✓ OK</v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4.25" customHeight="1" x14ac:dyDescent="0.3">
      <c r="A816" s="42">
        <v>812</v>
      </c>
      <c r="B816" s="43" t="s">
        <v>2906</v>
      </c>
      <c r="C816" s="44" t="s">
        <v>2907</v>
      </c>
      <c r="D816" s="42" t="s">
        <v>2253</v>
      </c>
      <c r="E816" s="55">
        <v>46125</v>
      </c>
      <c r="F816" s="26" t="s">
        <v>948</v>
      </c>
      <c r="G816" s="26" t="s">
        <v>58</v>
      </c>
      <c r="H816" s="26" t="s">
        <v>56</v>
      </c>
      <c r="I816" s="26" t="s">
        <v>70</v>
      </c>
      <c r="J816" s="26" t="s">
        <v>58</v>
      </c>
      <c r="K816" s="27"/>
      <c r="L816" s="28" t="s">
        <v>56</v>
      </c>
      <c r="M816" s="29" t="str">
        <f t="shared" si="60"/>
        <v>✓ OK</v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4.25" customHeight="1" x14ac:dyDescent="0.3">
      <c r="A817" s="23">
        <v>813</v>
      </c>
      <c r="B817" s="24" t="s">
        <v>2908</v>
      </c>
      <c r="C817" s="25" t="s">
        <v>2909</v>
      </c>
      <c r="D817" s="23" t="s">
        <v>2253</v>
      </c>
      <c r="E817" s="55">
        <v>46125</v>
      </c>
      <c r="F817" s="26" t="s">
        <v>948</v>
      </c>
      <c r="G817" s="26" t="s">
        <v>58</v>
      </c>
      <c r="H817" s="26" t="s">
        <v>56</v>
      </c>
      <c r="I817" s="26" t="s">
        <v>70</v>
      </c>
      <c r="J817" s="26" t="s">
        <v>58</v>
      </c>
      <c r="K817" s="27"/>
      <c r="L817" s="28" t="s">
        <v>56</v>
      </c>
      <c r="M817" s="29" t="str">
        <f t="shared" si="60"/>
        <v>✓ OK</v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4.25" customHeight="1" x14ac:dyDescent="0.3">
      <c r="A818" s="42">
        <v>814</v>
      </c>
      <c r="B818" s="43" t="s">
        <v>2910</v>
      </c>
      <c r="C818" s="44" t="s">
        <v>2911</v>
      </c>
      <c r="D818" s="42" t="s">
        <v>2253</v>
      </c>
      <c r="E818" s="55">
        <v>46125</v>
      </c>
      <c r="F818" s="26" t="s">
        <v>948</v>
      </c>
      <c r="G818" s="26" t="s">
        <v>58</v>
      </c>
      <c r="H818" s="26" t="s">
        <v>56</v>
      </c>
      <c r="I818" s="26" t="s">
        <v>70</v>
      </c>
      <c r="J818" s="26" t="s">
        <v>58</v>
      </c>
      <c r="K818" s="27"/>
      <c r="L818" s="28" t="s">
        <v>56</v>
      </c>
      <c r="M818" s="29" t="str">
        <f t="shared" si="60"/>
        <v>✓ OK</v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4.25" customHeight="1" x14ac:dyDescent="0.3">
      <c r="A819" s="23">
        <v>815</v>
      </c>
      <c r="B819" s="24" t="s">
        <v>2912</v>
      </c>
      <c r="C819" s="25" t="s">
        <v>2913</v>
      </c>
      <c r="D819" s="23" t="s">
        <v>2253</v>
      </c>
      <c r="E819" s="55">
        <v>46125</v>
      </c>
      <c r="F819" s="26" t="s">
        <v>948</v>
      </c>
      <c r="G819" s="26" t="s">
        <v>58</v>
      </c>
      <c r="H819" s="26" t="s">
        <v>56</v>
      </c>
      <c r="I819" s="26" t="s">
        <v>70</v>
      </c>
      <c r="J819" s="26" t="s">
        <v>58</v>
      </c>
      <c r="K819" s="27"/>
      <c r="L819" s="28" t="s">
        <v>56</v>
      </c>
      <c r="M819" s="29" t="str">
        <f t="shared" si="60"/>
        <v>✓ OK</v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4.25" customHeight="1" x14ac:dyDescent="0.3">
      <c r="A820" s="42">
        <v>816</v>
      </c>
      <c r="B820" s="43" t="s">
        <v>2914</v>
      </c>
      <c r="C820" s="44" t="s">
        <v>2915</v>
      </c>
      <c r="D820" s="42" t="s">
        <v>2253</v>
      </c>
      <c r="E820" s="55">
        <v>46125</v>
      </c>
      <c r="F820" s="26" t="s">
        <v>948</v>
      </c>
      <c r="G820" s="26" t="s">
        <v>58</v>
      </c>
      <c r="H820" s="26" t="s">
        <v>56</v>
      </c>
      <c r="I820" s="26" t="s">
        <v>70</v>
      </c>
      <c r="J820" s="26" t="s">
        <v>58</v>
      </c>
      <c r="K820" s="27"/>
      <c r="L820" s="28" t="s">
        <v>56</v>
      </c>
      <c r="M820" s="29" t="str">
        <f t="shared" si="60"/>
        <v>✓ OK</v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4.25" customHeight="1" x14ac:dyDescent="0.3">
      <c r="A821" s="23">
        <v>817</v>
      </c>
      <c r="B821" s="24" t="s">
        <v>2916</v>
      </c>
      <c r="C821" s="25" t="s">
        <v>2917</v>
      </c>
      <c r="D821" s="23" t="s">
        <v>2253</v>
      </c>
      <c r="E821" s="55">
        <v>46125</v>
      </c>
      <c r="F821" s="26" t="s">
        <v>948</v>
      </c>
      <c r="G821" s="26" t="s">
        <v>58</v>
      </c>
      <c r="H821" s="26" t="s">
        <v>56</v>
      </c>
      <c r="I821" s="26" t="s">
        <v>70</v>
      </c>
      <c r="J821" s="26" t="s">
        <v>58</v>
      </c>
      <c r="K821" s="27"/>
      <c r="L821" s="28" t="s">
        <v>56</v>
      </c>
      <c r="M821" s="29" t="str">
        <f t="shared" si="60"/>
        <v>✓ OK</v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4.25" customHeight="1" x14ac:dyDescent="0.3">
      <c r="A822" s="42">
        <v>818</v>
      </c>
      <c r="B822" s="43" t="s">
        <v>2918</v>
      </c>
      <c r="C822" s="44" t="s">
        <v>2919</v>
      </c>
      <c r="D822" s="42" t="s">
        <v>2253</v>
      </c>
      <c r="E822" s="55">
        <v>46125</v>
      </c>
      <c r="F822" s="26" t="s">
        <v>948</v>
      </c>
      <c r="G822" s="26" t="s">
        <v>58</v>
      </c>
      <c r="H822" s="26" t="s">
        <v>56</v>
      </c>
      <c r="I822" s="26" t="s">
        <v>70</v>
      </c>
      <c r="J822" s="26" t="s">
        <v>58</v>
      </c>
      <c r="K822" s="27"/>
      <c r="L822" s="28" t="s">
        <v>56</v>
      </c>
      <c r="M822" s="29" t="str">
        <f t="shared" si="60"/>
        <v>✓ OK</v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4.25" customHeight="1" x14ac:dyDescent="0.3">
      <c r="A823" s="23">
        <v>819</v>
      </c>
      <c r="B823" s="24" t="s">
        <v>2920</v>
      </c>
      <c r="C823" s="25" t="s">
        <v>2921</v>
      </c>
      <c r="D823" s="23" t="s">
        <v>2253</v>
      </c>
      <c r="E823" s="55">
        <v>46125</v>
      </c>
      <c r="F823" s="26" t="s">
        <v>948</v>
      </c>
      <c r="G823" s="26" t="s">
        <v>58</v>
      </c>
      <c r="H823" s="26" t="s">
        <v>56</v>
      </c>
      <c r="I823" s="26" t="s">
        <v>70</v>
      </c>
      <c r="J823" s="26" t="s">
        <v>58</v>
      </c>
      <c r="K823" s="27"/>
      <c r="L823" s="28" t="s">
        <v>56</v>
      </c>
      <c r="M823" s="29" t="str">
        <f t="shared" si="60"/>
        <v>✓ OK</v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4.25" customHeight="1" x14ac:dyDescent="0.3">
      <c r="A824" s="42">
        <v>820</v>
      </c>
      <c r="B824" s="43" t="s">
        <v>2922</v>
      </c>
      <c r="C824" s="44" t="s">
        <v>2923</v>
      </c>
      <c r="D824" s="42" t="s">
        <v>2253</v>
      </c>
      <c r="E824" s="55">
        <v>46125</v>
      </c>
      <c r="F824" s="26" t="s">
        <v>948</v>
      </c>
      <c r="G824" s="26" t="s">
        <v>58</v>
      </c>
      <c r="H824" s="26" t="s">
        <v>56</v>
      </c>
      <c r="I824" s="26" t="s">
        <v>70</v>
      </c>
      <c r="J824" s="26" t="s">
        <v>58</v>
      </c>
      <c r="K824" s="27"/>
      <c r="L824" s="28" t="s">
        <v>56</v>
      </c>
      <c r="M824" s="29" t="str">
        <f t="shared" si="60"/>
        <v>✓ OK</v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4.25" customHeight="1" x14ac:dyDescent="0.3">
      <c r="A825" s="23">
        <v>821</v>
      </c>
      <c r="B825" s="24" t="s">
        <v>2924</v>
      </c>
      <c r="C825" s="25" t="s">
        <v>2925</v>
      </c>
      <c r="D825" s="23" t="s">
        <v>2253</v>
      </c>
      <c r="E825" s="55">
        <v>46125</v>
      </c>
      <c r="F825" s="26" t="s">
        <v>948</v>
      </c>
      <c r="G825" s="26" t="s">
        <v>58</v>
      </c>
      <c r="H825" s="26" t="s">
        <v>56</v>
      </c>
      <c r="I825" s="26" t="s">
        <v>70</v>
      </c>
      <c r="J825" s="26" t="s">
        <v>58</v>
      </c>
      <c r="K825" s="27"/>
      <c r="L825" s="28" t="s">
        <v>56</v>
      </c>
      <c r="M825" s="29" t="str">
        <f t="shared" si="60"/>
        <v>✓ OK</v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4.25" customHeight="1" x14ac:dyDescent="0.3">
      <c r="A826" s="42">
        <v>822</v>
      </c>
      <c r="B826" s="43" t="s">
        <v>2926</v>
      </c>
      <c r="C826" s="44" t="s">
        <v>2927</v>
      </c>
      <c r="D826" s="42" t="s">
        <v>2253</v>
      </c>
      <c r="E826" s="55">
        <v>46125</v>
      </c>
      <c r="F826" s="26" t="s">
        <v>948</v>
      </c>
      <c r="G826" s="26" t="s">
        <v>58</v>
      </c>
      <c r="H826" s="26" t="s">
        <v>56</v>
      </c>
      <c r="I826" s="26" t="s">
        <v>70</v>
      </c>
      <c r="J826" s="26" t="s">
        <v>58</v>
      </c>
      <c r="K826" s="27"/>
      <c r="L826" s="28" t="s">
        <v>56</v>
      </c>
      <c r="M826" s="29" t="str">
        <f t="shared" si="60"/>
        <v>✓ OK</v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4.25" customHeight="1" x14ac:dyDescent="0.3">
      <c r="A827" s="23">
        <v>823</v>
      </c>
      <c r="B827" s="24" t="s">
        <v>2928</v>
      </c>
      <c r="C827" s="25" t="s">
        <v>2929</v>
      </c>
      <c r="D827" s="23" t="s">
        <v>2253</v>
      </c>
      <c r="E827" s="55">
        <v>46125</v>
      </c>
      <c r="F827" s="26" t="s">
        <v>948</v>
      </c>
      <c r="G827" s="26" t="s">
        <v>58</v>
      </c>
      <c r="H827" s="26" t="s">
        <v>56</v>
      </c>
      <c r="I827" s="26" t="s">
        <v>70</v>
      </c>
      <c r="J827" s="26" t="s">
        <v>58</v>
      </c>
      <c r="K827" s="27"/>
      <c r="L827" s="28" t="s">
        <v>56</v>
      </c>
      <c r="M827" s="29" t="str">
        <f t="shared" si="60"/>
        <v>✓ OK</v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4.25" customHeight="1" x14ac:dyDescent="0.3">
      <c r="A828" s="42">
        <v>824</v>
      </c>
      <c r="B828" s="43" t="s">
        <v>2930</v>
      </c>
      <c r="C828" s="44" t="s">
        <v>2931</v>
      </c>
      <c r="D828" s="42" t="s">
        <v>2253</v>
      </c>
      <c r="E828" s="55">
        <v>46125</v>
      </c>
      <c r="F828" s="26" t="s">
        <v>948</v>
      </c>
      <c r="G828" s="26" t="s">
        <v>58</v>
      </c>
      <c r="H828" s="26" t="s">
        <v>56</v>
      </c>
      <c r="I828" s="26" t="s">
        <v>70</v>
      </c>
      <c r="J828" s="26" t="s">
        <v>58</v>
      </c>
      <c r="K828" s="27"/>
      <c r="L828" s="28" t="s">
        <v>56</v>
      </c>
      <c r="M828" s="29" t="str">
        <f t="shared" si="60"/>
        <v>✓ OK</v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4.25" customHeight="1" x14ac:dyDescent="0.3">
      <c r="A829" s="23">
        <v>825</v>
      </c>
      <c r="B829" s="24" t="s">
        <v>2932</v>
      </c>
      <c r="C829" s="25" t="s">
        <v>2933</v>
      </c>
      <c r="D829" s="23" t="s">
        <v>2253</v>
      </c>
      <c r="E829" s="55">
        <v>46125</v>
      </c>
      <c r="F829" s="26" t="s">
        <v>948</v>
      </c>
      <c r="G829" s="26" t="s">
        <v>58</v>
      </c>
      <c r="H829" s="26" t="s">
        <v>56</v>
      </c>
      <c r="I829" s="26" t="s">
        <v>70</v>
      </c>
      <c r="J829" s="26" t="s">
        <v>58</v>
      </c>
      <c r="K829" s="27"/>
      <c r="L829" s="28" t="s">
        <v>56</v>
      </c>
      <c r="M829" s="29" t="str">
        <f t="shared" si="60"/>
        <v>✓ OK</v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4.25" customHeight="1" x14ac:dyDescent="0.3">
      <c r="A830" s="42">
        <v>826</v>
      </c>
      <c r="B830" s="43" t="s">
        <v>2934</v>
      </c>
      <c r="C830" s="44" t="s">
        <v>2935</v>
      </c>
      <c r="D830" s="42" t="s">
        <v>2253</v>
      </c>
      <c r="E830" s="55">
        <v>46125</v>
      </c>
      <c r="F830" s="26" t="s">
        <v>948</v>
      </c>
      <c r="G830" s="26" t="s">
        <v>58</v>
      </c>
      <c r="H830" s="26" t="s">
        <v>56</v>
      </c>
      <c r="I830" s="26" t="s">
        <v>70</v>
      </c>
      <c r="J830" s="26" t="s">
        <v>58</v>
      </c>
      <c r="K830" s="27"/>
      <c r="L830" s="28" t="s">
        <v>56</v>
      </c>
      <c r="M830" s="29" t="str">
        <f t="shared" si="60"/>
        <v>✓ OK</v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4.25" customHeight="1" x14ac:dyDescent="0.3">
      <c r="A831" s="23">
        <v>827</v>
      </c>
      <c r="B831" s="24" t="s">
        <v>2936</v>
      </c>
      <c r="C831" s="25" t="s">
        <v>2937</v>
      </c>
      <c r="D831" s="23" t="s">
        <v>2253</v>
      </c>
      <c r="E831" s="55">
        <v>46125</v>
      </c>
      <c r="F831" s="26" t="s">
        <v>948</v>
      </c>
      <c r="G831" s="26" t="s">
        <v>58</v>
      </c>
      <c r="H831" s="26" t="s">
        <v>56</v>
      </c>
      <c r="I831" s="26" t="s">
        <v>70</v>
      </c>
      <c r="J831" s="26" t="s">
        <v>58</v>
      </c>
      <c r="K831" s="27"/>
      <c r="L831" s="28" t="s">
        <v>56</v>
      </c>
      <c r="M831" s="29" t="str">
        <f t="shared" si="60"/>
        <v>✓ OK</v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4.25" customHeight="1" x14ac:dyDescent="0.3">
      <c r="A832" s="42">
        <v>828</v>
      </c>
      <c r="B832" s="43" t="s">
        <v>2938</v>
      </c>
      <c r="C832" s="44" t="s">
        <v>2939</v>
      </c>
      <c r="D832" s="42" t="s">
        <v>2253</v>
      </c>
      <c r="E832" s="55">
        <v>46125</v>
      </c>
      <c r="F832" s="26" t="s">
        <v>948</v>
      </c>
      <c r="G832" s="26" t="s">
        <v>58</v>
      </c>
      <c r="H832" s="26" t="s">
        <v>56</v>
      </c>
      <c r="I832" s="26" t="s">
        <v>70</v>
      </c>
      <c r="J832" s="26" t="s">
        <v>58</v>
      </c>
      <c r="K832" s="27"/>
      <c r="L832" s="28" t="s">
        <v>56</v>
      </c>
      <c r="M832" s="29" t="str">
        <f t="shared" si="60"/>
        <v>✓ OK</v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4.25" customHeight="1" x14ac:dyDescent="0.3">
      <c r="A833" s="23">
        <v>829</v>
      </c>
      <c r="B833" s="24" t="s">
        <v>2940</v>
      </c>
      <c r="C833" s="25" t="s">
        <v>2941</v>
      </c>
      <c r="D833" s="23" t="s">
        <v>2253</v>
      </c>
      <c r="E833" s="55">
        <v>46125</v>
      </c>
      <c r="F833" s="26" t="s">
        <v>948</v>
      </c>
      <c r="G833" s="26" t="s">
        <v>58</v>
      </c>
      <c r="H833" s="26" t="s">
        <v>56</v>
      </c>
      <c r="I833" s="26" t="s">
        <v>70</v>
      </c>
      <c r="J833" s="26" t="s">
        <v>58</v>
      </c>
      <c r="K833" s="27"/>
      <c r="L833" s="28" t="s">
        <v>56</v>
      </c>
      <c r="M833" s="29" t="str">
        <f t="shared" si="60"/>
        <v>✓ OK</v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4.25" customHeight="1" x14ac:dyDescent="0.3">
      <c r="A834" s="42">
        <v>830</v>
      </c>
      <c r="B834" s="43" t="s">
        <v>2942</v>
      </c>
      <c r="C834" s="44" t="s">
        <v>2943</v>
      </c>
      <c r="D834" s="42" t="s">
        <v>2253</v>
      </c>
      <c r="E834" s="55">
        <v>46125</v>
      </c>
      <c r="F834" s="26" t="s">
        <v>948</v>
      </c>
      <c r="G834" s="26" t="s">
        <v>58</v>
      </c>
      <c r="H834" s="26" t="s">
        <v>56</v>
      </c>
      <c r="I834" s="26" t="s">
        <v>70</v>
      </c>
      <c r="J834" s="26" t="s">
        <v>58</v>
      </c>
      <c r="K834" s="27"/>
      <c r="L834" s="28" t="s">
        <v>56</v>
      </c>
      <c r="M834" s="29" t="str">
        <f t="shared" si="60"/>
        <v>✓ OK</v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4.25" customHeight="1" x14ac:dyDescent="0.3">
      <c r="A835" s="23">
        <v>831</v>
      </c>
      <c r="B835" s="24" t="s">
        <v>2944</v>
      </c>
      <c r="C835" s="25" t="s">
        <v>2945</v>
      </c>
      <c r="D835" s="23" t="s">
        <v>2253</v>
      </c>
      <c r="E835" s="55">
        <v>46125</v>
      </c>
      <c r="F835" s="26" t="s">
        <v>948</v>
      </c>
      <c r="G835" s="26" t="s">
        <v>58</v>
      </c>
      <c r="H835" s="26" t="s">
        <v>56</v>
      </c>
      <c r="I835" s="26" t="s">
        <v>70</v>
      </c>
      <c r="J835" s="26" t="s">
        <v>58</v>
      </c>
      <c r="K835" s="27"/>
      <c r="L835" s="28" t="s">
        <v>56</v>
      </c>
      <c r="M835" s="29" t="str">
        <f t="shared" si="60"/>
        <v>✓ OK</v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4.25" customHeight="1" x14ac:dyDescent="0.3">
      <c r="A836" s="42">
        <v>832</v>
      </c>
      <c r="B836" s="43" t="s">
        <v>2946</v>
      </c>
      <c r="C836" s="44" t="s">
        <v>2947</v>
      </c>
      <c r="D836" s="42" t="s">
        <v>2253</v>
      </c>
      <c r="E836" s="55">
        <v>46125</v>
      </c>
      <c r="F836" s="26" t="s">
        <v>948</v>
      </c>
      <c r="G836" s="26" t="s">
        <v>58</v>
      </c>
      <c r="H836" s="26" t="s">
        <v>56</v>
      </c>
      <c r="I836" s="26" t="s">
        <v>70</v>
      </c>
      <c r="J836" s="26" t="s">
        <v>58</v>
      </c>
      <c r="K836" s="27"/>
      <c r="L836" s="28" t="s">
        <v>56</v>
      </c>
      <c r="M836" s="29" t="str">
        <f t="shared" si="60"/>
        <v>✓ OK</v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4.25" customHeight="1" x14ac:dyDescent="0.3">
      <c r="A837" s="23">
        <v>833</v>
      </c>
      <c r="B837" s="24" t="s">
        <v>2948</v>
      </c>
      <c r="C837" s="25" t="s">
        <v>2949</v>
      </c>
      <c r="D837" s="23" t="s">
        <v>2253</v>
      </c>
      <c r="E837" s="55">
        <v>46125</v>
      </c>
      <c r="F837" s="26" t="s">
        <v>948</v>
      </c>
      <c r="G837" s="26" t="s">
        <v>58</v>
      </c>
      <c r="H837" s="26" t="s">
        <v>56</v>
      </c>
      <c r="I837" s="26" t="s">
        <v>70</v>
      </c>
      <c r="J837" s="26" t="s">
        <v>58</v>
      </c>
      <c r="K837" s="27"/>
      <c r="L837" s="28" t="s">
        <v>56</v>
      </c>
      <c r="M837" s="29" t="str">
        <f t="shared" ref="M837:M900" si="65">IF(E837="","",IF(H837="Yes","❌ Disc",IF(G837="No","⚠ Missing",IF(J837="Yes","✓ OK","⚠ Check"))))</f>
        <v>✓ OK</v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4.25" customHeight="1" x14ac:dyDescent="0.3">
      <c r="A838" s="42">
        <v>834</v>
      </c>
      <c r="B838" s="43" t="s">
        <v>2950</v>
      </c>
      <c r="C838" s="44" t="s">
        <v>2951</v>
      </c>
      <c r="D838" s="42" t="s">
        <v>2253</v>
      </c>
      <c r="E838" s="55">
        <v>46125</v>
      </c>
      <c r="F838" s="26" t="s">
        <v>948</v>
      </c>
      <c r="G838" s="26" t="s">
        <v>58</v>
      </c>
      <c r="H838" s="26" t="s">
        <v>56</v>
      </c>
      <c r="I838" s="26" t="s">
        <v>70</v>
      </c>
      <c r="J838" s="26" t="s">
        <v>58</v>
      </c>
      <c r="K838" s="27"/>
      <c r="L838" s="28" t="s">
        <v>56</v>
      </c>
      <c r="M838" s="29" t="str">
        <f t="shared" si="65"/>
        <v>✓ OK</v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4.25" customHeight="1" x14ac:dyDescent="0.3">
      <c r="A839" s="23">
        <v>835</v>
      </c>
      <c r="B839" s="24" t="s">
        <v>2952</v>
      </c>
      <c r="C839" s="25" t="s">
        <v>2953</v>
      </c>
      <c r="D839" s="23" t="s">
        <v>2253</v>
      </c>
      <c r="E839" s="55">
        <v>46125</v>
      </c>
      <c r="F839" s="26" t="s">
        <v>948</v>
      </c>
      <c r="G839" s="26" t="s">
        <v>58</v>
      </c>
      <c r="H839" s="26" t="s">
        <v>56</v>
      </c>
      <c r="I839" s="26" t="s">
        <v>70</v>
      </c>
      <c r="J839" s="26" t="s">
        <v>58</v>
      </c>
      <c r="K839" s="27"/>
      <c r="L839" s="28" t="s">
        <v>56</v>
      </c>
      <c r="M839" s="29" t="str">
        <f t="shared" si="65"/>
        <v>✓ OK</v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4.25" customHeight="1" x14ac:dyDescent="0.3">
      <c r="A840" s="42">
        <v>836</v>
      </c>
      <c r="B840" s="43" t="s">
        <v>2954</v>
      </c>
      <c r="C840" s="44" t="s">
        <v>2955</v>
      </c>
      <c r="D840" s="42" t="s">
        <v>2253</v>
      </c>
      <c r="E840" s="55">
        <v>46125</v>
      </c>
      <c r="F840" s="26" t="s">
        <v>948</v>
      </c>
      <c r="G840" s="26" t="s">
        <v>58</v>
      </c>
      <c r="H840" s="26" t="s">
        <v>56</v>
      </c>
      <c r="I840" s="26" t="s">
        <v>70</v>
      </c>
      <c r="J840" s="26" t="s">
        <v>58</v>
      </c>
      <c r="K840" s="27"/>
      <c r="L840" s="28" t="s">
        <v>56</v>
      </c>
      <c r="M840" s="29" t="str">
        <f t="shared" si="65"/>
        <v>✓ OK</v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4.25" customHeight="1" x14ac:dyDescent="0.3">
      <c r="A841" s="23">
        <v>837</v>
      </c>
      <c r="B841" s="24" t="s">
        <v>2956</v>
      </c>
      <c r="C841" s="25" t="s">
        <v>2957</v>
      </c>
      <c r="D841" s="23" t="s">
        <v>2253</v>
      </c>
      <c r="E841" s="55">
        <v>46125</v>
      </c>
      <c r="F841" s="26" t="s">
        <v>948</v>
      </c>
      <c r="G841" s="26" t="s">
        <v>58</v>
      </c>
      <c r="H841" s="26" t="s">
        <v>56</v>
      </c>
      <c r="I841" s="26" t="s">
        <v>70</v>
      </c>
      <c r="J841" s="26" t="s">
        <v>58</v>
      </c>
      <c r="K841" s="27"/>
      <c r="L841" s="28" t="s">
        <v>56</v>
      </c>
      <c r="M841" s="29" t="str">
        <f t="shared" si="65"/>
        <v>✓ OK</v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4.25" customHeight="1" x14ac:dyDescent="0.3">
      <c r="A842" s="42">
        <v>838</v>
      </c>
      <c r="B842" s="43" t="s">
        <v>2958</v>
      </c>
      <c r="C842" s="44" t="s">
        <v>2959</v>
      </c>
      <c r="D842" s="42" t="s">
        <v>2253</v>
      </c>
      <c r="E842" s="55">
        <v>46125</v>
      </c>
      <c r="F842" s="26" t="s">
        <v>948</v>
      </c>
      <c r="G842" s="26" t="s">
        <v>58</v>
      </c>
      <c r="H842" s="26" t="s">
        <v>56</v>
      </c>
      <c r="I842" s="26" t="s">
        <v>70</v>
      </c>
      <c r="J842" s="26" t="s">
        <v>58</v>
      </c>
      <c r="K842" s="27"/>
      <c r="L842" s="28" t="s">
        <v>56</v>
      </c>
      <c r="M842" s="29" t="str">
        <f t="shared" si="65"/>
        <v>✓ OK</v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4.25" customHeight="1" x14ac:dyDescent="0.3">
      <c r="A843" s="23">
        <v>839</v>
      </c>
      <c r="B843" s="24" t="s">
        <v>2960</v>
      </c>
      <c r="C843" s="25" t="s">
        <v>2961</v>
      </c>
      <c r="D843" s="23" t="s">
        <v>2253</v>
      </c>
      <c r="E843" s="55">
        <v>46125</v>
      </c>
      <c r="F843" s="26" t="s">
        <v>948</v>
      </c>
      <c r="G843" s="26" t="s">
        <v>58</v>
      </c>
      <c r="H843" s="26" t="s">
        <v>56</v>
      </c>
      <c r="I843" s="26" t="s">
        <v>70</v>
      </c>
      <c r="J843" s="26" t="s">
        <v>58</v>
      </c>
      <c r="K843" s="27"/>
      <c r="L843" s="28" t="s">
        <v>56</v>
      </c>
      <c r="M843" s="29" t="str">
        <f t="shared" si="65"/>
        <v>✓ OK</v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4.25" customHeight="1" x14ac:dyDescent="0.3">
      <c r="A844" s="42">
        <v>840</v>
      </c>
      <c r="B844" s="43" t="s">
        <v>2962</v>
      </c>
      <c r="C844" s="44" t="s">
        <v>2963</v>
      </c>
      <c r="D844" s="42" t="s">
        <v>2253</v>
      </c>
      <c r="E844" s="55">
        <v>46125</v>
      </c>
      <c r="F844" s="26" t="s">
        <v>948</v>
      </c>
      <c r="G844" s="26" t="s">
        <v>58</v>
      </c>
      <c r="H844" s="26" t="s">
        <v>56</v>
      </c>
      <c r="I844" s="26" t="s">
        <v>70</v>
      </c>
      <c r="J844" s="26" t="s">
        <v>58</v>
      </c>
      <c r="K844" s="27"/>
      <c r="L844" s="28" t="s">
        <v>56</v>
      </c>
      <c r="M844" s="29" t="str">
        <f t="shared" si="65"/>
        <v>✓ OK</v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4.25" customHeight="1" x14ac:dyDescent="0.3">
      <c r="A845" s="23">
        <v>841</v>
      </c>
      <c r="B845" s="24" t="s">
        <v>2964</v>
      </c>
      <c r="C845" s="25" t="s">
        <v>2965</v>
      </c>
      <c r="D845" s="23" t="s">
        <v>2253</v>
      </c>
      <c r="E845" s="55">
        <v>46125</v>
      </c>
      <c r="F845" s="26" t="s">
        <v>948</v>
      </c>
      <c r="G845" s="26" t="s">
        <v>58</v>
      </c>
      <c r="H845" s="26" t="s">
        <v>56</v>
      </c>
      <c r="I845" s="26" t="s">
        <v>70</v>
      </c>
      <c r="J845" s="26" t="s">
        <v>58</v>
      </c>
      <c r="K845" s="27"/>
      <c r="L845" s="28" t="s">
        <v>56</v>
      </c>
      <c r="M845" s="29" t="str">
        <f t="shared" si="65"/>
        <v>✓ OK</v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4.25" customHeight="1" x14ac:dyDescent="0.3">
      <c r="A846" s="42">
        <v>842</v>
      </c>
      <c r="B846" s="43" t="s">
        <v>2966</v>
      </c>
      <c r="C846" s="44" t="s">
        <v>2967</v>
      </c>
      <c r="D846" s="42" t="s">
        <v>2253</v>
      </c>
      <c r="E846" s="55">
        <v>46125</v>
      </c>
      <c r="F846" s="26" t="s">
        <v>948</v>
      </c>
      <c r="G846" s="26" t="s">
        <v>58</v>
      </c>
      <c r="H846" s="26" t="s">
        <v>56</v>
      </c>
      <c r="I846" s="26" t="s">
        <v>70</v>
      </c>
      <c r="J846" s="26" t="s">
        <v>58</v>
      </c>
      <c r="K846" s="27"/>
      <c r="L846" s="28" t="s">
        <v>56</v>
      </c>
      <c r="M846" s="29" t="str">
        <f t="shared" si="65"/>
        <v>✓ OK</v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4.25" customHeight="1" x14ac:dyDescent="0.3">
      <c r="A847" s="23">
        <v>843</v>
      </c>
      <c r="B847" s="24" t="s">
        <v>2968</v>
      </c>
      <c r="C847" s="25" t="s">
        <v>2969</v>
      </c>
      <c r="D847" s="23" t="s">
        <v>2253</v>
      </c>
      <c r="E847" s="55">
        <v>46125</v>
      </c>
      <c r="F847" s="26" t="s">
        <v>948</v>
      </c>
      <c r="G847" s="26" t="s">
        <v>58</v>
      </c>
      <c r="H847" s="26" t="s">
        <v>56</v>
      </c>
      <c r="I847" s="26" t="s">
        <v>70</v>
      </c>
      <c r="J847" s="26" t="s">
        <v>58</v>
      </c>
      <c r="K847" s="27"/>
      <c r="L847" s="28" t="s">
        <v>56</v>
      </c>
      <c r="M847" s="29" t="str">
        <f t="shared" si="65"/>
        <v>✓ OK</v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4.25" customHeight="1" x14ac:dyDescent="0.3">
      <c r="A848" s="42">
        <v>844</v>
      </c>
      <c r="B848" s="43" t="s">
        <v>2970</v>
      </c>
      <c r="C848" s="44" t="s">
        <v>2971</v>
      </c>
      <c r="D848" s="42" t="s">
        <v>2253</v>
      </c>
      <c r="E848" s="55">
        <v>46125</v>
      </c>
      <c r="F848" s="26" t="s">
        <v>948</v>
      </c>
      <c r="G848" s="26" t="s">
        <v>58</v>
      </c>
      <c r="H848" s="26" t="s">
        <v>56</v>
      </c>
      <c r="I848" s="26" t="s">
        <v>70</v>
      </c>
      <c r="J848" s="26" t="s">
        <v>58</v>
      </c>
      <c r="K848" s="27"/>
      <c r="L848" s="28" t="s">
        <v>56</v>
      </c>
      <c r="M848" s="29" t="str">
        <f t="shared" si="65"/>
        <v>✓ OK</v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4.25" customHeight="1" x14ac:dyDescent="0.3">
      <c r="A849" s="23">
        <v>845</v>
      </c>
      <c r="B849" s="24" t="s">
        <v>2972</v>
      </c>
      <c r="C849" s="25" t="s">
        <v>2973</v>
      </c>
      <c r="D849" s="23" t="s">
        <v>2253</v>
      </c>
      <c r="E849" s="55">
        <v>46125</v>
      </c>
      <c r="F849" s="26" t="s">
        <v>948</v>
      </c>
      <c r="G849" s="26" t="s">
        <v>58</v>
      </c>
      <c r="H849" s="26" t="s">
        <v>56</v>
      </c>
      <c r="I849" s="26" t="s">
        <v>70</v>
      </c>
      <c r="J849" s="26" t="s">
        <v>58</v>
      </c>
      <c r="K849" s="27"/>
      <c r="L849" s="28" t="s">
        <v>56</v>
      </c>
      <c r="M849" s="29" t="str">
        <f t="shared" si="65"/>
        <v>✓ OK</v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4.25" customHeight="1" x14ac:dyDescent="0.3">
      <c r="A850" s="42">
        <v>846</v>
      </c>
      <c r="B850" s="43" t="s">
        <v>2974</v>
      </c>
      <c r="C850" s="44" t="s">
        <v>2975</v>
      </c>
      <c r="D850" s="42" t="s">
        <v>2253</v>
      </c>
      <c r="E850" s="55">
        <v>46125</v>
      </c>
      <c r="F850" s="26" t="s">
        <v>948</v>
      </c>
      <c r="G850" s="26" t="s">
        <v>58</v>
      </c>
      <c r="H850" s="26" t="s">
        <v>56</v>
      </c>
      <c r="I850" s="26" t="s">
        <v>70</v>
      </c>
      <c r="J850" s="26" t="s">
        <v>58</v>
      </c>
      <c r="K850" s="27"/>
      <c r="L850" s="28" t="s">
        <v>56</v>
      </c>
      <c r="M850" s="29" t="str">
        <f t="shared" si="65"/>
        <v>✓ OK</v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4.25" customHeight="1" x14ac:dyDescent="0.3">
      <c r="A851" s="23">
        <v>847</v>
      </c>
      <c r="B851" s="24" t="s">
        <v>2976</v>
      </c>
      <c r="C851" s="25" t="s">
        <v>2977</v>
      </c>
      <c r="D851" s="23" t="s">
        <v>2253</v>
      </c>
      <c r="E851" s="55">
        <v>46125</v>
      </c>
      <c r="F851" s="26" t="s">
        <v>948</v>
      </c>
      <c r="G851" s="26" t="s">
        <v>58</v>
      </c>
      <c r="H851" s="26" t="s">
        <v>56</v>
      </c>
      <c r="I851" s="26" t="s">
        <v>70</v>
      </c>
      <c r="J851" s="26" t="s">
        <v>58</v>
      </c>
      <c r="K851" s="27"/>
      <c r="L851" s="28" t="s">
        <v>56</v>
      </c>
      <c r="M851" s="29" t="str">
        <f t="shared" si="65"/>
        <v>✓ OK</v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4.25" customHeight="1" x14ac:dyDescent="0.3">
      <c r="A852" s="42">
        <v>848</v>
      </c>
      <c r="B852" s="43" t="s">
        <v>2978</v>
      </c>
      <c r="C852" s="44" t="s">
        <v>2979</v>
      </c>
      <c r="D852" s="42" t="s">
        <v>2253</v>
      </c>
      <c r="E852" s="55">
        <v>46125</v>
      </c>
      <c r="F852" s="26" t="s">
        <v>948</v>
      </c>
      <c r="G852" s="26" t="s">
        <v>58</v>
      </c>
      <c r="H852" s="26" t="s">
        <v>56</v>
      </c>
      <c r="I852" s="26" t="s">
        <v>70</v>
      </c>
      <c r="J852" s="26" t="s">
        <v>58</v>
      </c>
      <c r="K852" s="27"/>
      <c r="L852" s="28" t="s">
        <v>56</v>
      </c>
      <c r="M852" s="29" t="str">
        <f t="shared" si="65"/>
        <v>✓ OK</v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4.25" customHeight="1" x14ac:dyDescent="0.3">
      <c r="A853" s="23">
        <v>849</v>
      </c>
      <c r="B853" s="24" t="s">
        <v>2980</v>
      </c>
      <c r="C853" s="25" t="s">
        <v>2981</v>
      </c>
      <c r="D853" s="23" t="s">
        <v>2253</v>
      </c>
      <c r="E853" s="55">
        <v>46125</v>
      </c>
      <c r="F853" s="26" t="s">
        <v>948</v>
      </c>
      <c r="G853" s="26" t="s">
        <v>58</v>
      </c>
      <c r="H853" s="26" t="s">
        <v>56</v>
      </c>
      <c r="I853" s="26" t="s">
        <v>70</v>
      </c>
      <c r="J853" s="26" t="s">
        <v>58</v>
      </c>
      <c r="K853" s="27"/>
      <c r="L853" s="28" t="s">
        <v>56</v>
      </c>
      <c r="M853" s="29" t="str">
        <f t="shared" si="65"/>
        <v>✓ OK</v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4.25" customHeight="1" x14ac:dyDescent="0.3">
      <c r="A854" s="42">
        <v>850</v>
      </c>
      <c r="B854" s="43" t="s">
        <v>2982</v>
      </c>
      <c r="C854" s="44" t="s">
        <v>2983</v>
      </c>
      <c r="D854" s="42" t="s">
        <v>2253</v>
      </c>
      <c r="E854" s="55">
        <v>46125</v>
      </c>
      <c r="F854" s="26" t="s">
        <v>948</v>
      </c>
      <c r="G854" s="26" t="s">
        <v>58</v>
      </c>
      <c r="H854" s="26" t="s">
        <v>56</v>
      </c>
      <c r="I854" s="26" t="s">
        <v>70</v>
      </c>
      <c r="J854" s="26" t="s">
        <v>58</v>
      </c>
      <c r="K854" s="27"/>
      <c r="L854" s="28" t="s">
        <v>56</v>
      </c>
      <c r="M854" s="29" t="str">
        <f t="shared" si="65"/>
        <v>✓ OK</v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4.25" customHeight="1" x14ac:dyDescent="0.3">
      <c r="A855" s="23">
        <v>851</v>
      </c>
      <c r="B855" s="24" t="s">
        <v>2984</v>
      </c>
      <c r="C855" s="25" t="s">
        <v>2985</v>
      </c>
      <c r="D855" s="23" t="s">
        <v>2253</v>
      </c>
      <c r="E855" s="55">
        <v>46125</v>
      </c>
      <c r="F855" s="26" t="s">
        <v>948</v>
      </c>
      <c r="G855" s="26" t="s">
        <v>58</v>
      </c>
      <c r="H855" s="26" t="s">
        <v>56</v>
      </c>
      <c r="I855" s="26" t="s">
        <v>70</v>
      </c>
      <c r="J855" s="26" t="s">
        <v>58</v>
      </c>
      <c r="K855" s="27"/>
      <c r="L855" s="28" t="s">
        <v>56</v>
      </c>
      <c r="M855" s="29" t="str">
        <f t="shared" si="65"/>
        <v>✓ OK</v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4.25" customHeight="1" x14ac:dyDescent="0.3">
      <c r="A856" s="42">
        <v>852</v>
      </c>
      <c r="B856" s="43" t="s">
        <v>2986</v>
      </c>
      <c r="C856" s="44" t="s">
        <v>2987</v>
      </c>
      <c r="D856" s="42" t="s">
        <v>2253</v>
      </c>
      <c r="E856" s="55">
        <v>46125</v>
      </c>
      <c r="F856" s="26" t="s">
        <v>948</v>
      </c>
      <c r="G856" s="26" t="s">
        <v>58</v>
      </c>
      <c r="H856" s="26" t="s">
        <v>56</v>
      </c>
      <c r="I856" s="26" t="s">
        <v>70</v>
      </c>
      <c r="J856" s="26" t="s">
        <v>58</v>
      </c>
      <c r="K856" s="27"/>
      <c r="L856" s="28" t="s">
        <v>56</v>
      </c>
      <c r="M856" s="29" t="str">
        <f t="shared" si="65"/>
        <v>✓ OK</v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4.25" customHeight="1" x14ac:dyDescent="0.3">
      <c r="A857" s="23">
        <v>853</v>
      </c>
      <c r="B857" s="24" t="s">
        <v>2988</v>
      </c>
      <c r="C857" s="25" t="s">
        <v>2989</v>
      </c>
      <c r="D857" s="23" t="s">
        <v>2253</v>
      </c>
      <c r="E857" s="55">
        <v>46125</v>
      </c>
      <c r="F857" s="26" t="s">
        <v>948</v>
      </c>
      <c r="G857" s="26" t="s">
        <v>58</v>
      </c>
      <c r="H857" s="26" t="s">
        <v>56</v>
      </c>
      <c r="I857" s="26" t="s">
        <v>70</v>
      </c>
      <c r="J857" s="26" t="s">
        <v>58</v>
      </c>
      <c r="K857" s="27"/>
      <c r="L857" s="28" t="s">
        <v>56</v>
      </c>
      <c r="M857" s="29" t="str">
        <f t="shared" si="65"/>
        <v>✓ OK</v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4.25" customHeight="1" x14ac:dyDescent="0.3">
      <c r="A858" s="42">
        <v>854</v>
      </c>
      <c r="B858" s="43" t="s">
        <v>2990</v>
      </c>
      <c r="C858" s="44" t="s">
        <v>2991</v>
      </c>
      <c r="D858" s="42" t="s">
        <v>2253</v>
      </c>
      <c r="E858" s="55">
        <v>46125</v>
      </c>
      <c r="F858" s="26" t="s">
        <v>948</v>
      </c>
      <c r="G858" s="26" t="s">
        <v>58</v>
      </c>
      <c r="H858" s="26" t="s">
        <v>56</v>
      </c>
      <c r="I858" s="26" t="s">
        <v>70</v>
      </c>
      <c r="J858" s="26" t="s">
        <v>58</v>
      </c>
      <c r="K858" s="27"/>
      <c r="L858" s="28" t="s">
        <v>56</v>
      </c>
      <c r="M858" s="29" t="str">
        <f t="shared" si="65"/>
        <v>✓ OK</v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4.25" customHeight="1" x14ac:dyDescent="0.3">
      <c r="A859" s="23">
        <v>855</v>
      </c>
      <c r="B859" s="24" t="s">
        <v>2992</v>
      </c>
      <c r="C859" s="25" t="s">
        <v>2993</v>
      </c>
      <c r="D859" s="23" t="s">
        <v>2253</v>
      </c>
      <c r="E859" s="55">
        <v>46125</v>
      </c>
      <c r="F859" s="26" t="s">
        <v>948</v>
      </c>
      <c r="G859" s="26" t="s">
        <v>58</v>
      </c>
      <c r="H859" s="26" t="s">
        <v>56</v>
      </c>
      <c r="I859" s="26" t="s">
        <v>70</v>
      </c>
      <c r="J859" s="26" t="s">
        <v>58</v>
      </c>
      <c r="K859" s="27"/>
      <c r="L859" s="28" t="s">
        <v>56</v>
      </c>
      <c r="M859" s="29" t="str">
        <f t="shared" si="65"/>
        <v>✓ OK</v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4.25" customHeight="1" x14ac:dyDescent="0.3">
      <c r="A860" s="42">
        <v>856</v>
      </c>
      <c r="B860" s="43" t="s">
        <v>2994</v>
      </c>
      <c r="C860" s="44" t="s">
        <v>2995</v>
      </c>
      <c r="D860" s="42" t="s">
        <v>2253</v>
      </c>
      <c r="E860" s="55">
        <v>46125</v>
      </c>
      <c r="F860" s="26" t="s">
        <v>948</v>
      </c>
      <c r="G860" s="26" t="s">
        <v>58</v>
      </c>
      <c r="H860" s="26" t="s">
        <v>56</v>
      </c>
      <c r="I860" s="26" t="s">
        <v>70</v>
      </c>
      <c r="J860" s="26" t="s">
        <v>58</v>
      </c>
      <c r="K860" s="27"/>
      <c r="L860" s="28" t="s">
        <v>56</v>
      </c>
      <c r="M860" s="29" t="str">
        <f t="shared" si="65"/>
        <v>✓ OK</v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4.25" customHeight="1" x14ac:dyDescent="0.3">
      <c r="A861" s="23">
        <v>857</v>
      </c>
      <c r="B861" s="24" t="s">
        <v>2996</v>
      </c>
      <c r="C861" s="25" t="s">
        <v>2997</v>
      </c>
      <c r="D861" s="23" t="s">
        <v>2253</v>
      </c>
      <c r="E861" s="55">
        <v>46125</v>
      </c>
      <c r="F861" s="26" t="s">
        <v>948</v>
      </c>
      <c r="G861" s="26" t="s">
        <v>58</v>
      </c>
      <c r="H861" s="26" t="s">
        <v>56</v>
      </c>
      <c r="I861" s="26" t="s">
        <v>70</v>
      </c>
      <c r="J861" s="26" t="s">
        <v>58</v>
      </c>
      <c r="K861" s="27"/>
      <c r="L861" s="28" t="s">
        <v>56</v>
      </c>
      <c r="M861" s="29" t="str">
        <f t="shared" si="65"/>
        <v>✓ OK</v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4.25" customHeight="1" x14ac:dyDescent="0.3">
      <c r="A862" s="42">
        <v>858</v>
      </c>
      <c r="B862" s="43" t="s">
        <v>2998</v>
      </c>
      <c r="C862" s="44" t="s">
        <v>2999</v>
      </c>
      <c r="D862" s="42" t="s">
        <v>2253</v>
      </c>
      <c r="E862" s="55">
        <v>46125</v>
      </c>
      <c r="F862" s="26" t="s">
        <v>948</v>
      </c>
      <c r="G862" s="26" t="s">
        <v>58</v>
      </c>
      <c r="H862" s="26" t="s">
        <v>56</v>
      </c>
      <c r="I862" s="26" t="s">
        <v>70</v>
      </c>
      <c r="J862" s="26" t="s">
        <v>58</v>
      </c>
      <c r="K862" s="27"/>
      <c r="L862" s="28" t="s">
        <v>56</v>
      </c>
      <c r="M862" s="29" t="str">
        <f t="shared" si="65"/>
        <v>✓ OK</v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4.25" customHeight="1" x14ac:dyDescent="0.3">
      <c r="A863" s="23">
        <v>859</v>
      </c>
      <c r="B863" s="24" t="s">
        <v>3000</v>
      </c>
      <c r="C863" s="25" t="s">
        <v>3001</v>
      </c>
      <c r="D863" s="23" t="s">
        <v>2253</v>
      </c>
      <c r="E863" s="55">
        <v>46125</v>
      </c>
      <c r="F863" s="26" t="s">
        <v>948</v>
      </c>
      <c r="G863" s="26" t="s">
        <v>58</v>
      </c>
      <c r="H863" s="26" t="s">
        <v>56</v>
      </c>
      <c r="I863" s="26" t="s">
        <v>70</v>
      </c>
      <c r="J863" s="26" t="s">
        <v>58</v>
      </c>
      <c r="K863" s="27"/>
      <c r="L863" s="28" t="s">
        <v>56</v>
      </c>
      <c r="M863" s="29" t="str">
        <f t="shared" si="65"/>
        <v>✓ OK</v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4.25" customHeight="1" x14ac:dyDescent="0.3">
      <c r="A864" s="42">
        <v>860</v>
      </c>
      <c r="B864" s="43" t="s">
        <v>3002</v>
      </c>
      <c r="C864" s="44" t="s">
        <v>3003</v>
      </c>
      <c r="D864" s="42" t="s">
        <v>2253</v>
      </c>
      <c r="E864" s="55">
        <v>46125</v>
      </c>
      <c r="F864" s="26" t="s">
        <v>948</v>
      </c>
      <c r="G864" s="26" t="s">
        <v>58</v>
      </c>
      <c r="H864" s="26" t="s">
        <v>56</v>
      </c>
      <c r="I864" s="26" t="s">
        <v>70</v>
      </c>
      <c r="J864" s="26" t="s">
        <v>58</v>
      </c>
      <c r="K864" s="27"/>
      <c r="L864" s="28" t="s">
        <v>56</v>
      </c>
      <c r="M864" s="29" t="str">
        <f t="shared" si="65"/>
        <v>✓ OK</v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4.25" customHeight="1" x14ac:dyDescent="0.3">
      <c r="A865" s="23">
        <v>861</v>
      </c>
      <c r="B865" s="24" t="s">
        <v>3004</v>
      </c>
      <c r="C865" s="25" t="s">
        <v>3005</v>
      </c>
      <c r="D865" s="23" t="s">
        <v>2253</v>
      </c>
      <c r="E865" s="55">
        <v>46125</v>
      </c>
      <c r="F865" s="26" t="s">
        <v>948</v>
      </c>
      <c r="G865" s="26" t="s">
        <v>58</v>
      </c>
      <c r="H865" s="26" t="s">
        <v>56</v>
      </c>
      <c r="I865" s="26" t="s">
        <v>70</v>
      </c>
      <c r="J865" s="26" t="s">
        <v>58</v>
      </c>
      <c r="K865" s="27"/>
      <c r="L865" s="28" t="s">
        <v>56</v>
      </c>
      <c r="M865" s="29" t="str">
        <f t="shared" si="65"/>
        <v>✓ OK</v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4.25" customHeight="1" x14ac:dyDescent="0.3">
      <c r="A866" s="42">
        <v>862</v>
      </c>
      <c r="B866" s="43" t="s">
        <v>3006</v>
      </c>
      <c r="C866" s="44" t="s">
        <v>3007</v>
      </c>
      <c r="D866" s="42" t="s">
        <v>2253</v>
      </c>
      <c r="E866" s="55">
        <v>46125</v>
      </c>
      <c r="F866" s="26" t="s">
        <v>948</v>
      </c>
      <c r="G866" s="26" t="s">
        <v>58</v>
      </c>
      <c r="H866" s="26" t="s">
        <v>56</v>
      </c>
      <c r="I866" s="26" t="s">
        <v>70</v>
      </c>
      <c r="J866" s="26" t="s">
        <v>58</v>
      </c>
      <c r="K866" s="27"/>
      <c r="L866" s="28" t="s">
        <v>56</v>
      </c>
      <c r="M866" s="29" t="str">
        <f t="shared" si="65"/>
        <v>✓ OK</v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4.25" customHeight="1" x14ac:dyDescent="0.3">
      <c r="A867" s="23">
        <v>863</v>
      </c>
      <c r="B867" s="24" t="s">
        <v>3008</v>
      </c>
      <c r="C867" s="25" t="s">
        <v>3009</v>
      </c>
      <c r="D867" s="23" t="s">
        <v>2253</v>
      </c>
      <c r="E867" s="55">
        <v>46125</v>
      </c>
      <c r="F867" s="26" t="s">
        <v>948</v>
      </c>
      <c r="G867" s="26" t="s">
        <v>58</v>
      </c>
      <c r="H867" s="26" t="s">
        <v>56</v>
      </c>
      <c r="I867" s="26" t="s">
        <v>70</v>
      </c>
      <c r="J867" s="26" t="s">
        <v>58</v>
      </c>
      <c r="K867" s="27"/>
      <c r="L867" s="28" t="s">
        <v>56</v>
      </c>
      <c r="M867" s="29" t="str">
        <f t="shared" si="65"/>
        <v>✓ OK</v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4.25" customHeight="1" x14ac:dyDescent="0.3">
      <c r="A868" s="42">
        <v>864</v>
      </c>
      <c r="B868" s="43" t="s">
        <v>3010</v>
      </c>
      <c r="C868" s="44" t="s">
        <v>3011</v>
      </c>
      <c r="D868" s="42" t="s">
        <v>2253</v>
      </c>
      <c r="E868" s="55">
        <v>46125</v>
      </c>
      <c r="F868" s="26" t="s">
        <v>948</v>
      </c>
      <c r="G868" s="26" t="s">
        <v>58</v>
      </c>
      <c r="H868" s="26" t="s">
        <v>56</v>
      </c>
      <c r="I868" s="26" t="s">
        <v>70</v>
      </c>
      <c r="J868" s="26" t="s">
        <v>58</v>
      </c>
      <c r="K868" s="27"/>
      <c r="L868" s="28" t="s">
        <v>56</v>
      </c>
      <c r="M868" s="29" t="str">
        <f t="shared" si="65"/>
        <v>✓ OK</v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4.25" customHeight="1" x14ac:dyDescent="0.3">
      <c r="A869" s="23">
        <v>865</v>
      </c>
      <c r="B869" s="24" t="s">
        <v>3012</v>
      </c>
      <c r="C869" s="25" t="s">
        <v>3013</v>
      </c>
      <c r="D869" s="23" t="s">
        <v>2253</v>
      </c>
      <c r="E869" s="55">
        <v>46125</v>
      </c>
      <c r="F869" s="26" t="s">
        <v>948</v>
      </c>
      <c r="G869" s="26" t="s">
        <v>58</v>
      </c>
      <c r="H869" s="26" t="s">
        <v>56</v>
      </c>
      <c r="I869" s="26" t="s">
        <v>70</v>
      </c>
      <c r="J869" s="26" t="s">
        <v>58</v>
      </c>
      <c r="K869" s="27"/>
      <c r="L869" s="28" t="s">
        <v>56</v>
      </c>
      <c r="M869" s="29" t="str">
        <f t="shared" si="65"/>
        <v>✓ OK</v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4.25" customHeight="1" x14ac:dyDescent="0.3">
      <c r="A870" s="42">
        <v>866</v>
      </c>
      <c r="B870" s="43" t="s">
        <v>3014</v>
      </c>
      <c r="C870" s="44" t="s">
        <v>3015</v>
      </c>
      <c r="D870" s="42" t="s">
        <v>2253</v>
      </c>
      <c r="E870" s="55">
        <v>46125</v>
      </c>
      <c r="F870" s="26" t="s">
        <v>948</v>
      </c>
      <c r="G870" s="26" t="s">
        <v>58</v>
      </c>
      <c r="H870" s="26" t="s">
        <v>56</v>
      </c>
      <c r="I870" s="26" t="s">
        <v>70</v>
      </c>
      <c r="J870" s="26" t="s">
        <v>58</v>
      </c>
      <c r="K870" s="27"/>
      <c r="L870" s="28" t="s">
        <v>56</v>
      </c>
      <c r="M870" s="29" t="str">
        <f t="shared" si="65"/>
        <v>✓ OK</v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4.25" customHeight="1" x14ac:dyDescent="0.3">
      <c r="A871" s="23">
        <v>867</v>
      </c>
      <c r="B871" s="24" t="s">
        <v>3016</v>
      </c>
      <c r="C871" s="25" t="s">
        <v>3017</v>
      </c>
      <c r="D871" s="23" t="s">
        <v>2253</v>
      </c>
      <c r="E871" s="55">
        <v>46125</v>
      </c>
      <c r="F871" s="26" t="s">
        <v>948</v>
      </c>
      <c r="G871" s="26" t="s">
        <v>58</v>
      </c>
      <c r="H871" s="26" t="s">
        <v>56</v>
      </c>
      <c r="I871" s="26" t="s">
        <v>70</v>
      </c>
      <c r="J871" s="26" t="s">
        <v>58</v>
      </c>
      <c r="K871" s="27"/>
      <c r="L871" s="28" t="s">
        <v>56</v>
      </c>
      <c r="M871" s="29" t="str">
        <f t="shared" si="65"/>
        <v>✓ OK</v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4.25" customHeight="1" x14ac:dyDescent="0.3">
      <c r="A872" s="42">
        <v>868</v>
      </c>
      <c r="B872" s="43" t="s">
        <v>3018</v>
      </c>
      <c r="C872" s="44" t="s">
        <v>3019</v>
      </c>
      <c r="D872" s="42" t="s">
        <v>2253</v>
      </c>
      <c r="E872" s="55">
        <v>46125</v>
      </c>
      <c r="F872" s="26" t="s">
        <v>948</v>
      </c>
      <c r="G872" s="26" t="s">
        <v>58</v>
      </c>
      <c r="H872" s="26" t="s">
        <v>56</v>
      </c>
      <c r="I872" s="26" t="s">
        <v>70</v>
      </c>
      <c r="J872" s="26" t="s">
        <v>58</v>
      </c>
      <c r="K872" s="27"/>
      <c r="L872" s="28" t="s">
        <v>56</v>
      </c>
      <c r="M872" s="29" t="str">
        <f t="shared" si="65"/>
        <v>✓ OK</v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4.25" customHeight="1" x14ac:dyDescent="0.3">
      <c r="A873" s="23">
        <v>869</v>
      </c>
      <c r="B873" s="24" t="s">
        <v>3020</v>
      </c>
      <c r="C873" s="25" t="s">
        <v>3021</v>
      </c>
      <c r="D873" s="23" t="s">
        <v>2253</v>
      </c>
      <c r="E873" s="55">
        <v>46125</v>
      </c>
      <c r="F873" s="26" t="s">
        <v>948</v>
      </c>
      <c r="G873" s="26" t="s">
        <v>58</v>
      </c>
      <c r="H873" s="26" t="s">
        <v>56</v>
      </c>
      <c r="I873" s="26" t="s">
        <v>70</v>
      </c>
      <c r="J873" s="26" t="s">
        <v>58</v>
      </c>
      <c r="K873" s="27"/>
      <c r="L873" s="28" t="s">
        <v>56</v>
      </c>
      <c r="M873" s="29" t="str">
        <f t="shared" si="65"/>
        <v>✓ OK</v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4.25" customHeight="1" x14ac:dyDescent="0.3">
      <c r="A874" s="42">
        <v>870</v>
      </c>
      <c r="B874" s="43" t="s">
        <v>3022</v>
      </c>
      <c r="C874" s="44" t="s">
        <v>3023</v>
      </c>
      <c r="D874" s="42" t="s">
        <v>2253</v>
      </c>
      <c r="E874" s="55">
        <v>46125</v>
      </c>
      <c r="F874" s="26" t="s">
        <v>948</v>
      </c>
      <c r="G874" s="26" t="s">
        <v>58</v>
      </c>
      <c r="H874" s="26" t="s">
        <v>56</v>
      </c>
      <c r="I874" s="26" t="s">
        <v>70</v>
      </c>
      <c r="J874" s="26" t="s">
        <v>58</v>
      </c>
      <c r="K874" s="27"/>
      <c r="L874" s="28" t="s">
        <v>56</v>
      </c>
      <c r="M874" s="29" t="str">
        <f t="shared" si="65"/>
        <v>✓ OK</v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4.25" customHeight="1" x14ac:dyDescent="0.3">
      <c r="A875" s="23">
        <v>871</v>
      </c>
      <c r="B875" s="24" t="s">
        <v>3024</v>
      </c>
      <c r="C875" s="25" t="s">
        <v>3025</v>
      </c>
      <c r="D875" s="23" t="s">
        <v>2253</v>
      </c>
      <c r="E875" s="55">
        <v>46125</v>
      </c>
      <c r="F875" s="26" t="s">
        <v>948</v>
      </c>
      <c r="G875" s="26" t="s">
        <v>58</v>
      </c>
      <c r="H875" s="26" t="s">
        <v>56</v>
      </c>
      <c r="I875" s="26" t="s">
        <v>70</v>
      </c>
      <c r="J875" s="26" t="s">
        <v>58</v>
      </c>
      <c r="K875" s="27"/>
      <c r="L875" s="28" t="s">
        <v>56</v>
      </c>
      <c r="M875" s="29" t="str">
        <f t="shared" si="65"/>
        <v>✓ OK</v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4.25" customHeight="1" x14ac:dyDescent="0.3">
      <c r="A876" s="42">
        <v>872</v>
      </c>
      <c r="B876" s="43" t="s">
        <v>3026</v>
      </c>
      <c r="C876" s="44" t="s">
        <v>3027</v>
      </c>
      <c r="D876" s="42" t="s">
        <v>2253</v>
      </c>
      <c r="E876" s="55">
        <v>46125</v>
      </c>
      <c r="F876" s="26" t="s">
        <v>948</v>
      </c>
      <c r="G876" s="26" t="s">
        <v>58</v>
      </c>
      <c r="H876" s="26" t="s">
        <v>56</v>
      </c>
      <c r="I876" s="26" t="s">
        <v>70</v>
      </c>
      <c r="J876" s="26" t="s">
        <v>58</v>
      </c>
      <c r="K876" s="27"/>
      <c r="L876" s="28" t="s">
        <v>56</v>
      </c>
      <c r="M876" s="29" t="str">
        <f t="shared" si="65"/>
        <v>✓ OK</v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4.25" customHeight="1" x14ac:dyDescent="0.3">
      <c r="A877" s="23">
        <v>873</v>
      </c>
      <c r="B877" s="24" t="s">
        <v>3028</v>
      </c>
      <c r="C877" s="25" t="s">
        <v>3029</v>
      </c>
      <c r="D877" s="23" t="s">
        <v>2253</v>
      </c>
      <c r="E877" s="55">
        <v>46125</v>
      </c>
      <c r="F877" s="26" t="s">
        <v>948</v>
      </c>
      <c r="G877" s="26" t="s">
        <v>58</v>
      </c>
      <c r="H877" s="26" t="s">
        <v>56</v>
      </c>
      <c r="I877" s="26" t="s">
        <v>70</v>
      </c>
      <c r="J877" s="26" t="s">
        <v>58</v>
      </c>
      <c r="K877" s="27"/>
      <c r="L877" s="28" t="s">
        <v>56</v>
      </c>
      <c r="M877" s="29" t="str">
        <f t="shared" si="65"/>
        <v>✓ OK</v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4.25" customHeight="1" x14ac:dyDescent="0.3">
      <c r="A878" s="42">
        <v>874</v>
      </c>
      <c r="B878" s="43" t="s">
        <v>3030</v>
      </c>
      <c r="C878" s="44" t="s">
        <v>3031</v>
      </c>
      <c r="D878" s="42" t="s">
        <v>2253</v>
      </c>
      <c r="E878" s="55">
        <v>46125</v>
      </c>
      <c r="F878" s="26" t="s">
        <v>948</v>
      </c>
      <c r="G878" s="26" t="s">
        <v>58</v>
      </c>
      <c r="H878" s="26" t="s">
        <v>56</v>
      </c>
      <c r="I878" s="26" t="s">
        <v>70</v>
      </c>
      <c r="J878" s="26" t="s">
        <v>58</v>
      </c>
      <c r="K878" s="27"/>
      <c r="L878" s="28" t="s">
        <v>56</v>
      </c>
      <c r="M878" s="29" t="str">
        <f t="shared" si="65"/>
        <v>✓ OK</v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4.25" customHeight="1" x14ac:dyDescent="0.3">
      <c r="A879" s="23">
        <v>875</v>
      </c>
      <c r="B879" s="24" t="s">
        <v>3032</v>
      </c>
      <c r="C879" s="25" t="s">
        <v>3033</v>
      </c>
      <c r="D879" s="23" t="s">
        <v>2253</v>
      </c>
      <c r="E879" s="55">
        <v>46125</v>
      </c>
      <c r="F879" s="26" t="s">
        <v>948</v>
      </c>
      <c r="G879" s="26" t="s">
        <v>58</v>
      </c>
      <c r="H879" s="26" t="s">
        <v>56</v>
      </c>
      <c r="I879" s="26" t="s">
        <v>70</v>
      </c>
      <c r="J879" s="26" t="s">
        <v>58</v>
      </c>
      <c r="K879" s="27"/>
      <c r="L879" s="28" t="s">
        <v>56</v>
      </c>
      <c r="M879" s="29" t="str">
        <f t="shared" si="65"/>
        <v>✓ OK</v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4.25" customHeight="1" x14ac:dyDescent="0.3">
      <c r="A880" s="42">
        <v>876</v>
      </c>
      <c r="B880" s="43" t="s">
        <v>3034</v>
      </c>
      <c r="C880" s="44" t="s">
        <v>3035</v>
      </c>
      <c r="D880" s="42" t="s">
        <v>2253</v>
      </c>
      <c r="E880" s="55">
        <v>46125</v>
      </c>
      <c r="F880" s="26" t="s">
        <v>948</v>
      </c>
      <c r="G880" s="26" t="s">
        <v>58</v>
      </c>
      <c r="H880" s="26" t="s">
        <v>56</v>
      </c>
      <c r="I880" s="26" t="s">
        <v>70</v>
      </c>
      <c r="J880" s="26" t="s">
        <v>58</v>
      </c>
      <c r="K880" s="27"/>
      <c r="L880" s="28" t="s">
        <v>56</v>
      </c>
      <c r="M880" s="29" t="str">
        <f t="shared" si="65"/>
        <v>✓ OK</v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4.25" customHeight="1" x14ac:dyDescent="0.3">
      <c r="A881" s="23">
        <v>877</v>
      </c>
      <c r="B881" s="24" t="s">
        <v>3036</v>
      </c>
      <c r="C881" s="25" t="s">
        <v>3037</v>
      </c>
      <c r="D881" s="23" t="s">
        <v>2253</v>
      </c>
      <c r="E881" s="55">
        <v>46125</v>
      </c>
      <c r="F881" s="26" t="s">
        <v>948</v>
      </c>
      <c r="G881" s="26" t="s">
        <v>58</v>
      </c>
      <c r="H881" s="26" t="s">
        <v>56</v>
      </c>
      <c r="I881" s="26" t="s">
        <v>70</v>
      </c>
      <c r="J881" s="26" t="s">
        <v>58</v>
      </c>
      <c r="K881" s="27"/>
      <c r="L881" s="28" t="s">
        <v>56</v>
      </c>
      <c r="M881" s="29" t="str">
        <f t="shared" si="65"/>
        <v>✓ OK</v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4.25" customHeight="1" x14ac:dyDescent="0.3">
      <c r="A882" s="42">
        <v>878</v>
      </c>
      <c r="B882" s="43" t="s">
        <v>3038</v>
      </c>
      <c r="C882" s="44" t="s">
        <v>3039</v>
      </c>
      <c r="D882" s="42" t="s">
        <v>2253</v>
      </c>
      <c r="E882" s="55">
        <v>46125</v>
      </c>
      <c r="F882" s="26" t="s">
        <v>948</v>
      </c>
      <c r="G882" s="26" t="s">
        <v>58</v>
      </c>
      <c r="H882" s="26" t="s">
        <v>56</v>
      </c>
      <c r="I882" s="26" t="s">
        <v>70</v>
      </c>
      <c r="J882" s="26" t="s">
        <v>58</v>
      </c>
      <c r="K882" s="27"/>
      <c r="L882" s="28" t="s">
        <v>56</v>
      </c>
      <c r="M882" s="29" t="str">
        <f t="shared" si="65"/>
        <v>✓ OK</v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4.25" customHeight="1" x14ac:dyDescent="0.3">
      <c r="A883" s="23">
        <v>879</v>
      </c>
      <c r="B883" s="24" t="s">
        <v>3040</v>
      </c>
      <c r="C883" s="25" t="s">
        <v>3041</v>
      </c>
      <c r="D883" s="23" t="s">
        <v>2253</v>
      </c>
      <c r="E883" s="55">
        <v>46125</v>
      </c>
      <c r="F883" s="26" t="s">
        <v>948</v>
      </c>
      <c r="G883" s="26" t="s">
        <v>58</v>
      </c>
      <c r="H883" s="26" t="s">
        <v>56</v>
      </c>
      <c r="I883" s="26" t="s">
        <v>70</v>
      </c>
      <c r="J883" s="26" t="s">
        <v>58</v>
      </c>
      <c r="K883" s="27"/>
      <c r="L883" s="28" t="s">
        <v>56</v>
      </c>
      <c r="M883" s="29" t="str">
        <f t="shared" si="65"/>
        <v>✓ OK</v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4.25" customHeight="1" x14ac:dyDescent="0.3">
      <c r="A884" s="42">
        <v>880</v>
      </c>
      <c r="B884" s="43" t="s">
        <v>3042</v>
      </c>
      <c r="C884" s="44" t="s">
        <v>3043</v>
      </c>
      <c r="D884" s="42" t="s">
        <v>2253</v>
      </c>
      <c r="E884" s="55">
        <v>46125</v>
      </c>
      <c r="F884" s="26" t="s">
        <v>948</v>
      </c>
      <c r="G884" s="26" t="s">
        <v>58</v>
      </c>
      <c r="H884" s="26" t="s">
        <v>56</v>
      </c>
      <c r="I884" s="26" t="s">
        <v>70</v>
      </c>
      <c r="J884" s="26" t="s">
        <v>58</v>
      </c>
      <c r="K884" s="27"/>
      <c r="L884" s="28" t="s">
        <v>56</v>
      </c>
      <c r="M884" s="29" t="str">
        <f t="shared" si="65"/>
        <v>✓ OK</v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4.25" customHeight="1" x14ac:dyDescent="0.3">
      <c r="A885" s="23">
        <v>881</v>
      </c>
      <c r="B885" s="24" t="s">
        <v>3044</v>
      </c>
      <c r="C885" s="25" t="s">
        <v>3045</v>
      </c>
      <c r="D885" s="23" t="s">
        <v>2253</v>
      </c>
      <c r="E885" s="55">
        <v>46125</v>
      </c>
      <c r="F885" s="26" t="s">
        <v>948</v>
      </c>
      <c r="G885" s="26" t="s">
        <v>58</v>
      </c>
      <c r="H885" s="26" t="s">
        <v>56</v>
      </c>
      <c r="I885" s="26" t="s">
        <v>70</v>
      </c>
      <c r="J885" s="26" t="s">
        <v>58</v>
      </c>
      <c r="K885" s="27"/>
      <c r="L885" s="28" t="s">
        <v>56</v>
      </c>
      <c r="M885" s="29" t="str">
        <f t="shared" si="65"/>
        <v>✓ OK</v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4.25" customHeight="1" x14ac:dyDescent="0.3">
      <c r="A886" s="42">
        <v>882</v>
      </c>
      <c r="B886" s="43" t="s">
        <v>3046</v>
      </c>
      <c r="C886" s="44" t="s">
        <v>3047</v>
      </c>
      <c r="D886" s="42" t="s">
        <v>2253</v>
      </c>
      <c r="E886" s="55">
        <v>46125</v>
      </c>
      <c r="F886" s="26" t="s">
        <v>948</v>
      </c>
      <c r="G886" s="26" t="s">
        <v>58</v>
      </c>
      <c r="H886" s="26" t="s">
        <v>56</v>
      </c>
      <c r="I886" s="26" t="s">
        <v>70</v>
      </c>
      <c r="J886" s="26" t="s">
        <v>58</v>
      </c>
      <c r="K886" s="27"/>
      <c r="L886" s="28" t="s">
        <v>56</v>
      </c>
      <c r="M886" s="29" t="str">
        <f t="shared" si="65"/>
        <v>✓ OK</v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4.25" customHeight="1" x14ac:dyDescent="0.3">
      <c r="A887" s="23">
        <v>883</v>
      </c>
      <c r="B887" s="24" t="s">
        <v>3048</v>
      </c>
      <c r="C887" s="25" t="s">
        <v>3049</v>
      </c>
      <c r="D887" s="23" t="s">
        <v>2253</v>
      </c>
      <c r="E887" s="55">
        <v>46125</v>
      </c>
      <c r="F887" s="26" t="s">
        <v>948</v>
      </c>
      <c r="G887" s="26" t="s">
        <v>58</v>
      </c>
      <c r="H887" s="26" t="s">
        <v>56</v>
      </c>
      <c r="I887" s="26" t="s">
        <v>70</v>
      </c>
      <c r="J887" s="26" t="s">
        <v>58</v>
      </c>
      <c r="K887" s="27"/>
      <c r="L887" s="28" t="s">
        <v>56</v>
      </c>
      <c r="M887" s="29" t="str">
        <f t="shared" si="65"/>
        <v>✓ OK</v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4.25" customHeight="1" x14ac:dyDescent="0.3">
      <c r="A888" s="42">
        <v>884</v>
      </c>
      <c r="B888" s="43" t="s">
        <v>3050</v>
      </c>
      <c r="C888" s="44" t="s">
        <v>3051</v>
      </c>
      <c r="D888" s="42" t="s">
        <v>2253</v>
      </c>
      <c r="E888" s="55">
        <v>46125</v>
      </c>
      <c r="F888" s="26" t="s">
        <v>948</v>
      </c>
      <c r="G888" s="26" t="s">
        <v>58</v>
      </c>
      <c r="H888" s="26" t="s">
        <v>56</v>
      </c>
      <c r="I888" s="26" t="s">
        <v>70</v>
      </c>
      <c r="J888" s="26" t="s">
        <v>58</v>
      </c>
      <c r="K888" s="27"/>
      <c r="L888" s="28" t="s">
        <v>56</v>
      </c>
      <c r="M888" s="29" t="str">
        <f t="shared" si="65"/>
        <v>✓ OK</v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4.25" customHeight="1" x14ac:dyDescent="0.3">
      <c r="A889" s="23">
        <v>885</v>
      </c>
      <c r="B889" s="24" t="s">
        <v>3052</v>
      </c>
      <c r="C889" s="25" t="s">
        <v>3053</v>
      </c>
      <c r="D889" s="23" t="s">
        <v>2253</v>
      </c>
      <c r="E889" s="55">
        <v>46125</v>
      </c>
      <c r="F889" s="26" t="s">
        <v>948</v>
      </c>
      <c r="G889" s="26" t="s">
        <v>58</v>
      </c>
      <c r="H889" s="26" t="s">
        <v>56</v>
      </c>
      <c r="I889" s="26" t="s">
        <v>70</v>
      </c>
      <c r="J889" s="26" t="s">
        <v>58</v>
      </c>
      <c r="K889" s="27"/>
      <c r="L889" s="28" t="s">
        <v>56</v>
      </c>
      <c r="M889" s="29" t="str">
        <f t="shared" si="65"/>
        <v>✓ OK</v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4.25" customHeight="1" x14ac:dyDescent="0.3">
      <c r="A890" s="42">
        <v>886</v>
      </c>
      <c r="B890" s="43" t="s">
        <v>3054</v>
      </c>
      <c r="C890" s="44" t="s">
        <v>3055</v>
      </c>
      <c r="D890" s="42" t="s">
        <v>2253</v>
      </c>
      <c r="E890" s="55">
        <v>46125</v>
      </c>
      <c r="F890" s="26" t="s">
        <v>948</v>
      </c>
      <c r="G890" s="26" t="s">
        <v>58</v>
      </c>
      <c r="H890" s="26" t="s">
        <v>56</v>
      </c>
      <c r="I890" s="26" t="s">
        <v>70</v>
      </c>
      <c r="J890" s="26" t="s">
        <v>58</v>
      </c>
      <c r="K890" s="27"/>
      <c r="L890" s="28" t="s">
        <v>56</v>
      </c>
      <c r="M890" s="29" t="str">
        <f t="shared" si="65"/>
        <v>✓ OK</v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4.25" customHeight="1" x14ac:dyDescent="0.3">
      <c r="A891" s="23">
        <v>887</v>
      </c>
      <c r="B891" s="24" t="s">
        <v>3056</v>
      </c>
      <c r="C891" s="25" t="s">
        <v>3057</v>
      </c>
      <c r="D891" s="23" t="s">
        <v>2253</v>
      </c>
      <c r="E891" s="55">
        <v>46125</v>
      </c>
      <c r="F891" s="26" t="s">
        <v>948</v>
      </c>
      <c r="G891" s="26" t="s">
        <v>58</v>
      </c>
      <c r="H891" s="26" t="s">
        <v>56</v>
      </c>
      <c r="I891" s="26" t="s">
        <v>70</v>
      </c>
      <c r="J891" s="26" t="s">
        <v>58</v>
      </c>
      <c r="K891" s="27"/>
      <c r="L891" s="28" t="s">
        <v>56</v>
      </c>
      <c r="M891" s="29" t="str">
        <f t="shared" si="65"/>
        <v>✓ OK</v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4.25" customHeight="1" x14ac:dyDescent="0.3">
      <c r="A892" s="42">
        <v>888</v>
      </c>
      <c r="B892" s="43" t="s">
        <v>3058</v>
      </c>
      <c r="C892" s="44" t="s">
        <v>3059</v>
      </c>
      <c r="D892" s="42" t="s">
        <v>2253</v>
      </c>
      <c r="E892" s="55">
        <v>46125</v>
      </c>
      <c r="F892" s="26" t="s">
        <v>948</v>
      </c>
      <c r="G892" s="26" t="s">
        <v>58</v>
      </c>
      <c r="H892" s="26" t="s">
        <v>56</v>
      </c>
      <c r="I892" s="26" t="s">
        <v>70</v>
      </c>
      <c r="J892" s="26" t="s">
        <v>58</v>
      </c>
      <c r="K892" s="27"/>
      <c r="L892" s="28" t="s">
        <v>56</v>
      </c>
      <c r="M892" s="29" t="str">
        <f t="shared" si="65"/>
        <v>✓ OK</v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4.25" customHeight="1" x14ac:dyDescent="0.3">
      <c r="A893" s="23">
        <v>889</v>
      </c>
      <c r="B893" s="24" t="s">
        <v>3060</v>
      </c>
      <c r="C893" s="25" t="s">
        <v>3061</v>
      </c>
      <c r="D893" s="23" t="s">
        <v>2253</v>
      </c>
      <c r="E893" s="55">
        <v>46125</v>
      </c>
      <c r="F893" s="26" t="s">
        <v>948</v>
      </c>
      <c r="G893" s="26" t="s">
        <v>58</v>
      </c>
      <c r="H893" s="26" t="s">
        <v>56</v>
      </c>
      <c r="I893" s="26" t="s">
        <v>70</v>
      </c>
      <c r="J893" s="26" t="s">
        <v>58</v>
      </c>
      <c r="K893" s="27"/>
      <c r="L893" s="28" t="s">
        <v>56</v>
      </c>
      <c r="M893" s="29" t="str">
        <f t="shared" si="65"/>
        <v>✓ OK</v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4.25" customHeight="1" x14ac:dyDescent="0.3">
      <c r="A894" s="42">
        <v>890</v>
      </c>
      <c r="B894" s="43" t="s">
        <v>3062</v>
      </c>
      <c r="C894" s="44" t="s">
        <v>3063</v>
      </c>
      <c r="D894" s="42" t="s">
        <v>2253</v>
      </c>
      <c r="E894" s="55">
        <v>46125</v>
      </c>
      <c r="F894" s="26" t="s">
        <v>948</v>
      </c>
      <c r="G894" s="26" t="s">
        <v>58</v>
      </c>
      <c r="H894" s="26" t="s">
        <v>56</v>
      </c>
      <c r="I894" s="26" t="s">
        <v>70</v>
      </c>
      <c r="J894" s="26" t="s">
        <v>58</v>
      </c>
      <c r="K894" s="27"/>
      <c r="L894" s="28" t="s">
        <v>56</v>
      </c>
      <c r="M894" s="29" t="str">
        <f t="shared" si="65"/>
        <v>✓ OK</v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4.25" customHeight="1" x14ac:dyDescent="0.3">
      <c r="A895" s="23">
        <v>891</v>
      </c>
      <c r="B895" s="24" t="s">
        <v>3064</v>
      </c>
      <c r="C895" s="25" t="s">
        <v>3065</v>
      </c>
      <c r="D895" s="23" t="s">
        <v>2253</v>
      </c>
      <c r="E895" s="55">
        <v>46125</v>
      </c>
      <c r="F895" s="26" t="s">
        <v>948</v>
      </c>
      <c r="G895" s="26" t="s">
        <v>58</v>
      </c>
      <c r="H895" s="26" t="s">
        <v>56</v>
      </c>
      <c r="I895" s="26" t="s">
        <v>70</v>
      </c>
      <c r="J895" s="26" t="s">
        <v>58</v>
      </c>
      <c r="K895" s="27"/>
      <c r="L895" s="28" t="s">
        <v>56</v>
      </c>
      <c r="M895" s="29" t="str">
        <f t="shared" si="65"/>
        <v>✓ OK</v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4.25" customHeight="1" x14ac:dyDescent="0.3">
      <c r="A896" s="42">
        <v>892</v>
      </c>
      <c r="B896" s="43" t="s">
        <v>3066</v>
      </c>
      <c r="C896" s="44" t="s">
        <v>3067</v>
      </c>
      <c r="D896" s="42" t="s">
        <v>2253</v>
      </c>
      <c r="E896" s="55">
        <v>46125</v>
      </c>
      <c r="F896" s="26" t="s">
        <v>948</v>
      </c>
      <c r="G896" s="26" t="s">
        <v>58</v>
      </c>
      <c r="H896" s="26" t="s">
        <v>56</v>
      </c>
      <c r="I896" s="26" t="s">
        <v>70</v>
      </c>
      <c r="J896" s="26" t="s">
        <v>58</v>
      </c>
      <c r="K896" s="27"/>
      <c r="L896" s="28" t="s">
        <v>56</v>
      </c>
      <c r="M896" s="29" t="str">
        <f t="shared" si="65"/>
        <v>✓ OK</v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4.25" customHeight="1" x14ac:dyDescent="0.3">
      <c r="A897" s="23">
        <v>893</v>
      </c>
      <c r="B897" s="24" t="s">
        <v>3068</v>
      </c>
      <c r="C897" s="25" t="s">
        <v>3069</v>
      </c>
      <c r="D897" s="23" t="s">
        <v>2253</v>
      </c>
      <c r="E897" s="55">
        <v>46125</v>
      </c>
      <c r="F897" s="26" t="s">
        <v>948</v>
      </c>
      <c r="G897" s="26" t="s">
        <v>58</v>
      </c>
      <c r="H897" s="26" t="s">
        <v>56</v>
      </c>
      <c r="I897" s="26" t="s">
        <v>70</v>
      </c>
      <c r="J897" s="26" t="s">
        <v>58</v>
      </c>
      <c r="K897" s="27"/>
      <c r="L897" s="28" t="s">
        <v>56</v>
      </c>
      <c r="M897" s="29" t="str">
        <f t="shared" si="65"/>
        <v>✓ OK</v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4.25" customHeight="1" x14ac:dyDescent="0.3">
      <c r="A898" s="42">
        <v>894</v>
      </c>
      <c r="B898" s="43" t="s">
        <v>3070</v>
      </c>
      <c r="C898" s="44" t="s">
        <v>3071</v>
      </c>
      <c r="D898" s="42" t="s">
        <v>2253</v>
      </c>
      <c r="E898" s="55">
        <v>46125</v>
      </c>
      <c r="F898" s="26" t="s">
        <v>948</v>
      </c>
      <c r="G898" s="26" t="s">
        <v>58</v>
      </c>
      <c r="H898" s="26" t="s">
        <v>56</v>
      </c>
      <c r="I898" s="26" t="s">
        <v>70</v>
      </c>
      <c r="J898" s="26" t="s">
        <v>58</v>
      </c>
      <c r="K898" s="27"/>
      <c r="L898" s="28" t="s">
        <v>56</v>
      </c>
      <c r="M898" s="29" t="str">
        <f t="shared" si="65"/>
        <v>✓ OK</v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4.25" customHeight="1" x14ac:dyDescent="0.3">
      <c r="A899" s="23">
        <v>895</v>
      </c>
      <c r="B899" s="24" t="s">
        <v>3072</v>
      </c>
      <c r="C899" s="25" t="s">
        <v>3073</v>
      </c>
      <c r="D899" s="23" t="s">
        <v>2253</v>
      </c>
      <c r="E899" s="55">
        <v>46125</v>
      </c>
      <c r="F899" s="26" t="s">
        <v>948</v>
      </c>
      <c r="G899" s="26" t="s">
        <v>58</v>
      </c>
      <c r="H899" s="26" t="s">
        <v>56</v>
      </c>
      <c r="I899" s="26" t="s">
        <v>70</v>
      </c>
      <c r="J899" s="26" t="s">
        <v>58</v>
      </c>
      <c r="K899" s="27"/>
      <c r="L899" s="28" t="s">
        <v>56</v>
      </c>
      <c r="M899" s="29" t="str">
        <f t="shared" si="65"/>
        <v>✓ OK</v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4.25" customHeight="1" x14ac:dyDescent="0.3">
      <c r="A900" s="42">
        <v>896</v>
      </c>
      <c r="B900" s="43" t="s">
        <v>3074</v>
      </c>
      <c r="C900" s="44" t="s">
        <v>3075</v>
      </c>
      <c r="D900" s="42" t="s">
        <v>2253</v>
      </c>
      <c r="E900" s="55">
        <v>46125</v>
      </c>
      <c r="F900" s="26" t="s">
        <v>948</v>
      </c>
      <c r="G900" s="26" t="s">
        <v>58</v>
      </c>
      <c r="H900" s="26" t="s">
        <v>56</v>
      </c>
      <c r="I900" s="26" t="s">
        <v>70</v>
      </c>
      <c r="J900" s="26" t="s">
        <v>58</v>
      </c>
      <c r="K900" s="27"/>
      <c r="L900" s="28" t="s">
        <v>56</v>
      </c>
      <c r="M900" s="29" t="str">
        <f t="shared" si="65"/>
        <v>✓ OK</v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4.25" customHeight="1" x14ac:dyDescent="0.3">
      <c r="A901" s="23">
        <v>897</v>
      </c>
      <c r="B901" s="24" t="s">
        <v>3076</v>
      </c>
      <c r="C901" s="25" t="s">
        <v>3077</v>
      </c>
      <c r="D901" s="23" t="s">
        <v>2253</v>
      </c>
      <c r="E901" s="55">
        <v>46125</v>
      </c>
      <c r="F901" s="26" t="s">
        <v>948</v>
      </c>
      <c r="G901" s="26" t="s">
        <v>58</v>
      </c>
      <c r="H901" s="26" t="s">
        <v>56</v>
      </c>
      <c r="I901" s="26" t="s">
        <v>70</v>
      </c>
      <c r="J901" s="26" t="s">
        <v>58</v>
      </c>
      <c r="K901" s="27"/>
      <c r="L901" s="28" t="s">
        <v>56</v>
      </c>
      <c r="M901" s="29" t="str">
        <f t="shared" ref="M901:M964" si="70">IF(E901="","",IF(H901="Yes","❌ Disc",IF(G901="No","⚠ Missing",IF(J901="Yes","✓ OK","⚠ Check"))))</f>
        <v>✓ OK</v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4.25" customHeight="1" x14ac:dyDescent="0.3">
      <c r="A902" s="42">
        <v>898</v>
      </c>
      <c r="B902" s="43" t="s">
        <v>3078</v>
      </c>
      <c r="C902" s="44" t="s">
        <v>3079</v>
      </c>
      <c r="D902" s="42" t="s">
        <v>2253</v>
      </c>
      <c r="E902" s="55">
        <v>46125</v>
      </c>
      <c r="F902" s="26" t="s">
        <v>948</v>
      </c>
      <c r="G902" s="26" t="s">
        <v>58</v>
      </c>
      <c r="H902" s="26" t="s">
        <v>56</v>
      </c>
      <c r="I902" s="26" t="s">
        <v>70</v>
      </c>
      <c r="J902" s="26" t="s">
        <v>58</v>
      </c>
      <c r="K902" s="27"/>
      <c r="L902" s="28" t="s">
        <v>56</v>
      </c>
      <c r="M902" s="29" t="str">
        <f t="shared" si="70"/>
        <v>✓ OK</v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4.25" customHeight="1" x14ac:dyDescent="0.3">
      <c r="A903" s="23">
        <v>899</v>
      </c>
      <c r="B903" s="24" t="s">
        <v>3080</v>
      </c>
      <c r="C903" s="25" t="s">
        <v>3081</v>
      </c>
      <c r="D903" s="23" t="s">
        <v>2253</v>
      </c>
      <c r="E903" s="55">
        <v>46125</v>
      </c>
      <c r="F903" s="26" t="s">
        <v>948</v>
      </c>
      <c r="G903" s="26" t="s">
        <v>58</v>
      </c>
      <c r="H903" s="26" t="s">
        <v>56</v>
      </c>
      <c r="I903" s="26" t="s">
        <v>70</v>
      </c>
      <c r="J903" s="26" t="s">
        <v>58</v>
      </c>
      <c r="K903" s="27"/>
      <c r="L903" s="28" t="s">
        <v>56</v>
      </c>
      <c r="M903" s="29" t="str">
        <f t="shared" si="70"/>
        <v>✓ OK</v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4.25" customHeight="1" x14ac:dyDescent="0.3">
      <c r="A904" s="42">
        <v>900</v>
      </c>
      <c r="B904" s="43" t="s">
        <v>3082</v>
      </c>
      <c r="C904" s="44" t="s">
        <v>3083</v>
      </c>
      <c r="D904" s="42" t="s">
        <v>2253</v>
      </c>
      <c r="E904" s="55">
        <v>46125</v>
      </c>
      <c r="F904" s="26" t="s">
        <v>948</v>
      </c>
      <c r="G904" s="26" t="s">
        <v>58</v>
      </c>
      <c r="H904" s="26" t="s">
        <v>56</v>
      </c>
      <c r="I904" s="26" t="s">
        <v>70</v>
      </c>
      <c r="J904" s="26" t="s">
        <v>58</v>
      </c>
      <c r="K904" s="27"/>
      <c r="L904" s="28" t="s">
        <v>56</v>
      </c>
      <c r="M904" s="29" t="str">
        <f t="shared" si="70"/>
        <v>✓ OK</v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4.25" customHeight="1" x14ac:dyDescent="0.3">
      <c r="A905" s="23">
        <v>901</v>
      </c>
      <c r="B905" s="24" t="s">
        <v>3084</v>
      </c>
      <c r="C905" s="25" t="s">
        <v>3085</v>
      </c>
      <c r="D905" s="23" t="s">
        <v>2253</v>
      </c>
      <c r="E905" s="55">
        <v>46125</v>
      </c>
      <c r="F905" s="26" t="s">
        <v>948</v>
      </c>
      <c r="G905" s="26" t="s">
        <v>58</v>
      </c>
      <c r="H905" s="26" t="s">
        <v>56</v>
      </c>
      <c r="I905" s="26" t="s">
        <v>70</v>
      </c>
      <c r="J905" s="26" t="s">
        <v>58</v>
      </c>
      <c r="K905" s="27"/>
      <c r="L905" s="28" t="s">
        <v>56</v>
      </c>
      <c r="M905" s="29" t="str">
        <f t="shared" si="70"/>
        <v>✓ OK</v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4.25" customHeight="1" x14ac:dyDescent="0.3">
      <c r="A906" s="42">
        <v>902</v>
      </c>
      <c r="B906" s="43" t="s">
        <v>3086</v>
      </c>
      <c r="C906" s="44" t="s">
        <v>3087</v>
      </c>
      <c r="D906" s="42" t="s">
        <v>2253</v>
      </c>
      <c r="E906" s="55">
        <v>46125</v>
      </c>
      <c r="F906" s="26" t="s">
        <v>948</v>
      </c>
      <c r="G906" s="26" t="s">
        <v>58</v>
      </c>
      <c r="H906" s="26" t="s">
        <v>56</v>
      </c>
      <c r="I906" s="26" t="s">
        <v>70</v>
      </c>
      <c r="J906" s="26" t="s">
        <v>58</v>
      </c>
      <c r="K906" s="27"/>
      <c r="L906" s="28" t="s">
        <v>56</v>
      </c>
      <c r="M906" s="29" t="str">
        <f t="shared" si="70"/>
        <v>✓ OK</v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4.25" customHeight="1" x14ac:dyDescent="0.3">
      <c r="A907" s="23">
        <v>903</v>
      </c>
      <c r="B907" s="24" t="s">
        <v>3088</v>
      </c>
      <c r="C907" s="25" t="s">
        <v>3089</v>
      </c>
      <c r="D907" s="23" t="s">
        <v>2253</v>
      </c>
      <c r="E907" s="55">
        <v>46125</v>
      </c>
      <c r="F907" s="26" t="s">
        <v>948</v>
      </c>
      <c r="G907" s="26" t="s">
        <v>58</v>
      </c>
      <c r="H907" s="26" t="s">
        <v>56</v>
      </c>
      <c r="I907" s="26" t="s">
        <v>70</v>
      </c>
      <c r="J907" s="26" t="s">
        <v>58</v>
      </c>
      <c r="K907" s="27"/>
      <c r="L907" s="28" t="s">
        <v>56</v>
      </c>
      <c r="M907" s="29" t="str">
        <f t="shared" si="70"/>
        <v>✓ OK</v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4.25" customHeight="1" x14ac:dyDescent="0.3">
      <c r="A908" s="42">
        <v>904</v>
      </c>
      <c r="B908" s="43" t="s">
        <v>3090</v>
      </c>
      <c r="C908" s="44" t="s">
        <v>3091</v>
      </c>
      <c r="D908" s="42" t="s">
        <v>2253</v>
      </c>
      <c r="E908" s="55">
        <v>46125</v>
      </c>
      <c r="F908" s="26" t="s">
        <v>948</v>
      </c>
      <c r="G908" s="26" t="s">
        <v>58</v>
      </c>
      <c r="H908" s="26" t="s">
        <v>56</v>
      </c>
      <c r="I908" s="26" t="s">
        <v>70</v>
      </c>
      <c r="J908" s="26" t="s">
        <v>58</v>
      </c>
      <c r="K908" s="27"/>
      <c r="L908" s="28" t="s">
        <v>56</v>
      </c>
      <c r="M908" s="29" t="str">
        <f t="shared" si="70"/>
        <v>✓ OK</v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4.25" customHeight="1" x14ac:dyDescent="0.3">
      <c r="A909" s="23">
        <v>905</v>
      </c>
      <c r="B909" s="24" t="s">
        <v>3092</v>
      </c>
      <c r="C909" s="25" t="s">
        <v>3093</v>
      </c>
      <c r="D909" s="23" t="s">
        <v>2253</v>
      </c>
      <c r="E909" s="55">
        <v>46125</v>
      </c>
      <c r="F909" s="26" t="s">
        <v>948</v>
      </c>
      <c r="G909" s="26" t="s">
        <v>58</v>
      </c>
      <c r="H909" s="26" t="s">
        <v>56</v>
      </c>
      <c r="I909" s="26" t="s">
        <v>70</v>
      </c>
      <c r="J909" s="26" t="s">
        <v>58</v>
      </c>
      <c r="K909" s="27"/>
      <c r="L909" s="28" t="s">
        <v>56</v>
      </c>
      <c r="M909" s="29" t="str">
        <f t="shared" si="70"/>
        <v>✓ OK</v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4.25" customHeight="1" x14ac:dyDescent="0.3">
      <c r="A910" s="42">
        <v>906</v>
      </c>
      <c r="B910" s="43" t="s">
        <v>3094</v>
      </c>
      <c r="C910" s="44" t="s">
        <v>3095</v>
      </c>
      <c r="D910" s="42" t="s">
        <v>2253</v>
      </c>
      <c r="E910" s="55">
        <v>46125</v>
      </c>
      <c r="F910" s="26" t="s">
        <v>948</v>
      </c>
      <c r="G910" s="26" t="s">
        <v>58</v>
      </c>
      <c r="H910" s="26" t="s">
        <v>56</v>
      </c>
      <c r="I910" s="26" t="s">
        <v>70</v>
      </c>
      <c r="J910" s="26" t="s">
        <v>58</v>
      </c>
      <c r="K910" s="27"/>
      <c r="L910" s="28" t="s">
        <v>56</v>
      </c>
      <c r="M910" s="29" t="str">
        <f t="shared" si="70"/>
        <v>✓ OK</v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4.25" customHeight="1" x14ac:dyDescent="0.3">
      <c r="A911" s="23">
        <v>907</v>
      </c>
      <c r="B911" s="24" t="s">
        <v>3096</v>
      </c>
      <c r="C911" s="25" t="s">
        <v>3097</v>
      </c>
      <c r="D911" s="23" t="s">
        <v>2253</v>
      </c>
      <c r="E911" s="55">
        <v>46125</v>
      </c>
      <c r="F911" s="26" t="s">
        <v>948</v>
      </c>
      <c r="G911" s="26" t="s">
        <v>58</v>
      </c>
      <c r="H911" s="26" t="s">
        <v>56</v>
      </c>
      <c r="I911" s="26" t="s">
        <v>70</v>
      </c>
      <c r="J911" s="26" t="s">
        <v>58</v>
      </c>
      <c r="K911" s="27"/>
      <c r="L911" s="28" t="s">
        <v>56</v>
      </c>
      <c r="M911" s="29" t="str">
        <f t="shared" si="70"/>
        <v>✓ OK</v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4.25" customHeight="1" x14ac:dyDescent="0.3">
      <c r="A912" s="42">
        <v>908</v>
      </c>
      <c r="B912" s="43" t="s">
        <v>3098</v>
      </c>
      <c r="C912" s="44" t="s">
        <v>3099</v>
      </c>
      <c r="D912" s="42" t="s">
        <v>2253</v>
      </c>
      <c r="E912" s="55">
        <v>46125</v>
      </c>
      <c r="F912" s="26" t="s">
        <v>948</v>
      </c>
      <c r="G912" s="26" t="s">
        <v>58</v>
      </c>
      <c r="H912" s="26" t="s">
        <v>56</v>
      </c>
      <c r="I912" s="26" t="s">
        <v>70</v>
      </c>
      <c r="J912" s="26" t="s">
        <v>58</v>
      </c>
      <c r="K912" s="27"/>
      <c r="L912" s="28" t="s">
        <v>56</v>
      </c>
      <c r="M912" s="29" t="str">
        <f t="shared" si="70"/>
        <v>✓ OK</v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4.25" customHeight="1" x14ac:dyDescent="0.3">
      <c r="A913" s="23">
        <v>909</v>
      </c>
      <c r="B913" s="24" t="s">
        <v>3100</v>
      </c>
      <c r="C913" s="25" t="s">
        <v>3101</v>
      </c>
      <c r="D913" s="23" t="s">
        <v>2253</v>
      </c>
      <c r="E913" s="55">
        <v>46125</v>
      </c>
      <c r="F913" s="26" t="s">
        <v>948</v>
      </c>
      <c r="G913" s="26" t="s">
        <v>58</v>
      </c>
      <c r="H913" s="26" t="s">
        <v>56</v>
      </c>
      <c r="I913" s="26" t="s">
        <v>70</v>
      </c>
      <c r="J913" s="26" t="s">
        <v>58</v>
      </c>
      <c r="K913" s="27"/>
      <c r="L913" s="28" t="s">
        <v>56</v>
      </c>
      <c r="M913" s="29" t="str">
        <f t="shared" si="70"/>
        <v>✓ OK</v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4.25" customHeight="1" x14ac:dyDescent="0.3">
      <c r="A914" s="42">
        <v>910</v>
      </c>
      <c r="B914" s="43" t="s">
        <v>3102</v>
      </c>
      <c r="C914" s="44" t="s">
        <v>3103</v>
      </c>
      <c r="D914" s="42" t="s">
        <v>2253</v>
      </c>
      <c r="E914" s="55">
        <v>46125</v>
      </c>
      <c r="F914" s="26" t="s">
        <v>948</v>
      </c>
      <c r="G914" s="26" t="s">
        <v>58</v>
      </c>
      <c r="H914" s="26" t="s">
        <v>56</v>
      </c>
      <c r="I914" s="26" t="s">
        <v>70</v>
      </c>
      <c r="J914" s="26" t="s">
        <v>58</v>
      </c>
      <c r="K914" s="27"/>
      <c r="L914" s="28" t="s">
        <v>56</v>
      </c>
      <c r="M914" s="29" t="str">
        <f t="shared" si="70"/>
        <v>✓ OK</v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4.25" customHeight="1" x14ac:dyDescent="0.3">
      <c r="A915" s="23">
        <v>911</v>
      </c>
      <c r="B915" s="24" t="s">
        <v>3104</v>
      </c>
      <c r="C915" s="25" t="s">
        <v>3105</v>
      </c>
      <c r="D915" s="23" t="s">
        <v>2253</v>
      </c>
      <c r="E915" s="55">
        <v>46125</v>
      </c>
      <c r="F915" s="26" t="s">
        <v>948</v>
      </c>
      <c r="G915" s="26" t="s">
        <v>58</v>
      </c>
      <c r="H915" s="26" t="s">
        <v>56</v>
      </c>
      <c r="I915" s="26" t="s">
        <v>70</v>
      </c>
      <c r="J915" s="26" t="s">
        <v>58</v>
      </c>
      <c r="K915" s="27"/>
      <c r="L915" s="28" t="s">
        <v>56</v>
      </c>
      <c r="M915" s="29" t="str">
        <f t="shared" si="70"/>
        <v>✓ OK</v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4.25" customHeight="1" x14ac:dyDescent="0.3">
      <c r="A916" s="42">
        <v>912</v>
      </c>
      <c r="B916" s="43" t="s">
        <v>3106</v>
      </c>
      <c r="C916" s="44" t="s">
        <v>3107</v>
      </c>
      <c r="D916" s="42" t="s">
        <v>2253</v>
      </c>
      <c r="E916" s="55">
        <v>46125</v>
      </c>
      <c r="F916" s="26" t="s">
        <v>948</v>
      </c>
      <c r="G916" s="26" t="s">
        <v>58</v>
      </c>
      <c r="H916" s="26" t="s">
        <v>56</v>
      </c>
      <c r="I916" s="26" t="s">
        <v>70</v>
      </c>
      <c r="J916" s="26" t="s">
        <v>58</v>
      </c>
      <c r="K916" s="27"/>
      <c r="L916" s="28" t="s">
        <v>56</v>
      </c>
      <c r="M916" s="29" t="str">
        <f t="shared" si="70"/>
        <v>✓ OK</v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4.25" customHeight="1" x14ac:dyDescent="0.3">
      <c r="A917" s="23">
        <v>913</v>
      </c>
      <c r="B917" s="24" t="s">
        <v>3108</v>
      </c>
      <c r="C917" s="25" t="s">
        <v>3109</v>
      </c>
      <c r="D917" s="23" t="s">
        <v>2253</v>
      </c>
      <c r="E917" s="55">
        <v>46125</v>
      </c>
      <c r="F917" s="26" t="s">
        <v>948</v>
      </c>
      <c r="G917" s="26" t="s">
        <v>58</v>
      </c>
      <c r="H917" s="26" t="s">
        <v>56</v>
      </c>
      <c r="I917" s="26" t="s">
        <v>70</v>
      </c>
      <c r="J917" s="26" t="s">
        <v>58</v>
      </c>
      <c r="K917" s="27"/>
      <c r="L917" s="28" t="s">
        <v>56</v>
      </c>
      <c r="M917" s="29" t="str">
        <f t="shared" si="70"/>
        <v>✓ OK</v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4.25" customHeight="1" x14ac:dyDescent="0.3">
      <c r="A918" s="42">
        <v>914</v>
      </c>
      <c r="B918" s="43" t="s">
        <v>3110</v>
      </c>
      <c r="C918" s="44" t="s">
        <v>3111</v>
      </c>
      <c r="D918" s="42" t="s">
        <v>2253</v>
      </c>
      <c r="E918" s="55">
        <v>46125</v>
      </c>
      <c r="F918" s="26" t="s">
        <v>948</v>
      </c>
      <c r="G918" s="26" t="s">
        <v>58</v>
      </c>
      <c r="H918" s="26" t="s">
        <v>56</v>
      </c>
      <c r="I918" s="26" t="s">
        <v>70</v>
      </c>
      <c r="J918" s="26" t="s">
        <v>58</v>
      </c>
      <c r="K918" s="27"/>
      <c r="L918" s="28" t="s">
        <v>56</v>
      </c>
      <c r="M918" s="29" t="str">
        <f t="shared" si="70"/>
        <v>✓ OK</v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4.25" customHeight="1" x14ac:dyDescent="0.3">
      <c r="A919" s="23">
        <v>915</v>
      </c>
      <c r="B919" s="24" t="s">
        <v>3112</v>
      </c>
      <c r="C919" s="25" t="s">
        <v>3113</v>
      </c>
      <c r="D919" s="23" t="s">
        <v>2253</v>
      </c>
      <c r="E919" s="55">
        <v>46125</v>
      </c>
      <c r="F919" s="26" t="s">
        <v>948</v>
      </c>
      <c r="G919" s="26" t="s">
        <v>58</v>
      </c>
      <c r="H919" s="26" t="s">
        <v>56</v>
      </c>
      <c r="I919" s="26" t="s">
        <v>70</v>
      </c>
      <c r="J919" s="26" t="s">
        <v>58</v>
      </c>
      <c r="K919" s="27"/>
      <c r="L919" s="28" t="s">
        <v>56</v>
      </c>
      <c r="M919" s="29" t="str">
        <f t="shared" si="70"/>
        <v>✓ OK</v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4.25" customHeight="1" x14ac:dyDescent="0.3">
      <c r="A920" s="42">
        <v>916</v>
      </c>
      <c r="B920" s="43" t="s">
        <v>3114</v>
      </c>
      <c r="C920" s="44" t="s">
        <v>3115</v>
      </c>
      <c r="D920" s="42" t="s">
        <v>2253</v>
      </c>
      <c r="E920" s="55">
        <v>46125</v>
      </c>
      <c r="F920" s="26" t="s">
        <v>948</v>
      </c>
      <c r="G920" s="26" t="s">
        <v>58</v>
      </c>
      <c r="H920" s="26" t="s">
        <v>56</v>
      </c>
      <c r="I920" s="26" t="s">
        <v>70</v>
      </c>
      <c r="J920" s="26" t="s">
        <v>58</v>
      </c>
      <c r="K920" s="27"/>
      <c r="L920" s="28" t="s">
        <v>56</v>
      </c>
      <c r="M920" s="29" t="str">
        <f t="shared" si="70"/>
        <v>✓ OK</v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4.25" customHeight="1" x14ac:dyDescent="0.3">
      <c r="A921" s="23">
        <v>917</v>
      </c>
      <c r="B921" s="24" t="s">
        <v>3116</v>
      </c>
      <c r="C921" s="25" t="s">
        <v>3117</v>
      </c>
      <c r="D921" s="23" t="s">
        <v>2253</v>
      </c>
      <c r="E921" s="55">
        <v>46125</v>
      </c>
      <c r="F921" s="26" t="s">
        <v>948</v>
      </c>
      <c r="G921" s="26" t="s">
        <v>58</v>
      </c>
      <c r="H921" s="26" t="s">
        <v>56</v>
      </c>
      <c r="I921" s="26" t="s">
        <v>70</v>
      </c>
      <c r="J921" s="26" t="s">
        <v>58</v>
      </c>
      <c r="K921" s="27"/>
      <c r="L921" s="28" t="s">
        <v>56</v>
      </c>
      <c r="M921" s="29" t="str">
        <f t="shared" si="70"/>
        <v>✓ OK</v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4.25" customHeight="1" x14ac:dyDescent="0.3">
      <c r="A922" s="42">
        <v>918</v>
      </c>
      <c r="B922" s="43" t="s">
        <v>3118</v>
      </c>
      <c r="C922" s="44" t="s">
        <v>3119</v>
      </c>
      <c r="D922" s="42" t="s">
        <v>2253</v>
      </c>
      <c r="E922" s="55">
        <v>46125</v>
      </c>
      <c r="F922" s="26" t="s">
        <v>948</v>
      </c>
      <c r="G922" s="26" t="s">
        <v>58</v>
      </c>
      <c r="H922" s="26" t="s">
        <v>56</v>
      </c>
      <c r="I922" s="26" t="s">
        <v>70</v>
      </c>
      <c r="J922" s="26" t="s">
        <v>58</v>
      </c>
      <c r="K922" s="27"/>
      <c r="L922" s="28" t="s">
        <v>56</v>
      </c>
      <c r="M922" s="29" t="str">
        <f t="shared" si="70"/>
        <v>✓ OK</v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4.25" customHeight="1" x14ac:dyDescent="0.3">
      <c r="A923" s="23">
        <v>919</v>
      </c>
      <c r="B923" s="24" t="s">
        <v>3120</v>
      </c>
      <c r="C923" s="25" t="s">
        <v>3121</v>
      </c>
      <c r="D923" s="23" t="s">
        <v>2253</v>
      </c>
      <c r="E923" s="55">
        <v>46125</v>
      </c>
      <c r="F923" s="26" t="s">
        <v>948</v>
      </c>
      <c r="G923" s="26" t="s">
        <v>58</v>
      </c>
      <c r="H923" s="26" t="s">
        <v>56</v>
      </c>
      <c r="I923" s="26" t="s">
        <v>70</v>
      </c>
      <c r="J923" s="26" t="s">
        <v>58</v>
      </c>
      <c r="K923" s="27"/>
      <c r="L923" s="28" t="s">
        <v>56</v>
      </c>
      <c r="M923" s="29" t="str">
        <f t="shared" si="70"/>
        <v>✓ OK</v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4.25" customHeight="1" x14ac:dyDescent="0.3">
      <c r="A924" s="42">
        <v>920</v>
      </c>
      <c r="B924" s="43" t="s">
        <v>3122</v>
      </c>
      <c r="C924" s="44" t="s">
        <v>3123</v>
      </c>
      <c r="D924" s="42" t="s">
        <v>2253</v>
      </c>
      <c r="E924" s="55">
        <v>46125</v>
      </c>
      <c r="F924" s="26" t="s">
        <v>948</v>
      </c>
      <c r="G924" s="26" t="s">
        <v>58</v>
      </c>
      <c r="H924" s="26" t="s">
        <v>56</v>
      </c>
      <c r="I924" s="26" t="s">
        <v>70</v>
      </c>
      <c r="J924" s="26" t="s">
        <v>58</v>
      </c>
      <c r="K924" s="27"/>
      <c r="L924" s="28" t="s">
        <v>56</v>
      </c>
      <c r="M924" s="29" t="str">
        <f t="shared" si="70"/>
        <v>✓ OK</v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4.25" customHeight="1" x14ac:dyDescent="0.3">
      <c r="A925" s="23">
        <v>921</v>
      </c>
      <c r="B925" s="24" t="s">
        <v>3124</v>
      </c>
      <c r="C925" s="25" t="s">
        <v>3125</v>
      </c>
      <c r="D925" s="23" t="s">
        <v>2253</v>
      </c>
      <c r="E925" s="55">
        <v>46125</v>
      </c>
      <c r="F925" s="26" t="s">
        <v>948</v>
      </c>
      <c r="G925" s="26" t="s">
        <v>58</v>
      </c>
      <c r="H925" s="26" t="s">
        <v>56</v>
      </c>
      <c r="I925" s="26" t="s">
        <v>70</v>
      </c>
      <c r="J925" s="26" t="s">
        <v>58</v>
      </c>
      <c r="K925" s="27"/>
      <c r="L925" s="28" t="s">
        <v>56</v>
      </c>
      <c r="M925" s="29" t="str">
        <f t="shared" si="70"/>
        <v>✓ OK</v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4.25" customHeight="1" x14ac:dyDescent="0.3">
      <c r="A926" s="42">
        <v>922</v>
      </c>
      <c r="B926" s="43" t="s">
        <v>3126</v>
      </c>
      <c r="C926" s="44" t="s">
        <v>3127</v>
      </c>
      <c r="D926" s="42" t="s">
        <v>2253</v>
      </c>
      <c r="E926" s="55">
        <v>46125</v>
      </c>
      <c r="F926" s="26" t="s">
        <v>948</v>
      </c>
      <c r="G926" s="26" t="s">
        <v>58</v>
      </c>
      <c r="H926" s="26" t="s">
        <v>56</v>
      </c>
      <c r="I926" s="26" t="s">
        <v>70</v>
      </c>
      <c r="J926" s="26" t="s">
        <v>58</v>
      </c>
      <c r="K926" s="27"/>
      <c r="L926" s="28" t="s">
        <v>56</v>
      </c>
      <c r="M926" s="29" t="str">
        <f t="shared" si="70"/>
        <v>✓ OK</v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4.25" customHeight="1" x14ac:dyDescent="0.3">
      <c r="A927" s="23">
        <v>923</v>
      </c>
      <c r="B927" s="24" t="s">
        <v>3128</v>
      </c>
      <c r="C927" s="25" t="s">
        <v>3129</v>
      </c>
      <c r="D927" s="23" t="s">
        <v>2253</v>
      </c>
      <c r="E927" s="55">
        <v>46125</v>
      </c>
      <c r="F927" s="26" t="s">
        <v>948</v>
      </c>
      <c r="G927" s="26" t="s">
        <v>58</v>
      </c>
      <c r="H927" s="26" t="s">
        <v>56</v>
      </c>
      <c r="I927" s="26" t="s">
        <v>70</v>
      </c>
      <c r="J927" s="26" t="s">
        <v>58</v>
      </c>
      <c r="K927" s="27"/>
      <c r="L927" s="28" t="s">
        <v>56</v>
      </c>
      <c r="M927" s="29" t="str">
        <f t="shared" si="70"/>
        <v>✓ OK</v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4.25" customHeight="1" x14ac:dyDescent="0.3">
      <c r="A928" s="42">
        <v>924</v>
      </c>
      <c r="B928" s="43" t="s">
        <v>3130</v>
      </c>
      <c r="C928" s="44" t="s">
        <v>3131</v>
      </c>
      <c r="D928" s="42" t="s">
        <v>2253</v>
      </c>
      <c r="E928" s="55">
        <v>46125</v>
      </c>
      <c r="F928" s="26" t="s">
        <v>948</v>
      </c>
      <c r="G928" s="26" t="s">
        <v>58</v>
      </c>
      <c r="H928" s="26" t="s">
        <v>56</v>
      </c>
      <c r="I928" s="26" t="s">
        <v>70</v>
      </c>
      <c r="J928" s="26" t="s">
        <v>58</v>
      </c>
      <c r="K928" s="27"/>
      <c r="L928" s="28" t="s">
        <v>56</v>
      </c>
      <c r="M928" s="29" t="str">
        <f t="shared" si="70"/>
        <v>✓ OK</v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4.25" customHeight="1" x14ac:dyDescent="0.3">
      <c r="A929" s="23">
        <v>925</v>
      </c>
      <c r="B929" s="24" t="s">
        <v>3132</v>
      </c>
      <c r="C929" s="25" t="s">
        <v>3133</v>
      </c>
      <c r="D929" s="23" t="s">
        <v>2253</v>
      </c>
      <c r="E929" s="55">
        <v>46125</v>
      </c>
      <c r="F929" s="26" t="s">
        <v>948</v>
      </c>
      <c r="G929" s="26" t="s">
        <v>58</v>
      </c>
      <c r="H929" s="26" t="s">
        <v>56</v>
      </c>
      <c r="I929" s="26" t="s">
        <v>70</v>
      </c>
      <c r="J929" s="26" t="s">
        <v>58</v>
      </c>
      <c r="K929" s="27"/>
      <c r="L929" s="28" t="s">
        <v>56</v>
      </c>
      <c r="M929" s="29" t="str">
        <f t="shared" si="70"/>
        <v>✓ OK</v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4.25" customHeight="1" x14ac:dyDescent="0.3">
      <c r="A930" s="42">
        <v>926</v>
      </c>
      <c r="B930" s="43" t="s">
        <v>3134</v>
      </c>
      <c r="C930" s="44" t="s">
        <v>3135</v>
      </c>
      <c r="D930" s="42" t="s">
        <v>2253</v>
      </c>
      <c r="E930" s="55">
        <v>46125</v>
      </c>
      <c r="F930" s="26" t="s">
        <v>948</v>
      </c>
      <c r="G930" s="26" t="s">
        <v>58</v>
      </c>
      <c r="H930" s="26" t="s">
        <v>56</v>
      </c>
      <c r="I930" s="26" t="s">
        <v>70</v>
      </c>
      <c r="J930" s="26" t="s">
        <v>58</v>
      </c>
      <c r="K930" s="27"/>
      <c r="L930" s="28" t="s">
        <v>56</v>
      </c>
      <c r="M930" s="29" t="str">
        <f t="shared" si="70"/>
        <v>✓ OK</v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4.25" customHeight="1" x14ac:dyDescent="0.3">
      <c r="A931" s="23">
        <v>927</v>
      </c>
      <c r="B931" s="24" t="s">
        <v>3136</v>
      </c>
      <c r="C931" s="25" t="s">
        <v>3137</v>
      </c>
      <c r="D931" s="23" t="s">
        <v>2253</v>
      </c>
      <c r="E931" s="55">
        <v>46125</v>
      </c>
      <c r="F931" s="26" t="s">
        <v>948</v>
      </c>
      <c r="G931" s="26" t="s">
        <v>58</v>
      </c>
      <c r="H931" s="26" t="s">
        <v>56</v>
      </c>
      <c r="I931" s="26" t="s">
        <v>70</v>
      </c>
      <c r="J931" s="26" t="s">
        <v>58</v>
      </c>
      <c r="K931" s="27"/>
      <c r="L931" s="28" t="s">
        <v>56</v>
      </c>
      <c r="M931" s="29" t="str">
        <f t="shared" si="70"/>
        <v>✓ OK</v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4.25" customHeight="1" x14ac:dyDescent="0.3">
      <c r="A932" s="42">
        <v>928</v>
      </c>
      <c r="B932" s="43" t="s">
        <v>3138</v>
      </c>
      <c r="C932" s="44" t="s">
        <v>3139</v>
      </c>
      <c r="D932" s="42" t="s">
        <v>2253</v>
      </c>
      <c r="E932" s="55">
        <v>46125</v>
      </c>
      <c r="F932" s="26" t="s">
        <v>948</v>
      </c>
      <c r="G932" s="26" t="s">
        <v>58</v>
      </c>
      <c r="H932" s="26" t="s">
        <v>56</v>
      </c>
      <c r="I932" s="26" t="s">
        <v>70</v>
      </c>
      <c r="J932" s="26" t="s">
        <v>58</v>
      </c>
      <c r="K932" s="27"/>
      <c r="L932" s="28" t="s">
        <v>56</v>
      </c>
      <c r="M932" s="29" t="str">
        <f t="shared" si="70"/>
        <v>✓ OK</v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4.25" customHeight="1" x14ac:dyDescent="0.3">
      <c r="A933" s="23">
        <v>929</v>
      </c>
      <c r="B933" s="24" t="s">
        <v>3140</v>
      </c>
      <c r="C933" s="25" t="s">
        <v>3141</v>
      </c>
      <c r="D933" s="23" t="s">
        <v>2253</v>
      </c>
      <c r="E933" s="55">
        <v>46125</v>
      </c>
      <c r="F933" s="26" t="s">
        <v>948</v>
      </c>
      <c r="G933" s="26" t="s">
        <v>58</v>
      </c>
      <c r="H933" s="26" t="s">
        <v>56</v>
      </c>
      <c r="I933" s="26" t="s">
        <v>70</v>
      </c>
      <c r="J933" s="26" t="s">
        <v>58</v>
      </c>
      <c r="K933" s="27"/>
      <c r="L933" s="28" t="s">
        <v>56</v>
      </c>
      <c r="M933" s="29" t="str">
        <f t="shared" si="70"/>
        <v>✓ OK</v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4.25" customHeight="1" x14ac:dyDescent="0.3">
      <c r="A934" s="42">
        <v>930</v>
      </c>
      <c r="B934" s="43" t="s">
        <v>3142</v>
      </c>
      <c r="C934" s="44" t="s">
        <v>3143</v>
      </c>
      <c r="D934" s="42" t="s">
        <v>2253</v>
      </c>
      <c r="E934" s="55">
        <v>46125</v>
      </c>
      <c r="F934" s="26" t="s">
        <v>948</v>
      </c>
      <c r="G934" s="26" t="s">
        <v>58</v>
      </c>
      <c r="H934" s="26" t="s">
        <v>56</v>
      </c>
      <c r="I934" s="26" t="s">
        <v>70</v>
      </c>
      <c r="J934" s="26" t="s">
        <v>58</v>
      </c>
      <c r="K934" s="27"/>
      <c r="L934" s="28" t="s">
        <v>56</v>
      </c>
      <c r="M934" s="29" t="str">
        <f t="shared" si="70"/>
        <v>✓ OK</v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4.25" customHeight="1" x14ac:dyDescent="0.3">
      <c r="A935" s="23">
        <v>931</v>
      </c>
      <c r="B935" s="24" t="s">
        <v>3144</v>
      </c>
      <c r="C935" s="25" t="s">
        <v>3145</v>
      </c>
      <c r="D935" s="23" t="s">
        <v>2253</v>
      </c>
      <c r="E935" s="55">
        <v>46125</v>
      </c>
      <c r="F935" s="26" t="s">
        <v>948</v>
      </c>
      <c r="G935" s="26" t="s">
        <v>58</v>
      </c>
      <c r="H935" s="26" t="s">
        <v>56</v>
      </c>
      <c r="I935" s="26" t="s">
        <v>70</v>
      </c>
      <c r="J935" s="26" t="s">
        <v>58</v>
      </c>
      <c r="K935" s="27"/>
      <c r="L935" s="28" t="s">
        <v>56</v>
      </c>
      <c r="M935" s="29" t="str">
        <f t="shared" si="70"/>
        <v>✓ OK</v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4.25" customHeight="1" x14ac:dyDescent="0.3">
      <c r="A936" s="42">
        <v>932</v>
      </c>
      <c r="B936" s="43" t="s">
        <v>3146</v>
      </c>
      <c r="C936" s="44" t="s">
        <v>3147</v>
      </c>
      <c r="D936" s="42" t="s">
        <v>2253</v>
      </c>
      <c r="E936" s="55">
        <v>46125</v>
      </c>
      <c r="F936" s="26" t="s">
        <v>948</v>
      </c>
      <c r="G936" s="26" t="s">
        <v>58</v>
      </c>
      <c r="H936" s="26" t="s">
        <v>56</v>
      </c>
      <c r="I936" s="26" t="s">
        <v>70</v>
      </c>
      <c r="J936" s="26" t="s">
        <v>58</v>
      </c>
      <c r="K936" s="27"/>
      <c r="L936" s="28" t="s">
        <v>56</v>
      </c>
      <c r="M936" s="29" t="str">
        <f t="shared" si="70"/>
        <v>✓ OK</v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4.25" customHeight="1" x14ac:dyDescent="0.3">
      <c r="A937" s="23">
        <v>933</v>
      </c>
      <c r="B937" s="24" t="s">
        <v>3148</v>
      </c>
      <c r="C937" s="25" t="s">
        <v>3149</v>
      </c>
      <c r="D937" s="23" t="s">
        <v>2253</v>
      </c>
      <c r="E937" s="55">
        <v>46125</v>
      </c>
      <c r="F937" s="26" t="s">
        <v>948</v>
      </c>
      <c r="G937" s="26" t="s">
        <v>58</v>
      </c>
      <c r="H937" s="26" t="s">
        <v>56</v>
      </c>
      <c r="I937" s="26" t="s">
        <v>70</v>
      </c>
      <c r="J937" s="26" t="s">
        <v>58</v>
      </c>
      <c r="K937" s="27"/>
      <c r="L937" s="28" t="s">
        <v>56</v>
      </c>
      <c r="M937" s="29" t="str">
        <f t="shared" si="70"/>
        <v>✓ OK</v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4.25" customHeight="1" x14ac:dyDescent="0.3">
      <c r="A938" s="42">
        <v>934</v>
      </c>
      <c r="B938" s="43" t="s">
        <v>3150</v>
      </c>
      <c r="C938" s="44" t="s">
        <v>3151</v>
      </c>
      <c r="D938" s="42" t="s">
        <v>2253</v>
      </c>
      <c r="E938" s="55">
        <v>46125</v>
      </c>
      <c r="F938" s="26" t="s">
        <v>948</v>
      </c>
      <c r="G938" s="26" t="s">
        <v>58</v>
      </c>
      <c r="H938" s="26" t="s">
        <v>56</v>
      </c>
      <c r="I938" s="26" t="s">
        <v>70</v>
      </c>
      <c r="J938" s="26" t="s">
        <v>58</v>
      </c>
      <c r="K938" s="27"/>
      <c r="L938" s="28" t="s">
        <v>56</v>
      </c>
      <c r="M938" s="29" t="str">
        <f t="shared" si="70"/>
        <v>✓ OK</v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4.25" customHeight="1" x14ac:dyDescent="0.3">
      <c r="A939" s="23">
        <v>935</v>
      </c>
      <c r="B939" s="24" t="s">
        <v>3152</v>
      </c>
      <c r="C939" s="25" t="s">
        <v>3153</v>
      </c>
      <c r="D939" s="23" t="s">
        <v>2253</v>
      </c>
      <c r="E939" s="55">
        <v>46125</v>
      </c>
      <c r="F939" s="26" t="s">
        <v>948</v>
      </c>
      <c r="G939" s="26" t="s">
        <v>58</v>
      </c>
      <c r="H939" s="26" t="s">
        <v>56</v>
      </c>
      <c r="I939" s="26" t="s">
        <v>70</v>
      </c>
      <c r="J939" s="26" t="s">
        <v>58</v>
      </c>
      <c r="K939" s="27"/>
      <c r="L939" s="28" t="s">
        <v>56</v>
      </c>
      <c r="M939" s="29" t="str">
        <f t="shared" si="70"/>
        <v>✓ OK</v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4.25" customHeight="1" x14ac:dyDescent="0.3">
      <c r="A940" s="42">
        <v>936</v>
      </c>
      <c r="B940" s="43" t="s">
        <v>3154</v>
      </c>
      <c r="C940" s="44" t="s">
        <v>3155</v>
      </c>
      <c r="D940" s="42" t="s">
        <v>2253</v>
      </c>
      <c r="E940" s="55">
        <v>46125</v>
      </c>
      <c r="F940" s="26" t="s">
        <v>948</v>
      </c>
      <c r="G940" s="26" t="s">
        <v>58</v>
      </c>
      <c r="H940" s="26" t="s">
        <v>56</v>
      </c>
      <c r="I940" s="26" t="s">
        <v>70</v>
      </c>
      <c r="J940" s="26" t="s">
        <v>58</v>
      </c>
      <c r="K940" s="27"/>
      <c r="L940" s="28" t="s">
        <v>56</v>
      </c>
      <c r="M940" s="29" t="str">
        <f t="shared" si="70"/>
        <v>✓ OK</v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4.25" customHeight="1" x14ac:dyDescent="0.3">
      <c r="A941" s="23">
        <v>937</v>
      </c>
      <c r="B941" s="24" t="s">
        <v>3156</v>
      </c>
      <c r="C941" s="25" t="s">
        <v>3157</v>
      </c>
      <c r="D941" s="23" t="s">
        <v>2253</v>
      </c>
      <c r="E941" s="55">
        <v>46125</v>
      </c>
      <c r="F941" s="26" t="s">
        <v>948</v>
      </c>
      <c r="G941" s="26" t="s">
        <v>58</v>
      </c>
      <c r="H941" s="26" t="s">
        <v>56</v>
      </c>
      <c r="I941" s="26" t="s">
        <v>70</v>
      </c>
      <c r="J941" s="26" t="s">
        <v>58</v>
      </c>
      <c r="K941" s="27"/>
      <c r="L941" s="28" t="s">
        <v>56</v>
      </c>
      <c r="M941" s="29" t="str">
        <f t="shared" si="70"/>
        <v>✓ OK</v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4.25" customHeight="1" x14ac:dyDescent="0.3">
      <c r="A942" s="42">
        <v>938</v>
      </c>
      <c r="B942" s="43" t="s">
        <v>3158</v>
      </c>
      <c r="C942" s="44" t="s">
        <v>3159</v>
      </c>
      <c r="D942" s="42" t="s">
        <v>2253</v>
      </c>
      <c r="E942" s="55">
        <v>46125</v>
      </c>
      <c r="F942" s="26" t="s">
        <v>948</v>
      </c>
      <c r="G942" s="26" t="s">
        <v>58</v>
      </c>
      <c r="H942" s="26" t="s">
        <v>56</v>
      </c>
      <c r="I942" s="26" t="s">
        <v>70</v>
      </c>
      <c r="J942" s="26" t="s">
        <v>58</v>
      </c>
      <c r="K942" s="27"/>
      <c r="L942" s="28" t="s">
        <v>56</v>
      </c>
      <c r="M942" s="29" t="str">
        <f t="shared" si="70"/>
        <v>✓ OK</v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4.25" customHeight="1" x14ac:dyDescent="0.3">
      <c r="A943" s="23">
        <v>939</v>
      </c>
      <c r="B943" s="24" t="s">
        <v>3160</v>
      </c>
      <c r="C943" s="25" t="s">
        <v>3161</v>
      </c>
      <c r="D943" s="23" t="s">
        <v>2253</v>
      </c>
      <c r="E943" s="55">
        <v>46125</v>
      </c>
      <c r="F943" s="26" t="s">
        <v>948</v>
      </c>
      <c r="G943" s="26" t="s">
        <v>58</v>
      </c>
      <c r="H943" s="26" t="s">
        <v>56</v>
      </c>
      <c r="I943" s="26" t="s">
        <v>70</v>
      </c>
      <c r="J943" s="26" t="s">
        <v>58</v>
      </c>
      <c r="K943" s="27"/>
      <c r="L943" s="28" t="s">
        <v>56</v>
      </c>
      <c r="M943" s="29" t="str">
        <f t="shared" si="70"/>
        <v>✓ OK</v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4.25" customHeight="1" x14ac:dyDescent="0.3">
      <c r="A944" s="42">
        <v>940</v>
      </c>
      <c r="B944" s="43" t="s">
        <v>3162</v>
      </c>
      <c r="C944" s="44" t="s">
        <v>3163</v>
      </c>
      <c r="D944" s="42" t="s">
        <v>2253</v>
      </c>
      <c r="E944" s="55">
        <v>46125</v>
      </c>
      <c r="F944" s="26" t="s">
        <v>948</v>
      </c>
      <c r="G944" s="26" t="s">
        <v>58</v>
      </c>
      <c r="H944" s="26" t="s">
        <v>56</v>
      </c>
      <c r="I944" s="26" t="s">
        <v>70</v>
      </c>
      <c r="J944" s="26" t="s">
        <v>58</v>
      </c>
      <c r="K944" s="27"/>
      <c r="L944" s="28" t="s">
        <v>56</v>
      </c>
      <c r="M944" s="29" t="str">
        <f t="shared" si="70"/>
        <v>✓ OK</v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4.25" customHeight="1" x14ac:dyDescent="0.3">
      <c r="A945" s="23">
        <v>941</v>
      </c>
      <c r="B945" s="24" t="s">
        <v>3164</v>
      </c>
      <c r="C945" s="25" t="s">
        <v>3165</v>
      </c>
      <c r="D945" s="23" t="s">
        <v>2253</v>
      </c>
      <c r="E945" s="55">
        <v>46125</v>
      </c>
      <c r="F945" s="26" t="s">
        <v>948</v>
      </c>
      <c r="G945" s="26" t="s">
        <v>58</v>
      </c>
      <c r="H945" s="26" t="s">
        <v>56</v>
      </c>
      <c r="I945" s="26" t="s">
        <v>70</v>
      </c>
      <c r="J945" s="26" t="s">
        <v>58</v>
      </c>
      <c r="K945" s="27"/>
      <c r="L945" s="28" t="s">
        <v>56</v>
      </c>
      <c r="M945" s="29" t="str">
        <f t="shared" si="70"/>
        <v>✓ OK</v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4.25" customHeight="1" x14ac:dyDescent="0.3">
      <c r="A946" s="42">
        <v>942</v>
      </c>
      <c r="B946" s="43" t="s">
        <v>3166</v>
      </c>
      <c r="C946" s="44" t="s">
        <v>3167</v>
      </c>
      <c r="D946" s="42" t="s">
        <v>2253</v>
      </c>
      <c r="E946" s="55">
        <v>46125</v>
      </c>
      <c r="F946" s="26" t="s">
        <v>948</v>
      </c>
      <c r="G946" s="26" t="s">
        <v>58</v>
      </c>
      <c r="H946" s="26" t="s">
        <v>56</v>
      </c>
      <c r="I946" s="26" t="s">
        <v>70</v>
      </c>
      <c r="J946" s="26" t="s">
        <v>58</v>
      </c>
      <c r="K946" s="27"/>
      <c r="L946" s="28" t="s">
        <v>56</v>
      </c>
      <c r="M946" s="29" t="str">
        <f t="shared" si="70"/>
        <v>✓ OK</v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4.25" customHeight="1" x14ac:dyDescent="0.3">
      <c r="A947" s="23">
        <v>943</v>
      </c>
      <c r="B947" s="24" t="s">
        <v>3168</v>
      </c>
      <c r="C947" s="25" t="s">
        <v>3169</v>
      </c>
      <c r="D947" s="23" t="s">
        <v>2253</v>
      </c>
      <c r="E947" s="55">
        <v>46125</v>
      </c>
      <c r="F947" s="26" t="s">
        <v>948</v>
      </c>
      <c r="G947" s="26" t="s">
        <v>58</v>
      </c>
      <c r="H947" s="26" t="s">
        <v>56</v>
      </c>
      <c r="I947" s="26" t="s">
        <v>70</v>
      </c>
      <c r="J947" s="26" t="s">
        <v>58</v>
      </c>
      <c r="K947" s="27"/>
      <c r="L947" s="28" t="s">
        <v>56</v>
      </c>
      <c r="M947" s="29" t="str">
        <f t="shared" si="70"/>
        <v>✓ OK</v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4.25" customHeight="1" x14ac:dyDescent="0.3">
      <c r="A948" s="42">
        <v>944</v>
      </c>
      <c r="B948" s="43" t="s">
        <v>3170</v>
      </c>
      <c r="C948" s="44" t="s">
        <v>3171</v>
      </c>
      <c r="D948" s="42" t="s">
        <v>2253</v>
      </c>
      <c r="E948" s="55">
        <v>46125</v>
      </c>
      <c r="F948" s="26" t="s">
        <v>948</v>
      </c>
      <c r="G948" s="26" t="s">
        <v>58</v>
      </c>
      <c r="H948" s="26" t="s">
        <v>56</v>
      </c>
      <c r="I948" s="26" t="s">
        <v>70</v>
      </c>
      <c r="J948" s="26" t="s">
        <v>58</v>
      </c>
      <c r="K948" s="27"/>
      <c r="L948" s="28" t="s">
        <v>56</v>
      </c>
      <c r="M948" s="29" t="str">
        <f t="shared" si="70"/>
        <v>✓ OK</v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4.25" customHeight="1" x14ac:dyDescent="0.3">
      <c r="A949" s="23">
        <v>945</v>
      </c>
      <c r="B949" s="24" t="s">
        <v>3172</v>
      </c>
      <c r="C949" s="25" t="s">
        <v>3173</v>
      </c>
      <c r="D949" s="23" t="s">
        <v>2253</v>
      </c>
      <c r="E949" s="55">
        <v>46125</v>
      </c>
      <c r="F949" s="26" t="s">
        <v>948</v>
      </c>
      <c r="G949" s="26" t="s">
        <v>58</v>
      </c>
      <c r="H949" s="26" t="s">
        <v>56</v>
      </c>
      <c r="I949" s="26" t="s">
        <v>70</v>
      </c>
      <c r="J949" s="26" t="s">
        <v>58</v>
      </c>
      <c r="K949" s="27"/>
      <c r="L949" s="28" t="s">
        <v>56</v>
      </c>
      <c r="M949" s="29" t="str">
        <f t="shared" si="70"/>
        <v>✓ OK</v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4.25" customHeight="1" x14ac:dyDescent="0.3">
      <c r="A950" s="42">
        <v>946</v>
      </c>
      <c r="B950" s="43" t="s">
        <v>3174</v>
      </c>
      <c r="C950" s="44" t="s">
        <v>3175</v>
      </c>
      <c r="D950" s="42" t="s">
        <v>2253</v>
      </c>
      <c r="E950" s="55">
        <v>46125</v>
      </c>
      <c r="F950" s="26" t="s">
        <v>948</v>
      </c>
      <c r="G950" s="26" t="s">
        <v>58</v>
      </c>
      <c r="H950" s="26" t="s">
        <v>56</v>
      </c>
      <c r="I950" s="26" t="s">
        <v>70</v>
      </c>
      <c r="J950" s="26" t="s">
        <v>58</v>
      </c>
      <c r="K950" s="27"/>
      <c r="L950" s="28" t="s">
        <v>56</v>
      </c>
      <c r="M950" s="29" t="str">
        <f t="shared" si="70"/>
        <v>✓ OK</v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4.25" customHeight="1" x14ac:dyDescent="0.3">
      <c r="A951" s="23">
        <v>947</v>
      </c>
      <c r="B951" s="24" t="s">
        <v>3176</v>
      </c>
      <c r="C951" s="25" t="s">
        <v>3177</v>
      </c>
      <c r="D951" s="23" t="s">
        <v>2253</v>
      </c>
      <c r="E951" s="55">
        <v>46125</v>
      </c>
      <c r="F951" s="26" t="s">
        <v>948</v>
      </c>
      <c r="G951" s="26" t="s">
        <v>58</v>
      </c>
      <c r="H951" s="26" t="s">
        <v>56</v>
      </c>
      <c r="I951" s="26" t="s">
        <v>70</v>
      </c>
      <c r="J951" s="26" t="s">
        <v>58</v>
      </c>
      <c r="K951" s="27"/>
      <c r="L951" s="28" t="s">
        <v>56</v>
      </c>
      <c r="M951" s="29" t="str">
        <f t="shared" si="70"/>
        <v>✓ OK</v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4.25" customHeight="1" x14ac:dyDescent="0.3">
      <c r="A952" s="42">
        <v>948</v>
      </c>
      <c r="B952" s="43" t="s">
        <v>3178</v>
      </c>
      <c r="C952" s="44" t="s">
        <v>3179</v>
      </c>
      <c r="D952" s="42" t="s">
        <v>2253</v>
      </c>
      <c r="E952" s="55">
        <v>46125</v>
      </c>
      <c r="F952" s="26" t="s">
        <v>948</v>
      </c>
      <c r="G952" s="26" t="s">
        <v>58</v>
      </c>
      <c r="H952" s="26" t="s">
        <v>56</v>
      </c>
      <c r="I952" s="26" t="s">
        <v>70</v>
      </c>
      <c r="J952" s="26" t="s">
        <v>58</v>
      </c>
      <c r="K952" s="27"/>
      <c r="L952" s="28" t="s">
        <v>56</v>
      </c>
      <c r="M952" s="29" t="str">
        <f t="shared" si="70"/>
        <v>✓ OK</v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4.25" customHeight="1" x14ac:dyDescent="0.3">
      <c r="A953" s="23">
        <v>949</v>
      </c>
      <c r="B953" s="24" t="s">
        <v>3180</v>
      </c>
      <c r="C953" s="25" t="s">
        <v>3181</v>
      </c>
      <c r="D953" s="23" t="s">
        <v>2253</v>
      </c>
      <c r="E953" s="55">
        <v>46125</v>
      </c>
      <c r="F953" s="26" t="s">
        <v>948</v>
      </c>
      <c r="G953" s="26" t="s">
        <v>58</v>
      </c>
      <c r="H953" s="26" t="s">
        <v>56</v>
      </c>
      <c r="I953" s="26" t="s">
        <v>70</v>
      </c>
      <c r="J953" s="26" t="s">
        <v>58</v>
      </c>
      <c r="K953" s="27"/>
      <c r="L953" s="28" t="s">
        <v>56</v>
      </c>
      <c r="M953" s="29" t="str">
        <f t="shared" si="70"/>
        <v>✓ OK</v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4.25" customHeight="1" x14ac:dyDescent="0.3">
      <c r="A954" s="42">
        <v>950</v>
      </c>
      <c r="B954" s="43" t="s">
        <v>3182</v>
      </c>
      <c r="C954" s="44" t="s">
        <v>3183</v>
      </c>
      <c r="D954" s="42" t="s">
        <v>2253</v>
      </c>
      <c r="E954" s="55">
        <v>46125</v>
      </c>
      <c r="F954" s="26" t="s">
        <v>948</v>
      </c>
      <c r="G954" s="26" t="s">
        <v>58</v>
      </c>
      <c r="H954" s="26" t="s">
        <v>56</v>
      </c>
      <c r="I954" s="26" t="s">
        <v>70</v>
      </c>
      <c r="J954" s="26" t="s">
        <v>58</v>
      </c>
      <c r="K954" s="27"/>
      <c r="L954" s="28" t="s">
        <v>56</v>
      </c>
      <c r="M954" s="29" t="str">
        <f t="shared" si="70"/>
        <v>✓ OK</v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4.25" customHeight="1" x14ac:dyDescent="0.3">
      <c r="A955" s="23">
        <v>951</v>
      </c>
      <c r="B955" s="24" t="s">
        <v>3184</v>
      </c>
      <c r="C955" s="25" t="s">
        <v>3185</v>
      </c>
      <c r="D955" s="23" t="s">
        <v>2253</v>
      </c>
      <c r="E955" s="55">
        <v>46125</v>
      </c>
      <c r="F955" s="26" t="s">
        <v>948</v>
      </c>
      <c r="G955" s="26" t="s">
        <v>58</v>
      </c>
      <c r="H955" s="26" t="s">
        <v>56</v>
      </c>
      <c r="I955" s="26" t="s">
        <v>70</v>
      </c>
      <c r="J955" s="26" t="s">
        <v>58</v>
      </c>
      <c r="K955" s="27"/>
      <c r="L955" s="28" t="s">
        <v>56</v>
      </c>
      <c r="M955" s="29" t="str">
        <f t="shared" si="70"/>
        <v>✓ OK</v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4.25" customHeight="1" x14ac:dyDescent="0.3">
      <c r="A956" s="42">
        <v>952</v>
      </c>
      <c r="B956" s="43" t="s">
        <v>3186</v>
      </c>
      <c r="C956" s="44" t="s">
        <v>3187</v>
      </c>
      <c r="D956" s="42" t="s">
        <v>2253</v>
      </c>
      <c r="E956" s="55">
        <v>46125</v>
      </c>
      <c r="F956" s="26" t="s">
        <v>948</v>
      </c>
      <c r="G956" s="26" t="s">
        <v>58</v>
      </c>
      <c r="H956" s="26" t="s">
        <v>56</v>
      </c>
      <c r="I956" s="26" t="s">
        <v>70</v>
      </c>
      <c r="J956" s="26" t="s">
        <v>58</v>
      </c>
      <c r="K956" s="27"/>
      <c r="L956" s="28" t="s">
        <v>56</v>
      </c>
      <c r="M956" s="29" t="str">
        <f t="shared" si="70"/>
        <v>✓ OK</v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4.25" customHeight="1" x14ac:dyDescent="0.3">
      <c r="A957" s="23">
        <v>953</v>
      </c>
      <c r="B957" s="24" t="s">
        <v>3188</v>
      </c>
      <c r="C957" s="25" t="s">
        <v>3189</v>
      </c>
      <c r="D957" s="23" t="s">
        <v>2253</v>
      </c>
      <c r="E957" s="55">
        <v>46125</v>
      </c>
      <c r="F957" s="26" t="s">
        <v>948</v>
      </c>
      <c r="G957" s="26" t="s">
        <v>58</v>
      </c>
      <c r="H957" s="26" t="s">
        <v>56</v>
      </c>
      <c r="I957" s="26" t="s">
        <v>70</v>
      </c>
      <c r="J957" s="26" t="s">
        <v>58</v>
      </c>
      <c r="K957" s="27"/>
      <c r="L957" s="28" t="s">
        <v>56</v>
      </c>
      <c r="M957" s="29" t="str">
        <f t="shared" si="70"/>
        <v>✓ OK</v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4.25" customHeight="1" x14ac:dyDescent="0.3">
      <c r="A958" s="42">
        <v>954</v>
      </c>
      <c r="B958" s="43" t="s">
        <v>3190</v>
      </c>
      <c r="C958" s="44" t="s">
        <v>3191</v>
      </c>
      <c r="D958" s="42" t="s">
        <v>2253</v>
      </c>
      <c r="E958" s="55">
        <v>46125</v>
      </c>
      <c r="F958" s="26" t="s">
        <v>948</v>
      </c>
      <c r="G958" s="26" t="s">
        <v>58</v>
      </c>
      <c r="H958" s="26" t="s">
        <v>56</v>
      </c>
      <c r="I958" s="26" t="s">
        <v>70</v>
      </c>
      <c r="J958" s="26" t="s">
        <v>58</v>
      </c>
      <c r="K958" s="27"/>
      <c r="L958" s="28" t="s">
        <v>56</v>
      </c>
      <c r="M958" s="29" t="str">
        <f t="shared" si="70"/>
        <v>✓ OK</v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4.25" customHeight="1" x14ac:dyDescent="0.3">
      <c r="A959" s="23">
        <v>955</v>
      </c>
      <c r="B959" s="24" t="s">
        <v>3192</v>
      </c>
      <c r="C959" s="25" t="s">
        <v>3193</v>
      </c>
      <c r="D959" s="23" t="s">
        <v>2253</v>
      </c>
      <c r="E959" s="55">
        <v>46125</v>
      </c>
      <c r="F959" s="26" t="s">
        <v>948</v>
      </c>
      <c r="G959" s="26" t="s">
        <v>58</v>
      </c>
      <c r="H959" s="26" t="s">
        <v>56</v>
      </c>
      <c r="I959" s="26" t="s">
        <v>70</v>
      </c>
      <c r="J959" s="26" t="s">
        <v>58</v>
      </c>
      <c r="K959" s="27"/>
      <c r="L959" s="28" t="s">
        <v>56</v>
      </c>
      <c r="M959" s="29" t="str">
        <f t="shared" si="70"/>
        <v>✓ OK</v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4.25" customHeight="1" x14ac:dyDescent="0.3">
      <c r="A960" s="42">
        <v>956</v>
      </c>
      <c r="B960" s="43" t="s">
        <v>3194</v>
      </c>
      <c r="C960" s="44" t="s">
        <v>3195</v>
      </c>
      <c r="D960" s="42" t="s">
        <v>2253</v>
      </c>
      <c r="E960" s="55">
        <v>46125</v>
      </c>
      <c r="F960" s="26" t="s">
        <v>948</v>
      </c>
      <c r="G960" s="26" t="s">
        <v>58</v>
      </c>
      <c r="H960" s="26" t="s">
        <v>56</v>
      </c>
      <c r="I960" s="26" t="s">
        <v>70</v>
      </c>
      <c r="J960" s="26" t="s">
        <v>58</v>
      </c>
      <c r="K960" s="27"/>
      <c r="L960" s="28" t="s">
        <v>56</v>
      </c>
      <c r="M960" s="29" t="str">
        <f t="shared" si="70"/>
        <v>✓ OK</v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4.25" customHeight="1" x14ac:dyDescent="0.3">
      <c r="A961" s="23">
        <v>957</v>
      </c>
      <c r="B961" s="24" t="s">
        <v>3196</v>
      </c>
      <c r="C961" s="25" t="s">
        <v>3197</v>
      </c>
      <c r="D961" s="23" t="s">
        <v>2253</v>
      </c>
      <c r="E961" s="55">
        <v>46125</v>
      </c>
      <c r="F961" s="26" t="s">
        <v>948</v>
      </c>
      <c r="G961" s="26" t="s">
        <v>58</v>
      </c>
      <c r="H961" s="26" t="s">
        <v>56</v>
      </c>
      <c r="I961" s="26" t="s">
        <v>70</v>
      </c>
      <c r="J961" s="26" t="s">
        <v>58</v>
      </c>
      <c r="K961" s="27"/>
      <c r="L961" s="28" t="s">
        <v>56</v>
      </c>
      <c r="M961" s="29" t="str">
        <f t="shared" si="70"/>
        <v>✓ OK</v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4.25" customHeight="1" x14ac:dyDescent="0.3">
      <c r="A962" s="42">
        <v>958</v>
      </c>
      <c r="B962" s="43" t="s">
        <v>3198</v>
      </c>
      <c r="C962" s="44" t="s">
        <v>3199</v>
      </c>
      <c r="D962" s="42" t="s">
        <v>2253</v>
      </c>
      <c r="E962" s="55">
        <v>46125</v>
      </c>
      <c r="F962" s="26" t="s">
        <v>948</v>
      </c>
      <c r="G962" s="26" t="s">
        <v>58</v>
      </c>
      <c r="H962" s="26" t="s">
        <v>56</v>
      </c>
      <c r="I962" s="26" t="s">
        <v>70</v>
      </c>
      <c r="J962" s="26" t="s">
        <v>58</v>
      </c>
      <c r="K962" s="27"/>
      <c r="L962" s="28" t="s">
        <v>56</v>
      </c>
      <c r="M962" s="29" t="str">
        <f t="shared" si="70"/>
        <v>✓ OK</v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4.25" customHeight="1" x14ac:dyDescent="0.3">
      <c r="A963" s="23">
        <v>959</v>
      </c>
      <c r="B963" s="24" t="s">
        <v>3200</v>
      </c>
      <c r="C963" s="25" t="s">
        <v>3201</v>
      </c>
      <c r="D963" s="23" t="s">
        <v>2253</v>
      </c>
      <c r="E963" s="55">
        <v>46125</v>
      </c>
      <c r="F963" s="26" t="s">
        <v>948</v>
      </c>
      <c r="G963" s="26" t="s">
        <v>58</v>
      </c>
      <c r="H963" s="26" t="s">
        <v>56</v>
      </c>
      <c r="I963" s="26" t="s">
        <v>70</v>
      </c>
      <c r="J963" s="26" t="s">
        <v>58</v>
      </c>
      <c r="K963" s="27"/>
      <c r="L963" s="28" t="s">
        <v>56</v>
      </c>
      <c r="M963" s="29" t="str">
        <f t="shared" si="70"/>
        <v>✓ OK</v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4.25" customHeight="1" x14ac:dyDescent="0.3">
      <c r="A964" s="42">
        <v>960</v>
      </c>
      <c r="B964" s="43" t="s">
        <v>3202</v>
      </c>
      <c r="C964" s="44" t="s">
        <v>3203</v>
      </c>
      <c r="D964" s="42" t="s">
        <v>2253</v>
      </c>
      <c r="E964" s="55">
        <v>46125</v>
      </c>
      <c r="F964" s="26" t="s">
        <v>948</v>
      </c>
      <c r="G964" s="26" t="s">
        <v>58</v>
      </c>
      <c r="H964" s="26" t="s">
        <v>56</v>
      </c>
      <c r="I964" s="26" t="s">
        <v>70</v>
      </c>
      <c r="J964" s="26" t="s">
        <v>58</v>
      </c>
      <c r="K964" s="27"/>
      <c r="L964" s="28" t="s">
        <v>56</v>
      </c>
      <c r="M964" s="29" t="str">
        <f t="shared" si="70"/>
        <v>✓ OK</v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4.25" customHeight="1" x14ac:dyDescent="0.3">
      <c r="A965" s="23">
        <v>961</v>
      </c>
      <c r="B965" s="24" t="s">
        <v>3204</v>
      </c>
      <c r="C965" s="25" t="s">
        <v>3205</v>
      </c>
      <c r="D965" s="23" t="s">
        <v>2253</v>
      </c>
      <c r="E965" s="55">
        <v>46125</v>
      </c>
      <c r="F965" s="26" t="s">
        <v>948</v>
      </c>
      <c r="G965" s="26" t="s">
        <v>58</v>
      </c>
      <c r="H965" s="26" t="s">
        <v>56</v>
      </c>
      <c r="I965" s="26" t="s">
        <v>70</v>
      </c>
      <c r="J965" s="26" t="s">
        <v>58</v>
      </c>
      <c r="K965" s="27"/>
      <c r="L965" s="28" t="s">
        <v>56</v>
      </c>
      <c r="M965" s="29" t="str">
        <f t="shared" ref="M965:M1028" si="75">IF(E965="","",IF(H965="Yes","❌ Disc",IF(G965="No","⚠ Missing",IF(J965="Yes","✓ OK","⚠ Check"))))</f>
        <v>✓ OK</v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4.25" customHeight="1" x14ac:dyDescent="0.3">
      <c r="A966" s="42">
        <v>962</v>
      </c>
      <c r="B966" s="43" t="s">
        <v>3206</v>
      </c>
      <c r="C966" s="44" t="s">
        <v>3207</v>
      </c>
      <c r="D966" s="42" t="s">
        <v>2253</v>
      </c>
      <c r="E966" s="55">
        <v>46125</v>
      </c>
      <c r="F966" s="26" t="s">
        <v>948</v>
      </c>
      <c r="G966" s="26" t="s">
        <v>58</v>
      </c>
      <c r="H966" s="26" t="s">
        <v>56</v>
      </c>
      <c r="I966" s="26" t="s">
        <v>70</v>
      </c>
      <c r="J966" s="26" t="s">
        <v>58</v>
      </c>
      <c r="K966" s="27"/>
      <c r="L966" s="28" t="s">
        <v>56</v>
      </c>
      <c r="M966" s="29" t="str">
        <f t="shared" si="75"/>
        <v>✓ OK</v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4.25" customHeight="1" x14ac:dyDescent="0.3">
      <c r="A967" s="23">
        <v>963</v>
      </c>
      <c r="B967" s="24" t="s">
        <v>3208</v>
      </c>
      <c r="C967" s="25" t="s">
        <v>3209</v>
      </c>
      <c r="D967" s="23" t="s">
        <v>2253</v>
      </c>
      <c r="E967" s="55">
        <v>46125</v>
      </c>
      <c r="F967" s="26" t="s">
        <v>948</v>
      </c>
      <c r="G967" s="26" t="s">
        <v>58</v>
      </c>
      <c r="H967" s="26" t="s">
        <v>56</v>
      </c>
      <c r="I967" s="26" t="s">
        <v>70</v>
      </c>
      <c r="J967" s="26" t="s">
        <v>58</v>
      </c>
      <c r="K967" s="27"/>
      <c r="L967" s="28" t="s">
        <v>56</v>
      </c>
      <c r="M967" s="29" t="str">
        <f t="shared" si="75"/>
        <v>✓ OK</v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4.25" customHeight="1" x14ac:dyDescent="0.3">
      <c r="A968" s="42">
        <v>964</v>
      </c>
      <c r="B968" s="43" t="s">
        <v>3210</v>
      </c>
      <c r="C968" s="44" t="s">
        <v>3211</v>
      </c>
      <c r="D968" s="42" t="s">
        <v>2253</v>
      </c>
      <c r="E968" s="55">
        <v>46125</v>
      </c>
      <c r="F968" s="26" t="s">
        <v>948</v>
      </c>
      <c r="G968" s="26" t="s">
        <v>58</v>
      </c>
      <c r="H968" s="26" t="s">
        <v>56</v>
      </c>
      <c r="I968" s="26" t="s">
        <v>70</v>
      </c>
      <c r="J968" s="26" t="s">
        <v>58</v>
      </c>
      <c r="K968" s="27"/>
      <c r="L968" s="28" t="s">
        <v>56</v>
      </c>
      <c r="M968" s="29" t="str">
        <f t="shared" si="75"/>
        <v>✓ OK</v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4.25" customHeight="1" x14ac:dyDescent="0.3">
      <c r="A969" s="23">
        <v>965</v>
      </c>
      <c r="B969" s="24" t="s">
        <v>3212</v>
      </c>
      <c r="C969" s="25" t="s">
        <v>3213</v>
      </c>
      <c r="D969" s="23" t="s">
        <v>2253</v>
      </c>
      <c r="E969" s="55">
        <v>46125</v>
      </c>
      <c r="F969" s="26" t="s">
        <v>948</v>
      </c>
      <c r="G969" s="26" t="s">
        <v>58</v>
      </c>
      <c r="H969" s="26" t="s">
        <v>56</v>
      </c>
      <c r="I969" s="26" t="s">
        <v>70</v>
      </c>
      <c r="J969" s="26" t="s">
        <v>58</v>
      </c>
      <c r="K969" s="27"/>
      <c r="L969" s="28" t="s">
        <v>56</v>
      </c>
      <c r="M969" s="29" t="str">
        <f t="shared" si="75"/>
        <v>✓ OK</v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4.25" customHeight="1" x14ac:dyDescent="0.3">
      <c r="A970" s="42">
        <v>966</v>
      </c>
      <c r="B970" s="43" t="s">
        <v>3214</v>
      </c>
      <c r="C970" s="44" t="s">
        <v>3215</v>
      </c>
      <c r="D970" s="42" t="s">
        <v>2253</v>
      </c>
      <c r="E970" s="55">
        <v>46125</v>
      </c>
      <c r="F970" s="26" t="s">
        <v>948</v>
      </c>
      <c r="G970" s="26" t="s">
        <v>58</v>
      </c>
      <c r="H970" s="26" t="s">
        <v>56</v>
      </c>
      <c r="I970" s="26" t="s">
        <v>70</v>
      </c>
      <c r="J970" s="26" t="s">
        <v>58</v>
      </c>
      <c r="K970" s="27"/>
      <c r="L970" s="28" t="s">
        <v>56</v>
      </c>
      <c r="M970" s="29" t="str">
        <f t="shared" si="75"/>
        <v>✓ OK</v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4.25" customHeight="1" x14ac:dyDescent="0.3">
      <c r="A971" s="23">
        <v>967</v>
      </c>
      <c r="B971" s="24" t="s">
        <v>3216</v>
      </c>
      <c r="C971" s="25" t="s">
        <v>3217</v>
      </c>
      <c r="D971" s="23" t="s">
        <v>2253</v>
      </c>
      <c r="E971" s="55">
        <v>46125</v>
      </c>
      <c r="F971" s="26" t="s">
        <v>948</v>
      </c>
      <c r="G971" s="26" t="s">
        <v>58</v>
      </c>
      <c r="H971" s="26" t="s">
        <v>56</v>
      </c>
      <c r="I971" s="26" t="s">
        <v>70</v>
      </c>
      <c r="J971" s="26" t="s">
        <v>58</v>
      </c>
      <c r="K971" s="27"/>
      <c r="L971" s="28" t="s">
        <v>56</v>
      </c>
      <c r="M971" s="29" t="str">
        <f t="shared" si="75"/>
        <v>✓ OK</v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4.25" customHeight="1" x14ac:dyDescent="0.3">
      <c r="A972" s="42">
        <v>968</v>
      </c>
      <c r="B972" s="43" t="s">
        <v>3218</v>
      </c>
      <c r="C972" s="44" t="s">
        <v>3219</v>
      </c>
      <c r="D972" s="42" t="s">
        <v>2253</v>
      </c>
      <c r="E972" s="55">
        <v>46125</v>
      </c>
      <c r="F972" s="26" t="s">
        <v>948</v>
      </c>
      <c r="G972" s="26" t="s">
        <v>58</v>
      </c>
      <c r="H972" s="26" t="s">
        <v>56</v>
      </c>
      <c r="I972" s="26" t="s">
        <v>70</v>
      </c>
      <c r="J972" s="26" t="s">
        <v>58</v>
      </c>
      <c r="K972" s="27"/>
      <c r="L972" s="28" t="s">
        <v>56</v>
      </c>
      <c r="M972" s="29" t="str">
        <f t="shared" si="75"/>
        <v>✓ OK</v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4.25" customHeight="1" x14ac:dyDescent="0.3">
      <c r="A973" s="23">
        <v>969</v>
      </c>
      <c r="B973" s="24" t="s">
        <v>3220</v>
      </c>
      <c r="C973" s="25" t="s">
        <v>3221</v>
      </c>
      <c r="D973" s="23" t="s">
        <v>2253</v>
      </c>
      <c r="E973" s="55">
        <v>46125</v>
      </c>
      <c r="F973" s="26" t="s">
        <v>948</v>
      </c>
      <c r="G973" s="26" t="s">
        <v>58</v>
      </c>
      <c r="H973" s="26" t="s">
        <v>56</v>
      </c>
      <c r="I973" s="26" t="s">
        <v>70</v>
      </c>
      <c r="J973" s="26" t="s">
        <v>58</v>
      </c>
      <c r="K973" s="27"/>
      <c r="L973" s="28" t="s">
        <v>56</v>
      </c>
      <c r="M973" s="29" t="str">
        <f t="shared" si="75"/>
        <v>✓ OK</v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4.25" customHeight="1" x14ac:dyDescent="0.3">
      <c r="A974" s="42">
        <v>970</v>
      </c>
      <c r="B974" s="43" t="s">
        <v>3222</v>
      </c>
      <c r="C974" s="44" t="s">
        <v>3223</v>
      </c>
      <c r="D974" s="42" t="s">
        <v>2253</v>
      </c>
      <c r="E974" s="55">
        <v>46125</v>
      </c>
      <c r="F974" s="26" t="s">
        <v>948</v>
      </c>
      <c r="G974" s="26" t="s">
        <v>58</v>
      </c>
      <c r="H974" s="26" t="s">
        <v>56</v>
      </c>
      <c r="I974" s="26" t="s">
        <v>70</v>
      </c>
      <c r="J974" s="26" t="s">
        <v>58</v>
      </c>
      <c r="K974" s="27"/>
      <c r="L974" s="28" t="s">
        <v>56</v>
      </c>
      <c r="M974" s="29" t="str">
        <f t="shared" si="75"/>
        <v>✓ OK</v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4.25" customHeight="1" x14ac:dyDescent="0.3">
      <c r="A975" s="23">
        <v>971</v>
      </c>
      <c r="B975" s="24" t="s">
        <v>3224</v>
      </c>
      <c r="C975" s="25" t="s">
        <v>3225</v>
      </c>
      <c r="D975" s="23" t="s">
        <v>2253</v>
      </c>
      <c r="E975" s="55">
        <v>46125</v>
      </c>
      <c r="F975" s="26" t="s">
        <v>948</v>
      </c>
      <c r="G975" s="26" t="s">
        <v>58</v>
      </c>
      <c r="H975" s="26" t="s">
        <v>56</v>
      </c>
      <c r="I975" s="26" t="s">
        <v>70</v>
      </c>
      <c r="J975" s="26" t="s">
        <v>58</v>
      </c>
      <c r="K975" s="27"/>
      <c r="L975" s="28" t="s">
        <v>56</v>
      </c>
      <c r="M975" s="29" t="str">
        <f t="shared" si="75"/>
        <v>✓ OK</v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4.25" customHeight="1" x14ac:dyDescent="0.3">
      <c r="A976" s="42">
        <v>972</v>
      </c>
      <c r="B976" s="43" t="s">
        <v>3226</v>
      </c>
      <c r="C976" s="44" t="s">
        <v>3227</v>
      </c>
      <c r="D976" s="42" t="s">
        <v>2253</v>
      </c>
      <c r="E976" s="55">
        <v>46125</v>
      </c>
      <c r="F976" s="26" t="s">
        <v>948</v>
      </c>
      <c r="G976" s="26" t="s">
        <v>58</v>
      </c>
      <c r="H976" s="26" t="s">
        <v>56</v>
      </c>
      <c r="I976" s="26" t="s">
        <v>70</v>
      </c>
      <c r="J976" s="26" t="s">
        <v>58</v>
      </c>
      <c r="K976" s="27"/>
      <c r="L976" s="28" t="s">
        <v>56</v>
      </c>
      <c r="M976" s="29" t="str">
        <f t="shared" si="75"/>
        <v>✓ OK</v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4.25" customHeight="1" x14ac:dyDescent="0.3">
      <c r="A977" s="23">
        <v>973</v>
      </c>
      <c r="B977" s="24" t="s">
        <v>3228</v>
      </c>
      <c r="C977" s="25" t="s">
        <v>3229</v>
      </c>
      <c r="D977" s="23" t="s">
        <v>2253</v>
      </c>
      <c r="E977" s="55">
        <v>46125</v>
      </c>
      <c r="F977" s="26" t="s">
        <v>948</v>
      </c>
      <c r="G977" s="26" t="s">
        <v>58</v>
      </c>
      <c r="H977" s="26" t="s">
        <v>56</v>
      </c>
      <c r="I977" s="26" t="s">
        <v>70</v>
      </c>
      <c r="J977" s="26" t="s">
        <v>58</v>
      </c>
      <c r="K977" s="27"/>
      <c r="L977" s="28" t="s">
        <v>56</v>
      </c>
      <c r="M977" s="29" t="str">
        <f t="shared" si="75"/>
        <v>✓ OK</v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4.25" customHeight="1" x14ac:dyDescent="0.3">
      <c r="A978" s="42">
        <v>974</v>
      </c>
      <c r="B978" s="43" t="s">
        <v>3230</v>
      </c>
      <c r="C978" s="44" t="s">
        <v>3231</v>
      </c>
      <c r="D978" s="42" t="s">
        <v>2253</v>
      </c>
      <c r="E978" s="55">
        <v>46125</v>
      </c>
      <c r="F978" s="26" t="s">
        <v>948</v>
      </c>
      <c r="G978" s="26" t="s">
        <v>58</v>
      </c>
      <c r="H978" s="26" t="s">
        <v>56</v>
      </c>
      <c r="I978" s="26" t="s">
        <v>70</v>
      </c>
      <c r="J978" s="26" t="s">
        <v>58</v>
      </c>
      <c r="K978" s="27"/>
      <c r="L978" s="28" t="s">
        <v>56</v>
      </c>
      <c r="M978" s="29" t="str">
        <f t="shared" si="75"/>
        <v>✓ OK</v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4.25" customHeight="1" x14ac:dyDescent="0.3">
      <c r="A979" s="23">
        <v>975</v>
      </c>
      <c r="B979" s="24" t="s">
        <v>3232</v>
      </c>
      <c r="C979" s="25" t="s">
        <v>3233</v>
      </c>
      <c r="D979" s="23" t="s">
        <v>2253</v>
      </c>
      <c r="E979" s="55">
        <v>46125</v>
      </c>
      <c r="F979" s="26" t="s">
        <v>948</v>
      </c>
      <c r="G979" s="26" t="s">
        <v>58</v>
      </c>
      <c r="H979" s="26" t="s">
        <v>56</v>
      </c>
      <c r="I979" s="26" t="s">
        <v>70</v>
      </c>
      <c r="J979" s="26" t="s">
        <v>58</v>
      </c>
      <c r="K979" s="27"/>
      <c r="L979" s="28" t="s">
        <v>56</v>
      </c>
      <c r="M979" s="29" t="str">
        <f t="shared" si="75"/>
        <v>✓ OK</v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4.25" customHeight="1" x14ac:dyDescent="0.3">
      <c r="A980" s="42">
        <v>976</v>
      </c>
      <c r="B980" s="43" t="s">
        <v>3234</v>
      </c>
      <c r="C980" s="44" t="s">
        <v>3235</v>
      </c>
      <c r="D980" s="42" t="s">
        <v>2253</v>
      </c>
      <c r="E980" s="55">
        <v>46125</v>
      </c>
      <c r="F980" s="26" t="s">
        <v>948</v>
      </c>
      <c r="G980" s="26" t="s">
        <v>58</v>
      </c>
      <c r="H980" s="26" t="s">
        <v>56</v>
      </c>
      <c r="I980" s="26" t="s">
        <v>70</v>
      </c>
      <c r="J980" s="26" t="s">
        <v>58</v>
      </c>
      <c r="K980" s="27"/>
      <c r="L980" s="28" t="s">
        <v>56</v>
      </c>
      <c r="M980" s="29" t="str">
        <f t="shared" si="75"/>
        <v>✓ OK</v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4.25" customHeight="1" x14ac:dyDescent="0.3">
      <c r="A981" s="23">
        <v>977</v>
      </c>
      <c r="B981" s="24" t="s">
        <v>3236</v>
      </c>
      <c r="C981" s="25" t="s">
        <v>3237</v>
      </c>
      <c r="D981" s="23" t="s">
        <v>2253</v>
      </c>
      <c r="E981" s="55">
        <v>46125</v>
      </c>
      <c r="F981" s="26" t="s">
        <v>948</v>
      </c>
      <c r="G981" s="26" t="s">
        <v>58</v>
      </c>
      <c r="H981" s="26" t="s">
        <v>56</v>
      </c>
      <c r="I981" s="26" t="s">
        <v>70</v>
      </c>
      <c r="J981" s="26" t="s">
        <v>58</v>
      </c>
      <c r="K981" s="27"/>
      <c r="L981" s="28" t="s">
        <v>56</v>
      </c>
      <c r="M981" s="29" t="str">
        <f t="shared" si="75"/>
        <v>✓ OK</v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4.25" customHeight="1" x14ac:dyDescent="0.3">
      <c r="A982" s="42">
        <v>978</v>
      </c>
      <c r="B982" s="43" t="s">
        <v>3238</v>
      </c>
      <c r="C982" s="44" t="s">
        <v>3239</v>
      </c>
      <c r="D982" s="42" t="s">
        <v>2253</v>
      </c>
      <c r="E982" s="55">
        <v>46125</v>
      </c>
      <c r="F982" s="26" t="s">
        <v>948</v>
      </c>
      <c r="G982" s="26" t="s">
        <v>58</v>
      </c>
      <c r="H982" s="26" t="s">
        <v>56</v>
      </c>
      <c r="I982" s="26" t="s">
        <v>70</v>
      </c>
      <c r="J982" s="26" t="s">
        <v>58</v>
      </c>
      <c r="K982" s="27"/>
      <c r="L982" s="28" t="s">
        <v>56</v>
      </c>
      <c r="M982" s="29" t="str">
        <f t="shared" si="75"/>
        <v>✓ OK</v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4.25" customHeight="1" x14ac:dyDescent="0.3">
      <c r="A983" s="23">
        <v>979</v>
      </c>
      <c r="B983" s="24" t="s">
        <v>3240</v>
      </c>
      <c r="C983" s="25" t="s">
        <v>3241</v>
      </c>
      <c r="D983" s="23" t="s">
        <v>2253</v>
      </c>
      <c r="E983" s="55">
        <v>46125</v>
      </c>
      <c r="F983" s="26" t="s">
        <v>948</v>
      </c>
      <c r="G983" s="26" t="s">
        <v>58</v>
      </c>
      <c r="H983" s="26" t="s">
        <v>56</v>
      </c>
      <c r="I983" s="26" t="s">
        <v>70</v>
      </c>
      <c r="J983" s="26" t="s">
        <v>58</v>
      </c>
      <c r="K983" s="27"/>
      <c r="L983" s="28" t="s">
        <v>56</v>
      </c>
      <c r="M983" s="29" t="str">
        <f t="shared" si="75"/>
        <v>✓ OK</v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4.25" customHeight="1" x14ac:dyDescent="0.3">
      <c r="A984" s="42">
        <v>980</v>
      </c>
      <c r="B984" s="43" t="s">
        <v>3242</v>
      </c>
      <c r="C984" s="44" t="s">
        <v>3243</v>
      </c>
      <c r="D984" s="42" t="s">
        <v>2253</v>
      </c>
      <c r="E984" s="55">
        <v>46125</v>
      </c>
      <c r="F984" s="26" t="s">
        <v>948</v>
      </c>
      <c r="G984" s="26" t="s">
        <v>58</v>
      </c>
      <c r="H984" s="26" t="s">
        <v>56</v>
      </c>
      <c r="I984" s="26" t="s">
        <v>70</v>
      </c>
      <c r="J984" s="26" t="s">
        <v>58</v>
      </c>
      <c r="K984" s="27"/>
      <c r="L984" s="28" t="s">
        <v>56</v>
      </c>
      <c r="M984" s="29" t="str">
        <f t="shared" si="75"/>
        <v>✓ OK</v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4.25" customHeight="1" x14ac:dyDescent="0.3">
      <c r="A985" s="23">
        <v>981</v>
      </c>
      <c r="B985" s="24" t="s">
        <v>3244</v>
      </c>
      <c r="C985" s="25" t="s">
        <v>3245</v>
      </c>
      <c r="D985" s="23" t="s">
        <v>2253</v>
      </c>
      <c r="E985" s="55">
        <v>46125</v>
      </c>
      <c r="F985" s="26" t="s">
        <v>948</v>
      </c>
      <c r="G985" s="26" t="s">
        <v>58</v>
      </c>
      <c r="H985" s="26" t="s">
        <v>56</v>
      </c>
      <c r="I985" s="26" t="s">
        <v>70</v>
      </c>
      <c r="J985" s="26" t="s">
        <v>58</v>
      </c>
      <c r="K985" s="27"/>
      <c r="L985" s="28" t="s">
        <v>56</v>
      </c>
      <c r="M985" s="29" t="str">
        <f t="shared" si="75"/>
        <v>✓ OK</v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4.25" customHeight="1" x14ac:dyDescent="0.3">
      <c r="A986" s="42">
        <v>982</v>
      </c>
      <c r="B986" s="43" t="s">
        <v>3246</v>
      </c>
      <c r="C986" s="44" t="s">
        <v>3247</v>
      </c>
      <c r="D986" s="42" t="s">
        <v>2253</v>
      </c>
      <c r="E986" s="55">
        <v>46125</v>
      </c>
      <c r="F986" s="26" t="s">
        <v>948</v>
      </c>
      <c r="G986" s="26" t="s">
        <v>58</v>
      </c>
      <c r="H986" s="26" t="s">
        <v>56</v>
      </c>
      <c r="I986" s="26" t="s">
        <v>70</v>
      </c>
      <c r="J986" s="26" t="s">
        <v>58</v>
      </c>
      <c r="K986" s="27"/>
      <c r="L986" s="28" t="s">
        <v>56</v>
      </c>
      <c r="M986" s="29" t="str">
        <f t="shared" si="75"/>
        <v>✓ OK</v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4.25" customHeight="1" x14ac:dyDescent="0.3">
      <c r="A987" s="23">
        <v>983</v>
      </c>
      <c r="B987" s="24" t="s">
        <v>3248</v>
      </c>
      <c r="C987" s="25" t="s">
        <v>3249</v>
      </c>
      <c r="D987" s="23" t="s">
        <v>2253</v>
      </c>
      <c r="E987" s="55">
        <v>46125</v>
      </c>
      <c r="F987" s="26" t="s">
        <v>948</v>
      </c>
      <c r="G987" s="26" t="s">
        <v>58</v>
      </c>
      <c r="H987" s="26" t="s">
        <v>56</v>
      </c>
      <c r="I987" s="26" t="s">
        <v>70</v>
      </c>
      <c r="J987" s="26" t="s">
        <v>58</v>
      </c>
      <c r="K987" s="27"/>
      <c r="L987" s="28" t="s">
        <v>56</v>
      </c>
      <c r="M987" s="29" t="str">
        <f t="shared" si="75"/>
        <v>✓ OK</v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4.25" customHeight="1" x14ac:dyDescent="0.3">
      <c r="A988" s="42">
        <v>984</v>
      </c>
      <c r="B988" s="43" t="s">
        <v>3250</v>
      </c>
      <c r="C988" s="44" t="s">
        <v>3251</v>
      </c>
      <c r="D988" s="42" t="s">
        <v>2253</v>
      </c>
      <c r="E988" s="55">
        <v>46125</v>
      </c>
      <c r="F988" s="26" t="s">
        <v>948</v>
      </c>
      <c r="G988" s="26" t="s">
        <v>58</v>
      </c>
      <c r="H988" s="26" t="s">
        <v>56</v>
      </c>
      <c r="I988" s="26" t="s">
        <v>70</v>
      </c>
      <c r="J988" s="26" t="s">
        <v>58</v>
      </c>
      <c r="K988" s="27"/>
      <c r="L988" s="28" t="s">
        <v>56</v>
      </c>
      <c r="M988" s="29" t="str">
        <f t="shared" si="75"/>
        <v>✓ OK</v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4.25" customHeight="1" x14ac:dyDescent="0.3">
      <c r="A989" s="23">
        <v>985</v>
      </c>
      <c r="B989" s="24" t="s">
        <v>3252</v>
      </c>
      <c r="C989" s="25" t="s">
        <v>3253</v>
      </c>
      <c r="D989" s="23" t="s">
        <v>2253</v>
      </c>
      <c r="E989" s="55">
        <v>46125</v>
      </c>
      <c r="F989" s="26" t="s">
        <v>948</v>
      </c>
      <c r="G989" s="26" t="s">
        <v>58</v>
      </c>
      <c r="H989" s="26" t="s">
        <v>56</v>
      </c>
      <c r="I989" s="26" t="s">
        <v>70</v>
      </c>
      <c r="J989" s="26" t="s">
        <v>58</v>
      </c>
      <c r="K989" s="27"/>
      <c r="L989" s="28" t="s">
        <v>56</v>
      </c>
      <c r="M989" s="29" t="str">
        <f t="shared" si="75"/>
        <v>✓ OK</v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4.25" customHeight="1" x14ac:dyDescent="0.3">
      <c r="A990" s="42">
        <v>986</v>
      </c>
      <c r="B990" s="43" t="s">
        <v>3254</v>
      </c>
      <c r="C990" s="44" t="s">
        <v>3255</v>
      </c>
      <c r="D990" s="42" t="s">
        <v>2253</v>
      </c>
      <c r="E990" s="55">
        <v>46125</v>
      </c>
      <c r="F990" s="26" t="s">
        <v>948</v>
      </c>
      <c r="G990" s="26" t="s">
        <v>58</v>
      </c>
      <c r="H990" s="26" t="s">
        <v>56</v>
      </c>
      <c r="I990" s="26" t="s">
        <v>70</v>
      </c>
      <c r="J990" s="26" t="s">
        <v>58</v>
      </c>
      <c r="K990" s="27"/>
      <c r="L990" s="28" t="s">
        <v>56</v>
      </c>
      <c r="M990" s="29" t="str">
        <f t="shared" si="75"/>
        <v>✓ OK</v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4.25" customHeight="1" x14ac:dyDescent="0.3">
      <c r="A991" s="23">
        <v>987</v>
      </c>
      <c r="B991" s="24" t="s">
        <v>3256</v>
      </c>
      <c r="C991" s="25" t="s">
        <v>3257</v>
      </c>
      <c r="D991" s="23" t="s">
        <v>2253</v>
      </c>
      <c r="E991" s="55">
        <v>46125</v>
      </c>
      <c r="F991" s="26" t="s">
        <v>948</v>
      </c>
      <c r="G991" s="26" t="s">
        <v>58</v>
      </c>
      <c r="H991" s="26" t="s">
        <v>56</v>
      </c>
      <c r="I991" s="26" t="s">
        <v>70</v>
      </c>
      <c r="J991" s="26" t="s">
        <v>58</v>
      </c>
      <c r="K991" s="27"/>
      <c r="L991" s="28" t="s">
        <v>56</v>
      </c>
      <c r="M991" s="29" t="str">
        <f t="shared" si="75"/>
        <v>✓ OK</v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4.25" customHeight="1" x14ac:dyDescent="0.3">
      <c r="A992" s="42">
        <v>988</v>
      </c>
      <c r="B992" s="43" t="s">
        <v>3258</v>
      </c>
      <c r="C992" s="44" t="s">
        <v>3259</v>
      </c>
      <c r="D992" s="42" t="s">
        <v>2253</v>
      </c>
      <c r="E992" s="55">
        <v>46125</v>
      </c>
      <c r="F992" s="26" t="s">
        <v>948</v>
      </c>
      <c r="G992" s="26" t="s">
        <v>58</v>
      </c>
      <c r="H992" s="26" t="s">
        <v>56</v>
      </c>
      <c r="I992" s="26" t="s">
        <v>70</v>
      </c>
      <c r="J992" s="26" t="s">
        <v>58</v>
      </c>
      <c r="K992" s="27"/>
      <c r="L992" s="28" t="s">
        <v>56</v>
      </c>
      <c r="M992" s="29" t="str">
        <f t="shared" si="75"/>
        <v>✓ OK</v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4.25" customHeight="1" x14ac:dyDescent="0.3">
      <c r="A993" s="23">
        <v>989</v>
      </c>
      <c r="B993" s="24" t="s">
        <v>3260</v>
      </c>
      <c r="C993" s="25" t="s">
        <v>3261</v>
      </c>
      <c r="D993" s="23" t="s">
        <v>2253</v>
      </c>
      <c r="E993" s="55">
        <v>46125</v>
      </c>
      <c r="F993" s="26" t="s">
        <v>948</v>
      </c>
      <c r="G993" s="26" t="s">
        <v>58</v>
      </c>
      <c r="H993" s="26" t="s">
        <v>56</v>
      </c>
      <c r="I993" s="26" t="s">
        <v>70</v>
      </c>
      <c r="J993" s="26" t="s">
        <v>58</v>
      </c>
      <c r="K993" s="27"/>
      <c r="L993" s="28" t="s">
        <v>56</v>
      </c>
      <c r="M993" s="29" t="str">
        <f t="shared" si="75"/>
        <v>✓ OK</v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4.25" customHeight="1" x14ac:dyDescent="0.3">
      <c r="A994" s="42">
        <v>990</v>
      </c>
      <c r="B994" s="43" t="s">
        <v>3262</v>
      </c>
      <c r="C994" s="44" t="s">
        <v>3263</v>
      </c>
      <c r="D994" s="42" t="s">
        <v>2253</v>
      </c>
      <c r="E994" s="55">
        <v>46125</v>
      </c>
      <c r="F994" s="26" t="s">
        <v>948</v>
      </c>
      <c r="G994" s="26" t="s">
        <v>58</v>
      </c>
      <c r="H994" s="26" t="s">
        <v>56</v>
      </c>
      <c r="I994" s="26" t="s">
        <v>70</v>
      </c>
      <c r="J994" s="26" t="s">
        <v>58</v>
      </c>
      <c r="K994" s="27"/>
      <c r="L994" s="28" t="s">
        <v>56</v>
      </c>
      <c r="M994" s="29" t="str">
        <f t="shared" si="75"/>
        <v>✓ OK</v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4.25" customHeight="1" x14ac:dyDescent="0.3">
      <c r="A995" s="23">
        <v>991</v>
      </c>
      <c r="B995" s="24" t="s">
        <v>3264</v>
      </c>
      <c r="C995" s="25" t="s">
        <v>3265</v>
      </c>
      <c r="D995" s="23" t="s">
        <v>2253</v>
      </c>
      <c r="E995" s="55">
        <v>46125</v>
      </c>
      <c r="F995" s="26" t="s">
        <v>948</v>
      </c>
      <c r="G995" s="26" t="s">
        <v>58</v>
      </c>
      <c r="H995" s="26" t="s">
        <v>56</v>
      </c>
      <c r="I995" s="26" t="s">
        <v>70</v>
      </c>
      <c r="J995" s="26" t="s">
        <v>58</v>
      </c>
      <c r="K995" s="27"/>
      <c r="L995" s="28" t="s">
        <v>56</v>
      </c>
      <c r="M995" s="29" t="str">
        <f t="shared" si="75"/>
        <v>✓ OK</v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4.25" customHeight="1" x14ac:dyDescent="0.3">
      <c r="A996" s="42">
        <v>992</v>
      </c>
      <c r="B996" s="43" t="s">
        <v>3266</v>
      </c>
      <c r="C996" s="44" t="s">
        <v>3267</v>
      </c>
      <c r="D996" s="42" t="s">
        <v>2253</v>
      </c>
      <c r="E996" s="55">
        <v>46125</v>
      </c>
      <c r="F996" s="26" t="s">
        <v>948</v>
      </c>
      <c r="G996" s="26" t="s">
        <v>58</v>
      </c>
      <c r="H996" s="26" t="s">
        <v>56</v>
      </c>
      <c r="I996" s="26" t="s">
        <v>70</v>
      </c>
      <c r="J996" s="26" t="s">
        <v>58</v>
      </c>
      <c r="K996" s="27"/>
      <c r="L996" s="28" t="s">
        <v>56</v>
      </c>
      <c r="M996" s="29" t="str">
        <f t="shared" si="75"/>
        <v>✓ OK</v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4.25" customHeight="1" x14ac:dyDescent="0.3">
      <c r="A997" s="23">
        <v>993</v>
      </c>
      <c r="B997" s="24" t="s">
        <v>3268</v>
      </c>
      <c r="C997" s="25" t="s">
        <v>3269</v>
      </c>
      <c r="D997" s="23" t="s">
        <v>2253</v>
      </c>
      <c r="E997" s="55">
        <v>46125</v>
      </c>
      <c r="F997" s="26" t="s">
        <v>948</v>
      </c>
      <c r="G997" s="26" t="s">
        <v>58</v>
      </c>
      <c r="H997" s="26" t="s">
        <v>56</v>
      </c>
      <c r="I997" s="26" t="s">
        <v>70</v>
      </c>
      <c r="J997" s="26" t="s">
        <v>58</v>
      </c>
      <c r="K997" s="27"/>
      <c r="L997" s="28" t="s">
        <v>56</v>
      </c>
      <c r="M997" s="29" t="str">
        <f t="shared" si="75"/>
        <v>✓ OK</v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4.25" customHeight="1" x14ac:dyDescent="0.3">
      <c r="A998" s="42">
        <v>994</v>
      </c>
      <c r="B998" s="43" t="s">
        <v>3270</v>
      </c>
      <c r="C998" s="44" t="s">
        <v>3271</v>
      </c>
      <c r="D998" s="42" t="s">
        <v>2253</v>
      </c>
      <c r="E998" s="55">
        <v>46125</v>
      </c>
      <c r="F998" s="26" t="s">
        <v>948</v>
      </c>
      <c r="G998" s="26" t="s">
        <v>58</v>
      </c>
      <c r="H998" s="26" t="s">
        <v>56</v>
      </c>
      <c r="I998" s="26" t="s">
        <v>70</v>
      </c>
      <c r="J998" s="26" t="s">
        <v>58</v>
      </c>
      <c r="K998" s="27"/>
      <c r="L998" s="28" t="s">
        <v>56</v>
      </c>
      <c r="M998" s="29" t="str">
        <f t="shared" si="75"/>
        <v>✓ OK</v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4.25" customHeight="1" x14ac:dyDescent="0.3">
      <c r="A999" s="23">
        <v>995</v>
      </c>
      <c r="B999" s="24" t="s">
        <v>3272</v>
      </c>
      <c r="C999" s="25" t="s">
        <v>3273</v>
      </c>
      <c r="D999" s="23" t="s">
        <v>2253</v>
      </c>
      <c r="E999" s="55">
        <v>46125</v>
      </c>
      <c r="F999" s="26" t="s">
        <v>948</v>
      </c>
      <c r="G999" s="26" t="s">
        <v>58</v>
      </c>
      <c r="H999" s="26" t="s">
        <v>56</v>
      </c>
      <c r="I999" s="26" t="s">
        <v>70</v>
      </c>
      <c r="J999" s="26" t="s">
        <v>58</v>
      </c>
      <c r="K999" s="27"/>
      <c r="L999" s="28" t="s">
        <v>56</v>
      </c>
      <c r="M999" s="29" t="str">
        <f t="shared" si="75"/>
        <v>✓ OK</v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4.25" customHeight="1" x14ac:dyDescent="0.3">
      <c r="A1000" s="42">
        <v>996</v>
      </c>
      <c r="B1000" s="43" t="s">
        <v>3274</v>
      </c>
      <c r="C1000" s="44" t="s">
        <v>3275</v>
      </c>
      <c r="D1000" s="42" t="s">
        <v>2253</v>
      </c>
      <c r="E1000" s="55">
        <v>46125</v>
      </c>
      <c r="F1000" s="26" t="s">
        <v>948</v>
      </c>
      <c r="G1000" s="26" t="s">
        <v>58</v>
      </c>
      <c r="H1000" s="26" t="s">
        <v>56</v>
      </c>
      <c r="I1000" s="26" t="s">
        <v>70</v>
      </c>
      <c r="J1000" s="26" t="s">
        <v>58</v>
      </c>
      <c r="K1000" s="27"/>
      <c r="L1000" s="28" t="s">
        <v>56</v>
      </c>
      <c r="M1000" s="29" t="str">
        <f t="shared" si="75"/>
        <v>✓ OK</v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4.25" customHeight="1" x14ac:dyDescent="0.3">
      <c r="A1001" s="23">
        <v>997</v>
      </c>
      <c r="B1001" s="24" t="s">
        <v>3276</v>
      </c>
      <c r="C1001" s="25" t="s">
        <v>3277</v>
      </c>
      <c r="D1001" s="23" t="s">
        <v>2253</v>
      </c>
      <c r="E1001" s="55">
        <v>46125</v>
      </c>
      <c r="F1001" s="26" t="s">
        <v>948</v>
      </c>
      <c r="G1001" s="26" t="s">
        <v>58</v>
      </c>
      <c r="H1001" s="26" t="s">
        <v>56</v>
      </c>
      <c r="I1001" s="26" t="s">
        <v>70</v>
      </c>
      <c r="J1001" s="26" t="s">
        <v>58</v>
      </c>
      <c r="K1001" s="27"/>
      <c r="L1001" s="28" t="s">
        <v>56</v>
      </c>
      <c r="M1001" s="29" t="str">
        <f t="shared" si="75"/>
        <v>✓ OK</v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4.25" customHeight="1" x14ac:dyDescent="0.3">
      <c r="A1002" s="42">
        <v>998</v>
      </c>
      <c r="B1002" s="43" t="s">
        <v>3278</v>
      </c>
      <c r="C1002" s="44" t="s">
        <v>3279</v>
      </c>
      <c r="D1002" s="42" t="s">
        <v>2253</v>
      </c>
      <c r="E1002" s="55">
        <v>46125</v>
      </c>
      <c r="F1002" s="26" t="s">
        <v>948</v>
      </c>
      <c r="G1002" s="26" t="s">
        <v>58</v>
      </c>
      <c r="H1002" s="26" t="s">
        <v>56</v>
      </c>
      <c r="I1002" s="26" t="s">
        <v>70</v>
      </c>
      <c r="J1002" s="26" t="s">
        <v>58</v>
      </c>
      <c r="K1002" s="27"/>
      <c r="L1002" s="28" t="s">
        <v>56</v>
      </c>
      <c r="M1002" s="29" t="str">
        <f t="shared" si="75"/>
        <v>✓ OK</v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4.25" customHeight="1" x14ac:dyDescent="0.3">
      <c r="A1003" s="23">
        <v>999</v>
      </c>
      <c r="B1003" s="24" t="s">
        <v>3280</v>
      </c>
      <c r="C1003" s="25" t="s">
        <v>3281</v>
      </c>
      <c r="D1003" s="23" t="s">
        <v>2253</v>
      </c>
      <c r="E1003" s="55">
        <v>46125</v>
      </c>
      <c r="F1003" s="26" t="s">
        <v>948</v>
      </c>
      <c r="G1003" s="26" t="s">
        <v>58</v>
      </c>
      <c r="H1003" s="26" t="s">
        <v>56</v>
      </c>
      <c r="I1003" s="26" t="s">
        <v>70</v>
      </c>
      <c r="J1003" s="26" t="s">
        <v>58</v>
      </c>
      <c r="K1003" s="27"/>
      <c r="L1003" s="28" t="s">
        <v>56</v>
      </c>
      <c r="M1003" s="29" t="str">
        <f t="shared" si="75"/>
        <v>✓ OK</v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4.25" customHeight="1" x14ac:dyDescent="0.3">
      <c r="A1004" s="42">
        <v>1000</v>
      </c>
      <c r="B1004" s="43" t="s">
        <v>3282</v>
      </c>
      <c r="C1004" s="44" t="s">
        <v>3283</v>
      </c>
      <c r="D1004" s="42" t="s">
        <v>2253</v>
      </c>
      <c r="E1004" s="55">
        <v>46125</v>
      </c>
      <c r="F1004" s="26" t="s">
        <v>948</v>
      </c>
      <c r="G1004" s="26" t="s">
        <v>58</v>
      </c>
      <c r="H1004" s="26" t="s">
        <v>56</v>
      </c>
      <c r="I1004" s="26" t="s">
        <v>70</v>
      </c>
      <c r="J1004" s="26" t="s">
        <v>58</v>
      </c>
      <c r="K1004" s="27"/>
      <c r="L1004" s="28" t="s">
        <v>56</v>
      </c>
      <c r="M1004" s="29" t="str">
        <f t="shared" si="75"/>
        <v>✓ OK</v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4.25" customHeight="1" x14ac:dyDescent="0.3">
      <c r="A1005" s="23">
        <v>1001</v>
      </c>
      <c r="B1005" s="24" t="s">
        <v>3284</v>
      </c>
      <c r="C1005" s="25" t="s">
        <v>3285</v>
      </c>
      <c r="D1005" s="23" t="s">
        <v>2253</v>
      </c>
      <c r="E1005" s="55">
        <v>46125</v>
      </c>
      <c r="F1005" s="26" t="s">
        <v>948</v>
      </c>
      <c r="G1005" s="26" t="s">
        <v>58</v>
      </c>
      <c r="H1005" s="26" t="s">
        <v>56</v>
      </c>
      <c r="I1005" s="26" t="s">
        <v>70</v>
      </c>
      <c r="J1005" s="26" t="s">
        <v>58</v>
      </c>
      <c r="K1005" s="27"/>
      <c r="L1005" s="28" t="s">
        <v>56</v>
      </c>
      <c r="M1005" s="29" t="str">
        <f t="shared" si="75"/>
        <v>✓ OK</v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4.25" customHeight="1" x14ac:dyDescent="0.3">
      <c r="A1006" s="42">
        <v>1002</v>
      </c>
      <c r="B1006" s="43" t="s">
        <v>3286</v>
      </c>
      <c r="C1006" s="44" t="s">
        <v>3287</v>
      </c>
      <c r="D1006" s="42" t="s">
        <v>2253</v>
      </c>
      <c r="E1006" s="55">
        <v>46125</v>
      </c>
      <c r="F1006" s="26" t="s">
        <v>948</v>
      </c>
      <c r="G1006" s="26" t="s">
        <v>58</v>
      </c>
      <c r="H1006" s="26" t="s">
        <v>56</v>
      </c>
      <c r="I1006" s="26" t="s">
        <v>70</v>
      </c>
      <c r="J1006" s="26" t="s">
        <v>58</v>
      </c>
      <c r="K1006" s="27"/>
      <c r="L1006" s="28" t="s">
        <v>56</v>
      </c>
      <c r="M1006" s="29" t="str">
        <f t="shared" si="75"/>
        <v>✓ OK</v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4.25" customHeight="1" x14ac:dyDescent="0.3">
      <c r="A1007" s="23">
        <v>1003</v>
      </c>
      <c r="B1007" s="24" t="s">
        <v>3288</v>
      </c>
      <c r="C1007" s="25" t="s">
        <v>3289</v>
      </c>
      <c r="D1007" s="23" t="s">
        <v>2253</v>
      </c>
      <c r="E1007" s="55">
        <v>46125</v>
      </c>
      <c r="F1007" s="26" t="s">
        <v>948</v>
      </c>
      <c r="G1007" s="26" t="s">
        <v>58</v>
      </c>
      <c r="H1007" s="26" t="s">
        <v>56</v>
      </c>
      <c r="I1007" s="26" t="s">
        <v>70</v>
      </c>
      <c r="J1007" s="26" t="s">
        <v>58</v>
      </c>
      <c r="K1007" s="27"/>
      <c r="L1007" s="28" t="s">
        <v>56</v>
      </c>
      <c r="M1007" s="29" t="str">
        <f t="shared" si="75"/>
        <v>✓ OK</v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4.25" customHeight="1" x14ac:dyDescent="0.3">
      <c r="A1008" s="42">
        <v>1004</v>
      </c>
      <c r="B1008" s="43" t="s">
        <v>3290</v>
      </c>
      <c r="C1008" s="44" t="s">
        <v>3291</v>
      </c>
      <c r="D1008" s="42" t="s">
        <v>2253</v>
      </c>
      <c r="E1008" s="55">
        <v>46125</v>
      </c>
      <c r="F1008" s="26" t="s">
        <v>948</v>
      </c>
      <c r="G1008" s="26" t="s">
        <v>58</v>
      </c>
      <c r="H1008" s="26" t="s">
        <v>56</v>
      </c>
      <c r="I1008" s="26" t="s">
        <v>70</v>
      </c>
      <c r="J1008" s="26" t="s">
        <v>58</v>
      </c>
      <c r="K1008" s="27"/>
      <c r="L1008" s="28" t="s">
        <v>56</v>
      </c>
      <c r="M1008" s="29" t="str">
        <f t="shared" si="75"/>
        <v>✓ OK</v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4.25" customHeight="1" x14ac:dyDescent="0.3">
      <c r="A1009" s="23">
        <v>1005</v>
      </c>
      <c r="B1009" s="24" t="s">
        <v>3292</v>
      </c>
      <c r="C1009" s="25" t="s">
        <v>3293</v>
      </c>
      <c r="D1009" s="23" t="s">
        <v>2253</v>
      </c>
      <c r="E1009" s="55">
        <v>46125</v>
      </c>
      <c r="F1009" s="26" t="s">
        <v>948</v>
      </c>
      <c r="G1009" s="26" t="s">
        <v>58</v>
      </c>
      <c r="H1009" s="26" t="s">
        <v>56</v>
      </c>
      <c r="I1009" s="26" t="s">
        <v>70</v>
      </c>
      <c r="J1009" s="26" t="s">
        <v>58</v>
      </c>
      <c r="K1009" s="27"/>
      <c r="L1009" s="28" t="s">
        <v>56</v>
      </c>
      <c r="M1009" s="29" t="str">
        <f t="shared" si="75"/>
        <v>✓ OK</v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4.25" customHeight="1" x14ac:dyDescent="0.3">
      <c r="A1010" s="42">
        <v>1006</v>
      </c>
      <c r="B1010" s="43" t="s">
        <v>3294</v>
      </c>
      <c r="C1010" s="44" t="s">
        <v>3295</v>
      </c>
      <c r="D1010" s="42" t="s">
        <v>2253</v>
      </c>
      <c r="E1010" s="55">
        <v>46125</v>
      </c>
      <c r="F1010" s="26" t="s">
        <v>948</v>
      </c>
      <c r="G1010" s="26" t="s">
        <v>58</v>
      </c>
      <c r="H1010" s="26" t="s">
        <v>56</v>
      </c>
      <c r="I1010" s="26" t="s">
        <v>70</v>
      </c>
      <c r="J1010" s="26" t="s">
        <v>58</v>
      </c>
      <c r="K1010" s="27"/>
      <c r="L1010" s="28" t="s">
        <v>56</v>
      </c>
      <c r="M1010" s="29" t="str">
        <f t="shared" si="75"/>
        <v>✓ OK</v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4.25" customHeight="1" x14ac:dyDescent="0.3">
      <c r="A1011" s="23">
        <v>1007</v>
      </c>
      <c r="B1011" s="24" t="s">
        <v>3296</v>
      </c>
      <c r="C1011" s="25" t="s">
        <v>3297</v>
      </c>
      <c r="D1011" s="23" t="s">
        <v>2253</v>
      </c>
      <c r="E1011" s="55">
        <v>46125</v>
      </c>
      <c r="F1011" s="26" t="s">
        <v>948</v>
      </c>
      <c r="G1011" s="26" t="s">
        <v>58</v>
      </c>
      <c r="H1011" s="26" t="s">
        <v>56</v>
      </c>
      <c r="I1011" s="26" t="s">
        <v>70</v>
      </c>
      <c r="J1011" s="26" t="s">
        <v>58</v>
      </c>
      <c r="K1011" s="27"/>
      <c r="L1011" s="28" t="s">
        <v>56</v>
      </c>
      <c r="M1011" s="29" t="str">
        <f t="shared" si="75"/>
        <v>✓ OK</v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4.25" customHeight="1" x14ac:dyDescent="0.3">
      <c r="A1012" s="42">
        <v>1008</v>
      </c>
      <c r="B1012" s="43" t="s">
        <v>3298</v>
      </c>
      <c r="C1012" s="44" t="s">
        <v>3299</v>
      </c>
      <c r="D1012" s="42" t="s">
        <v>2253</v>
      </c>
      <c r="E1012" s="55">
        <v>46125</v>
      </c>
      <c r="F1012" s="26" t="s">
        <v>948</v>
      </c>
      <c r="G1012" s="26" t="s">
        <v>58</v>
      </c>
      <c r="H1012" s="26" t="s">
        <v>56</v>
      </c>
      <c r="I1012" s="26" t="s">
        <v>70</v>
      </c>
      <c r="J1012" s="26" t="s">
        <v>58</v>
      </c>
      <c r="K1012" s="27"/>
      <c r="L1012" s="28" t="s">
        <v>56</v>
      </c>
      <c r="M1012" s="29" t="str">
        <f t="shared" si="75"/>
        <v>✓ OK</v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4.25" customHeight="1" x14ac:dyDescent="0.3">
      <c r="A1013" s="23">
        <v>1009</v>
      </c>
      <c r="B1013" s="24" t="s">
        <v>3300</v>
      </c>
      <c r="C1013" s="25" t="s">
        <v>3301</v>
      </c>
      <c r="D1013" s="23" t="s">
        <v>2253</v>
      </c>
      <c r="E1013" s="55">
        <v>46125</v>
      </c>
      <c r="F1013" s="26" t="s">
        <v>948</v>
      </c>
      <c r="G1013" s="26" t="s">
        <v>58</v>
      </c>
      <c r="H1013" s="26" t="s">
        <v>56</v>
      </c>
      <c r="I1013" s="26" t="s">
        <v>70</v>
      </c>
      <c r="J1013" s="26" t="s">
        <v>58</v>
      </c>
      <c r="K1013" s="27"/>
      <c r="L1013" s="28" t="s">
        <v>56</v>
      </c>
      <c r="M1013" s="29" t="str">
        <f t="shared" si="75"/>
        <v>✓ OK</v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4.25" customHeight="1" x14ac:dyDescent="0.3">
      <c r="A1014" s="42">
        <v>1010</v>
      </c>
      <c r="B1014" s="43" t="s">
        <v>3302</v>
      </c>
      <c r="C1014" s="44" t="s">
        <v>3303</v>
      </c>
      <c r="D1014" s="42" t="s">
        <v>2253</v>
      </c>
      <c r="E1014" s="55">
        <v>46125</v>
      </c>
      <c r="F1014" s="26" t="s">
        <v>948</v>
      </c>
      <c r="G1014" s="26" t="s">
        <v>58</v>
      </c>
      <c r="H1014" s="26" t="s">
        <v>56</v>
      </c>
      <c r="I1014" s="26" t="s">
        <v>70</v>
      </c>
      <c r="J1014" s="26" t="s">
        <v>58</v>
      </c>
      <c r="K1014" s="27"/>
      <c r="L1014" s="28" t="s">
        <v>56</v>
      </c>
      <c r="M1014" s="29" t="str">
        <f t="shared" si="75"/>
        <v>✓ OK</v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4.25" customHeight="1" x14ac:dyDescent="0.3">
      <c r="A1015" s="23">
        <v>1011</v>
      </c>
      <c r="B1015" s="24" t="s">
        <v>3304</v>
      </c>
      <c r="C1015" s="25" t="s">
        <v>3305</v>
      </c>
      <c r="D1015" s="23" t="s">
        <v>2253</v>
      </c>
      <c r="E1015" s="55">
        <v>46125</v>
      </c>
      <c r="F1015" s="26" t="s">
        <v>948</v>
      </c>
      <c r="G1015" s="26" t="s">
        <v>58</v>
      </c>
      <c r="H1015" s="26" t="s">
        <v>56</v>
      </c>
      <c r="I1015" s="26" t="s">
        <v>70</v>
      </c>
      <c r="J1015" s="26" t="s">
        <v>58</v>
      </c>
      <c r="K1015" s="27"/>
      <c r="L1015" s="28" t="s">
        <v>56</v>
      </c>
      <c r="M1015" s="29" t="str">
        <f t="shared" si="75"/>
        <v>✓ OK</v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4.25" customHeight="1" x14ac:dyDescent="0.3">
      <c r="A1016" s="42">
        <v>1012</v>
      </c>
      <c r="B1016" s="43" t="s">
        <v>3306</v>
      </c>
      <c r="C1016" s="44" t="s">
        <v>3307</v>
      </c>
      <c r="D1016" s="42" t="s">
        <v>2253</v>
      </c>
      <c r="E1016" s="55">
        <v>46125</v>
      </c>
      <c r="F1016" s="26" t="s">
        <v>948</v>
      </c>
      <c r="G1016" s="26" t="s">
        <v>58</v>
      </c>
      <c r="H1016" s="26" t="s">
        <v>56</v>
      </c>
      <c r="I1016" s="26" t="s">
        <v>70</v>
      </c>
      <c r="J1016" s="26" t="s">
        <v>58</v>
      </c>
      <c r="K1016" s="27"/>
      <c r="L1016" s="28" t="s">
        <v>56</v>
      </c>
      <c r="M1016" s="29" t="str">
        <f t="shared" si="75"/>
        <v>✓ OK</v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4.25" customHeight="1" x14ac:dyDescent="0.3">
      <c r="A1017" s="23">
        <v>1013</v>
      </c>
      <c r="B1017" s="24" t="s">
        <v>3308</v>
      </c>
      <c r="C1017" s="25" t="s">
        <v>3309</v>
      </c>
      <c r="D1017" s="23" t="s">
        <v>2253</v>
      </c>
      <c r="E1017" s="55">
        <v>46125</v>
      </c>
      <c r="F1017" s="26" t="s">
        <v>948</v>
      </c>
      <c r="G1017" s="26" t="s">
        <v>58</v>
      </c>
      <c r="H1017" s="26" t="s">
        <v>56</v>
      </c>
      <c r="I1017" s="26" t="s">
        <v>70</v>
      </c>
      <c r="J1017" s="26" t="s">
        <v>58</v>
      </c>
      <c r="K1017" s="27"/>
      <c r="L1017" s="28" t="s">
        <v>56</v>
      </c>
      <c r="M1017" s="29" t="str">
        <f t="shared" si="75"/>
        <v>✓ OK</v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4.25" customHeight="1" x14ac:dyDescent="0.3">
      <c r="A1018" s="42">
        <v>1014</v>
      </c>
      <c r="B1018" s="43" t="s">
        <v>3310</v>
      </c>
      <c r="C1018" s="44" t="s">
        <v>3311</v>
      </c>
      <c r="D1018" s="42" t="s">
        <v>2253</v>
      </c>
      <c r="E1018" s="55">
        <v>46125</v>
      </c>
      <c r="F1018" s="26" t="s">
        <v>948</v>
      </c>
      <c r="G1018" s="26" t="s">
        <v>58</v>
      </c>
      <c r="H1018" s="26" t="s">
        <v>56</v>
      </c>
      <c r="I1018" s="26" t="s">
        <v>70</v>
      </c>
      <c r="J1018" s="26" t="s">
        <v>58</v>
      </c>
      <c r="K1018" s="27"/>
      <c r="L1018" s="28" t="s">
        <v>56</v>
      </c>
      <c r="M1018" s="29" t="str">
        <f t="shared" si="75"/>
        <v>✓ OK</v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4.25" customHeight="1" x14ac:dyDescent="0.3">
      <c r="A1019" s="23">
        <v>1015</v>
      </c>
      <c r="B1019" s="24" t="s">
        <v>3312</v>
      </c>
      <c r="C1019" s="25" t="s">
        <v>3313</v>
      </c>
      <c r="D1019" s="23" t="s">
        <v>2253</v>
      </c>
      <c r="E1019" s="55">
        <v>46125</v>
      </c>
      <c r="F1019" s="26" t="s">
        <v>948</v>
      </c>
      <c r="G1019" s="26" t="s">
        <v>58</v>
      </c>
      <c r="H1019" s="26" t="s">
        <v>56</v>
      </c>
      <c r="I1019" s="26" t="s">
        <v>70</v>
      </c>
      <c r="J1019" s="26" t="s">
        <v>58</v>
      </c>
      <c r="K1019" s="27"/>
      <c r="L1019" s="28" t="s">
        <v>56</v>
      </c>
      <c r="M1019" s="29" t="str">
        <f t="shared" si="75"/>
        <v>✓ OK</v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4.25" customHeight="1" x14ac:dyDescent="0.3">
      <c r="A1020" s="42">
        <v>1016</v>
      </c>
      <c r="B1020" s="43" t="s">
        <v>3314</v>
      </c>
      <c r="C1020" s="44" t="s">
        <v>3315</v>
      </c>
      <c r="D1020" s="42" t="s">
        <v>2253</v>
      </c>
      <c r="E1020" s="55">
        <v>46125</v>
      </c>
      <c r="F1020" s="26" t="s">
        <v>948</v>
      </c>
      <c r="G1020" s="26" t="s">
        <v>58</v>
      </c>
      <c r="H1020" s="26" t="s">
        <v>56</v>
      </c>
      <c r="I1020" s="26" t="s">
        <v>70</v>
      </c>
      <c r="J1020" s="26" t="s">
        <v>58</v>
      </c>
      <c r="K1020" s="27"/>
      <c r="L1020" s="28" t="s">
        <v>56</v>
      </c>
      <c r="M1020" s="29" t="str">
        <f t="shared" si="75"/>
        <v>✓ OK</v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4.25" customHeight="1" x14ac:dyDescent="0.3">
      <c r="A1021" s="23">
        <v>1017</v>
      </c>
      <c r="B1021" s="24" t="s">
        <v>3316</v>
      </c>
      <c r="C1021" s="25" t="s">
        <v>3317</v>
      </c>
      <c r="D1021" s="23" t="s">
        <v>2253</v>
      </c>
      <c r="E1021" s="55">
        <v>46125</v>
      </c>
      <c r="F1021" s="26" t="s">
        <v>948</v>
      </c>
      <c r="G1021" s="26" t="s">
        <v>58</v>
      </c>
      <c r="H1021" s="26" t="s">
        <v>56</v>
      </c>
      <c r="I1021" s="26" t="s">
        <v>70</v>
      </c>
      <c r="J1021" s="26" t="s">
        <v>58</v>
      </c>
      <c r="K1021" s="27"/>
      <c r="L1021" s="28" t="s">
        <v>56</v>
      </c>
      <c r="M1021" s="29" t="str">
        <f t="shared" si="75"/>
        <v>✓ OK</v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4.25" customHeight="1" x14ac:dyDescent="0.3">
      <c r="A1022" s="42">
        <v>1018</v>
      </c>
      <c r="B1022" s="43" t="s">
        <v>3318</v>
      </c>
      <c r="C1022" s="44" t="s">
        <v>3319</v>
      </c>
      <c r="D1022" s="42" t="s">
        <v>2253</v>
      </c>
      <c r="E1022" s="55">
        <v>46125</v>
      </c>
      <c r="F1022" s="26" t="s">
        <v>948</v>
      </c>
      <c r="G1022" s="26" t="s">
        <v>58</v>
      </c>
      <c r="H1022" s="26" t="s">
        <v>56</v>
      </c>
      <c r="I1022" s="26" t="s">
        <v>70</v>
      </c>
      <c r="J1022" s="26" t="s">
        <v>58</v>
      </c>
      <c r="K1022" s="27"/>
      <c r="L1022" s="28" t="s">
        <v>56</v>
      </c>
      <c r="M1022" s="29" t="str">
        <f t="shared" si="75"/>
        <v>✓ OK</v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4.25" customHeight="1" x14ac:dyDescent="0.3">
      <c r="A1023" s="23">
        <v>1019</v>
      </c>
      <c r="B1023" s="24" t="s">
        <v>3320</v>
      </c>
      <c r="C1023" s="25" t="s">
        <v>3321</v>
      </c>
      <c r="D1023" s="23" t="s">
        <v>2253</v>
      </c>
      <c r="E1023" s="55">
        <v>46125</v>
      </c>
      <c r="F1023" s="26" t="s">
        <v>948</v>
      </c>
      <c r="G1023" s="26" t="s">
        <v>58</v>
      </c>
      <c r="H1023" s="26" t="s">
        <v>56</v>
      </c>
      <c r="I1023" s="26" t="s">
        <v>70</v>
      </c>
      <c r="J1023" s="26" t="s">
        <v>58</v>
      </c>
      <c r="K1023" s="27"/>
      <c r="L1023" s="28" t="s">
        <v>56</v>
      </c>
      <c r="M1023" s="29" t="str">
        <f t="shared" si="75"/>
        <v>✓ OK</v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4.25" customHeight="1" x14ac:dyDescent="0.3">
      <c r="A1024" s="42">
        <v>1020</v>
      </c>
      <c r="B1024" s="43" t="s">
        <v>3322</v>
      </c>
      <c r="C1024" s="44" t="s">
        <v>3323</v>
      </c>
      <c r="D1024" s="42" t="s">
        <v>2253</v>
      </c>
      <c r="E1024" s="55">
        <v>46125</v>
      </c>
      <c r="F1024" s="26" t="s">
        <v>948</v>
      </c>
      <c r="G1024" s="26" t="s">
        <v>58</v>
      </c>
      <c r="H1024" s="26" t="s">
        <v>56</v>
      </c>
      <c r="I1024" s="26" t="s">
        <v>70</v>
      </c>
      <c r="J1024" s="26" t="s">
        <v>58</v>
      </c>
      <c r="K1024" s="27"/>
      <c r="L1024" s="28" t="s">
        <v>56</v>
      </c>
      <c r="M1024" s="29" t="str">
        <f t="shared" si="75"/>
        <v>✓ OK</v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4.25" customHeight="1" x14ac:dyDescent="0.3">
      <c r="A1025" s="23">
        <v>1021</v>
      </c>
      <c r="B1025" s="24" t="s">
        <v>3324</v>
      </c>
      <c r="C1025" s="25" t="s">
        <v>3325</v>
      </c>
      <c r="D1025" s="23" t="s">
        <v>2253</v>
      </c>
      <c r="E1025" s="55">
        <v>46125</v>
      </c>
      <c r="F1025" s="26" t="s">
        <v>948</v>
      </c>
      <c r="G1025" s="26" t="s">
        <v>58</v>
      </c>
      <c r="H1025" s="26" t="s">
        <v>56</v>
      </c>
      <c r="I1025" s="26" t="s">
        <v>70</v>
      </c>
      <c r="J1025" s="26" t="s">
        <v>58</v>
      </c>
      <c r="K1025" s="27"/>
      <c r="L1025" s="28" t="s">
        <v>56</v>
      </c>
      <c r="M1025" s="29" t="str">
        <f t="shared" si="75"/>
        <v>✓ OK</v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4.25" customHeight="1" x14ac:dyDescent="0.3">
      <c r="A1026" s="42">
        <v>1022</v>
      </c>
      <c r="B1026" s="43" t="s">
        <v>3326</v>
      </c>
      <c r="C1026" s="44" t="s">
        <v>3327</v>
      </c>
      <c r="D1026" s="42" t="s">
        <v>2253</v>
      </c>
      <c r="E1026" s="55">
        <v>46125</v>
      </c>
      <c r="F1026" s="26" t="s">
        <v>948</v>
      </c>
      <c r="G1026" s="26" t="s">
        <v>58</v>
      </c>
      <c r="H1026" s="26" t="s">
        <v>56</v>
      </c>
      <c r="I1026" s="26" t="s">
        <v>70</v>
      </c>
      <c r="J1026" s="26" t="s">
        <v>58</v>
      </c>
      <c r="K1026" s="27"/>
      <c r="L1026" s="28" t="s">
        <v>56</v>
      </c>
      <c r="M1026" s="29" t="str">
        <f t="shared" si="75"/>
        <v>✓ OK</v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4.25" customHeight="1" x14ac:dyDescent="0.3">
      <c r="A1027" s="23">
        <v>1023</v>
      </c>
      <c r="B1027" s="24" t="s">
        <v>3328</v>
      </c>
      <c r="C1027" s="25" t="s">
        <v>3329</v>
      </c>
      <c r="D1027" s="23" t="s">
        <v>2253</v>
      </c>
      <c r="E1027" s="55">
        <v>46125</v>
      </c>
      <c r="F1027" s="26" t="s">
        <v>948</v>
      </c>
      <c r="G1027" s="26" t="s">
        <v>58</v>
      </c>
      <c r="H1027" s="26" t="s">
        <v>56</v>
      </c>
      <c r="I1027" s="26" t="s">
        <v>70</v>
      </c>
      <c r="J1027" s="26" t="s">
        <v>58</v>
      </c>
      <c r="K1027" s="27"/>
      <c r="L1027" s="28" t="s">
        <v>56</v>
      </c>
      <c r="M1027" s="29" t="str">
        <f t="shared" si="75"/>
        <v>✓ OK</v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4.25" customHeight="1" x14ac:dyDescent="0.3">
      <c r="A1028" s="42">
        <v>1024</v>
      </c>
      <c r="B1028" s="43" t="s">
        <v>3330</v>
      </c>
      <c r="C1028" s="44" t="s">
        <v>3331</v>
      </c>
      <c r="D1028" s="42" t="s">
        <v>2253</v>
      </c>
      <c r="E1028" s="55">
        <v>46125</v>
      </c>
      <c r="F1028" s="26" t="s">
        <v>948</v>
      </c>
      <c r="G1028" s="26" t="s">
        <v>58</v>
      </c>
      <c r="H1028" s="26" t="s">
        <v>56</v>
      </c>
      <c r="I1028" s="26" t="s">
        <v>70</v>
      </c>
      <c r="J1028" s="26" t="s">
        <v>58</v>
      </c>
      <c r="K1028" s="27"/>
      <c r="L1028" s="28" t="s">
        <v>56</v>
      </c>
      <c r="M1028" s="29" t="str">
        <f t="shared" si="75"/>
        <v>✓ OK</v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4.25" customHeight="1" x14ac:dyDescent="0.3">
      <c r="A1029" s="23">
        <v>1025</v>
      </c>
      <c r="B1029" s="24" t="s">
        <v>3332</v>
      </c>
      <c r="C1029" s="25" t="s">
        <v>3333</v>
      </c>
      <c r="D1029" s="23" t="s">
        <v>2253</v>
      </c>
      <c r="E1029" s="55">
        <v>46125</v>
      </c>
      <c r="F1029" s="26" t="s">
        <v>948</v>
      </c>
      <c r="G1029" s="26" t="s">
        <v>58</v>
      </c>
      <c r="H1029" s="26" t="s">
        <v>56</v>
      </c>
      <c r="I1029" s="26" t="s">
        <v>70</v>
      </c>
      <c r="J1029" s="26" t="s">
        <v>58</v>
      </c>
      <c r="K1029" s="27"/>
      <c r="L1029" s="28" t="s">
        <v>56</v>
      </c>
      <c r="M1029" s="29" t="str">
        <f t="shared" ref="M1029:M1092" si="80">IF(E1029="","",IF(H1029="Yes","❌ Disc",IF(G1029="No","⚠ Missing",IF(J1029="Yes","✓ OK","⚠ Check"))))</f>
        <v>✓ OK</v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4.25" customHeight="1" x14ac:dyDescent="0.3">
      <c r="A1030" s="42">
        <v>1026</v>
      </c>
      <c r="B1030" s="43" t="s">
        <v>3334</v>
      </c>
      <c r="C1030" s="44" t="s">
        <v>3335</v>
      </c>
      <c r="D1030" s="42" t="s">
        <v>2253</v>
      </c>
      <c r="E1030" s="55">
        <v>46125</v>
      </c>
      <c r="F1030" s="26" t="s">
        <v>948</v>
      </c>
      <c r="G1030" s="26" t="s">
        <v>58</v>
      </c>
      <c r="H1030" s="26" t="s">
        <v>56</v>
      </c>
      <c r="I1030" s="26" t="s">
        <v>70</v>
      </c>
      <c r="J1030" s="26" t="s">
        <v>58</v>
      </c>
      <c r="K1030" s="27"/>
      <c r="L1030" s="28" t="s">
        <v>56</v>
      </c>
      <c r="M1030" s="29" t="str">
        <f t="shared" si="80"/>
        <v>✓ OK</v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4.25" customHeight="1" x14ac:dyDescent="0.3">
      <c r="A1031" s="23">
        <v>1027</v>
      </c>
      <c r="B1031" s="24" t="s">
        <v>3336</v>
      </c>
      <c r="C1031" s="25" t="s">
        <v>3337</v>
      </c>
      <c r="D1031" s="23" t="s">
        <v>2253</v>
      </c>
      <c r="E1031" s="55">
        <v>46125</v>
      </c>
      <c r="F1031" s="26" t="s">
        <v>948</v>
      </c>
      <c r="G1031" s="26" t="s">
        <v>58</v>
      </c>
      <c r="H1031" s="26" t="s">
        <v>56</v>
      </c>
      <c r="I1031" s="26" t="s">
        <v>70</v>
      </c>
      <c r="J1031" s="26" t="s">
        <v>58</v>
      </c>
      <c r="K1031" s="27"/>
      <c r="L1031" s="28" t="s">
        <v>56</v>
      </c>
      <c r="M1031" s="29" t="str">
        <f t="shared" si="80"/>
        <v>✓ OK</v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4.25" customHeight="1" x14ac:dyDescent="0.3">
      <c r="A1032" s="42">
        <v>1028</v>
      </c>
      <c r="B1032" s="43" t="s">
        <v>3338</v>
      </c>
      <c r="C1032" s="44" t="s">
        <v>3339</v>
      </c>
      <c r="D1032" s="42" t="s">
        <v>2253</v>
      </c>
      <c r="E1032" s="55">
        <v>46125</v>
      </c>
      <c r="F1032" s="26" t="s">
        <v>948</v>
      </c>
      <c r="G1032" s="26" t="s">
        <v>58</v>
      </c>
      <c r="H1032" s="26" t="s">
        <v>56</v>
      </c>
      <c r="I1032" s="26" t="s">
        <v>70</v>
      </c>
      <c r="J1032" s="26" t="s">
        <v>58</v>
      </c>
      <c r="K1032" s="27"/>
      <c r="L1032" s="28" t="s">
        <v>56</v>
      </c>
      <c r="M1032" s="29" t="str">
        <f t="shared" si="80"/>
        <v>✓ OK</v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4.25" customHeight="1" x14ac:dyDescent="0.3">
      <c r="A1033" s="23">
        <v>1029</v>
      </c>
      <c r="B1033" s="24" t="s">
        <v>3340</v>
      </c>
      <c r="C1033" s="25" t="s">
        <v>3341</v>
      </c>
      <c r="D1033" s="23" t="s">
        <v>2253</v>
      </c>
      <c r="E1033" s="55">
        <v>46125</v>
      </c>
      <c r="F1033" s="26" t="s">
        <v>948</v>
      </c>
      <c r="G1033" s="26" t="s">
        <v>58</v>
      </c>
      <c r="H1033" s="26" t="s">
        <v>56</v>
      </c>
      <c r="I1033" s="26" t="s">
        <v>70</v>
      </c>
      <c r="J1033" s="26" t="s">
        <v>58</v>
      </c>
      <c r="K1033" s="27"/>
      <c r="L1033" s="28" t="s">
        <v>56</v>
      </c>
      <c r="M1033" s="29" t="str">
        <f t="shared" si="80"/>
        <v>✓ OK</v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4.25" customHeight="1" x14ac:dyDescent="0.3">
      <c r="A1034" s="42">
        <v>1030</v>
      </c>
      <c r="B1034" s="43" t="s">
        <v>3342</v>
      </c>
      <c r="C1034" s="44" t="s">
        <v>3343</v>
      </c>
      <c r="D1034" s="42" t="s">
        <v>2253</v>
      </c>
      <c r="E1034" s="55">
        <v>46125</v>
      </c>
      <c r="F1034" s="26" t="s">
        <v>948</v>
      </c>
      <c r="G1034" s="26" t="s">
        <v>58</v>
      </c>
      <c r="H1034" s="26" t="s">
        <v>56</v>
      </c>
      <c r="I1034" s="26" t="s">
        <v>70</v>
      </c>
      <c r="J1034" s="26" t="s">
        <v>58</v>
      </c>
      <c r="K1034" s="27"/>
      <c r="L1034" s="28" t="s">
        <v>56</v>
      </c>
      <c r="M1034" s="29" t="str">
        <f t="shared" si="80"/>
        <v>✓ OK</v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4.25" customHeight="1" x14ac:dyDescent="0.3">
      <c r="A1035" s="23">
        <v>1031</v>
      </c>
      <c r="B1035" s="24" t="s">
        <v>3344</v>
      </c>
      <c r="C1035" s="25" t="s">
        <v>3345</v>
      </c>
      <c r="D1035" s="23" t="s">
        <v>2253</v>
      </c>
      <c r="E1035" s="55">
        <v>46125</v>
      </c>
      <c r="F1035" s="26" t="s">
        <v>948</v>
      </c>
      <c r="G1035" s="26" t="s">
        <v>58</v>
      </c>
      <c r="H1035" s="26" t="s">
        <v>56</v>
      </c>
      <c r="I1035" s="26" t="s">
        <v>70</v>
      </c>
      <c r="J1035" s="26" t="s">
        <v>58</v>
      </c>
      <c r="K1035" s="27"/>
      <c r="L1035" s="28" t="s">
        <v>56</v>
      </c>
      <c r="M1035" s="29" t="str">
        <f t="shared" si="80"/>
        <v>✓ OK</v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4.25" customHeight="1" x14ac:dyDescent="0.3">
      <c r="A1036" s="42">
        <v>1032</v>
      </c>
      <c r="B1036" s="43" t="s">
        <v>3346</v>
      </c>
      <c r="C1036" s="44" t="s">
        <v>3347</v>
      </c>
      <c r="D1036" s="42" t="s">
        <v>2253</v>
      </c>
      <c r="E1036" s="55">
        <v>46125</v>
      </c>
      <c r="F1036" s="26" t="s">
        <v>948</v>
      </c>
      <c r="G1036" s="26" t="s">
        <v>58</v>
      </c>
      <c r="H1036" s="26" t="s">
        <v>56</v>
      </c>
      <c r="I1036" s="26" t="s">
        <v>70</v>
      </c>
      <c r="J1036" s="26" t="s">
        <v>58</v>
      </c>
      <c r="K1036" s="27"/>
      <c r="L1036" s="28" t="s">
        <v>56</v>
      </c>
      <c r="M1036" s="29" t="str">
        <f t="shared" si="80"/>
        <v>✓ OK</v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4.25" customHeight="1" x14ac:dyDescent="0.3">
      <c r="A1037" s="23">
        <v>1033</v>
      </c>
      <c r="B1037" s="24" t="s">
        <v>3348</v>
      </c>
      <c r="C1037" s="25" t="s">
        <v>3349</v>
      </c>
      <c r="D1037" s="23" t="s">
        <v>2253</v>
      </c>
      <c r="E1037" s="55">
        <v>46125</v>
      </c>
      <c r="F1037" s="26" t="s">
        <v>948</v>
      </c>
      <c r="G1037" s="26" t="s">
        <v>58</v>
      </c>
      <c r="H1037" s="26" t="s">
        <v>56</v>
      </c>
      <c r="I1037" s="26" t="s">
        <v>70</v>
      </c>
      <c r="J1037" s="26" t="s">
        <v>58</v>
      </c>
      <c r="K1037" s="27"/>
      <c r="L1037" s="28" t="s">
        <v>56</v>
      </c>
      <c r="M1037" s="29" t="str">
        <f t="shared" si="80"/>
        <v>✓ OK</v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4.25" customHeight="1" x14ac:dyDescent="0.3">
      <c r="A1038" s="42">
        <v>1034</v>
      </c>
      <c r="B1038" s="43" t="s">
        <v>3350</v>
      </c>
      <c r="C1038" s="44" t="s">
        <v>3351</v>
      </c>
      <c r="D1038" s="42" t="s">
        <v>2253</v>
      </c>
      <c r="E1038" s="55">
        <v>46125</v>
      </c>
      <c r="F1038" s="26" t="s">
        <v>948</v>
      </c>
      <c r="G1038" s="26" t="s">
        <v>58</v>
      </c>
      <c r="H1038" s="26" t="s">
        <v>56</v>
      </c>
      <c r="I1038" s="26" t="s">
        <v>70</v>
      </c>
      <c r="J1038" s="26" t="s">
        <v>58</v>
      </c>
      <c r="K1038" s="27"/>
      <c r="L1038" s="28" t="s">
        <v>56</v>
      </c>
      <c r="M1038" s="29" t="str">
        <f t="shared" si="80"/>
        <v>✓ OK</v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4.25" customHeight="1" x14ac:dyDescent="0.3">
      <c r="A1039" s="23">
        <v>1035</v>
      </c>
      <c r="B1039" s="24" t="s">
        <v>3352</v>
      </c>
      <c r="C1039" s="25" t="s">
        <v>3353</v>
      </c>
      <c r="D1039" s="23" t="s">
        <v>2253</v>
      </c>
      <c r="E1039" s="55">
        <v>46125</v>
      </c>
      <c r="F1039" s="26" t="s">
        <v>948</v>
      </c>
      <c r="G1039" s="26" t="s">
        <v>58</v>
      </c>
      <c r="H1039" s="26" t="s">
        <v>56</v>
      </c>
      <c r="I1039" s="26" t="s">
        <v>70</v>
      </c>
      <c r="J1039" s="26" t="s">
        <v>58</v>
      </c>
      <c r="K1039" s="27"/>
      <c r="L1039" s="28" t="s">
        <v>56</v>
      </c>
      <c r="M1039" s="29" t="str">
        <f t="shared" si="80"/>
        <v>✓ OK</v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4.25" customHeight="1" x14ac:dyDescent="0.3">
      <c r="A1040" s="42">
        <v>1036</v>
      </c>
      <c r="B1040" s="43" t="s">
        <v>3354</v>
      </c>
      <c r="C1040" s="44" t="s">
        <v>3355</v>
      </c>
      <c r="D1040" s="42" t="s">
        <v>2253</v>
      </c>
      <c r="E1040" s="55">
        <v>46125</v>
      </c>
      <c r="F1040" s="26" t="s">
        <v>948</v>
      </c>
      <c r="G1040" s="26" t="s">
        <v>58</v>
      </c>
      <c r="H1040" s="26" t="s">
        <v>56</v>
      </c>
      <c r="I1040" s="26" t="s">
        <v>70</v>
      </c>
      <c r="J1040" s="26" t="s">
        <v>58</v>
      </c>
      <c r="K1040" s="27"/>
      <c r="L1040" s="28" t="s">
        <v>56</v>
      </c>
      <c r="M1040" s="29" t="str">
        <f t="shared" si="80"/>
        <v>✓ OK</v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4.25" customHeight="1" x14ac:dyDescent="0.3">
      <c r="A1041" s="23">
        <v>1037</v>
      </c>
      <c r="B1041" s="24" t="s">
        <v>3356</v>
      </c>
      <c r="C1041" s="25" t="s">
        <v>3357</v>
      </c>
      <c r="D1041" s="23" t="s">
        <v>2253</v>
      </c>
      <c r="E1041" s="55">
        <v>46125</v>
      </c>
      <c r="F1041" s="26" t="s">
        <v>948</v>
      </c>
      <c r="G1041" s="26" t="s">
        <v>58</v>
      </c>
      <c r="H1041" s="26" t="s">
        <v>56</v>
      </c>
      <c r="I1041" s="26" t="s">
        <v>70</v>
      </c>
      <c r="J1041" s="26" t="s">
        <v>58</v>
      </c>
      <c r="K1041" s="27"/>
      <c r="L1041" s="28" t="s">
        <v>56</v>
      </c>
      <c r="M1041" s="29" t="str">
        <f t="shared" si="80"/>
        <v>✓ OK</v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4.25" customHeight="1" x14ac:dyDescent="0.3">
      <c r="A1042" s="42">
        <v>1038</v>
      </c>
      <c r="B1042" s="43" t="s">
        <v>3358</v>
      </c>
      <c r="C1042" s="44" t="s">
        <v>3359</v>
      </c>
      <c r="D1042" s="42" t="s">
        <v>2253</v>
      </c>
      <c r="E1042" s="55">
        <v>46125</v>
      </c>
      <c r="F1042" s="26" t="s">
        <v>948</v>
      </c>
      <c r="G1042" s="26" t="s">
        <v>58</v>
      </c>
      <c r="H1042" s="26" t="s">
        <v>56</v>
      </c>
      <c r="I1042" s="26" t="s">
        <v>70</v>
      </c>
      <c r="J1042" s="26" t="s">
        <v>58</v>
      </c>
      <c r="K1042" s="27"/>
      <c r="L1042" s="28" t="s">
        <v>56</v>
      </c>
      <c r="M1042" s="29" t="str">
        <f t="shared" si="80"/>
        <v>✓ OK</v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4.25" customHeight="1" x14ac:dyDescent="0.3">
      <c r="A1043" s="23">
        <v>1039</v>
      </c>
      <c r="B1043" s="24" t="s">
        <v>3360</v>
      </c>
      <c r="C1043" s="25" t="s">
        <v>3361</v>
      </c>
      <c r="D1043" s="23" t="s">
        <v>2253</v>
      </c>
      <c r="E1043" s="55">
        <v>46125</v>
      </c>
      <c r="F1043" s="26" t="s">
        <v>948</v>
      </c>
      <c r="G1043" s="26" t="s">
        <v>58</v>
      </c>
      <c r="H1043" s="26" t="s">
        <v>56</v>
      </c>
      <c r="I1043" s="26" t="s">
        <v>70</v>
      </c>
      <c r="J1043" s="26" t="s">
        <v>58</v>
      </c>
      <c r="K1043" s="27"/>
      <c r="L1043" s="28" t="s">
        <v>56</v>
      </c>
      <c r="M1043" s="29" t="str">
        <f t="shared" si="80"/>
        <v>✓ OK</v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4.25" customHeight="1" x14ac:dyDescent="0.3">
      <c r="A1044" s="42">
        <v>1040</v>
      </c>
      <c r="B1044" s="43" t="s">
        <v>3362</v>
      </c>
      <c r="C1044" s="44" t="s">
        <v>3363</v>
      </c>
      <c r="D1044" s="42" t="s">
        <v>2253</v>
      </c>
      <c r="E1044" s="55">
        <v>46125</v>
      </c>
      <c r="F1044" s="26" t="s">
        <v>948</v>
      </c>
      <c r="G1044" s="26" t="s">
        <v>58</v>
      </c>
      <c r="H1044" s="26" t="s">
        <v>56</v>
      </c>
      <c r="I1044" s="26" t="s">
        <v>70</v>
      </c>
      <c r="J1044" s="26" t="s">
        <v>58</v>
      </c>
      <c r="K1044" s="27"/>
      <c r="L1044" s="28" t="s">
        <v>56</v>
      </c>
      <c r="M1044" s="29" t="str">
        <f t="shared" si="80"/>
        <v>✓ OK</v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4.25" customHeight="1" x14ac:dyDescent="0.3">
      <c r="A1045" s="23">
        <v>1041</v>
      </c>
      <c r="B1045" s="24" t="s">
        <v>3364</v>
      </c>
      <c r="C1045" s="25" t="s">
        <v>3365</v>
      </c>
      <c r="D1045" s="23" t="s">
        <v>2253</v>
      </c>
      <c r="E1045" s="55">
        <v>46125</v>
      </c>
      <c r="F1045" s="26" t="s">
        <v>948</v>
      </c>
      <c r="G1045" s="26" t="s">
        <v>58</v>
      </c>
      <c r="H1045" s="26" t="s">
        <v>56</v>
      </c>
      <c r="I1045" s="26" t="s">
        <v>70</v>
      </c>
      <c r="J1045" s="26" t="s">
        <v>58</v>
      </c>
      <c r="K1045" s="27"/>
      <c r="L1045" s="28" t="s">
        <v>56</v>
      </c>
      <c r="M1045" s="29" t="str">
        <f t="shared" si="80"/>
        <v>✓ OK</v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4.25" customHeight="1" x14ac:dyDescent="0.3">
      <c r="A1046" s="42">
        <v>1042</v>
      </c>
      <c r="B1046" s="43" t="s">
        <v>3366</v>
      </c>
      <c r="C1046" s="44" t="s">
        <v>3367</v>
      </c>
      <c r="D1046" s="42" t="s">
        <v>2253</v>
      </c>
      <c r="E1046" s="55">
        <v>46125</v>
      </c>
      <c r="F1046" s="26" t="s">
        <v>948</v>
      </c>
      <c r="G1046" s="26" t="s">
        <v>58</v>
      </c>
      <c r="H1046" s="26" t="s">
        <v>56</v>
      </c>
      <c r="I1046" s="26" t="s">
        <v>70</v>
      </c>
      <c r="J1046" s="26" t="s">
        <v>58</v>
      </c>
      <c r="K1046" s="27"/>
      <c r="L1046" s="28" t="s">
        <v>56</v>
      </c>
      <c r="M1046" s="29" t="str">
        <f t="shared" si="80"/>
        <v>✓ OK</v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4.25" customHeight="1" x14ac:dyDescent="0.3">
      <c r="A1047" s="23">
        <v>1043</v>
      </c>
      <c r="B1047" s="24" t="s">
        <v>3368</v>
      </c>
      <c r="C1047" s="25" t="s">
        <v>3369</v>
      </c>
      <c r="D1047" s="23" t="s">
        <v>2253</v>
      </c>
      <c r="E1047" s="55">
        <v>46125</v>
      </c>
      <c r="F1047" s="26" t="s">
        <v>948</v>
      </c>
      <c r="G1047" s="26" t="s">
        <v>58</v>
      </c>
      <c r="H1047" s="26" t="s">
        <v>56</v>
      </c>
      <c r="I1047" s="26" t="s">
        <v>70</v>
      </c>
      <c r="J1047" s="26" t="s">
        <v>58</v>
      </c>
      <c r="K1047" s="27"/>
      <c r="L1047" s="28" t="s">
        <v>56</v>
      </c>
      <c r="M1047" s="29" t="str">
        <f t="shared" si="80"/>
        <v>✓ OK</v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4.25" customHeight="1" x14ac:dyDescent="0.3">
      <c r="A1048" s="42">
        <v>1044</v>
      </c>
      <c r="B1048" s="43" t="s">
        <v>3370</v>
      </c>
      <c r="C1048" s="44" t="s">
        <v>3371</v>
      </c>
      <c r="D1048" s="42" t="s">
        <v>2253</v>
      </c>
      <c r="E1048" s="55">
        <v>46125</v>
      </c>
      <c r="F1048" s="26" t="s">
        <v>948</v>
      </c>
      <c r="G1048" s="26" t="s">
        <v>58</v>
      </c>
      <c r="H1048" s="26" t="s">
        <v>56</v>
      </c>
      <c r="I1048" s="26" t="s">
        <v>70</v>
      </c>
      <c r="J1048" s="26" t="s">
        <v>58</v>
      </c>
      <c r="K1048" s="27"/>
      <c r="L1048" s="28" t="s">
        <v>56</v>
      </c>
      <c r="M1048" s="29" t="str">
        <f t="shared" si="80"/>
        <v>✓ OK</v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4.25" customHeight="1" x14ac:dyDescent="0.3">
      <c r="A1049" s="23">
        <v>1045</v>
      </c>
      <c r="B1049" s="24" t="s">
        <v>3372</v>
      </c>
      <c r="C1049" s="25" t="s">
        <v>3373</v>
      </c>
      <c r="D1049" s="23" t="s">
        <v>2253</v>
      </c>
      <c r="E1049" s="55">
        <v>46125</v>
      </c>
      <c r="F1049" s="26" t="s">
        <v>948</v>
      </c>
      <c r="G1049" s="26" t="s">
        <v>58</v>
      </c>
      <c r="H1049" s="26" t="s">
        <v>56</v>
      </c>
      <c r="I1049" s="26" t="s">
        <v>70</v>
      </c>
      <c r="J1049" s="26" t="s">
        <v>58</v>
      </c>
      <c r="K1049" s="27"/>
      <c r="L1049" s="28" t="s">
        <v>56</v>
      </c>
      <c r="M1049" s="29" t="str">
        <f t="shared" si="80"/>
        <v>✓ OK</v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4.25" customHeight="1" x14ac:dyDescent="0.3">
      <c r="A1050" s="42">
        <v>1046</v>
      </c>
      <c r="B1050" s="43" t="s">
        <v>3374</v>
      </c>
      <c r="C1050" s="44" t="s">
        <v>3375</v>
      </c>
      <c r="D1050" s="42" t="s">
        <v>2253</v>
      </c>
      <c r="E1050" s="55">
        <v>46125</v>
      </c>
      <c r="F1050" s="26" t="s">
        <v>948</v>
      </c>
      <c r="G1050" s="26" t="s">
        <v>58</v>
      </c>
      <c r="H1050" s="26" t="s">
        <v>56</v>
      </c>
      <c r="I1050" s="26" t="s">
        <v>70</v>
      </c>
      <c r="J1050" s="26" t="s">
        <v>58</v>
      </c>
      <c r="K1050" s="27"/>
      <c r="L1050" s="28" t="s">
        <v>56</v>
      </c>
      <c r="M1050" s="29" t="str">
        <f t="shared" si="80"/>
        <v>✓ OK</v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4.25" customHeight="1" x14ac:dyDescent="0.3">
      <c r="A1051" s="23">
        <v>1047</v>
      </c>
      <c r="B1051" s="24" t="s">
        <v>3376</v>
      </c>
      <c r="C1051" s="25" t="s">
        <v>3377</v>
      </c>
      <c r="D1051" s="23" t="s">
        <v>2253</v>
      </c>
      <c r="E1051" s="55">
        <v>46125</v>
      </c>
      <c r="F1051" s="26" t="s">
        <v>948</v>
      </c>
      <c r="G1051" s="26" t="s">
        <v>58</v>
      </c>
      <c r="H1051" s="26" t="s">
        <v>56</v>
      </c>
      <c r="I1051" s="26" t="s">
        <v>70</v>
      </c>
      <c r="J1051" s="26" t="s">
        <v>58</v>
      </c>
      <c r="K1051" s="27"/>
      <c r="L1051" s="28" t="s">
        <v>56</v>
      </c>
      <c r="M1051" s="29" t="str">
        <f t="shared" si="80"/>
        <v>✓ OK</v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4.25" customHeight="1" x14ac:dyDescent="0.3">
      <c r="A1052" s="42">
        <v>1048</v>
      </c>
      <c r="B1052" s="43" t="s">
        <v>3378</v>
      </c>
      <c r="C1052" s="44" t="s">
        <v>3379</v>
      </c>
      <c r="D1052" s="42" t="s">
        <v>2253</v>
      </c>
      <c r="E1052" s="55">
        <v>46125</v>
      </c>
      <c r="F1052" s="26" t="s">
        <v>948</v>
      </c>
      <c r="G1052" s="26" t="s">
        <v>58</v>
      </c>
      <c r="H1052" s="26" t="s">
        <v>56</v>
      </c>
      <c r="I1052" s="26" t="s">
        <v>70</v>
      </c>
      <c r="J1052" s="26" t="s">
        <v>58</v>
      </c>
      <c r="K1052" s="27"/>
      <c r="L1052" s="28" t="s">
        <v>56</v>
      </c>
      <c r="M1052" s="29" t="str">
        <f t="shared" si="80"/>
        <v>✓ OK</v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4.25" customHeight="1" x14ac:dyDescent="0.3">
      <c r="A1053" s="23">
        <v>1049</v>
      </c>
      <c r="B1053" s="24" t="s">
        <v>3380</v>
      </c>
      <c r="C1053" s="25" t="s">
        <v>3381</v>
      </c>
      <c r="D1053" s="23" t="s">
        <v>2253</v>
      </c>
      <c r="E1053" s="55">
        <v>46125</v>
      </c>
      <c r="F1053" s="26" t="s">
        <v>948</v>
      </c>
      <c r="G1053" s="26" t="s">
        <v>58</v>
      </c>
      <c r="H1053" s="26" t="s">
        <v>56</v>
      </c>
      <c r="I1053" s="26" t="s">
        <v>70</v>
      </c>
      <c r="J1053" s="26" t="s">
        <v>58</v>
      </c>
      <c r="K1053" s="27"/>
      <c r="L1053" s="28" t="s">
        <v>56</v>
      </c>
      <c r="M1053" s="29" t="str">
        <f t="shared" si="80"/>
        <v>✓ OK</v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4.25" customHeight="1" x14ac:dyDescent="0.3">
      <c r="A1054" s="42">
        <v>1050</v>
      </c>
      <c r="B1054" s="43" t="s">
        <v>3382</v>
      </c>
      <c r="C1054" s="44" t="s">
        <v>3383</v>
      </c>
      <c r="D1054" s="42" t="s">
        <v>2253</v>
      </c>
      <c r="E1054" s="55">
        <v>46125</v>
      </c>
      <c r="F1054" s="26" t="s">
        <v>948</v>
      </c>
      <c r="G1054" s="26" t="s">
        <v>58</v>
      </c>
      <c r="H1054" s="26" t="s">
        <v>56</v>
      </c>
      <c r="I1054" s="26" t="s">
        <v>70</v>
      </c>
      <c r="J1054" s="26" t="s">
        <v>58</v>
      </c>
      <c r="K1054" s="27"/>
      <c r="L1054" s="28" t="s">
        <v>56</v>
      </c>
      <c r="M1054" s="29" t="str">
        <f t="shared" si="80"/>
        <v>✓ OK</v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4.25" customHeight="1" x14ac:dyDescent="0.3">
      <c r="A1055" s="23">
        <v>1051</v>
      </c>
      <c r="B1055" s="24" t="s">
        <v>3384</v>
      </c>
      <c r="C1055" s="25" t="s">
        <v>3385</v>
      </c>
      <c r="D1055" s="23" t="s">
        <v>2253</v>
      </c>
      <c r="E1055" s="55">
        <v>46125</v>
      </c>
      <c r="F1055" s="26" t="s">
        <v>948</v>
      </c>
      <c r="G1055" s="26" t="s">
        <v>58</v>
      </c>
      <c r="H1055" s="26" t="s">
        <v>56</v>
      </c>
      <c r="I1055" s="26" t="s">
        <v>70</v>
      </c>
      <c r="J1055" s="26" t="s">
        <v>58</v>
      </c>
      <c r="K1055" s="27"/>
      <c r="L1055" s="28" t="s">
        <v>56</v>
      </c>
      <c r="M1055" s="29" t="str">
        <f t="shared" si="80"/>
        <v>✓ OK</v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4.25" customHeight="1" x14ac:dyDescent="0.3">
      <c r="A1056" s="42">
        <v>1052</v>
      </c>
      <c r="B1056" s="43" t="s">
        <v>3386</v>
      </c>
      <c r="C1056" s="44" t="s">
        <v>3387</v>
      </c>
      <c r="D1056" s="42" t="s">
        <v>2253</v>
      </c>
      <c r="E1056" s="55">
        <v>46125</v>
      </c>
      <c r="F1056" s="26" t="s">
        <v>948</v>
      </c>
      <c r="G1056" s="26" t="s">
        <v>58</v>
      </c>
      <c r="H1056" s="26" t="s">
        <v>56</v>
      </c>
      <c r="I1056" s="26" t="s">
        <v>70</v>
      </c>
      <c r="J1056" s="26" t="s">
        <v>58</v>
      </c>
      <c r="K1056" s="27"/>
      <c r="L1056" s="28" t="s">
        <v>56</v>
      </c>
      <c r="M1056" s="29" t="str">
        <f t="shared" si="80"/>
        <v>✓ OK</v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4.25" customHeight="1" x14ac:dyDescent="0.3">
      <c r="A1057" s="23">
        <v>1053</v>
      </c>
      <c r="B1057" s="24" t="s">
        <v>3388</v>
      </c>
      <c r="C1057" s="25" t="s">
        <v>3389</v>
      </c>
      <c r="D1057" s="23" t="s">
        <v>2253</v>
      </c>
      <c r="E1057" s="55">
        <v>46125</v>
      </c>
      <c r="F1057" s="26" t="s">
        <v>948</v>
      </c>
      <c r="G1057" s="26" t="s">
        <v>58</v>
      </c>
      <c r="H1057" s="26" t="s">
        <v>56</v>
      </c>
      <c r="I1057" s="26" t="s">
        <v>70</v>
      </c>
      <c r="J1057" s="26" t="s">
        <v>58</v>
      </c>
      <c r="K1057" s="27"/>
      <c r="L1057" s="28" t="s">
        <v>56</v>
      </c>
      <c r="M1057" s="29" t="str">
        <f t="shared" si="80"/>
        <v>✓ OK</v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4.25" customHeight="1" x14ac:dyDescent="0.3">
      <c r="A1058" s="42">
        <v>1054</v>
      </c>
      <c r="B1058" s="43" t="s">
        <v>3390</v>
      </c>
      <c r="C1058" s="44" t="s">
        <v>3391</v>
      </c>
      <c r="D1058" s="42" t="s">
        <v>2253</v>
      </c>
      <c r="E1058" s="55">
        <v>46125</v>
      </c>
      <c r="F1058" s="26" t="s">
        <v>948</v>
      </c>
      <c r="G1058" s="26" t="s">
        <v>58</v>
      </c>
      <c r="H1058" s="26" t="s">
        <v>56</v>
      </c>
      <c r="I1058" s="26" t="s">
        <v>70</v>
      </c>
      <c r="J1058" s="26" t="s">
        <v>58</v>
      </c>
      <c r="K1058" s="27"/>
      <c r="L1058" s="28" t="s">
        <v>56</v>
      </c>
      <c r="M1058" s="29" t="str">
        <f t="shared" si="80"/>
        <v>✓ OK</v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4.25" customHeight="1" x14ac:dyDescent="0.3">
      <c r="A1059" s="23">
        <v>1055</v>
      </c>
      <c r="B1059" s="24" t="s">
        <v>3392</v>
      </c>
      <c r="C1059" s="25" t="s">
        <v>3393</v>
      </c>
      <c r="D1059" s="23" t="s">
        <v>2253</v>
      </c>
      <c r="E1059" s="55">
        <v>46125</v>
      </c>
      <c r="F1059" s="26" t="s">
        <v>948</v>
      </c>
      <c r="G1059" s="26" t="s">
        <v>58</v>
      </c>
      <c r="H1059" s="26" t="s">
        <v>56</v>
      </c>
      <c r="I1059" s="26" t="s">
        <v>70</v>
      </c>
      <c r="J1059" s="26" t="s">
        <v>58</v>
      </c>
      <c r="K1059" s="27"/>
      <c r="L1059" s="28" t="s">
        <v>56</v>
      </c>
      <c r="M1059" s="29" t="str">
        <f t="shared" si="80"/>
        <v>✓ OK</v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4.25" customHeight="1" x14ac:dyDescent="0.3">
      <c r="A1060" s="42">
        <v>1056</v>
      </c>
      <c r="B1060" s="43" t="s">
        <v>3394</v>
      </c>
      <c r="C1060" s="44" t="s">
        <v>3395</v>
      </c>
      <c r="D1060" s="42" t="s">
        <v>2253</v>
      </c>
      <c r="E1060" s="55">
        <v>46125</v>
      </c>
      <c r="F1060" s="26" t="s">
        <v>948</v>
      </c>
      <c r="G1060" s="26" t="s">
        <v>58</v>
      </c>
      <c r="H1060" s="26" t="s">
        <v>56</v>
      </c>
      <c r="I1060" s="26" t="s">
        <v>70</v>
      </c>
      <c r="J1060" s="26" t="s">
        <v>58</v>
      </c>
      <c r="K1060" s="27"/>
      <c r="L1060" s="28" t="s">
        <v>56</v>
      </c>
      <c r="M1060" s="29" t="str">
        <f t="shared" si="80"/>
        <v>✓ OK</v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4.25" customHeight="1" x14ac:dyDescent="0.3">
      <c r="A1061" s="23">
        <v>1057</v>
      </c>
      <c r="B1061" s="24" t="s">
        <v>3396</v>
      </c>
      <c r="C1061" s="25" t="s">
        <v>3397</v>
      </c>
      <c r="D1061" s="23" t="s">
        <v>2253</v>
      </c>
      <c r="E1061" s="55">
        <v>46125</v>
      </c>
      <c r="F1061" s="26" t="s">
        <v>948</v>
      </c>
      <c r="G1061" s="26" t="s">
        <v>58</v>
      </c>
      <c r="H1061" s="26" t="s">
        <v>56</v>
      </c>
      <c r="I1061" s="26" t="s">
        <v>70</v>
      </c>
      <c r="J1061" s="26" t="s">
        <v>58</v>
      </c>
      <c r="K1061" s="27"/>
      <c r="L1061" s="28" t="s">
        <v>56</v>
      </c>
      <c r="M1061" s="29" t="str">
        <f t="shared" si="80"/>
        <v>✓ OK</v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4.25" customHeight="1" x14ac:dyDescent="0.3">
      <c r="A1062" s="42">
        <v>1058</v>
      </c>
      <c r="B1062" s="43" t="s">
        <v>3398</v>
      </c>
      <c r="C1062" s="44" t="s">
        <v>3399</v>
      </c>
      <c r="D1062" s="42" t="s">
        <v>2253</v>
      </c>
      <c r="E1062" s="55">
        <v>46125</v>
      </c>
      <c r="F1062" s="26" t="s">
        <v>948</v>
      </c>
      <c r="G1062" s="26" t="s">
        <v>58</v>
      </c>
      <c r="H1062" s="26" t="s">
        <v>56</v>
      </c>
      <c r="I1062" s="26" t="s">
        <v>70</v>
      </c>
      <c r="J1062" s="26" t="s">
        <v>58</v>
      </c>
      <c r="K1062" s="27"/>
      <c r="L1062" s="28" t="s">
        <v>56</v>
      </c>
      <c r="M1062" s="29" t="str">
        <f t="shared" si="80"/>
        <v>✓ OK</v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4.25" customHeight="1" x14ac:dyDescent="0.3">
      <c r="A1063" s="23">
        <v>1059</v>
      </c>
      <c r="B1063" s="24" t="s">
        <v>3400</v>
      </c>
      <c r="C1063" s="25" t="s">
        <v>3401</v>
      </c>
      <c r="D1063" s="23" t="s">
        <v>2253</v>
      </c>
      <c r="E1063" s="55">
        <v>46125</v>
      </c>
      <c r="F1063" s="26" t="s">
        <v>948</v>
      </c>
      <c r="G1063" s="26" t="s">
        <v>58</v>
      </c>
      <c r="H1063" s="26" t="s">
        <v>56</v>
      </c>
      <c r="I1063" s="26" t="s">
        <v>70</v>
      </c>
      <c r="J1063" s="26" t="s">
        <v>58</v>
      </c>
      <c r="K1063" s="27"/>
      <c r="L1063" s="28" t="s">
        <v>56</v>
      </c>
      <c r="M1063" s="29" t="str">
        <f t="shared" si="80"/>
        <v>✓ OK</v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4.25" customHeight="1" x14ac:dyDescent="0.3">
      <c r="A1064" s="42">
        <v>1060</v>
      </c>
      <c r="B1064" s="43" t="s">
        <v>3402</v>
      </c>
      <c r="C1064" s="44" t="s">
        <v>3403</v>
      </c>
      <c r="D1064" s="42" t="s">
        <v>2253</v>
      </c>
      <c r="E1064" s="55">
        <v>46125</v>
      </c>
      <c r="F1064" s="26" t="s">
        <v>948</v>
      </c>
      <c r="G1064" s="26" t="s">
        <v>58</v>
      </c>
      <c r="H1064" s="26" t="s">
        <v>56</v>
      </c>
      <c r="I1064" s="26" t="s">
        <v>70</v>
      </c>
      <c r="J1064" s="26" t="s">
        <v>58</v>
      </c>
      <c r="K1064" s="27"/>
      <c r="L1064" s="28" t="s">
        <v>56</v>
      </c>
      <c r="M1064" s="29" t="str">
        <f t="shared" si="80"/>
        <v>✓ OK</v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4.25" customHeight="1" x14ac:dyDescent="0.3">
      <c r="A1065" s="23">
        <v>1061</v>
      </c>
      <c r="B1065" s="24" t="s">
        <v>3404</v>
      </c>
      <c r="C1065" s="25" t="s">
        <v>3405</v>
      </c>
      <c r="D1065" s="23" t="s">
        <v>2253</v>
      </c>
      <c r="E1065" s="55">
        <v>46125</v>
      </c>
      <c r="F1065" s="26" t="s">
        <v>948</v>
      </c>
      <c r="G1065" s="26" t="s">
        <v>58</v>
      </c>
      <c r="H1065" s="26" t="s">
        <v>56</v>
      </c>
      <c r="I1065" s="26" t="s">
        <v>70</v>
      </c>
      <c r="J1065" s="26" t="s">
        <v>58</v>
      </c>
      <c r="K1065" s="27"/>
      <c r="L1065" s="28" t="s">
        <v>56</v>
      </c>
      <c r="M1065" s="29" t="str">
        <f t="shared" si="80"/>
        <v>✓ OK</v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4.25" customHeight="1" x14ac:dyDescent="0.3">
      <c r="A1066" s="42">
        <v>1062</v>
      </c>
      <c r="B1066" s="43" t="s">
        <v>3406</v>
      </c>
      <c r="C1066" s="44" t="s">
        <v>3407</v>
      </c>
      <c r="D1066" s="42" t="s">
        <v>2253</v>
      </c>
      <c r="E1066" s="55">
        <v>46125</v>
      </c>
      <c r="F1066" s="26" t="s">
        <v>948</v>
      </c>
      <c r="G1066" s="26" t="s">
        <v>58</v>
      </c>
      <c r="H1066" s="26" t="s">
        <v>56</v>
      </c>
      <c r="I1066" s="26" t="s">
        <v>70</v>
      </c>
      <c r="J1066" s="26" t="s">
        <v>58</v>
      </c>
      <c r="K1066" s="27"/>
      <c r="L1066" s="28" t="s">
        <v>56</v>
      </c>
      <c r="M1066" s="29" t="str">
        <f t="shared" si="80"/>
        <v>✓ OK</v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4.25" customHeight="1" x14ac:dyDescent="0.3">
      <c r="A1067" s="23">
        <v>1063</v>
      </c>
      <c r="B1067" s="24" t="s">
        <v>3408</v>
      </c>
      <c r="C1067" s="25" t="s">
        <v>3409</v>
      </c>
      <c r="D1067" s="23" t="s">
        <v>2253</v>
      </c>
      <c r="E1067" s="55">
        <v>46125</v>
      </c>
      <c r="F1067" s="26" t="s">
        <v>948</v>
      </c>
      <c r="G1067" s="26" t="s">
        <v>58</v>
      </c>
      <c r="H1067" s="26" t="s">
        <v>56</v>
      </c>
      <c r="I1067" s="26" t="s">
        <v>70</v>
      </c>
      <c r="J1067" s="26" t="s">
        <v>58</v>
      </c>
      <c r="K1067" s="27"/>
      <c r="L1067" s="28" t="s">
        <v>56</v>
      </c>
      <c r="M1067" s="29" t="str">
        <f t="shared" si="80"/>
        <v>✓ OK</v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4.25" customHeight="1" x14ac:dyDescent="0.3">
      <c r="A1068" s="42">
        <v>1064</v>
      </c>
      <c r="B1068" s="43" t="s">
        <v>3410</v>
      </c>
      <c r="C1068" s="44" t="s">
        <v>3411</v>
      </c>
      <c r="D1068" s="42" t="s">
        <v>2253</v>
      </c>
      <c r="E1068" s="55">
        <v>46125</v>
      </c>
      <c r="F1068" s="26" t="s">
        <v>948</v>
      </c>
      <c r="G1068" s="26" t="s">
        <v>58</v>
      </c>
      <c r="H1068" s="26" t="s">
        <v>56</v>
      </c>
      <c r="I1068" s="26" t="s">
        <v>70</v>
      </c>
      <c r="J1068" s="26" t="s">
        <v>58</v>
      </c>
      <c r="K1068" s="27"/>
      <c r="L1068" s="28" t="s">
        <v>56</v>
      </c>
      <c r="M1068" s="29" t="str">
        <f t="shared" si="80"/>
        <v>✓ OK</v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4.25" customHeight="1" x14ac:dyDescent="0.3">
      <c r="A1069" s="23">
        <v>1065</v>
      </c>
      <c r="B1069" s="24" t="s">
        <v>3412</v>
      </c>
      <c r="C1069" s="25" t="s">
        <v>3413</v>
      </c>
      <c r="D1069" s="23" t="s">
        <v>2253</v>
      </c>
      <c r="E1069" s="55">
        <v>46125</v>
      </c>
      <c r="F1069" s="26" t="s">
        <v>948</v>
      </c>
      <c r="G1069" s="26" t="s">
        <v>58</v>
      </c>
      <c r="H1069" s="26" t="s">
        <v>56</v>
      </c>
      <c r="I1069" s="26" t="s">
        <v>70</v>
      </c>
      <c r="J1069" s="26" t="s">
        <v>58</v>
      </c>
      <c r="K1069" s="27"/>
      <c r="L1069" s="28" t="s">
        <v>56</v>
      </c>
      <c r="M1069" s="29" t="str">
        <f t="shared" si="80"/>
        <v>✓ OK</v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4.25" customHeight="1" x14ac:dyDescent="0.3">
      <c r="A1070" s="42">
        <v>1066</v>
      </c>
      <c r="B1070" s="43" t="s">
        <v>3414</v>
      </c>
      <c r="C1070" s="44" t="s">
        <v>3415</v>
      </c>
      <c r="D1070" s="42" t="s">
        <v>2253</v>
      </c>
      <c r="E1070" s="55">
        <v>46125</v>
      </c>
      <c r="F1070" s="26" t="s">
        <v>948</v>
      </c>
      <c r="G1070" s="26" t="s">
        <v>58</v>
      </c>
      <c r="H1070" s="26" t="s">
        <v>56</v>
      </c>
      <c r="I1070" s="26" t="s">
        <v>70</v>
      </c>
      <c r="J1070" s="26" t="s">
        <v>58</v>
      </c>
      <c r="K1070" s="27"/>
      <c r="L1070" s="28" t="s">
        <v>56</v>
      </c>
      <c r="M1070" s="29" t="str">
        <f t="shared" si="80"/>
        <v>✓ OK</v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4.25" customHeight="1" x14ac:dyDescent="0.3">
      <c r="A1071" s="23">
        <v>1067</v>
      </c>
      <c r="B1071" s="24" t="s">
        <v>3416</v>
      </c>
      <c r="C1071" s="25" t="s">
        <v>3417</v>
      </c>
      <c r="D1071" s="23" t="s">
        <v>2253</v>
      </c>
      <c r="E1071" s="55">
        <v>46125</v>
      </c>
      <c r="F1071" s="26" t="s">
        <v>948</v>
      </c>
      <c r="G1071" s="26" t="s">
        <v>58</v>
      </c>
      <c r="H1071" s="26" t="s">
        <v>56</v>
      </c>
      <c r="I1071" s="26" t="s">
        <v>70</v>
      </c>
      <c r="J1071" s="26" t="s">
        <v>58</v>
      </c>
      <c r="K1071" s="27"/>
      <c r="L1071" s="28" t="s">
        <v>56</v>
      </c>
      <c r="M1071" s="29" t="str">
        <f t="shared" si="80"/>
        <v>✓ OK</v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4.25" customHeight="1" x14ac:dyDescent="0.3">
      <c r="A1072" s="42">
        <v>1068</v>
      </c>
      <c r="B1072" s="43" t="s">
        <v>3418</v>
      </c>
      <c r="C1072" s="44" t="s">
        <v>3419</v>
      </c>
      <c r="D1072" s="42" t="s">
        <v>2253</v>
      </c>
      <c r="E1072" s="55">
        <v>46125</v>
      </c>
      <c r="F1072" s="26" t="s">
        <v>948</v>
      </c>
      <c r="G1072" s="26" t="s">
        <v>58</v>
      </c>
      <c r="H1072" s="26" t="s">
        <v>56</v>
      </c>
      <c r="I1072" s="26" t="s">
        <v>70</v>
      </c>
      <c r="J1072" s="26" t="s">
        <v>58</v>
      </c>
      <c r="K1072" s="27"/>
      <c r="L1072" s="28" t="s">
        <v>56</v>
      </c>
      <c r="M1072" s="29" t="str">
        <f t="shared" si="80"/>
        <v>✓ OK</v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4.25" customHeight="1" x14ac:dyDescent="0.3">
      <c r="A1073" s="23">
        <v>1069</v>
      </c>
      <c r="B1073" s="24" t="s">
        <v>3420</v>
      </c>
      <c r="C1073" s="25" t="s">
        <v>3421</v>
      </c>
      <c r="D1073" s="23" t="s">
        <v>2253</v>
      </c>
      <c r="E1073" s="55">
        <v>46125</v>
      </c>
      <c r="F1073" s="26" t="s">
        <v>948</v>
      </c>
      <c r="G1073" s="26" t="s">
        <v>58</v>
      </c>
      <c r="H1073" s="26" t="s">
        <v>56</v>
      </c>
      <c r="I1073" s="26" t="s">
        <v>70</v>
      </c>
      <c r="J1073" s="26" t="s">
        <v>58</v>
      </c>
      <c r="K1073" s="27"/>
      <c r="L1073" s="28" t="s">
        <v>56</v>
      </c>
      <c r="M1073" s="29" t="str">
        <f t="shared" si="80"/>
        <v>✓ OK</v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4.25" customHeight="1" x14ac:dyDescent="0.3">
      <c r="A1074" s="42">
        <v>1070</v>
      </c>
      <c r="B1074" s="43" t="s">
        <v>3422</v>
      </c>
      <c r="C1074" s="44" t="s">
        <v>3423</v>
      </c>
      <c r="D1074" s="42" t="s">
        <v>2253</v>
      </c>
      <c r="E1074" s="55">
        <v>46125</v>
      </c>
      <c r="F1074" s="26" t="s">
        <v>948</v>
      </c>
      <c r="G1074" s="26" t="s">
        <v>58</v>
      </c>
      <c r="H1074" s="26" t="s">
        <v>56</v>
      </c>
      <c r="I1074" s="26" t="s">
        <v>70</v>
      </c>
      <c r="J1074" s="26" t="s">
        <v>58</v>
      </c>
      <c r="K1074" s="27"/>
      <c r="L1074" s="28" t="s">
        <v>56</v>
      </c>
      <c r="M1074" s="29" t="str">
        <f t="shared" si="80"/>
        <v>✓ OK</v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4.25" customHeight="1" x14ac:dyDescent="0.3">
      <c r="A1075" s="23">
        <v>1071</v>
      </c>
      <c r="B1075" s="24" t="s">
        <v>3424</v>
      </c>
      <c r="C1075" s="25" t="s">
        <v>3425</v>
      </c>
      <c r="D1075" s="23" t="s">
        <v>2253</v>
      </c>
      <c r="E1075" s="55">
        <v>46125</v>
      </c>
      <c r="F1075" s="26" t="s">
        <v>948</v>
      </c>
      <c r="G1075" s="26" t="s">
        <v>58</v>
      </c>
      <c r="H1075" s="26" t="s">
        <v>56</v>
      </c>
      <c r="I1075" s="26" t="s">
        <v>70</v>
      </c>
      <c r="J1075" s="26" t="s">
        <v>58</v>
      </c>
      <c r="K1075" s="27"/>
      <c r="L1075" s="28" t="s">
        <v>56</v>
      </c>
      <c r="M1075" s="29" t="str">
        <f t="shared" si="80"/>
        <v>✓ OK</v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4.25" customHeight="1" x14ac:dyDescent="0.3">
      <c r="A1076" s="42">
        <v>1072</v>
      </c>
      <c r="B1076" s="43" t="s">
        <v>3426</v>
      </c>
      <c r="C1076" s="44" t="s">
        <v>3427</v>
      </c>
      <c r="D1076" s="42" t="s">
        <v>2253</v>
      </c>
      <c r="E1076" s="55">
        <v>46125</v>
      </c>
      <c r="F1076" s="26" t="s">
        <v>948</v>
      </c>
      <c r="G1076" s="26" t="s">
        <v>58</v>
      </c>
      <c r="H1076" s="26" t="s">
        <v>56</v>
      </c>
      <c r="I1076" s="26" t="s">
        <v>70</v>
      </c>
      <c r="J1076" s="26" t="s">
        <v>58</v>
      </c>
      <c r="K1076" s="27"/>
      <c r="L1076" s="28" t="s">
        <v>56</v>
      </c>
      <c r="M1076" s="29" t="str">
        <f t="shared" si="80"/>
        <v>✓ OK</v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4.25" customHeight="1" x14ac:dyDescent="0.3">
      <c r="A1077" s="23">
        <v>1073</v>
      </c>
      <c r="B1077" s="24" t="s">
        <v>3428</v>
      </c>
      <c r="C1077" s="25" t="s">
        <v>3429</v>
      </c>
      <c r="D1077" s="23" t="s">
        <v>2253</v>
      </c>
      <c r="E1077" s="55">
        <v>46125</v>
      </c>
      <c r="F1077" s="26" t="s">
        <v>948</v>
      </c>
      <c r="G1077" s="26" t="s">
        <v>58</v>
      </c>
      <c r="H1077" s="26" t="s">
        <v>56</v>
      </c>
      <c r="I1077" s="26" t="s">
        <v>70</v>
      </c>
      <c r="J1077" s="26" t="s">
        <v>58</v>
      </c>
      <c r="K1077" s="27"/>
      <c r="L1077" s="28" t="s">
        <v>56</v>
      </c>
      <c r="M1077" s="29" t="str">
        <f t="shared" si="80"/>
        <v>✓ OK</v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4.25" customHeight="1" x14ac:dyDescent="0.3">
      <c r="A1078" s="42">
        <v>1074</v>
      </c>
      <c r="B1078" s="43" t="s">
        <v>3430</v>
      </c>
      <c r="C1078" s="44" t="s">
        <v>3431</v>
      </c>
      <c r="D1078" s="42" t="s">
        <v>2253</v>
      </c>
      <c r="E1078" s="55">
        <v>46125</v>
      </c>
      <c r="F1078" s="26" t="s">
        <v>948</v>
      </c>
      <c r="G1078" s="26" t="s">
        <v>58</v>
      </c>
      <c r="H1078" s="26" t="s">
        <v>56</v>
      </c>
      <c r="I1078" s="26" t="s">
        <v>70</v>
      </c>
      <c r="J1078" s="26" t="s">
        <v>58</v>
      </c>
      <c r="K1078" s="27"/>
      <c r="L1078" s="28" t="s">
        <v>56</v>
      </c>
      <c r="M1078" s="29" t="str">
        <f t="shared" si="80"/>
        <v>✓ OK</v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4.25" customHeight="1" x14ac:dyDescent="0.3">
      <c r="A1079" s="23">
        <v>1075</v>
      </c>
      <c r="B1079" s="24" t="s">
        <v>3432</v>
      </c>
      <c r="C1079" s="25" t="s">
        <v>3433</v>
      </c>
      <c r="D1079" s="23" t="s">
        <v>3434</v>
      </c>
      <c r="E1079" s="55">
        <v>46125</v>
      </c>
      <c r="F1079" s="26" t="s">
        <v>948</v>
      </c>
      <c r="G1079" s="26" t="s">
        <v>58</v>
      </c>
      <c r="H1079" s="26" t="s">
        <v>56</v>
      </c>
      <c r="I1079" s="26" t="s">
        <v>70</v>
      </c>
      <c r="J1079" s="26" t="s">
        <v>58</v>
      </c>
      <c r="K1079" s="27"/>
      <c r="L1079" s="28" t="s">
        <v>56</v>
      </c>
      <c r="M1079" s="29" t="str">
        <f t="shared" si="80"/>
        <v>✓ OK</v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4.25" customHeight="1" x14ac:dyDescent="0.3">
      <c r="A1080" s="42">
        <v>1076</v>
      </c>
      <c r="B1080" s="43" t="s">
        <v>3435</v>
      </c>
      <c r="C1080" s="44" t="s">
        <v>3436</v>
      </c>
      <c r="D1080" s="42" t="s">
        <v>3434</v>
      </c>
      <c r="E1080" s="55">
        <v>46125</v>
      </c>
      <c r="F1080" s="26" t="s">
        <v>948</v>
      </c>
      <c r="G1080" s="26" t="s">
        <v>58</v>
      </c>
      <c r="H1080" s="26" t="s">
        <v>56</v>
      </c>
      <c r="I1080" s="26" t="s">
        <v>70</v>
      </c>
      <c r="J1080" s="26" t="s">
        <v>58</v>
      </c>
      <c r="K1080" s="27"/>
      <c r="L1080" s="28" t="s">
        <v>56</v>
      </c>
      <c r="M1080" s="29" t="str">
        <f t="shared" si="80"/>
        <v>✓ OK</v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4.25" customHeight="1" x14ac:dyDescent="0.3">
      <c r="A1081" s="23">
        <v>1077</v>
      </c>
      <c r="B1081" s="24" t="s">
        <v>3437</v>
      </c>
      <c r="C1081" s="25" t="s">
        <v>3438</v>
      </c>
      <c r="D1081" s="23" t="s">
        <v>3434</v>
      </c>
      <c r="E1081" s="55">
        <v>46125</v>
      </c>
      <c r="F1081" s="26" t="s">
        <v>948</v>
      </c>
      <c r="G1081" s="26" t="s">
        <v>58</v>
      </c>
      <c r="H1081" s="26" t="s">
        <v>56</v>
      </c>
      <c r="I1081" s="26" t="s">
        <v>70</v>
      </c>
      <c r="J1081" s="26" t="s">
        <v>58</v>
      </c>
      <c r="K1081" s="27"/>
      <c r="L1081" s="28" t="s">
        <v>56</v>
      </c>
      <c r="M1081" s="29" t="str">
        <f t="shared" si="80"/>
        <v>✓ OK</v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4.25" customHeight="1" x14ac:dyDescent="0.3">
      <c r="A1082" s="42">
        <v>1078</v>
      </c>
      <c r="B1082" s="43" t="s">
        <v>3439</v>
      </c>
      <c r="C1082" s="44" t="s">
        <v>3440</v>
      </c>
      <c r="D1082" s="42" t="s">
        <v>3434</v>
      </c>
      <c r="E1082" s="55">
        <v>46125</v>
      </c>
      <c r="F1082" s="26" t="s">
        <v>948</v>
      </c>
      <c r="G1082" s="26" t="s">
        <v>58</v>
      </c>
      <c r="H1082" s="26" t="s">
        <v>56</v>
      </c>
      <c r="I1082" s="26" t="s">
        <v>70</v>
      </c>
      <c r="J1082" s="26" t="s">
        <v>58</v>
      </c>
      <c r="K1082" s="27"/>
      <c r="L1082" s="28" t="s">
        <v>56</v>
      </c>
      <c r="M1082" s="29" t="str">
        <f t="shared" si="80"/>
        <v>✓ OK</v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4.25" customHeight="1" x14ac:dyDescent="0.3">
      <c r="A1083" s="23">
        <v>1079</v>
      </c>
      <c r="B1083" s="24" t="s">
        <v>3441</v>
      </c>
      <c r="C1083" s="25" t="s">
        <v>3442</v>
      </c>
      <c r="D1083" s="23" t="s">
        <v>3434</v>
      </c>
      <c r="E1083" s="55">
        <v>46125</v>
      </c>
      <c r="F1083" s="26" t="s">
        <v>948</v>
      </c>
      <c r="G1083" s="26" t="s">
        <v>58</v>
      </c>
      <c r="H1083" s="26" t="s">
        <v>56</v>
      </c>
      <c r="I1083" s="26" t="s">
        <v>70</v>
      </c>
      <c r="J1083" s="26" t="s">
        <v>58</v>
      </c>
      <c r="K1083" s="27"/>
      <c r="L1083" s="28" t="s">
        <v>56</v>
      </c>
      <c r="M1083" s="29" t="str">
        <f t="shared" si="80"/>
        <v>✓ OK</v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4.25" customHeight="1" x14ac:dyDescent="0.3">
      <c r="A1084" s="42">
        <v>1080</v>
      </c>
      <c r="B1084" s="43" t="s">
        <v>3443</v>
      </c>
      <c r="C1084" s="44" t="s">
        <v>3444</v>
      </c>
      <c r="D1084" s="42" t="s">
        <v>3434</v>
      </c>
      <c r="E1084" s="55">
        <v>46125</v>
      </c>
      <c r="F1084" s="26" t="s">
        <v>948</v>
      </c>
      <c r="G1084" s="26" t="s">
        <v>58</v>
      </c>
      <c r="H1084" s="26" t="s">
        <v>56</v>
      </c>
      <c r="I1084" s="26" t="s">
        <v>70</v>
      </c>
      <c r="J1084" s="26" t="s">
        <v>58</v>
      </c>
      <c r="K1084" s="27"/>
      <c r="L1084" s="28" t="s">
        <v>56</v>
      </c>
      <c r="M1084" s="29" t="str">
        <f t="shared" si="80"/>
        <v>✓ OK</v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4.25" customHeight="1" x14ac:dyDescent="0.3">
      <c r="A1085" s="23">
        <v>1081</v>
      </c>
      <c r="B1085" s="24" t="s">
        <v>3445</v>
      </c>
      <c r="C1085" s="25" t="s">
        <v>3446</v>
      </c>
      <c r="D1085" s="23" t="s">
        <v>3434</v>
      </c>
      <c r="E1085" s="55">
        <v>46125</v>
      </c>
      <c r="F1085" s="26" t="s">
        <v>948</v>
      </c>
      <c r="G1085" s="26" t="s">
        <v>58</v>
      </c>
      <c r="H1085" s="26" t="s">
        <v>56</v>
      </c>
      <c r="I1085" s="26" t="s">
        <v>70</v>
      </c>
      <c r="J1085" s="26" t="s">
        <v>58</v>
      </c>
      <c r="K1085" s="27"/>
      <c r="L1085" s="28" t="s">
        <v>56</v>
      </c>
      <c r="M1085" s="29" t="str">
        <f t="shared" si="80"/>
        <v>✓ OK</v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4.25" customHeight="1" x14ac:dyDescent="0.3">
      <c r="A1086" s="42">
        <v>1082</v>
      </c>
      <c r="B1086" s="43" t="s">
        <v>3447</v>
      </c>
      <c r="C1086" s="44" t="s">
        <v>3448</v>
      </c>
      <c r="D1086" s="42" t="s">
        <v>3434</v>
      </c>
      <c r="E1086" s="55">
        <v>46125</v>
      </c>
      <c r="F1086" s="26" t="s">
        <v>948</v>
      </c>
      <c r="G1086" s="26" t="s">
        <v>58</v>
      </c>
      <c r="H1086" s="26" t="s">
        <v>56</v>
      </c>
      <c r="I1086" s="26" t="s">
        <v>70</v>
      </c>
      <c r="J1086" s="26" t="s">
        <v>58</v>
      </c>
      <c r="K1086" s="27"/>
      <c r="L1086" s="28" t="s">
        <v>56</v>
      </c>
      <c r="M1086" s="29" t="str">
        <f t="shared" si="80"/>
        <v>✓ OK</v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4.25" customHeight="1" x14ac:dyDescent="0.3">
      <c r="A1087" s="23">
        <v>1083</v>
      </c>
      <c r="B1087" s="24" t="s">
        <v>3449</v>
      </c>
      <c r="C1087" s="25" t="s">
        <v>3450</v>
      </c>
      <c r="D1087" s="23" t="s">
        <v>3434</v>
      </c>
      <c r="E1087" s="55">
        <v>46125</v>
      </c>
      <c r="F1087" s="26" t="s">
        <v>948</v>
      </c>
      <c r="G1087" s="26" t="s">
        <v>58</v>
      </c>
      <c r="H1087" s="26" t="s">
        <v>56</v>
      </c>
      <c r="I1087" s="26" t="s">
        <v>70</v>
      </c>
      <c r="J1087" s="26" t="s">
        <v>58</v>
      </c>
      <c r="K1087" s="27"/>
      <c r="L1087" s="28" t="s">
        <v>56</v>
      </c>
      <c r="M1087" s="29" t="str">
        <f t="shared" si="80"/>
        <v>✓ OK</v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4.25" customHeight="1" x14ac:dyDescent="0.3">
      <c r="A1088" s="42">
        <v>1084</v>
      </c>
      <c r="B1088" s="43" t="s">
        <v>3451</v>
      </c>
      <c r="C1088" s="44" t="s">
        <v>3452</v>
      </c>
      <c r="D1088" s="42" t="s">
        <v>3434</v>
      </c>
      <c r="E1088" s="55">
        <v>46125</v>
      </c>
      <c r="F1088" s="26" t="s">
        <v>948</v>
      </c>
      <c r="G1088" s="26" t="s">
        <v>58</v>
      </c>
      <c r="H1088" s="26" t="s">
        <v>56</v>
      </c>
      <c r="I1088" s="26" t="s">
        <v>70</v>
      </c>
      <c r="J1088" s="26" t="s">
        <v>58</v>
      </c>
      <c r="K1088" s="27"/>
      <c r="L1088" s="28" t="s">
        <v>56</v>
      </c>
      <c r="M1088" s="29" t="str">
        <f t="shared" si="80"/>
        <v>✓ OK</v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4.25" customHeight="1" x14ac:dyDescent="0.3">
      <c r="A1089" s="23">
        <v>1085</v>
      </c>
      <c r="B1089" s="24" t="s">
        <v>3453</v>
      </c>
      <c r="C1089" s="25" t="s">
        <v>3454</v>
      </c>
      <c r="D1089" s="23" t="s">
        <v>3434</v>
      </c>
      <c r="E1089" s="55">
        <v>46125</v>
      </c>
      <c r="F1089" s="26" t="s">
        <v>948</v>
      </c>
      <c r="G1089" s="26" t="s">
        <v>58</v>
      </c>
      <c r="H1089" s="26" t="s">
        <v>56</v>
      </c>
      <c r="I1089" s="26" t="s">
        <v>70</v>
      </c>
      <c r="J1089" s="26" t="s">
        <v>58</v>
      </c>
      <c r="K1089" s="27"/>
      <c r="L1089" s="28" t="s">
        <v>56</v>
      </c>
      <c r="M1089" s="29" t="str">
        <f t="shared" si="80"/>
        <v>✓ OK</v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4.25" customHeight="1" x14ac:dyDescent="0.3">
      <c r="A1090" s="42">
        <v>1086</v>
      </c>
      <c r="B1090" s="43" t="s">
        <v>3455</v>
      </c>
      <c r="C1090" s="44" t="s">
        <v>3456</v>
      </c>
      <c r="D1090" s="42" t="s">
        <v>3434</v>
      </c>
      <c r="E1090" s="55">
        <v>46125</v>
      </c>
      <c r="F1090" s="26" t="s">
        <v>948</v>
      </c>
      <c r="G1090" s="26" t="s">
        <v>58</v>
      </c>
      <c r="H1090" s="26" t="s">
        <v>56</v>
      </c>
      <c r="I1090" s="26" t="s">
        <v>70</v>
      </c>
      <c r="J1090" s="26" t="s">
        <v>58</v>
      </c>
      <c r="K1090" s="27"/>
      <c r="L1090" s="28" t="s">
        <v>56</v>
      </c>
      <c r="M1090" s="29" t="str">
        <f t="shared" si="80"/>
        <v>✓ OK</v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4.25" customHeight="1" x14ac:dyDescent="0.3">
      <c r="A1091" s="23">
        <v>1087</v>
      </c>
      <c r="B1091" s="24" t="s">
        <v>3457</v>
      </c>
      <c r="C1091" s="25" t="s">
        <v>3458</v>
      </c>
      <c r="D1091" s="23" t="s">
        <v>3434</v>
      </c>
      <c r="E1091" s="55">
        <v>46125</v>
      </c>
      <c r="F1091" s="26" t="s">
        <v>948</v>
      </c>
      <c r="G1091" s="26" t="s">
        <v>58</v>
      </c>
      <c r="H1091" s="26" t="s">
        <v>56</v>
      </c>
      <c r="I1091" s="26" t="s">
        <v>70</v>
      </c>
      <c r="J1091" s="26" t="s">
        <v>58</v>
      </c>
      <c r="K1091" s="27"/>
      <c r="L1091" s="28" t="s">
        <v>56</v>
      </c>
      <c r="M1091" s="29" t="str">
        <f t="shared" si="80"/>
        <v>✓ OK</v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4.25" customHeight="1" x14ac:dyDescent="0.3">
      <c r="A1092" s="42">
        <v>1088</v>
      </c>
      <c r="B1092" s="43" t="s">
        <v>3459</v>
      </c>
      <c r="C1092" s="44" t="s">
        <v>3460</v>
      </c>
      <c r="D1092" s="42" t="s">
        <v>3434</v>
      </c>
      <c r="E1092" s="55">
        <v>46125</v>
      </c>
      <c r="F1092" s="26" t="s">
        <v>948</v>
      </c>
      <c r="G1092" s="26" t="s">
        <v>58</v>
      </c>
      <c r="H1092" s="26" t="s">
        <v>56</v>
      </c>
      <c r="I1092" s="26" t="s">
        <v>70</v>
      </c>
      <c r="J1092" s="26" t="s">
        <v>58</v>
      </c>
      <c r="K1092" s="27"/>
      <c r="L1092" s="28" t="s">
        <v>56</v>
      </c>
      <c r="M1092" s="29" t="str">
        <f t="shared" si="80"/>
        <v>✓ OK</v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4.25" customHeight="1" x14ac:dyDescent="0.3">
      <c r="A1093" s="23">
        <v>1089</v>
      </c>
      <c r="B1093" s="24" t="s">
        <v>3461</v>
      </c>
      <c r="C1093" s="25" t="s">
        <v>3462</v>
      </c>
      <c r="D1093" s="23" t="s">
        <v>3434</v>
      </c>
      <c r="E1093" s="55">
        <v>46125</v>
      </c>
      <c r="F1093" s="26" t="s">
        <v>948</v>
      </c>
      <c r="G1093" s="26" t="s">
        <v>58</v>
      </c>
      <c r="H1093" s="26" t="s">
        <v>56</v>
      </c>
      <c r="I1093" s="26" t="s">
        <v>70</v>
      </c>
      <c r="J1093" s="26" t="s">
        <v>58</v>
      </c>
      <c r="K1093" s="27"/>
      <c r="L1093" s="28" t="s">
        <v>56</v>
      </c>
      <c r="M1093" s="29" t="str">
        <f t="shared" ref="M1093:M1156" si="85">IF(E1093="","",IF(H1093="Yes","❌ Disc",IF(G1093="No","⚠ Missing",IF(J1093="Yes","✓ OK","⚠ Check"))))</f>
        <v>✓ OK</v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4.25" customHeight="1" x14ac:dyDescent="0.3">
      <c r="A1094" s="42">
        <v>1090</v>
      </c>
      <c r="B1094" s="43" t="s">
        <v>3463</v>
      </c>
      <c r="C1094" s="44" t="s">
        <v>3464</v>
      </c>
      <c r="D1094" s="42" t="s">
        <v>3434</v>
      </c>
      <c r="E1094" s="55">
        <v>46125</v>
      </c>
      <c r="F1094" s="26" t="s">
        <v>948</v>
      </c>
      <c r="G1094" s="26" t="s">
        <v>58</v>
      </c>
      <c r="H1094" s="26" t="s">
        <v>56</v>
      </c>
      <c r="I1094" s="26" t="s">
        <v>70</v>
      </c>
      <c r="J1094" s="26" t="s">
        <v>58</v>
      </c>
      <c r="K1094" s="27"/>
      <c r="L1094" s="28" t="s">
        <v>56</v>
      </c>
      <c r="M1094" s="29" t="str">
        <f t="shared" si="85"/>
        <v>✓ OK</v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4.25" customHeight="1" x14ac:dyDescent="0.3">
      <c r="A1095" s="23">
        <v>1091</v>
      </c>
      <c r="B1095" s="24" t="s">
        <v>3465</v>
      </c>
      <c r="C1095" s="25" t="s">
        <v>3466</v>
      </c>
      <c r="D1095" s="23" t="s">
        <v>3434</v>
      </c>
      <c r="E1095" s="55">
        <v>46125</v>
      </c>
      <c r="F1095" s="26" t="s">
        <v>948</v>
      </c>
      <c r="G1095" s="26" t="s">
        <v>58</v>
      </c>
      <c r="H1095" s="26" t="s">
        <v>56</v>
      </c>
      <c r="I1095" s="26" t="s">
        <v>70</v>
      </c>
      <c r="J1095" s="26" t="s">
        <v>58</v>
      </c>
      <c r="K1095" s="27"/>
      <c r="L1095" s="28" t="s">
        <v>56</v>
      </c>
      <c r="M1095" s="29" t="str">
        <f t="shared" si="85"/>
        <v>✓ OK</v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4.25" customHeight="1" x14ac:dyDescent="0.3">
      <c r="A1096" s="42">
        <v>1092</v>
      </c>
      <c r="B1096" s="43" t="s">
        <v>3467</v>
      </c>
      <c r="C1096" s="44" t="s">
        <v>3468</v>
      </c>
      <c r="D1096" s="42" t="s">
        <v>3434</v>
      </c>
      <c r="E1096" s="55">
        <v>46125</v>
      </c>
      <c r="F1096" s="26" t="s">
        <v>948</v>
      </c>
      <c r="G1096" s="26" t="s">
        <v>58</v>
      </c>
      <c r="H1096" s="26" t="s">
        <v>56</v>
      </c>
      <c r="I1096" s="26" t="s">
        <v>70</v>
      </c>
      <c r="J1096" s="26" t="s">
        <v>58</v>
      </c>
      <c r="K1096" s="27"/>
      <c r="L1096" s="28" t="s">
        <v>56</v>
      </c>
      <c r="M1096" s="29" t="str">
        <f t="shared" si="85"/>
        <v>✓ OK</v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4.25" customHeight="1" x14ac:dyDescent="0.3">
      <c r="A1097" s="23">
        <v>1093</v>
      </c>
      <c r="B1097" s="24" t="s">
        <v>3469</v>
      </c>
      <c r="C1097" s="25" t="s">
        <v>3470</v>
      </c>
      <c r="D1097" s="23" t="s">
        <v>3434</v>
      </c>
      <c r="E1097" s="55">
        <v>46125</v>
      </c>
      <c r="F1097" s="26" t="s">
        <v>948</v>
      </c>
      <c r="G1097" s="26" t="s">
        <v>58</v>
      </c>
      <c r="H1097" s="26" t="s">
        <v>56</v>
      </c>
      <c r="I1097" s="26" t="s">
        <v>70</v>
      </c>
      <c r="J1097" s="26" t="s">
        <v>58</v>
      </c>
      <c r="K1097" s="27"/>
      <c r="L1097" s="28" t="s">
        <v>56</v>
      </c>
      <c r="M1097" s="29" t="str">
        <f t="shared" si="85"/>
        <v>✓ OK</v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4.25" customHeight="1" x14ac:dyDescent="0.3">
      <c r="A1098" s="42">
        <v>1094</v>
      </c>
      <c r="B1098" s="43" t="s">
        <v>3471</v>
      </c>
      <c r="C1098" s="44" t="s">
        <v>3472</v>
      </c>
      <c r="D1098" s="42" t="s">
        <v>3434</v>
      </c>
      <c r="E1098" s="55">
        <v>46125</v>
      </c>
      <c r="F1098" s="26" t="s">
        <v>948</v>
      </c>
      <c r="G1098" s="26" t="s">
        <v>58</v>
      </c>
      <c r="H1098" s="26" t="s">
        <v>56</v>
      </c>
      <c r="I1098" s="26" t="s">
        <v>70</v>
      </c>
      <c r="J1098" s="26" t="s">
        <v>58</v>
      </c>
      <c r="K1098" s="27"/>
      <c r="L1098" s="28" t="s">
        <v>56</v>
      </c>
      <c r="M1098" s="29" t="str">
        <f t="shared" si="85"/>
        <v>✓ OK</v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4.25" customHeight="1" x14ac:dyDescent="0.3">
      <c r="A1099" s="23">
        <v>1095</v>
      </c>
      <c r="B1099" s="24" t="s">
        <v>3473</v>
      </c>
      <c r="C1099" s="25" t="s">
        <v>3474</v>
      </c>
      <c r="D1099" s="23" t="s">
        <v>3434</v>
      </c>
      <c r="E1099" s="55">
        <v>46125</v>
      </c>
      <c r="F1099" s="26" t="s">
        <v>948</v>
      </c>
      <c r="G1099" s="26" t="s">
        <v>58</v>
      </c>
      <c r="H1099" s="26" t="s">
        <v>56</v>
      </c>
      <c r="I1099" s="26" t="s">
        <v>70</v>
      </c>
      <c r="J1099" s="26" t="s">
        <v>58</v>
      </c>
      <c r="K1099" s="27"/>
      <c r="L1099" s="28" t="s">
        <v>56</v>
      </c>
      <c r="M1099" s="29" t="str">
        <f t="shared" si="85"/>
        <v>✓ OK</v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4.25" customHeight="1" x14ac:dyDescent="0.3">
      <c r="A1100" s="42">
        <v>1096</v>
      </c>
      <c r="B1100" s="43" t="s">
        <v>3475</v>
      </c>
      <c r="C1100" s="44" t="s">
        <v>3476</v>
      </c>
      <c r="D1100" s="42" t="s">
        <v>3434</v>
      </c>
      <c r="E1100" s="55">
        <v>46125</v>
      </c>
      <c r="F1100" s="26" t="s">
        <v>948</v>
      </c>
      <c r="G1100" s="26" t="s">
        <v>58</v>
      </c>
      <c r="H1100" s="26" t="s">
        <v>56</v>
      </c>
      <c r="I1100" s="26" t="s">
        <v>70</v>
      </c>
      <c r="J1100" s="26" t="s">
        <v>58</v>
      </c>
      <c r="K1100" s="27"/>
      <c r="L1100" s="28" t="s">
        <v>56</v>
      </c>
      <c r="M1100" s="29" t="str">
        <f t="shared" si="85"/>
        <v>✓ OK</v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4.25" customHeight="1" x14ac:dyDescent="0.3">
      <c r="A1101" s="23">
        <v>1097</v>
      </c>
      <c r="B1101" s="24" t="s">
        <v>3477</v>
      </c>
      <c r="C1101" s="25" t="s">
        <v>3478</v>
      </c>
      <c r="D1101" s="23" t="s">
        <v>3434</v>
      </c>
      <c r="E1101" s="55">
        <v>46125</v>
      </c>
      <c r="F1101" s="26" t="s">
        <v>948</v>
      </c>
      <c r="G1101" s="26" t="s">
        <v>58</v>
      </c>
      <c r="H1101" s="26" t="s">
        <v>56</v>
      </c>
      <c r="I1101" s="26" t="s">
        <v>70</v>
      </c>
      <c r="J1101" s="26" t="s">
        <v>58</v>
      </c>
      <c r="K1101" s="27"/>
      <c r="L1101" s="28" t="s">
        <v>56</v>
      </c>
      <c r="M1101" s="29" t="str">
        <f t="shared" si="85"/>
        <v>✓ OK</v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4.25" customHeight="1" x14ac:dyDescent="0.3">
      <c r="A1102" s="42">
        <v>1098</v>
      </c>
      <c r="B1102" s="43" t="s">
        <v>3479</v>
      </c>
      <c r="C1102" s="44" t="s">
        <v>3480</v>
      </c>
      <c r="D1102" s="42" t="s">
        <v>3434</v>
      </c>
      <c r="E1102" s="55">
        <v>46125</v>
      </c>
      <c r="F1102" s="26" t="s">
        <v>948</v>
      </c>
      <c r="G1102" s="26" t="s">
        <v>58</v>
      </c>
      <c r="H1102" s="26" t="s">
        <v>56</v>
      </c>
      <c r="I1102" s="26" t="s">
        <v>70</v>
      </c>
      <c r="J1102" s="26" t="s">
        <v>58</v>
      </c>
      <c r="K1102" s="27"/>
      <c r="L1102" s="28" t="s">
        <v>56</v>
      </c>
      <c r="M1102" s="29" t="str">
        <f t="shared" si="85"/>
        <v>✓ OK</v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4.25" customHeight="1" x14ac:dyDescent="0.3">
      <c r="A1103" s="23">
        <v>1099</v>
      </c>
      <c r="B1103" s="24" t="s">
        <v>3481</v>
      </c>
      <c r="C1103" s="25" t="s">
        <v>3482</v>
      </c>
      <c r="D1103" s="23" t="s">
        <v>3434</v>
      </c>
      <c r="E1103" s="55">
        <v>46125</v>
      </c>
      <c r="F1103" s="26" t="s">
        <v>948</v>
      </c>
      <c r="G1103" s="26" t="s">
        <v>58</v>
      </c>
      <c r="H1103" s="26" t="s">
        <v>56</v>
      </c>
      <c r="I1103" s="26" t="s">
        <v>70</v>
      </c>
      <c r="J1103" s="26" t="s">
        <v>58</v>
      </c>
      <c r="K1103" s="27"/>
      <c r="L1103" s="28" t="s">
        <v>56</v>
      </c>
      <c r="M1103" s="29" t="str">
        <f t="shared" si="85"/>
        <v>✓ OK</v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4.25" customHeight="1" x14ac:dyDescent="0.3">
      <c r="A1104" s="42">
        <v>1100</v>
      </c>
      <c r="B1104" s="43" t="s">
        <v>3483</v>
      </c>
      <c r="C1104" s="44" t="s">
        <v>3484</v>
      </c>
      <c r="D1104" s="42" t="s">
        <v>3434</v>
      </c>
      <c r="E1104" s="55">
        <v>46125</v>
      </c>
      <c r="F1104" s="26" t="s">
        <v>948</v>
      </c>
      <c r="G1104" s="26" t="s">
        <v>58</v>
      </c>
      <c r="H1104" s="26" t="s">
        <v>56</v>
      </c>
      <c r="I1104" s="26" t="s">
        <v>70</v>
      </c>
      <c r="J1104" s="26" t="s">
        <v>58</v>
      </c>
      <c r="K1104" s="27"/>
      <c r="L1104" s="28" t="s">
        <v>56</v>
      </c>
      <c r="M1104" s="29" t="str">
        <f t="shared" si="85"/>
        <v>✓ OK</v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4.25" customHeight="1" x14ac:dyDescent="0.3">
      <c r="A1105" s="23">
        <v>1101</v>
      </c>
      <c r="B1105" s="24" t="s">
        <v>3485</v>
      </c>
      <c r="C1105" s="25" t="s">
        <v>3486</v>
      </c>
      <c r="D1105" s="23" t="s">
        <v>3434</v>
      </c>
      <c r="E1105" s="55">
        <v>46125</v>
      </c>
      <c r="F1105" s="26" t="s">
        <v>948</v>
      </c>
      <c r="G1105" s="26" t="s">
        <v>58</v>
      </c>
      <c r="H1105" s="26" t="s">
        <v>56</v>
      </c>
      <c r="I1105" s="26" t="s">
        <v>70</v>
      </c>
      <c r="J1105" s="26" t="s">
        <v>58</v>
      </c>
      <c r="K1105" s="27"/>
      <c r="L1105" s="28" t="s">
        <v>56</v>
      </c>
      <c r="M1105" s="29" t="str">
        <f t="shared" si="85"/>
        <v>✓ OK</v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4.25" customHeight="1" x14ac:dyDescent="0.3">
      <c r="A1106" s="42">
        <v>1102</v>
      </c>
      <c r="B1106" s="43" t="s">
        <v>3487</v>
      </c>
      <c r="C1106" s="44" t="s">
        <v>3488</v>
      </c>
      <c r="D1106" s="42" t="s">
        <v>3434</v>
      </c>
      <c r="E1106" s="55">
        <v>46125</v>
      </c>
      <c r="F1106" s="26" t="s">
        <v>948</v>
      </c>
      <c r="G1106" s="26" t="s">
        <v>58</v>
      </c>
      <c r="H1106" s="26" t="s">
        <v>56</v>
      </c>
      <c r="I1106" s="26" t="s">
        <v>70</v>
      </c>
      <c r="J1106" s="26" t="s">
        <v>58</v>
      </c>
      <c r="K1106" s="27"/>
      <c r="L1106" s="28" t="s">
        <v>56</v>
      </c>
      <c r="M1106" s="29" t="str">
        <f t="shared" si="85"/>
        <v>✓ OK</v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4.25" customHeight="1" x14ac:dyDescent="0.3">
      <c r="A1107" s="23">
        <v>1103</v>
      </c>
      <c r="B1107" s="24" t="s">
        <v>3489</v>
      </c>
      <c r="C1107" s="25" t="s">
        <v>3490</v>
      </c>
      <c r="D1107" s="23" t="s">
        <v>3434</v>
      </c>
      <c r="E1107" s="55">
        <v>46125</v>
      </c>
      <c r="F1107" s="26" t="s">
        <v>948</v>
      </c>
      <c r="G1107" s="26" t="s">
        <v>58</v>
      </c>
      <c r="H1107" s="26" t="s">
        <v>56</v>
      </c>
      <c r="I1107" s="26" t="s">
        <v>70</v>
      </c>
      <c r="J1107" s="26" t="s">
        <v>58</v>
      </c>
      <c r="K1107" s="27"/>
      <c r="L1107" s="28" t="s">
        <v>56</v>
      </c>
      <c r="M1107" s="29" t="str">
        <f t="shared" si="85"/>
        <v>✓ OK</v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4.25" customHeight="1" x14ac:dyDescent="0.3">
      <c r="A1108" s="42">
        <v>1104</v>
      </c>
      <c r="B1108" s="43" t="s">
        <v>3491</v>
      </c>
      <c r="C1108" s="44" t="s">
        <v>3492</v>
      </c>
      <c r="D1108" s="42" t="s">
        <v>3434</v>
      </c>
      <c r="E1108" s="55">
        <v>46125</v>
      </c>
      <c r="F1108" s="26" t="s">
        <v>948</v>
      </c>
      <c r="G1108" s="26" t="s">
        <v>58</v>
      </c>
      <c r="H1108" s="26" t="s">
        <v>56</v>
      </c>
      <c r="I1108" s="26" t="s">
        <v>70</v>
      </c>
      <c r="J1108" s="26" t="s">
        <v>58</v>
      </c>
      <c r="K1108" s="27"/>
      <c r="L1108" s="28" t="s">
        <v>56</v>
      </c>
      <c r="M1108" s="29" t="str">
        <f t="shared" si="85"/>
        <v>✓ OK</v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4.25" customHeight="1" x14ac:dyDescent="0.3">
      <c r="A1109" s="23">
        <v>1105</v>
      </c>
      <c r="B1109" s="24" t="s">
        <v>3493</v>
      </c>
      <c r="C1109" s="25" t="s">
        <v>3494</v>
      </c>
      <c r="D1109" s="23" t="s">
        <v>3434</v>
      </c>
      <c r="E1109" s="55">
        <v>46125</v>
      </c>
      <c r="F1109" s="26" t="s">
        <v>948</v>
      </c>
      <c r="G1109" s="26" t="s">
        <v>58</v>
      </c>
      <c r="H1109" s="26" t="s">
        <v>56</v>
      </c>
      <c r="I1109" s="26" t="s">
        <v>70</v>
      </c>
      <c r="J1109" s="26" t="s">
        <v>58</v>
      </c>
      <c r="K1109" s="27"/>
      <c r="L1109" s="28" t="s">
        <v>56</v>
      </c>
      <c r="M1109" s="29" t="str">
        <f t="shared" si="85"/>
        <v>✓ OK</v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4.25" customHeight="1" x14ac:dyDescent="0.3">
      <c r="A1110" s="42">
        <v>1106</v>
      </c>
      <c r="B1110" s="43" t="s">
        <v>3495</v>
      </c>
      <c r="C1110" s="44" t="s">
        <v>3496</v>
      </c>
      <c r="D1110" s="42" t="s">
        <v>3434</v>
      </c>
      <c r="E1110" s="55">
        <v>46125</v>
      </c>
      <c r="F1110" s="26" t="s">
        <v>948</v>
      </c>
      <c r="G1110" s="26" t="s">
        <v>58</v>
      </c>
      <c r="H1110" s="26" t="s">
        <v>56</v>
      </c>
      <c r="I1110" s="26" t="s">
        <v>70</v>
      </c>
      <c r="J1110" s="26" t="s">
        <v>58</v>
      </c>
      <c r="K1110" s="27"/>
      <c r="L1110" s="28" t="s">
        <v>56</v>
      </c>
      <c r="M1110" s="29" t="str">
        <f t="shared" si="85"/>
        <v>✓ OK</v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4.25" customHeight="1" x14ac:dyDescent="0.3">
      <c r="A1111" s="23">
        <v>1107</v>
      </c>
      <c r="B1111" s="24" t="s">
        <v>3497</v>
      </c>
      <c r="C1111" s="25" t="s">
        <v>3498</v>
      </c>
      <c r="D1111" s="23" t="s">
        <v>3434</v>
      </c>
      <c r="E1111" s="55">
        <v>46125</v>
      </c>
      <c r="F1111" s="26" t="s">
        <v>948</v>
      </c>
      <c r="G1111" s="26" t="s">
        <v>58</v>
      </c>
      <c r="H1111" s="26" t="s">
        <v>56</v>
      </c>
      <c r="I1111" s="26" t="s">
        <v>70</v>
      </c>
      <c r="J1111" s="26" t="s">
        <v>58</v>
      </c>
      <c r="K1111" s="27"/>
      <c r="L1111" s="28" t="s">
        <v>56</v>
      </c>
      <c r="M1111" s="29" t="str">
        <f t="shared" si="85"/>
        <v>✓ OK</v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4.25" customHeight="1" x14ac:dyDescent="0.3">
      <c r="A1112" s="42">
        <v>1108</v>
      </c>
      <c r="B1112" s="43" t="s">
        <v>3499</v>
      </c>
      <c r="C1112" s="44" t="s">
        <v>3500</v>
      </c>
      <c r="D1112" s="42" t="s">
        <v>3434</v>
      </c>
      <c r="E1112" s="55">
        <v>46125</v>
      </c>
      <c r="F1112" s="26" t="s">
        <v>948</v>
      </c>
      <c r="G1112" s="26" t="s">
        <v>58</v>
      </c>
      <c r="H1112" s="26" t="s">
        <v>56</v>
      </c>
      <c r="I1112" s="26" t="s">
        <v>70</v>
      </c>
      <c r="J1112" s="26" t="s">
        <v>58</v>
      </c>
      <c r="K1112" s="27"/>
      <c r="L1112" s="28" t="s">
        <v>56</v>
      </c>
      <c r="M1112" s="29" t="str">
        <f t="shared" si="85"/>
        <v>✓ OK</v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4.25" customHeight="1" x14ac:dyDescent="0.3">
      <c r="A1113" s="23">
        <v>1109</v>
      </c>
      <c r="B1113" s="24" t="s">
        <v>3501</v>
      </c>
      <c r="C1113" s="25" t="s">
        <v>3502</v>
      </c>
      <c r="D1113" s="23" t="s">
        <v>3434</v>
      </c>
      <c r="E1113" s="55">
        <v>46125</v>
      </c>
      <c r="F1113" s="26" t="s">
        <v>948</v>
      </c>
      <c r="G1113" s="26" t="s">
        <v>58</v>
      </c>
      <c r="H1113" s="26" t="s">
        <v>56</v>
      </c>
      <c r="I1113" s="26" t="s">
        <v>70</v>
      </c>
      <c r="J1113" s="26" t="s">
        <v>58</v>
      </c>
      <c r="K1113" s="27"/>
      <c r="L1113" s="28" t="s">
        <v>56</v>
      </c>
      <c r="M1113" s="29" t="str">
        <f t="shared" si="85"/>
        <v>✓ OK</v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4.25" customHeight="1" x14ac:dyDescent="0.3">
      <c r="A1114" s="42">
        <v>1110</v>
      </c>
      <c r="B1114" s="43" t="s">
        <v>3503</v>
      </c>
      <c r="C1114" s="44" t="s">
        <v>3504</v>
      </c>
      <c r="D1114" s="42" t="s">
        <v>3434</v>
      </c>
      <c r="E1114" s="55">
        <v>46125</v>
      </c>
      <c r="F1114" s="26" t="s">
        <v>948</v>
      </c>
      <c r="G1114" s="26" t="s">
        <v>58</v>
      </c>
      <c r="H1114" s="26" t="s">
        <v>56</v>
      </c>
      <c r="I1114" s="26" t="s">
        <v>70</v>
      </c>
      <c r="J1114" s="26" t="s">
        <v>58</v>
      </c>
      <c r="K1114" s="27"/>
      <c r="L1114" s="28" t="s">
        <v>56</v>
      </c>
      <c r="M1114" s="29" t="str">
        <f t="shared" si="85"/>
        <v>✓ OK</v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4.25" customHeight="1" x14ac:dyDescent="0.3">
      <c r="A1115" s="23">
        <v>1111</v>
      </c>
      <c r="B1115" s="24" t="s">
        <v>3505</v>
      </c>
      <c r="C1115" s="25" t="s">
        <v>3506</v>
      </c>
      <c r="D1115" s="23" t="s">
        <v>3434</v>
      </c>
      <c r="E1115" s="55">
        <v>46125</v>
      </c>
      <c r="F1115" s="26" t="s">
        <v>948</v>
      </c>
      <c r="G1115" s="26" t="s">
        <v>58</v>
      </c>
      <c r="H1115" s="26" t="s">
        <v>56</v>
      </c>
      <c r="I1115" s="26" t="s">
        <v>70</v>
      </c>
      <c r="J1115" s="26" t="s">
        <v>58</v>
      </c>
      <c r="K1115" s="27"/>
      <c r="L1115" s="28" t="s">
        <v>56</v>
      </c>
      <c r="M1115" s="29" t="str">
        <f t="shared" si="85"/>
        <v>✓ OK</v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4.25" customHeight="1" x14ac:dyDescent="0.3">
      <c r="A1116" s="42">
        <v>1112</v>
      </c>
      <c r="B1116" s="43" t="s">
        <v>3507</v>
      </c>
      <c r="C1116" s="44" t="s">
        <v>3508</v>
      </c>
      <c r="D1116" s="42" t="s">
        <v>3434</v>
      </c>
      <c r="E1116" s="55">
        <v>46125</v>
      </c>
      <c r="F1116" s="26" t="s">
        <v>948</v>
      </c>
      <c r="G1116" s="26" t="s">
        <v>58</v>
      </c>
      <c r="H1116" s="26" t="s">
        <v>56</v>
      </c>
      <c r="I1116" s="26" t="s">
        <v>70</v>
      </c>
      <c r="J1116" s="26" t="s">
        <v>58</v>
      </c>
      <c r="K1116" s="27"/>
      <c r="L1116" s="28" t="s">
        <v>56</v>
      </c>
      <c r="M1116" s="29" t="str">
        <f t="shared" si="85"/>
        <v>✓ OK</v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4.25" customHeight="1" x14ac:dyDescent="0.3">
      <c r="A1117" s="23">
        <v>1113</v>
      </c>
      <c r="B1117" s="24" t="s">
        <v>3509</v>
      </c>
      <c r="C1117" s="25" t="s">
        <v>3510</v>
      </c>
      <c r="D1117" s="23" t="s">
        <v>3434</v>
      </c>
      <c r="E1117" s="55">
        <v>46125</v>
      </c>
      <c r="F1117" s="26" t="s">
        <v>948</v>
      </c>
      <c r="G1117" s="26" t="s">
        <v>58</v>
      </c>
      <c r="H1117" s="26" t="s">
        <v>56</v>
      </c>
      <c r="I1117" s="26" t="s">
        <v>70</v>
      </c>
      <c r="J1117" s="26" t="s">
        <v>58</v>
      </c>
      <c r="K1117" s="27"/>
      <c r="L1117" s="28" t="s">
        <v>56</v>
      </c>
      <c r="M1117" s="29" t="str">
        <f t="shared" si="85"/>
        <v>✓ OK</v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4.25" customHeight="1" x14ac:dyDescent="0.3">
      <c r="A1118" s="42">
        <v>1114</v>
      </c>
      <c r="B1118" s="43" t="s">
        <v>3511</v>
      </c>
      <c r="C1118" s="44" t="s">
        <v>3512</v>
      </c>
      <c r="D1118" s="42" t="s">
        <v>3434</v>
      </c>
      <c r="E1118" s="55">
        <v>46125</v>
      </c>
      <c r="F1118" s="26" t="s">
        <v>948</v>
      </c>
      <c r="G1118" s="26" t="s">
        <v>58</v>
      </c>
      <c r="H1118" s="26" t="s">
        <v>56</v>
      </c>
      <c r="I1118" s="26" t="s">
        <v>70</v>
      </c>
      <c r="J1118" s="26" t="s">
        <v>58</v>
      </c>
      <c r="K1118" s="27"/>
      <c r="L1118" s="28" t="s">
        <v>56</v>
      </c>
      <c r="M1118" s="29" t="str">
        <f t="shared" si="85"/>
        <v>✓ OK</v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4.25" customHeight="1" x14ac:dyDescent="0.3">
      <c r="A1119" s="23">
        <v>1115</v>
      </c>
      <c r="B1119" s="24" t="s">
        <v>3513</v>
      </c>
      <c r="C1119" s="25" t="s">
        <v>3514</v>
      </c>
      <c r="D1119" s="23" t="s">
        <v>3434</v>
      </c>
      <c r="E1119" s="55">
        <v>46125</v>
      </c>
      <c r="F1119" s="26" t="s">
        <v>948</v>
      </c>
      <c r="G1119" s="26" t="s">
        <v>58</v>
      </c>
      <c r="H1119" s="26" t="s">
        <v>56</v>
      </c>
      <c r="I1119" s="26" t="s">
        <v>70</v>
      </c>
      <c r="J1119" s="26" t="s">
        <v>58</v>
      </c>
      <c r="K1119" s="27"/>
      <c r="L1119" s="28" t="s">
        <v>56</v>
      </c>
      <c r="M1119" s="29" t="str">
        <f t="shared" si="85"/>
        <v>✓ OK</v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4.25" customHeight="1" x14ac:dyDescent="0.3">
      <c r="A1120" s="42">
        <v>1116</v>
      </c>
      <c r="B1120" s="43" t="s">
        <v>3515</v>
      </c>
      <c r="C1120" s="44" t="s">
        <v>3516</v>
      </c>
      <c r="D1120" s="42" t="s">
        <v>3434</v>
      </c>
      <c r="E1120" s="55">
        <v>46125</v>
      </c>
      <c r="F1120" s="26" t="s">
        <v>948</v>
      </c>
      <c r="G1120" s="26" t="s">
        <v>58</v>
      </c>
      <c r="H1120" s="26" t="s">
        <v>56</v>
      </c>
      <c r="I1120" s="26" t="s">
        <v>70</v>
      </c>
      <c r="J1120" s="26" t="s">
        <v>58</v>
      </c>
      <c r="K1120" s="27"/>
      <c r="L1120" s="28" t="s">
        <v>56</v>
      </c>
      <c r="M1120" s="29" t="str">
        <f t="shared" si="85"/>
        <v>✓ OK</v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4.25" customHeight="1" x14ac:dyDescent="0.3">
      <c r="A1121" s="23">
        <v>1117</v>
      </c>
      <c r="B1121" s="24" t="s">
        <v>3517</v>
      </c>
      <c r="C1121" s="25" t="s">
        <v>3518</v>
      </c>
      <c r="D1121" s="23" t="s">
        <v>3434</v>
      </c>
      <c r="E1121" s="55">
        <v>46125</v>
      </c>
      <c r="F1121" s="26" t="s">
        <v>948</v>
      </c>
      <c r="G1121" s="26" t="s">
        <v>58</v>
      </c>
      <c r="H1121" s="26" t="s">
        <v>56</v>
      </c>
      <c r="I1121" s="26" t="s">
        <v>70</v>
      </c>
      <c r="J1121" s="26" t="s">
        <v>58</v>
      </c>
      <c r="K1121" s="27"/>
      <c r="L1121" s="28" t="s">
        <v>56</v>
      </c>
      <c r="M1121" s="29" t="str">
        <f t="shared" si="85"/>
        <v>✓ OK</v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4.25" customHeight="1" x14ac:dyDescent="0.3">
      <c r="A1122" s="42">
        <v>1118</v>
      </c>
      <c r="B1122" s="43" t="s">
        <v>3519</v>
      </c>
      <c r="C1122" s="44" t="s">
        <v>3520</v>
      </c>
      <c r="D1122" s="42" t="s">
        <v>3434</v>
      </c>
      <c r="E1122" s="55">
        <v>46125</v>
      </c>
      <c r="F1122" s="26" t="s">
        <v>948</v>
      </c>
      <c r="G1122" s="26" t="s">
        <v>58</v>
      </c>
      <c r="H1122" s="26" t="s">
        <v>56</v>
      </c>
      <c r="I1122" s="26" t="s">
        <v>70</v>
      </c>
      <c r="J1122" s="26" t="s">
        <v>58</v>
      </c>
      <c r="K1122" s="27"/>
      <c r="L1122" s="28" t="s">
        <v>56</v>
      </c>
      <c r="M1122" s="29" t="str">
        <f t="shared" si="85"/>
        <v>✓ OK</v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4.25" customHeight="1" x14ac:dyDescent="0.3">
      <c r="A1123" s="23">
        <v>1119</v>
      </c>
      <c r="B1123" s="24" t="s">
        <v>3521</v>
      </c>
      <c r="C1123" s="25" t="s">
        <v>3522</v>
      </c>
      <c r="D1123" s="23" t="s">
        <v>3434</v>
      </c>
      <c r="E1123" s="55">
        <v>46125</v>
      </c>
      <c r="F1123" s="26" t="s">
        <v>948</v>
      </c>
      <c r="G1123" s="26" t="s">
        <v>58</v>
      </c>
      <c r="H1123" s="26" t="s">
        <v>56</v>
      </c>
      <c r="I1123" s="26" t="s">
        <v>70</v>
      </c>
      <c r="J1123" s="26" t="s">
        <v>58</v>
      </c>
      <c r="K1123" s="27"/>
      <c r="L1123" s="28" t="s">
        <v>56</v>
      </c>
      <c r="M1123" s="29" t="str">
        <f t="shared" si="85"/>
        <v>✓ OK</v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4.25" customHeight="1" x14ac:dyDescent="0.3">
      <c r="A1124" s="42">
        <v>1120</v>
      </c>
      <c r="B1124" s="43" t="s">
        <v>3523</v>
      </c>
      <c r="C1124" s="44" t="s">
        <v>3524</v>
      </c>
      <c r="D1124" s="42" t="s">
        <v>3434</v>
      </c>
      <c r="E1124" s="55">
        <v>46125</v>
      </c>
      <c r="F1124" s="26" t="s">
        <v>948</v>
      </c>
      <c r="G1124" s="26" t="s">
        <v>58</v>
      </c>
      <c r="H1124" s="26" t="s">
        <v>56</v>
      </c>
      <c r="I1124" s="26" t="s">
        <v>70</v>
      </c>
      <c r="J1124" s="26" t="s">
        <v>58</v>
      </c>
      <c r="K1124" s="27"/>
      <c r="L1124" s="28" t="s">
        <v>56</v>
      </c>
      <c r="M1124" s="29" t="str">
        <f t="shared" si="85"/>
        <v>✓ OK</v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4.25" customHeight="1" x14ac:dyDescent="0.3">
      <c r="A1125" s="23">
        <v>1121</v>
      </c>
      <c r="B1125" s="24" t="s">
        <v>3525</v>
      </c>
      <c r="C1125" s="25" t="s">
        <v>3526</v>
      </c>
      <c r="D1125" s="23" t="s">
        <v>3434</v>
      </c>
      <c r="E1125" s="55">
        <v>46125</v>
      </c>
      <c r="F1125" s="26" t="s">
        <v>948</v>
      </c>
      <c r="G1125" s="26" t="s">
        <v>58</v>
      </c>
      <c r="H1125" s="26" t="s">
        <v>56</v>
      </c>
      <c r="I1125" s="26" t="s">
        <v>70</v>
      </c>
      <c r="J1125" s="26" t="s">
        <v>58</v>
      </c>
      <c r="K1125" s="27"/>
      <c r="L1125" s="28" t="s">
        <v>56</v>
      </c>
      <c r="M1125" s="29" t="str">
        <f t="shared" si="85"/>
        <v>✓ OK</v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4.25" customHeight="1" x14ac:dyDescent="0.3">
      <c r="A1126" s="42">
        <v>1122</v>
      </c>
      <c r="B1126" s="43" t="s">
        <v>3527</v>
      </c>
      <c r="C1126" s="44" t="s">
        <v>3528</v>
      </c>
      <c r="D1126" s="42" t="s">
        <v>3434</v>
      </c>
      <c r="E1126" s="55">
        <v>46125</v>
      </c>
      <c r="F1126" s="26" t="s">
        <v>948</v>
      </c>
      <c r="G1126" s="26" t="s">
        <v>58</v>
      </c>
      <c r="H1126" s="26" t="s">
        <v>56</v>
      </c>
      <c r="I1126" s="26" t="s">
        <v>70</v>
      </c>
      <c r="J1126" s="26" t="s">
        <v>58</v>
      </c>
      <c r="K1126" s="27"/>
      <c r="L1126" s="28" t="s">
        <v>56</v>
      </c>
      <c r="M1126" s="29" t="str">
        <f t="shared" si="85"/>
        <v>✓ OK</v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4.25" customHeight="1" x14ac:dyDescent="0.3">
      <c r="A1127" s="23">
        <v>1123</v>
      </c>
      <c r="B1127" s="24" t="s">
        <v>3529</v>
      </c>
      <c r="C1127" s="25" t="s">
        <v>3530</v>
      </c>
      <c r="D1127" s="23" t="s">
        <v>3434</v>
      </c>
      <c r="E1127" s="55">
        <v>46125</v>
      </c>
      <c r="F1127" s="26" t="s">
        <v>948</v>
      </c>
      <c r="G1127" s="26" t="s">
        <v>58</v>
      </c>
      <c r="H1127" s="26" t="s">
        <v>56</v>
      </c>
      <c r="I1127" s="26" t="s">
        <v>70</v>
      </c>
      <c r="J1127" s="26" t="s">
        <v>58</v>
      </c>
      <c r="K1127" s="27"/>
      <c r="L1127" s="28" t="s">
        <v>56</v>
      </c>
      <c r="M1127" s="29" t="str">
        <f t="shared" si="85"/>
        <v>✓ OK</v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4.25" customHeight="1" x14ac:dyDescent="0.3">
      <c r="A1128" s="42">
        <v>1124</v>
      </c>
      <c r="B1128" s="43" t="s">
        <v>3531</v>
      </c>
      <c r="C1128" s="44" t="s">
        <v>3532</v>
      </c>
      <c r="D1128" s="42" t="s">
        <v>3434</v>
      </c>
      <c r="E1128" s="55">
        <v>46125</v>
      </c>
      <c r="F1128" s="26" t="s">
        <v>948</v>
      </c>
      <c r="G1128" s="26" t="s">
        <v>58</v>
      </c>
      <c r="H1128" s="26" t="s">
        <v>56</v>
      </c>
      <c r="I1128" s="26" t="s">
        <v>70</v>
      </c>
      <c r="J1128" s="26" t="s">
        <v>58</v>
      </c>
      <c r="K1128" s="27"/>
      <c r="L1128" s="28" t="s">
        <v>56</v>
      </c>
      <c r="M1128" s="29" t="str">
        <f t="shared" si="85"/>
        <v>✓ OK</v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4.25" customHeight="1" x14ac:dyDescent="0.3">
      <c r="A1129" s="23">
        <v>1125</v>
      </c>
      <c r="B1129" s="24" t="s">
        <v>3533</v>
      </c>
      <c r="C1129" s="25" t="s">
        <v>3534</v>
      </c>
      <c r="D1129" s="23" t="s">
        <v>3434</v>
      </c>
      <c r="E1129" s="55">
        <v>46125</v>
      </c>
      <c r="F1129" s="26" t="s">
        <v>948</v>
      </c>
      <c r="G1129" s="26" t="s">
        <v>58</v>
      </c>
      <c r="H1129" s="26" t="s">
        <v>56</v>
      </c>
      <c r="I1129" s="26" t="s">
        <v>70</v>
      </c>
      <c r="J1129" s="26" t="s">
        <v>58</v>
      </c>
      <c r="K1129" s="27"/>
      <c r="L1129" s="28" t="s">
        <v>56</v>
      </c>
      <c r="M1129" s="29" t="str">
        <f t="shared" si="85"/>
        <v>✓ OK</v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4.25" customHeight="1" x14ac:dyDescent="0.3">
      <c r="A1130" s="42">
        <v>1126</v>
      </c>
      <c r="B1130" s="43" t="s">
        <v>3535</v>
      </c>
      <c r="C1130" s="44" t="s">
        <v>3536</v>
      </c>
      <c r="D1130" s="42" t="s">
        <v>3434</v>
      </c>
      <c r="E1130" s="55">
        <v>46125</v>
      </c>
      <c r="F1130" s="26" t="s">
        <v>948</v>
      </c>
      <c r="G1130" s="26" t="s">
        <v>58</v>
      </c>
      <c r="H1130" s="26" t="s">
        <v>56</v>
      </c>
      <c r="I1130" s="26" t="s">
        <v>70</v>
      </c>
      <c r="J1130" s="26" t="s">
        <v>58</v>
      </c>
      <c r="K1130" s="27"/>
      <c r="L1130" s="28" t="s">
        <v>56</v>
      </c>
      <c r="M1130" s="29" t="str">
        <f t="shared" si="85"/>
        <v>✓ OK</v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4.25" customHeight="1" x14ac:dyDescent="0.3">
      <c r="A1131" s="23">
        <v>1127</v>
      </c>
      <c r="B1131" s="24" t="s">
        <v>3537</v>
      </c>
      <c r="C1131" s="25" t="s">
        <v>3538</v>
      </c>
      <c r="D1131" s="23" t="s">
        <v>3434</v>
      </c>
      <c r="E1131" s="55">
        <v>46125</v>
      </c>
      <c r="F1131" s="26" t="s">
        <v>948</v>
      </c>
      <c r="G1131" s="26" t="s">
        <v>58</v>
      </c>
      <c r="H1131" s="26" t="s">
        <v>56</v>
      </c>
      <c r="I1131" s="26" t="s">
        <v>70</v>
      </c>
      <c r="J1131" s="26" t="s">
        <v>58</v>
      </c>
      <c r="K1131" s="27"/>
      <c r="L1131" s="28" t="s">
        <v>56</v>
      </c>
      <c r="M1131" s="29" t="str">
        <f t="shared" si="85"/>
        <v>✓ OK</v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4.25" customHeight="1" x14ac:dyDescent="0.3">
      <c r="A1132" s="42">
        <v>1128</v>
      </c>
      <c r="B1132" s="43" t="s">
        <v>3539</v>
      </c>
      <c r="C1132" s="44" t="s">
        <v>3540</v>
      </c>
      <c r="D1132" s="42" t="s">
        <v>3434</v>
      </c>
      <c r="E1132" s="55">
        <v>46125</v>
      </c>
      <c r="F1132" s="26" t="s">
        <v>948</v>
      </c>
      <c r="G1132" s="26" t="s">
        <v>58</v>
      </c>
      <c r="H1132" s="26" t="s">
        <v>56</v>
      </c>
      <c r="I1132" s="26" t="s">
        <v>70</v>
      </c>
      <c r="J1132" s="26" t="s">
        <v>58</v>
      </c>
      <c r="K1132" s="27"/>
      <c r="L1132" s="28" t="s">
        <v>56</v>
      </c>
      <c r="M1132" s="29" t="str">
        <f t="shared" si="85"/>
        <v>✓ OK</v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4.25" customHeight="1" x14ac:dyDescent="0.3">
      <c r="A1133" s="23">
        <v>1129</v>
      </c>
      <c r="B1133" s="24" t="s">
        <v>3541</v>
      </c>
      <c r="C1133" s="25" t="s">
        <v>3542</v>
      </c>
      <c r="D1133" s="23" t="s">
        <v>3434</v>
      </c>
      <c r="E1133" s="55">
        <v>46125</v>
      </c>
      <c r="F1133" s="26" t="s">
        <v>948</v>
      </c>
      <c r="G1133" s="26" t="s">
        <v>58</v>
      </c>
      <c r="H1133" s="26" t="s">
        <v>56</v>
      </c>
      <c r="I1133" s="26" t="s">
        <v>70</v>
      </c>
      <c r="J1133" s="26" t="s">
        <v>58</v>
      </c>
      <c r="K1133" s="27"/>
      <c r="L1133" s="28" t="s">
        <v>56</v>
      </c>
      <c r="M1133" s="29" t="str">
        <f t="shared" si="85"/>
        <v>✓ OK</v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4.25" customHeight="1" x14ac:dyDescent="0.3">
      <c r="A1134" s="42">
        <v>1130</v>
      </c>
      <c r="B1134" s="43" t="s">
        <v>3543</v>
      </c>
      <c r="C1134" s="44" t="s">
        <v>3544</v>
      </c>
      <c r="D1134" s="42" t="s">
        <v>3434</v>
      </c>
      <c r="E1134" s="55">
        <v>46125</v>
      </c>
      <c r="F1134" s="26" t="s">
        <v>948</v>
      </c>
      <c r="G1134" s="26" t="s">
        <v>58</v>
      </c>
      <c r="H1134" s="26" t="s">
        <v>56</v>
      </c>
      <c r="I1134" s="26" t="s">
        <v>70</v>
      </c>
      <c r="J1134" s="26" t="s">
        <v>58</v>
      </c>
      <c r="K1134" s="27"/>
      <c r="L1134" s="28" t="s">
        <v>56</v>
      </c>
      <c r="M1134" s="29" t="str">
        <f t="shared" si="85"/>
        <v>✓ OK</v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4.25" customHeight="1" x14ac:dyDescent="0.3">
      <c r="A1135" s="23">
        <v>1131</v>
      </c>
      <c r="B1135" s="24" t="s">
        <v>3545</v>
      </c>
      <c r="C1135" s="25" t="s">
        <v>3546</v>
      </c>
      <c r="D1135" s="23" t="s">
        <v>3434</v>
      </c>
      <c r="E1135" s="55">
        <v>46125</v>
      </c>
      <c r="F1135" s="26" t="s">
        <v>948</v>
      </c>
      <c r="G1135" s="26" t="s">
        <v>58</v>
      </c>
      <c r="H1135" s="26" t="s">
        <v>56</v>
      </c>
      <c r="I1135" s="26" t="s">
        <v>70</v>
      </c>
      <c r="J1135" s="26" t="s">
        <v>58</v>
      </c>
      <c r="K1135" s="27"/>
      <c r="L1135" s="28" t="s">
        <v>56</v>
      </c>
      <c r="M1135" s="29" t="str">
        <f t="shared" si="85"/>
        <v>✓ OK</v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4.25" customHeight="1" x14ac:dyDescent="0.3">
      <c r="A1136" s="42">
        <v>1132</v>
      </c>
      <c r="B1136" s="43" t="s">
        <v>3547</v>
      </c>
      <c r="C1136" s="44" t="s">
        <v>3548</v>
      </c>
      <c r="D1136" s="42" t="s">
        <v>3434</v>
      </c>
      <c r="E1136" s="55">
        <v>46125</v>
      </c>
      <c r="F1136" s="26" t="s">
        <v>948</v>
      </c>
      <c r="G1136" s="26" t="s">
        <v>58</v>
      </c>
      <c r="H1136" s="26" t="s">
        <v>56</v>
      </c>
      <c r="I1136" s="26" t="s">
        <v>70</v>
      </c>
      <c r="J1136" s="26" t="s">
        <v>58</v>
      </c>
      <c r="K1136" s="27"/>
      <c r="L1136" s="28" t="s">
        <v>56</v>
      </c>
      <c r="M1136" s="29" t="str">
        <f t="shared" si="85"/>
        <v>✓ OK</v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4.25" customHeight="1" x14ac:dyDescent="0.3">
      <c r="A1137" s="23">
        <v>1133</v>
      </c>
      <c r="B1137" s="24" t="s">
        <v>3549</v>
      </c>
      <c r="C1137" s="25" t="s">
        <v>3550</v>
      </c>
      <c r="D1137" s="23" t="s">
        <v>3434</v>
      </c>
      <c r="E1137" s="55">
        <v>46125</v>
      </c>
      <c r="F1137" s="26" t="s">
        <v>948</v>
      </c>
      <c r="G1137" s="26" t="s">
        <v>58</v>
      </c>
      <c r="H1137" s="26" t="s">
        <v>56</v>
      </c>
      <c r="I1137" s="26" t="s">
        <v>70</v>
      </c>
      <c r="J1137" s="26" t="s">
        <v>58</v>
      </c>
      <c r="K1137" s="27"/>
      <c r="L1137" s="28" t="s">
        <v>56</v>
      </c>
      <c r="M1137" s="29" t="str">
        <f t="shared" si="85"/>
        <v>✓ OK</v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4.25" customHeight="1" x14ac:dyDescent="0.3">
      <c r="A1138" s="42">
        <v>1134</v>
      </c>
      <c r="B1138" s="43" t="s">
        <v>3551</v>
      </c>
      <c r="C1138" s="44" t="s">
        <v>3552</v>
      </c>
      <c r="D1138" s="42" t="s">
        <v>3434</v>
      </c>
      <c r="E1138" s="55">
        <v>46125</v>
      </c>
      <c r="F1138" s="26" t="s">
        <v>948</v>
      </c>
      <c r="G1138" s="26" t="s">
        <v>58</v>
      </c>
      <c r="H1138" s="26" t="s">
        <v>56</v>
      </c>
      <c r="I1138" s="26" t="s">
        <v>70</v>
      </c>
      <c r="J1138" s="26" t="s">
        <v>58</v>
      </c>
      <c r="K1138" s="27"/>
      <c r="L1138" s="28" t="s">
        <v>56</v>
      </c>
      <c r="M1138" s="29" t="str">
        <f t="shared" si="85"/>
        <v>✓ OK</v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4.25" customHeight="1" x14ac:dyDescent="0.3">
      <c r="A1139" s="23">
        <v>1135</v>
      </c>
      <c r="B1139" s="24" t="s">
        <v>3553</v>
      </c>
      <c r="C1139" s="25" t="s">
        <v>3554</v>
      </c>
      <c r="D1139" s="23" t="s">
        <v>3434</v>
      </c>
      <c r="E1139" s="55">
        <v>46125</v>
      </c>
      <c r="F1139" s="26" t="s">
        <v>948</v>
      </c>
      <c r="G1139" s="26" t="s">
        <v>58</v>
      </c>
      <c r="H1139" s="26" t="s">
        <v>56</v>
      </c>
      <c r="I1139" s="26" t="s">
        <v>70</v>
      </c>
      <c r="J1139" s="26" t="s">
        <v>58</v>
      </c>
      <c r="K1139" s="27"/>
      <c r="L1139" s="28" t="s">
        <v>56</v>
      </c>
      <c r="M1139" s="29" t="str">
        <f t="shared" si="85"/>
        <v>✓ OK</v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4.25" customHeight="1" x14ac:dyDescent="0.3">
      <c r="A1140" s="42">
        <v>1136</v>
      </c>
      <c r="B1140" s="43" t="s">
        <v>3555</v>
      </c>
      <c r="C1140" s="44" t="s">
        <v>3556</v>
      </c>
      <c r="D1140" s="42" t="s">
        <v>3434</v>
      </c>
      <c r="E1140" s="55">
        <v>46125</v>
      </c>
      <c r="F1140" s="26" t="s">
        <v>948</v>
      </c>
      <c r="G1140" s="26" t="s">
        <v>58</v>
      </c>
      <c r="H1140" s="26" t="s">
        <v>56</v>
      </c>
      <c r="I1140" s="26" t="s">
        <v>70</v>
      </c>
      <c r="J1140" s="26" t="s">
        <v>58</v>
      </c>
      <c r="K1140" s="27"/>
      <c r="L1140" s="28" t="s">
        <v>56</v>
      </c>
      <c r="M1140" s="29" t="str">
        <f t="shared" si="85"/>
        <v>✓ OK</v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4.25" customHeight="1" x14ac:dyDescent="0.3">
      <c r="A1141" s="23">
        <v>1137</v>
      </c>
      <c r="B1141" s="24" t="s">
        <v>3557</v>
      </c>
      <c r="C1141" s="25" t="s">
        <v>3558</v>
      </c>
      <c r="D1141" s="23" t="s">
        <v>3434</v>
      </c>
      <c r="E1141" s="55">
        <v>46125</v>
      </c>
      <c r="F1141" s="26" t="s">
        <v>948</v>
      </c>
      <c r="G1141" s="26" t="s">
        <v>58</v>
      </c>
      <c r="H1141" s="26" t="s">
        <v>56</v>
      </c>
      <c r="I1141" s="26" t="s">
        <v>70</v>
      </c>
      <c r="J1141" s="26" t="s">
        <v>58</v>
      </c>
      <c r="K1141" s="27"/>
      <c r="L1141" s="28" t="s">
        <v>56</v>
      </c>
      <c r="M1141" s="29" t="str">
        <f t="shared" si="85"/>
        <v>✓ OK</v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4.25" customHeight="1" x14ac:dyDescent="0.3">
      <c r="A1142" s="42">
        <v>1138</v>
      </c>
      <c r="B1142" s="43" t="s">
        <v>3559</v>
      </c>
      <c r="C1142" s="44" t="s">
        <v>3560</v>
      </c>
      <c r="D1142" s="42" t="s">
        <v>3434</v>
      </c>
      <c r="E1142" s="55">
        <v>46125</v>
      </c>
      <c r="F1142" s="26" t="s">
        <v>948</v>
      </c>
      <c r="G1142" s="26" t="s">
        <v>58</v>
      </c>
      <c r="H1142" s="26" t="s">
        <v>56</v>
      </c>
      <c r="I1142" s="26" t="s">
        <v>70</v>
      </c>
      <c r="J1142" s="26" t="s">
        <v>58</v>
      </c>
      <c r="K1142" s="27"/>
      <c r="L1142" s="28" t="s">
        <v>56</v>
      </c>
      <c r="M1142" s="29" t="str">
        <f t="shared" si="85"/>
        <v>✓ OK</v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4.25" customHeight="1" x14ac:dyDescent="0.3">
      <c r="A1143" s="23">
        <v>1139</v>
      </c>
      <c r="B1143" s="24" t="s">
        <v>3561</v>
      </c>
      <c r="C1143" s="25" t="s">
        <v>3562</v>
      </c>
      <c r="D1143" s="23" t="s">
        <v>3434</v>
      </c>
      <c r="E1143" s="55">
        <v>46125</v>
      </c>
      <c r="F1143" s="26" t="s">
        <v>948</v>
      </c>
      <c r="G1143" s="26" t="s">
        <v>58</v>
      </c>
      <c r="H1143" s="26" t="s">
        <v>56</v>
      </c>
      <c r="I1143" s="26" t="s">
        <v>70</v>
      </c>
      <c r="J1143" s="26" t="s">
        <v>58</v>
      </c>
      <c r="K1143" s="27"/>
      <c r="L1143" s="28" t="s">
        <v>56</v>
      </c>
      <c r="M1143" s="29" t="str">
        <f t="shared" si="85"/>
        <v>✓ OK</v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4.25" customHeight="1" x14ac:dyDescent="0.3">
      <c r="A1144" s="42">
        <v>1140</v>
      </c>
      <c r="B1144" s="43" t="s">
        <v>3563</v>
      </c>
      <c r="C1144" s="44" t="s">
        <v>3564</v>
      </c>
      <c r="D1144" s="42" t="s">
        <v>3434</v>
      </c>
      <c r="E1144" s="55">
        <v>46125</v>
      </c>
      <c r="F1144" s="26" t="s">
        <v>948</v>
      </c>
      <c r="G1144" s="26" t="s">
        <v>58</v>
      </c>
      <c r="H1144" s="26" t="s">
        <v>56</v>
      </c>
      <c r="I1144" s="26" t="s">
        <v>70</v>
      </c>
      <c r="J1144" s="26" t="s">
        <v>58</v>
      </c>
      <c r="K1144" s="27"/>
      <c r="L1144" s="28" t="s">
        <v>56</v>
      </c>
      <c r="M1144" s="29" t="str">
        <f t="shared" si="85"/>
        <v>✓ OK</v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4.25" customHeight="1" x14ac:dyDescent="0.3">
      <c r="A1145" s="23">
        <v>1141</v>
      </c>
      <c r="B1145" s="24" t="s">
        <v>3565</v>
      </c>
      <c r="C1145" s="25" t="s">
        <v>3566</v>
      </c>
      <c r="D1145" s="23" t="s">
        <v>3434</v>
      </c>
      <c r="E1145" s="55">
        <v>46125</v>
      </c>
      <c r="F1145" s="26" t="s">
        <v>948</v>
      </c>
      <c r="G1145" s="26" t="s">
        <v>58</v>
      </c>
      <c r="H1145" s="26" t="s">
        <v>56</v>
      </c>
      <c r="I1145" s="26" t="s">
        <v>70</v>
      </c>
      <c r="J1145" s="26" t="s">
        <v>58</v>
      </c>
      <c r="K1145" s="27"/>
      <c r="L1145" s="28" t="s">
        <v>56</v>
      </c>
      <c r="M1145" s="29" t="str">
        <f t="shared" si="85"/>
        <v>✓ OK</v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4.25" customHeight="1" x14ac:dyDescent="0.3">
      <c r="A1146" s="42">
        <v>1142</v>
      </c>
      <c r="B1146" s="43" t="s">
        <v>3567</v>
      </c>
      <c r="C1146" s="44" t="s">
        <v>3568</v>
      </c>
      <c r="D1146" s="42" t="s">
        <v>3434</v>
      </c>
      <c r="E1146" s="55">
        <v>46125</v>
      </c>
      <c r="F1146" s="26" t="s">
        <v>948</v>
      </c>
      <c r="G1146" s="26" t="s">
        <v>58</v>
      </c>
      <c r="H1146" s="26" t="s">
        <v>56</v>
      </c>
      <c r="I1146" s="26" t="s">
        <v>70</v>
      </c>
      <c r="J1146" s="26" t="s">
        <v>58</v>
      </c>
      <c r="K1146" s="27"/>
      <c r="L1146" s="28" t="s">
        <v>56</v>
      </c>
      <c r="M1146" s="29" t="str">
        <f t="shared" si="85"/>
        <v>✓ OK</v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4.25" customHeight="1" x14ac:dyDescent="0.3">
      <c r="A1147" s="23">
        <v>1143</v>
      </c>
      <c r="B1147" s="24" t="s">
        <v>3569</v>
      </c>
      <c r="C1147" s="25" t="s">
        <v>3570</v>
      </c>
      <c r="D1147" s="23" t="s">
        <v>3434</v>
      </c>
      <c r="E1147" s="55">
        <v>46125</v>
      </c>
      <c r="F1147" s="26" t="s">
        <v>948</v>
      </c>
      <c r="G1147" s="26" t="s">
        <v>58</v>
      </c>
      <c r="H1147" s="26" t="s">
        <v>56</v>
      </c>
      <c r="I1147" s="26" t="s">
        <v>70</v>
      </c>
      <c r="J1147" s="26" t="s">
        <v>58</v>
      </c>
      <c r="K1147" s="27"/>
      <c r="L1147" s="28" t="s">
        <v>56</v>
      </c>
      <c r="M1147" s="29" t="str">
        <f t="shared" si="85"/>
        <v>✓ OK</v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4.25" customHeight="1" x14ac:dyDescent="0.3">
      <c r="A1148" s="42">
        <v>1144</v>
      </c>
      <c r="B1148" s="43" t="s">
        <v>3571</v>
      </c>
      <c r="C1148" s="44" t="s">
        <v>3572</v>
      </c>
      <c r="D1148" s="42" t="s">
        <v>3434</v>
      </c>
      <c r="E1148" s="55">
        <v>46125</v>
      </c>
      <c r="F1148" s="26" t="s">
        <v>948</v>
      </c>
      <c r="G1148" s="26" t="s">
        <v>58</v>
      </c>
      <c r="H1148" s="26" t="s">
        <v>56</v>
      </c>
      <c r="I1148" s="26" t="s">
        <v>70</v>
      </c>
      <c r="J1148" s="26" t="s">
        <v>58</v>
      </c>
      <c r="K1148" s="27"/>
      <c r="L1148" s="28" t="s">
        <v>56</v>
      </c>
      <c r="M1148" s="29" t="str">
        <f t="shared" si="85"/>
        <v>✓ OK</v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4.25" customHeight="1" x14ac:dyDescent="0.3">
      <c r="A1149" s="23">
        <v>1145</v>
      </c>
      <c r="B1149" s="24" t="s">
        <v>3573</v>
      </c>
      <c r="C1149" s="25" t="s">
        <v>3574</v>
      </c>
      <c r="D1149" s="23" t="s">
        <v>3434</v>
      </c>
      <c r="E1149" s="55">
        <v>46125</v>
      </c>
      <c r="F1149" s="26" t="s">
        <v>948</v>
      </c>
      <c r="G1149" s="26" t="s">
        <v>58</v>
      </c>
      <c r="H1149" s="26" t="s">
        <v>56</v>
      </c>
      <c r="I1149" s="26" t="s">
        <v>70</v>
      </c>
      <c r="J1149" s="26" t="s">
        <v>58</v>
      </c>
      <c r="K1149" s="27"/>
      <c r="L1149" s="28" t="s">
        <v>56</v>
      </c>
      <c r="M1149" s="29" t="str">
        <f t="shared" si="85"/>
        <v>✓ OK</v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4.25" customHeight="1" x14ac:dyDescent="0.3">
      <c r="A1150" s="42">
        <v>1146</v>
      </c>
      <c r="B1150" s="43" t="s">
        <v>3575</v>
      </c>
      <c r="C1150" s="44" t="s">
        <v>3576</v>
      </c>
      <c r="D1150" s="42" t="s">
        <v>3434</v>
      </c>
      <c r="E1150" s="55">
        <v>46125</v>
      </c>
      <c r="F1150" s="26" t="s">
        <v>948</v>
      </c>
      <c r="G1150" s="26" t="s">
        <v>58</v>
      </c>
      <c r="H1150" s="26" t="s">
        <v>56</v>
      </c>
      <c r="I1150" s="26" t="s">
        <v>70</v>
      </c>
      <c r="J1150" s="26" t="s">
        <v>58</v>
      </c>
      <c r="K1150" s="27"/>
      <c r="L1150" s="28" t="s">
        <v>56</v>
      </c>
      <c r="M1150" s="29" t="str">
        <f t="shared" si="85"/>
        <v>✓ OK</v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4.25" customHeight="1" x14ac:dyDescent="0.3">
      <c r="A1151" s="23">
        <v>1147</v>
      </c>
      <c r="B1151" s="24" t="s">
        <v>3577</v>
      </c>
      <c r="C1151" s="25" t="s">
        <v>3578</v>
      </c>
      <c r="D1151" s="23" t="s">
        <v>3434</v>
      </c>
      <c r="E1151" s="55">
        <v>46125</v>
      </c>
      <c r="F1151" s="26" t="s">
        <v>948</v>
      </c>
      <c r="G1151" s="26" t="s">
        <v>58</v>
      </c>
      <c r="H1151" s="26" t="s">
        <v>56</v>
      </c>
      <c r="I1151" s="26" t="s">
        <v>70</v>
      </c>
      <c r="J1151" s="26" t="s">
        <v>58</v>
      </c>
      <c r="K1151" s="27"/>
      <c r="L1151" s="28" t="s">
        <v>56</v>
      </c>
      <c r="M1151" s="29" t="str">
        <f t="shared" si="85"/>
        <v>✓ OK</v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4.25" customHeight="1" x14ac:dyDescent="0.3">
      <c r="A1152" s="42">
        <v>1148</v>
      </c>
      <c r="B1152" s="43" t="s">
        <v>3579</v>
      </c>
      <c r="C1152" s="44" t="s">
        <v>3580</v>
      </c>
      <c r="D1152" s="42" t="s">
        <v>3434</v>
      </c>
      <c r="E1152" s="55">
        <v>46125</v>
      </c>
      <c r="F1152" s="26" t="s">
        <v>948</v>
      </c>
      <c r="G1152" s="26" t="s">
        <v>58</v>
      </c>
      <c r="H1152" s="26" t="s">
        <v>56</v>
      </c>
      <c r="I1152" s="26" t="s">
        <v>70</v>
      </c>
      <c r="J1152" s="26" t="s">
        <v>58</v>
      </c>
      <c r="K1152" s="27"/>
      <c r="L1152" s="28" t="s">
        <v>56</v>
      </c>
      <c r="M1152" s="29" t="str">
        <f t="shared" si="85"/>
        <v>✓ OK</v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4.25" customHeight="1" x14ac:dyDescent="0.3">
      <c r="A1153" s="23">
        <v>1149</v>
      </c>
      <c r="B1153" s="24" t="s">
        <v>3581</v>
      </c>
      <c r="C1153" s="25" t="s">
        <v>3582</v>
      </c>
      <c r="D1153" s="23" t="s">
        <v>3434</v>
      </c>
      <c r="E1153" s="55">
        <v>46125</v>
      </c>
      <c r="F1153" s="26" t="s">
        <v>948</v>
      </c>
      <c r="G1153" s="26" t="s">
        <v>58</v>
      </c>
      <c r="H1153" s="26" t="s">
        <v>56</v>
      </c>
      <c r="I1153" s="26" t="s">
        <v>70</v>
      </c>
      <c r="J1153" s="26" t="s">
        <v>58</v>
      </c>
      <c r="K1153" s="27"/>
      <c r="L1153" s="28" t="s">
        <v>56</v>
      </c>
      <c r="M1153" s="29" t="str">
        <f t="shared" si="85"/>
        <v>✓ OK</v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4.25" customHeight="1" x14ac:dyDescent="0.3">
      <c r="A1154" s="42">
        <v>1150</v>
      </c>
      <c r="B1154" s="43" t="s">
        <v>3583</v>
      </c>
      <c r="C1154" s="44" t="s">
        <v>3584</v>
      </c>
      <c r="D1154" s="42" t="s">
        <v>3434</v>
      </c>
      <c r="E1154" s="55">
        <v>46125</v>
      </c>
      <c r="F1154" s="26" t="s">
        <v>948</v>
      </c>
      <c r="G1154" s="26" t="s">
        <v>58</v>
      </c>
      <c r="H1154" s="26" t="s">
        <v>56</v>
      </c>
      <c r="I1154" s="26" t="s">
        <v>70</v>
      </c>
      <c r="J1154" s="26" t="s">
        <v>58</v>
      </c>
      <c r="K1154" s="27"/>
      <c r="L1154" s="28" t="s">
        <v>56</v>
      </c>
      <c r="M1154" s="29" t="str">
        <f t="shared" si="85"/>
        <v>✓ OK</v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4.25" customHeight="1" x14ac:dyDescent="0.3">
      <c r="A1155" s="23">
        <v>1151</v>
      </c>
      <c r="B1155" s="24" t="s">
        <v>3585</v>
      </c>
      <c r="C1155" s="25" t="s">
        <v>3586</v>
      </c>
      <c r="D1155" s="23" t="s">
        <v>3434</v>
      </c>
      <c r="E1155" s="55">
        <v>46125</v>
      </c>
      <c r="F1155" s="26" t="s">
        <v>948</v>
      </c>
      <c r="G1155" s="26" t="s">
        <v>58</v>
      </c>
      <c r="H1155" s="26" t="s">
        <v>56</v>
      </c>
      <c r="I1155" s="26" t="s">
        <v>70</v>
      </c>
      <c r="J1155" s="26" t="s">
        <v>58</v>
      </c>
      <c r="K1155" s="27"/>
      <c r="L1155" s="28" t="s">
        <v>56</v>
      </c>
      <c r="M1155" s="29" t="str">
        <f t="shared" si="85"/>
        <v>✓ OK</v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4.25" customHeight="1" x14ac:dyDescent="0.3">
      <c r="A1156" s="42">
        <v>1152</v>
      </c>
      <c r="B1156" s="43" t="s">
        <v>3587</v>
      </c>
      <c r="C1156" s="44" t="s">
        <v>3588</v>
      </c>
      <c r="D1156" s="42" t="s">
        <v>3434</v>
      </c>
      <c r="E1156" s="55">
        <v>46125</v>
      </c>
      <c r="F1156" s="26" t="s">
        <v>948</v>
      </c>
      <c r="G1156" s="26" t="s">
        <v>58</v>
      </c>
      <c r="H1156" s="26" t="s">
        <v>56</v>
      </c>
      <c r="I1156" s="26" t="s">
        <v>70</v>
      </c>
      <c r="J1156" s="26" t="s">
        <v>58</v>
      </c>
      <c r="K1156" s="27"/>
      <c r="L1156" s="28" t="s">
        <v>56</v>
      </c>
      <c r="M1156" s="29" t="str">
        <f t="shared" si="85"/>
        <v>✓ OK</v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4.25" customHeight="1" x14ac:dyDescent="0.3">
      <c r="A1157" s="23">
        <v>1153</v>
      </c>
      <c r="B1157" s="24" t="s">
        <v>3589</v>
      </c>
      <c r="C1157" s="25" t="s">
        <v>3590</v>
      </c>
      <c r="D1157" s="23" t="s">
        <v>3434</v>
      </c>
      <c r="E1157" s="55">
        <v>46125</v>
      </c>
      <c r="F1157" s="26" t="s">
        <v>948</v>
      </c>
      <c r="G1157" s="26" t="s">
        <v>58</v>
      </c>
      <c r="H1157" s="26" t="s">
        <v>56</v>
      </c>
      <c r="I1157" s="26" t="s">
        <v>70</v>
      </c>
      <c r="J1157" s="26" t="s">
        <v>58</v>
      </c>
      <c r="K1157" s="27"/>
      <c r="L1157" s="28" t="s">
        <v>56</v>
      </c>
      <c r="M1157" s="29" t="str">
        <f t="shared" ref="M1157:M1220" si="90">IF(E1157="","",IF(H1157="Yes","❌ Disc",IF(G1157="No","⚠ Missing",IF(J1157="Yes","✓ OK","⚠ Check"))))</f>
        <v>✓ OK</v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4.25" customHeight="1" x14ac:dyDescent="0.3">
      <c r="A1158" s="42">
        <v>1154</v>
      </c>
      <c r="B1158" s="43" t="s">
        <v>3591</v>
      </c>
      <c r="C1158" s="44" t="s">
        <v>3592</v>
      </c>
      <c r="D1158" s="42" t="s">
        <v>3434</v>
      </c>
      <c r="E1158" s="55">
        <v>46125</v>
      </c>
      <c r="F1158" s="26" t="s">
        <v>948</v>
      </c>
      <c r="G1158" s="26" t="s">
        <v>58</v>
      </c>
      <c r="H1158" s="26" t="s">
        <v>56</v>
      </c>
      <c r="I1158" s="26" t="s">
        <v>70</v>
      </c>
      <c r="J1158" s="26" t="s">
        <v>58</v>
      </c>
      <c r="K1158" s="27"/>
      <c r="L1158" s="28" t="s">
        <v>56</v>
      </c>
      <c r="M1158" s="29" t="str">
        <f t="shared" si="90"/>
        <v>✓ OK</v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4.25" customHeight="1" x14ac:dyDescent="0.3">
      <c r="A1159" s="23">
        <v>1155</v>
      </c>
      <c r="B1159" s="24" t="s">
        <v>3593</v>
      </c>
      <c r="C1159" s="25" t="s">
        <v>3594</v>
      </c>
      <c r="D1159" s="23" t="s">
        <v>3434</v>
      </c>
      <c r="E1159" s="55">
        <v>46125</v>
      </c>
      <c r="F1159" s="26" t="s">
        <v>948</v>
      </c>
      <c r="G1159" s="26" t="s">
        <v>58</v>
      </c>
      <c r="H1159" s="26" t="s">
        <v>56</v>
      </c>
      <c r="I1159" s="26" t="s">
        <v>70</v>
      </c>
      <c r="J1159" s="26" t="s">
        <v>58</v>
      </c>
      <c r="K1159" s="27"/>
      <c r="L1159" s="28" t="s">
        <v>56</v>
      </c>
      <c r="M1159" s="29" t="str">
        <f t="shared" si="90"/>
        <v>✓ OK</v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4.25" customHeight="1" x14ac:dyDescent="0.3">
      <c r="A1160" s="42">
        <v>1156</v>
      </c>
      <c r="B1160" s="43" t="s">
        <v>3595</v>
      </c>
      <c r="C1160" s="44" t="s">
        <v>3596</v>
      </c>
      <c r="D1160" s="42" t="s">
        <v>3434</v>
      </c>
      <c r="E1160" s="55">
        <v>46125</v>
      </c>
      <c r="F1160" s="26" t="s">
        <v>948</v>
      </c>
      <c r="G1160" s="26" t="s">
        <v>58</v>
      </c>
      <c r="H1160" s="26" t="s">
        <v>56</v>
      </c>
      <c r="I1160" s="26" t="s">
        <v>70</v>
      </c>
      <c r="J1160" s="26" t="s">
        <v>58</v>
      </c>
      <c r="K1160" s="27"/>
      <c r="L1160" s="28" t="s">
        <v>56</v>
      </c>
      <c r="M1160" s="29" t="str">
        <f t="shared" si="90"/>
        <v>✓ OK</v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4.25" customHeight="1" x14ac:dyDescent="0.3">
      <c r="A1161" s="23">
        <v>1157</v>
      </c>
      <c r="B1161" s="24" t="s">
        <v>3597</v>
      </c>
      <c r="C1161" s="25" t="s">
        <v>3598</v>
      </c>
      <c r="D1161" s="23" t="s">
        <v>3434</v>
      </c>
      <c r="E1161" s="55">
        <v>46125</v>
      </c>
      <c r="F1161" s="26" t="s">
        <v>948</v>
      </c>
      <c r="G1161" s="26" t="s">
        <v>58</v>
      </c>
      <c r="H1161" s="26" t="s">
        <v>56</v>
      </c>
      <c r="I1161" s="26" t="s">
        <v>70</v>
      </c>
      <c r="J1161" s="26" t="s">
        <v>58</v>
      </c>
      <c r="K1161" s="27"/>
      <c r="L1161" s="28" t="s">
        <v>56</v>
      </c>
      <c r="M1161" s="29" t="str">
        <f t="shared" si="90"/>
        <v>✓ OK</v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4.25" customHeight="1" x14ac:dyDescent="0.3">
      <c r="A1162" s="42">
        <v>1158</v>
      </c>
      <c r="B1162" s="43" t="s">
        <v>3599</v>
      </c>
      <c r="C1162" s="44" t="s">
        <v>3600</v>
      </c>
      <c r="D1162" s="42" t="s">
        <v>3434</v>
      </c>
      <c r="E1162" s="55">
        <v>46125</v>
      </c>
      <c r="F1162" s="26" t="s">
        <v>948</v>
      </c>
      <c r="G1162" s="26" t="s">
        <v>58</v>
      </c>
      <c r="H1162" s="26" t="s">
        <v>56</v>
      </c>
      <c r="I1162" s="26" t="s">
        <v>70</v>
      </c>
      <c r="J1162" s="26" t="s">
        <v>58</v>
      </c>
      <c r="K1162" s="27"/>
      <c r="L1162" s="28" t="s">
        <v>56</v>
      </c>
      <c r="M1162" s="29" t="str">
        <f t="shared" si="90"/>
        <v>✓ OK</v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4.25" customHeight="1" x14ac:dyDescent="0.3">
      <c r="A1163" s="23">
        <v>1159</v>
      </c>
      <c r="B1163" s="24" t="s">
        <v>3601</v>
      </c>
      <c r="C1163" s="25" t="s">
        <v>3602</v>
      </c>
      <c r="D1163" s="23" t="s">
        <v>3434</v>
      </c>
      <c r="E1163" s="55">
        <v>46125</v>
      </c>
      <c r="F1163" s="26" t="s">
        <v>948</v>
      </c>
      <c r="G1163" s="26" t="s">
        <v>58</v>
      </c>
      <c r="H1163" s="26" t="s">
        <v>56</v>
      </c>
      <c r="I1163" s="26" t="s">
        <v>70</v>
      </c>
      <c r="J1163" s="26" t="s">
        <v>58</v>
      </c>
      <c r="K1163" s="27"/>
      <c r="L1163" s="28" t="s">
        <v>56</v>
      </c>
      <c r="M1163" s="29" t="str">
        <f t="shared" si="90"/>
        <v>✓ OK</v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4.25" customHeight="1" x14ac:dyDescent="0.3">
      <c r="A1164" s="42">
        <v>1160</v>
      </c>
      <c r="B1164" s="43" t="s">
        <v>3603</v>
      </c>
      <c r="C1164" s="44" t="s">
        <v>3604</v>
      </c>
      <c r="D1164" s="42" t="s">
        <v>3434</v>
      </c>
      <c r="E1164" s="55">
        <v>46125</v>
      </c>
      <c r="F1164" s="26" t="s">
        <v>948</v>
      </c>
      <c r="G1164" s="26" t="s">
        <v>58</v>
      </c>
      <c r="H1164" s="26" t="s">
        <v>56</v>
      </c>
      <c r="I1164" s="26" t="s">
        <v>70</v>
      </c>
      <c r="J1164" s="26" t="s">
        <v>58</v>
      </c>
      <c r="K1164" s="27"/>
      <c r="L1164" s="28" t="s">
        <v>56</v>
      </c>
      <c r="M1164" s="29" t="str">
        <f t="shared" si="90"/>
        <v>✓ OK</v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4.25" customHeight="1" x14ac:dyDescent="0.3">
      <c r="A1165" s="23">
        <v>1161</v>
      </c>
      <c r="B1165" s="24" t="s">
        <v>3605</v>
      </c>
      <c r="C1165" s="25" t="s">
        <v>3606</v>
      </c>
      <c r="D1165" s="23" t="s">
        <v>3434</v>
      </c>
      <c r="E1165" s="55">
        <v>46125</v>
      </c>
      <c r="F1165" s="26" t="s">
        <v>948</v>
      </c>
      <c r="G1165" s="26" t="s">
        <v>58</v>
      </c>
      <c r="H1165" s="26" t="s">
        <v>56</v>
      </c>
      <c r="I1165" s="26" t="s">
        <v>70</v>
      </c>
      <c r="J1165" s="26" t="s">
        <v>58</v>
      </c>
      <c r="K1165" s="27"/>
      <c r="L1165" s="28" t="s">
        <v>56</v>
      </c>
      <c r="M1165" s="29" t="str">
        <f t="shared" si="90"/>
        <v>✓ OK</v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4.25" customHeight="1" x14ac:dyDescent="0.3">
      <c r="A1166" s="42">
        <v>1162</v>
      </c>
      <c r="B1166" s="43" t="s">
        <v>3607</v>
      </c>
      <c r="C1166" s="44" t="s">
        <v>3608</v>
      </c>
      <c r="D1166" s="42" t="s">
        <v>3434</v>
      </c>
      <c r="E1166" s="55">
        <v>46125</v>
      </c>
      <c r="F1166" s="26" t="s">
        <v>948</v>
      </c>
      <c r="G1166" s="26" t="s">
        <v>58</v>
      </c>
      <c r="H1166" s="26" t="s">
        <v>56</v>
      </c>
      <c r="I1166" s="26" t="s">
        <v>70</v>
      </c>
      <c r="J1166" s="26" t="s">
        <v>58</v>
      </c>
      <c r="K1166" s="27"/>
      <c r="L1166" s="28" t="s">
        <v>56</v>
      </c>
      <c r="M1166" s="29" t="str">
        <f t="shared" si="90"/>
        <v>✓ OK</v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4.25" customHeight="1" x14ac:dyDescent="0.3">
      <c r="A1167" s="23">
        <v>1163</v>
      </c>
      <c r="B1167" s="24" t="s">
        <v>3609</v>
      </c>
      <c r="C1167" s="25" t="s">
        <v>3610</v>
      </c>
      <c r="D1167" s="23" t="s">
        <v>3434</v>
      </c>
      <c r="E1167" s="55">
        <v>46125</v>
      </c>
      <c r="F1167" s="26" t="s">
        <v>948</v>
      </c>
      <c r="G1167" s="26" t="s">
        <v>58</v>
      </c>
      <c r="H1167" s="26" t="s">
        <v>56</v>
      </c>
      <c r="I1167" s="26" t="s">
        <v>70</v>
      </c>
      <c r="J1167" s="26" t="s">
        <v>58</v>
      </c>
      <c r="K1167" s="27"/>
      <c r="L1167" s="28" t="s">
        <v>56</v>
      </c>
      <c r="M1167" s="29" t="str">
        <f t="shared" si="90"/>
        <v>✓ OK</v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4.25" customHeight="1" x14ac:dyDescent="0.3">
      <c r="A1168" s="42">
        <v>1164</v>
      </c>
      <c r="B1168" s="43" t="s">
        <v>3611</v>
      </c>
      <c r="C1168" s="44" t="s">
        <v>3612</v>
      </c>
      <c r="D1168" s="42" t="s">
        <v>3434</v>
      </c>
      <c r="E1168" s="55">
        <v>46125</v>
      </c>
      <c r="F1168" s="26" t="s">
        <v>948</v>
      </c>
      <c r="G1168" s="26" t="s">
        <v>58</v>
      </c>
      <c r="H1168" s="26" t="s">
        <v>56</v>
      </c>
      <c r="I1168" s="26" t="s">
        <v>70</v>
      </c>
      <c r="J1168" s="26" t="s">
        <v>58</v>
      </c>
      <c r="K1168" s="27"/>
      <c r="L1168" s="28" t="s">
        <v>56</v>
      </c>
      <c r="M1168" s="29" t="str">
        <f t="shared" si="90"/>
        <v>✓ OK</v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4.25" customHeight="1" x14ac:dyDescent="0.3">
      <c r="A1169" s="23">
        <v>1165</v>
      </c>
      <c r="B1169" s="24" t="s">
        <v>3613</v>
      </c>
      <c r="C1169" s="25" t="s">
        <v>3614</v>
      </c>
      <c r="D1169" s="23" t="s">
        <v>3434</v>
      </c>
      <c r="E1169" s="55">
        <v>46125</v>
      </c>
      <c r="F1169" s="26" t="s">
        <v>948</v>
      </c>
      <c r="G1169" s="26" t="s">
        <v>58</v>
      </c>
      <c r="H1169" s="26" t="s">
        <v>56</v>
      </c>
      <c r="I1169" s="26" t="s">
        <v>70</v>
      </c>
      <c r="J1169" s="26" t="s">
        <v>58</v>
      </c>
      <c r="K1169" s="27"/>
      <c r="L1169" s="28" t="s">
        <v>56</v>
      </c>
      <c r="M1169" s="29" t="str">
        <f t="shared" si="90"/>
        <v>✓ OK</v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4.25" customHeight="1" x14ac:dyDescent="0.3">
      <c r="A1170" s="42">
        <v>1166</v>
      </c>
      <c r="B1170" s="43" t="s">
        <v>3615</v>
      </c>
      <c r="C1170" s="44" t="s">
        <v>3616</v>
      </c>
      <c r="D1170" s="42" t="s">
        <v>3434</v>
      </c>
      <c r="E1170" s="55">
        <v>46125</v>
      </c>
      <c r="F1170" s="26" t="s">
        <v>948</v>
      </c>
      <c r="G1170" s="26" t="s">
        <v>58</v>
      </c>
      <c r="H1170" s="26" t="s">
        <v>56</v>
      </c>
      <c r="I1170" s="26" t="s">
        <v>70</v>
      </c>
      <c r="J1170" s="26" t="s">
        <v>58</v>
      </c>
      <c r="K1170" s="27"/>
      <c r="L1170" s="28" t="s">
        <v>56</v>
      </c>
      <c r="M1170" s="29" t="str">
        <f t="shared" si="90"/>
        <v>✓ OK</v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4.25" customHeight="1" x14ac:dyDescent="0.3">
      <c r="A1171" s="23">
        <v>1167</v>
      </c>
      <c r="B1171" s="24" t="s">
        <v>3617</v>
      </c>
      <c r="C1171" s="25" t="s">
        <v>3618</v>
      </c>
      <c r="D1171" s="23" t="s">
        <v>3434</v>
      </c>
      <c r="E1171" s="55">
        <v>46125</v>
      </c>
      <c r="F1171" s="26" t="s">
        <v>948</v>
      </c>
      <c r="G1171" s="26" t="s">
        <v>58</v>
      </c>
      <c r="H1171" s="26" t="s">
        <v>56</v>
      </c>
      <c r="I1171" s="26" t="s">
        <v>70</v>
      </c>
      <c r="J1171" s="26" t="s">
        <v>58</v>
      </c>
      <c r="K1171" s="27"/>
      <c r="L1171" s="28" t="s">
        <v>56</v>
      </c>
      <c r="M1171" s="29" t="str">
        <f t="shared" si="90"/>
        <v>✓ OK</v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4.25" customHeight="1" x14ac:dyDescent="0.3">
      <c r="A1172" s="42">
        <v>1168</v>
      </c>
      <c r="B1172" s="43" t="s">
        <v>3619</v>
      </c>
      <c r="C1172" s="44" t="s">
        <v>3620</v>
      </c>
      <c r="D1172" s="42" t="s">
        <v>3434</v>
      </c>
      <c r="E1172" s="55">
        <v>46125</v>
      </c>
      <c r="F1172" s="26" t="s">
        <v>948</v>
      </c>
      <c r="G1172" s="26" t="s">
        <v>58</v>
      </c>
      <c r="H1172" s="26" t="s">
        <v>56</v>
      </c>
      <c r="I1172" s="26" t="s">
        <v>70</v>
      </c>
      <c r="J1172" s="26" t="s">
        <v>58</v>
      </c>
      <c r="K1172" s="27"/>
      <c r="L1172" s="28" t="s">
        <v>56</v>
      </c>
      <c r="M1172" s="29" t="str">
        <f t="shared" si="90"/>
        <v>✓ OK</v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4.25" customHeight="1" x14ac:dyDescent="0.3">
      <c r="A1173" s="23">
        <v>1169</v>
      </c>
      <c r="B1173" s="24" t="s">
        <v>3621</v>
      </c>
      <c r="C1173" s="25" t="s">
        <v>3622</v>
      </c>
      <c r="D1173" s="23" t="s">
        <v>3434</v>
      </c>
      <c r="E1173" s="55">
        <v>46125</v>
      </c>
      <c r="F1173" s="26" t="s">
        <v>948</v>
      </c>
      <c r="G1173" s="26" t="s">
        <v>58</v>
      </c>
      <c r="H1173" s="26" t="s">
        <v>56</v>
      </c>
      <c r="I1173" s="26" t="s">
        <v>70</v>
      </c>
      <c r="J1173" s="26" t="s">
        <v>58</v>
      </c>
      <c r="K1173" s="27"/>
      <c r="L1173" s="28" t="s">
        <v>56</v>
      </c>
      <c r="M1173" s="29" t="str">
        <f t="shared" si="90"/>
        <v>✓ OK</v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4.25" customHeight="1" x14ac:dyDescent="0.3">
      <c r="A1174" s="42">
        <v>1170</v>
      </c>
      <c r="B1174" s="43" t="s">
        <v>3623</v>
      </c>
      <c r="C1174" s="44" t="s">
        <v>3624</v>
      </c>
      <c r="D1174" s="42" t="s">
        <v>3434</v>
      </c>
      <c r="E1174" s="55">
        <v>46125</v>
      </c>
      <c r="F1174" s="26" t="s">
        <v>948</v>
      </c>
      <c r="G1174" s="26" t="s">
        <v>58</v>
      </c>
      <c r="H1174" s="26" t="s">
        <v>56</v>
      </c>
      <c r="I1174" s="26" t="s">
        <v>70</v>
      </c>
      <c r="J1174" s="26" t="s">
        <v>58</v>
      </c>
      <c r="K1174" s="27"/>
      <c r="L1174" s="28" t="s">
        <v>56</v>
      </c>
      <c r="M1174" s="29" t="str">
        <f t="shared" si="90"/>
        <v>✓ OK</v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4.25" customHeight="1" x14ac:dyDescent="0.3">
      <c r="A1175" s="23">
        <v>1171</v>
      </c>
      <c r="B1175" s="24" t="s">
        <v>3625</v>
      </c>
      <c r="C1175" s="25" t="s">
        <v>3626</v>
      </c>
      <c r="D1175" s="23" t="s">
        <v>3434</v>
      </c>
      <c r="E1175" s="55">
        <v>46125</v>
      </c>
      <c r="F1175" s="26" t="s">
        <v>948</v>
      </c>
      <c r="G1175" s="26" t="s">
        <v>58</v>
      </c>
      <c r="H1175" s="26" t="s">
        <v>56</v>
      </c>
      <c r="I1175" s="26" t="s">
        <v>70</v>
      </c>
      <c r="J1175" s="26" t="s">
        <v>58</v>
      </c>
      <c r="K1175" s="27"/>
      <c r="L1175" s="28" t="s">
        <v>56</v>
      </c>
      <c r="M1175" s="29" t="str">
        <f t="shared" si="90"/>
        <v>✓ OK</v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4.25" customHeight="1" x14ac:dyDescent="0.3">
      <c r="A1176" s="42">
        <v>1172</v>
      </c>
      <c r="B1176" s="43" t="s">
        <v>3627</v>
      </c>
      <c r="C1176" s="44" t="s">
        <v>3628</v>
      </c>
      <c r="D1176" s="42" t="s">
        <v>3434</v>
      </c>
      <c r="E1176" s="55">
        <v>46125</v>
      </c>
      <c r="F1176" s="26" t="s">
        <v>948</v>
      </c>
      <c r="G1176" s="26" t="s">
        <v>58</v>
      </c>
      <c r="H1176" s="26" t="s">
        <v>56</v>
      </c>
      <c r="I1176" s="26" t="s">
        <v>70</v>
      </c>
      <c r="J1176" s="26" t="s">
        <v>58</v>
      </c>
      <c r="K1176" s="27"/>
      <c r="L1176" s="28" t="s">
        <v>56</v>
      </c>
      <c r="M1176" s="29" t="str">
        <f t="shared" si="90"/>
        <v>✓ OK</v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4.25" customHeight="1" x14ac:dyDescent="0.3">
      <c r="A1177" s="23">
        <v>1173</v>
      </c>
      <c r="B1177" s="24" t="s">
        <v>3629</v>
      </c>
      <c r="C1177" s="25" t="s">
        <v>3630</v>
      </c>
      <c r="D1177" s="23" t="s">
        <v>3434</v>
      </c>
      <c r="E1177" s="55">
        <v>46125</v>
      </c>
      <c r="F1177" s="26" t="s">
        <v>948</v>
      </c>
      <c r="G1177" s="26" t="s">
        <v>58</v>
      </c>
      <c r="H1177" s="26" t="s">
        <v>56</v>
      </c>
      <c r="I1177" s="26" t="s">
        <v>70</v>
      </c>
      <c r="J1177" s="26" t="s">
        <v>58</v>
      </c>
      <c r="K1177" s="27"/>
      <c r="L1177" s="28" t="s">
        <v>56</v>
      </c>
      <c r="M1177" s="29" t="str">
        <f t="shared" si="90"/>
        <v>✓ OK</v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4.25" customHeight="1" x14ac:dyDescent="0.3">
      <c r="A1178" s="42">
        <v>1174</v>
      </c>
      <c r="B1178" s="43" t="s">
        <v>3631</v>
      </c>
      <c r="C1178" s="44" t="s">
        <v>3632</v>
      </c>
      <c r="D1178" s="42" t="s">
        <v>3434</v>
      </c>
      <c r="E1178" s="55">
        <v>46125</v>
      </c>
      <c r="F1178" s="26" t="s">
        <v>948</v>
      </c>
      <c r="G1178" s="26" t="s">
        <v>58</v>
      </c>
      <c r="H1178" s="26" t="s">
        <v>56</v>
      </c>
      <c r="I1178" s="26" t="s">
        <v>70</v>
      </c>
      <c r="J1178" s="26" t="s">
        <v>58</v>
      </c>
      <c r="K1178" s="27"/>
      <c r="L1178" s="28" t="s">
        <v>56</v>
      </c>
      <c r="M1178" s="29" t="str">
        <f t="shared" si="90"/>
        <v>✓ OK</v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4.25" customHeight="1" x14ac:dyDescent="0.3">
      <c r="A1179" s="23">
        <v>1175</v>
      </c>
      <c r="B1179" s="24" t="s">
        <v>3633</v>
      </c>
      <c r="C1179" s="25" t="s">
        <v>3634</v>
      </c>
      <c r="D1179" s="23" t="s">
        <v>3434</v>
      </c>
      <c r="E1179" s="55">
        <v>46125</v>
      </c>
      <c r="F1179" s="26" t="s">
        <v>948</v>
      </c>
      <c r="G1179" s="26" t="s">
        <v>58</v>
      </c>
      <c r="H1179" s="26" t="s">
        <v>56</v>
      </c>
      <c r="I1179" s="26" t="s">
        <v>70</v>
      </c>
      <c r="J1179" s="26" t="s">
        <v>58</v>
      </c>
      <c r="K1179" s="27"/>
      <c r="L1179" s="28" t="s">
        <v>56</v>
      </c>
      <c r="M1179" s="29" t="str">
        <f t="shared" si="90"/>
        <v>✓ OK</v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4.25" customHeight="1" x14ac:dyDescent="0.3">
      <c r="A1180" s="42">
        <v>1176</v>
      </c>
      <c r="B1180" s="43" t="s">
        <v>3635</v>
      </c>
      <c r="C1180" s="44" t="s">
        <v>3636</v>
      </c>
      <c r="D1180" s="42" t="s">
        <v>3434</v>
      </c>
      <c r="E1180" s="55">
        <v>46125</v>
      </c>
      <c r="F1180" s="26" t="s">
        <v>948</v>
      </c>
      <c r="G1180" s="26" t="s">
        <v>58</v>
      </c>
      <c r="H1180" s="26" t="s">
        <v>56</v>
      </c>
      <c r="I1180" s="26" t="s">
        <v>70</v>
      </c>
      <c r="J1180" s="26" t="s">
        <v>58</v>
      </c>
      <c r="K1180" s="27"/>
      <c r="L1180" s="28" t="s">
        <v>56</v>
      </c>
      <c r="M1180" s="29" t="str">
        <f t="shared" si="90"/>
        <v>✓ OK</v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4.25" customHeight="1" x14ac:dyDescent="0.3">
      <c r="A1181" s="23">
        <v>1177</v>
      </c>
      <c r="B1181" s="24" t="s">
        <v>3637</v>
      </c>
      <c r="C1181" s="25" t="s">
        <v>3638</v>
      </c>
      <c r="D1181" s="23" t="s">
        <v>3434</v>
      </c>
      <c r="E1181" s="55">
        <v>46125</v>
      </c>
      <c r="F1181" s="26" t="s">
        <v>948</v>
      </c>
      <c r="G1181" s="26" t="s">
        <v>58</v>
      </c>
      <c r="H1181" s="26" t="s">
        <v>56</v>
      </c>
      <c r="I1181" s="26" t="s">
        <v>70</v>
      </c>
      <c r="J1181" s="26" t="s">
        <v>58</v>
      </c>
      <c r="K1181" s="27"/>
      <c r="L1181" s="28" t="s">
        <v>56</v>
      </c>
      <c r="M1181" s="29" t="str">
        <f t="shared" si="90"/>
        <v>✓ OK</v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4.25" customHeight="1" x14ac:dyDescent="0.3">
      <c r="A1182" s="42">
        <v>1178</v>
      </c>
      <c r="B1182" s="43" t="s">
        <v>3639</v>
      </c>
      <c r="C1182" s="44" t="s">
        <v>3640</v>
      </c>
      <c r="D1182" s="42" t="s">
        <v>3434</v>
      </c>
      <c r="E1182" s="55">
        <v>46125</v>
      </c>
      <c r="F1182" s="26" t="s">
        <v>948</v>
      </c>
      <c r="G1182" s="26" t="s">
        <v>58</v>
      </c>
      <c r="H1182" s="26" t="s">
        <v>56</v>
      </c>
      <c r="I1182" s="26" t="s">
        <v>70</v>
      </c>
      <c r="J1182" s="26" t="s">
        <v>58</v>
      </c>
      <c r="K1182" s="27"/>
      <c r="L1182" s="28" t="s">
        <v>56</v>
      </c>
      <c r="M1182" s="29" t="str">
        <f t="shared" si="90"/>
        <v>✓ OK</v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4.25" customHeight="1" x14ac:dyDescent="0.3">
      <c r="A1183" s="23">
        <v>1179</v>
      </c>
      <c r="B1183" s="24" t="s">
        <v>3641</v>
      </c>
      <c r="C1183" s="25" t="s">
        <v>3642</v>
      </c>
      <c r="D1183" s="23" t="s">
        <v>3434</v>
      </c>
      <c r="E1183" s="55">
        <v>46125</v>
      </c>
      <c r="F1183" s="26" t="s">
        <v>948</v>
      </c>
      <c r="G1183" s="26" t="s">
        <v>58</v>
      </c>
      <c r="H1183" s="26" t="s">
        <v>56</v>
      </c>
      <c r="I1183" s="26" t="s">
        <v>70</v>
      </c>
      <c r="J1183" s="26" t="s">
        <v>58</v>
      </c>
      <c r="K1183" s="27"/>
      <c r="L1183" s="28" t="s">
        <v>56</v>
      </c>
      <c r="M1183" s="29" t="str">
        <f t="shared" si="90"/>
        <v>✓ OK</v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4.25" customHeight="1" x14ac:dyDescent="0.3">
      <c r="A1184" s="42">
        <v>1180</v>
      </c>
      <c r="B1184" s="43" t="s">
        <v>3643</v>
      </c>
      <c r="C1184" s="44" t="s">
        <v>3644</v>
      </c>
      <c r="D1184" s="42" t="s">
        <v>3434</v>
      </c>
      <c r="E1184" s="55">
        <v>46125</v>
      </c>
      <c r="F1184" s="26" t="s">
        <v>948</v>
      </c>
      <c r="G1184" s="26" t="s">
        <v>58</v>
      </c>
      <c r="H1184" s="26" t="s">
        <v>56</v>
      </c>
      <c r="I1184" s="26" t="s">
        <v>70</v>
      </c>
      <c r="J1184" s="26" t="s">
        <v>58</v>
      </c>
      <c r="K1184" s="27"/>
      <c r="L1184" s="28" t="s">
        <v>56</v>
      </c>
      <c r="M1184" s="29" t="str">
        <f t="shared" si="90"/>
        <v>✓ OK</v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4.25" customHeight="1" x14ac:dyDescent="0.3">
      <c r="A1185" s="23">
        <v>1181</v>
      </c>
      <c r="B1185" s="24" t="s">
        <v>3645</v>
      </c>
      <c r="C1185" s="25" t="s">
        <v>3646</v>
      </c>
      <c r="D1185" s="23" t="s">
        <v>3434</v>
      </c>
      <c r="E1185" s="55">
        <v>46125</v>
      </c>
      <c r="F1185" s="26" t="s">
        <v>948</v>
      </c>
      <c r="G1185" s="26" t="s">
        <v>58</v>
      </c>
      <c r="H1185" s="26" t="s">
        <v>56</v>
      </c>
      <c r="I1185" s="26" t="s">
        <v>70</v>
      </c>
      <c r="J1185" s="26" t="s">
        <v>58</v>
      </c>
      <c r="K1185" s="27"/>
      <c r="L1185" s="28" t="s">
        <v>56</v>
      </c>
      <c r="M1185" s="29" t="str">
        <f t="shared" si="90"/>
        <v>✓ OK</v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4.25" customHeight="1" x14ac:dyDescent="0.3">
      <c r="A1186" s="42">
        <v>1182</v>
      </c>
      <c r="B1186" s="43" t="s">
        <v>3647</v>
      </c>
      <c r="C1186" s="44" t="s">
        <v>3648</v>
      </c>
      <c r="D1186" s="42" t="s">
        <v>3434</v>
      </c>
      <c r="E1186" s="55">
        <v>46125</v>
      </c>
      <c r="F1186" s="26" t="s">
        <v>948</v>
      </c>
      <c r="G1186" s="26" t="s">
        <v>58</v>
      </c>
      <c r="H1186" s="26" t="s">
        <v>56</v>
      </c>
      <c r="I1186" s="26" t="s">
        <v>70</v>
      </c>
      <c r="J1186" s="26" t="s">
        <v>58</v>
      </c>
      <c r="K1186" s="27"/>
      <c r="L1186" s="28" t="s">
        <v>56</v>
      </c>
      <c r="M1186" s="29" t="str">
        <f t="shared" si="90"/>
        <v>✓ OK</v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4.25" customHeight="1" x14ac:dyDescent="0.3">
      <c r="A1187" s="23">
        <v>1183</v>
      </c>
      <c r="B1187" s="24" t="s">
        <v>3649</v>
      </c>
      <c r="C1187" s="25" t="s">
        <v>3650</v>
      </c>
      <c r="D1187" s="23" t="s">
        <v>3434</v>
      </c>
      <c r="E1187" s="55">
        <v>46125</v>
      </c>
      <c r="F1187" s="26" t="s">
        <v>948</v>
      </c>
      <c r="G1187" s="26" t="s">
        <v>58</v>
      </c>
      <c r="H1187" s="26" t="s">
        <v>56</v>
      </c>
      <c r="I1187" s="26" t="s">
        <v>70</v>
      </c>
      <c r="J1187" s="26" t="s">
        <v>58</v>
      </c>
      <c r="K1187" s="27"/>
      <c r="L1187" s="28" t="s">
        <v>56</v>
      </c>
      <c r="M1187" s="29" t="str">
        <f t="shared" si="90"/>
        <v>✓ OK</v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4.25" customHeight="1" x14ac:dyDescent="0.3">
      <c r="A1188" s="42">
        <v>1184</v>
      </c>
      <c r="B1188" s="43" t="s">
        <v>3651</v>
      </c>
      <c r="C1188" s="44" t="s">
        <v>3652</v>
      </c>
      <c r="D1188" s="42" t="s">
        <v>3434</v>
      </c>
      <c r="E1188" s="55">
        <v>46125</v>
      </c>
      <c r="F1188" s="26" t="s">
        <v>948</v>
      </c>
      <c r="G1188" s="26" t="s">
        <v>58</v>
      </c>
      <c r="H1188" s="26" t="s">
        <v>56</v>
      </c>
      <c r="I1188" s="26" t="s">
        <v>70</v>
      </c>
      <c r="J1188" s="26" t="s">
        <v>58</v>
      </c>
      <c r="K1188" s="27"/>
      <c r="L1188" s="28" t="s">
        <v>56</v>
      </c>
      <c r="M1188" s="29" t="str">
        <f t="shared" si="90"/>
        <v>✓ OK</v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4.25" customHeight="1" x14ac:dyDescent="0.3">
      <c r="A1189" s="23">
        <v>1185</v>
      </c>
      <c r="B1189" s="24" t="s">
        <v>3653</v>
      </c>
      <c r="C1189" s="25" t="s">
        <v>3654</v>
      </c>
      <c r="D1189" s="23" t="s">
        <v>3434</v>
      </c>
      <c r="E1189" s="55">
        <v>46125</v>
      </c>
      <c r="F1189" s="26" t="s">
        <v>948</v>
      </c>
      <c r="G1189" s="26" t="s">
        <v>58</v>
      </c>
      <c r="H1189" s="26" t="s">
        <v>56</v>
      </c>
      <c r="I1189" s="26" t="s">
        <v>70</v>
      </c>
      <c r="J1189" s="26" t="s">
        <v>58</v>
      </c>
      <c r="K1189" s="27"/>
      <c r="L1189" s="28" t="s">
        <v>56</v>
      </c>
      <c r="M1189" s="29" t="str">
        <f t="shared" si="90"/>
        <v>✓ OK</v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4.25" customHeight="1" x14ac:dyDescent="0.3">
      <c r="A1190" s="42">
        <v>1186</v>
      </c>
      <c r="B1190" s="43" t="s">
        <v>3655</v>
      </c>
      <c r="C1190" s="44" t="s">
        <v>3656</v>
      </c>
      <c r="D1190" s="42" t="s">
        <v>3434</v>
      </c>
      <c r="E1190" s="55">
        <v>46125</v>
      </c>
      <c r="F1190" s="26" t="s">
        <v>948</v>
      </c>
      <c r="G1190" s="26" t="s">
        <v>58</v>
      </c>
      <c r="H1190" s="26" t="s">
        <v>56</v>
      </c>
      <c r="I1190" s="26" t="s">
        <v>70</v>
      </c>
      <c r="J1190" s="26" t="s">
        <v>58</v>
      </c>
      <c r="K1190" s="27"/>
      <c r="L1190" s="28" t="s">
        <v>56</v>
      </c>
      <c r="M1190" s="29" t="str">
        <f t="shared" si="90"/>
        <v>✓ OK</v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4.25" customHeight="1" x14ac:dyDescent="0.3">
      <c r="A1191" s="23">
        <v>1187</v>
      </c>
      <c r="B1191" s="24" t="s">
        <v>3657</v>
      </c>
      <c r="C1191" s="25" t="s">
        <v>3658</v>
      </c>
      <c r="D1191" s="23" t="s">
        <v>3434</v>
      </c>
      <c r="E1191" s="55">
        <v>46125</v>
      </c>
      <c r="F1191" s="26" t="s">
        <v>948</v>
      </c>
      <c r="G1191" s="26" t="s">
        <v>58</v>
      </c>
      <c r="H1191" s="26" t="s">
        <v>56</v>
      </c>
      <c r="I1191" s="26" t="s">
        <v>70</v>
      </c>
      <c r="J1191" s="26" t="s">
        <v>58</v>
      </c>
      <c r="K1191" s="27"/>
      <c r="L1191" s="28" t="s">
        <v>56</v>
      </c>
      <c r="M1191" s="29" t="str">
        <f t="shared" si="90"/>
        <v>✓ OK</v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4.25" customHeight="1" x14ac:dyDescent="0.3">
      <c r="A1192" s="42">
        <v>1188</v>
      </c>
      <c r="B1192" s="43" t="s">
        <v>3659</v>
      </c>
      <c r="C1192" s="44" t="s">
        <v>3660</v>
      </c>
      <c r="D1192" s="42" t="s">
        <v>3434</v>
      </c>
      <c r="E1192" s="55">
        <v>46125</v>
      </c>
      <c r="F1192" s="26" t="s">
        <v>948</v>
      </c>
      <c r="G1192" s="26" t="s">
        <v>58</v>
      </c>
      <c r="H1192" s="26" t="s">
        <v>56</v>
      </c>
      <c r="I1192" s="26" t="s">
        <v>70</v>
      </c>
      <c r="J1192" s="26" t="s">
        <v>58</v>
      </c>
      <c r="K1192" s="27"/>
      <c r="L1192" s="28" t="s">
        <v>56</v>
      </c>
      <c r="M1192" s="29" t="str">
        <f t="shared" si="90"/>
        <v>✓ OK</v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4.25" customHeight="1" x14ac:dyDescent="0.3">
      <c r="A1193" s="23">
        <v>1189</v>
      </c>
      <c r="B1193" s="24" t="s">
        <v>3661</v>
      </c>
      <c r="C1193" s="25" t="s">
        <v>3662</v>
      </c>
      <c r="D1193" s="23" t="s">
        <v>3434</v>
      </c>
      <c r="E1193" s="55">
        <v>46125</v>
      </c>
      <c r="F1193" s="26" t="s">
        <v>948</v>
      </c>
      <c r="G1193" s="26" t="s">
        <v>58</v>
      </c>
      <c r="H1193" s="26" t="s">
        <v>56</v>
      </c>
      <c r="I1193" s="26" t="s">
        <v>70</v>
      </c>
      <c r="J1193" s="26" t="s">
        <v>58</v>
      </c>
      <c r="K1193" s="27"/>
      <c r="L1193" s="28" t="s">
        <v>56</v>
      </c>
      <c r="M1193" s="29" t="str">
        <f t="shared" si="90"/>
        <v>✓ OK</v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4.25" customHeight="1" x14ac:dyDescent="0.3">
      <c r="A1194" s="42">
        <v>1190</v>
      </c>
      <c r="B1194" s="43" t="s">
        <v>3663</v>
      </c>
      <c r="C1194" s="44" t="s">
        <v>3664</v>
      </c>
      <c r="D1194" s="42" t="s">
        <v>3434</v>
      </c>
      <c r="E1194" s="55">
        <v>46125</v>
      </c>
      <c r="F1194" s="26" t="s">
        <v>948</v>
      </c>
      <c r="G1194" s="26" t="s">
        <v>58</v>
      </c>
      <c r="H1194" s="26" t="s">
        <v>56</v>
      </c>
      <c r="I1194" s="26" t="s">
        <v>70</v>
      </c>
      <c r="J1194" s="26" t="s">
        <v>58</v>
      </c>
      <c r="K1194" s="27"/>
      <c r="L1194" s="28" t="s">
        <v>56</v>
      </c>
      <c r="M1194" s="29" t="str">
        <f t="shared" si="90"/>
        <v>✓ OK</v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4.25" customHeight="1" x14ac:dyDescent="0.3">
      <c r="A1195" s="23">
        <v>1191</v>
      </c>
      <c r="B1195" s="24" t="s">
        <v>3665</v>
      </c>
      <c r="C1195" s="25" t="s">
        <v>3666</v>
      </c>
      <c r="D1195" s="23" t="s">
        <v>3434</v>
      </c>
      <c r="E1195" s="55">
        <v>46125</v>
      </c>
      <c r="F1195" s="26" t="s">
        <v>948</v>
      </c>
      <c r="G1195" s="26" t="s">
        <v>58</v>
      </c>
      <c r="H1195" s="26" t="s">
        <v>56</v>
      </c>
      <c r="I1195" s="26" t="s">
        <v>70</v>
      </c>
      <c r="J1195" s="26" t="s">
        <v>58</v>
      </c>
      <c r="K1195" s="27"/>
      <c r="L1195" s="28" t="s">
        <v>56</v>
      </c>
      <c r="M1195" s="29" t="str">
        <f t="shared" si="90"/>
        <v>✓ OK</v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4.25" customHeight="1" x14ac:dyDescent="0.3">
      <c r="A1196" s="42">
        <v>1192</v>
      </c>
      <c r="B1196" s="43" t="s">
        <v>3667</v>
      </c>
      <c r="C1196" s="44" t="s">
        <v>3668</v>
      </c>
      <c r="D1196" s="42" t="s">
        <v>3434</v>
      </c>
      <c r="E1196" s="55">
        <v>46125</v>
      </c>
      <c r="F1196" s="26" t="s">
        <v>948</v>
      </c>
      <c r="G1196" s="26" t="s">
        <v>58</v>
      </c>
      <c r="H1196" s="26" t="s">
        <v>56</v>
      </c>
      <c r="I1196" s="26" t="s">
        <v>70</v>
      </c>
      <c r="J1196" s="26" t="s">
        <v>58</v>
      </c>
      <c r="K1196" s="27"/>
      <c r="L1196" s="28" t="s">
        <v>56</v>
      </c>
      <c r="M1196" s="29" t="str">
        <f t="shared" si="90"/>
        <v>✓ OK</v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4.25" customHeight="1" x14ac:dyDescent="0.3">
      <c r="A1197" s="23">
        <v>1193</v>
      </c>
      <c r="B1197" s="24" t="s">
        <v>3669</v>
      </c>
      <c r="C1197" s="25" t="s">
        <v>3670</v>
      </c>
      <c r="D1197" s="23" t="s">
        <v>3434</v>
      </c>
      <c r="E1197" s="55">
        <v>46125</v>
      </c>
      <c r="F1197" s="26" t="s">
        <v>948</v>
      </c>
      <c r="G1197" s="26" t="s">
        <v>58</v>
      </c>
      <c r="H1197" s="26" t="s">
        <v>56</v>
      </c>
      <c r="I1197" s="26" t="s">
        <v>70</v>
      </c>
      <c r="J1197" s="26" t="s">
        <v>58</v>
      </c>
      <c r="K1197" s="27"/>
      <c r="L1197" s="28" t="s">
        <v>56</v>
      </c>
      <c r="M1197" s="29" t="str">
        <f t="shared" si="90"/>
        <v>✓ OK</v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4.25" customHeight="1" x14ac:dyDescent="0.3">
      <c r="A1198" s="42">
        <v>1194</v>
      </c>
      <c r="B1198" s="43" t="s">
        <v>3671</v>
      </c>
      <c r="C1198" s="44" t="s">
        <v>3672</v>
      </c>
      <c r="D1198" s="42" t="s">
        <v>3434</v>
      </c>
      <c r="E1198" s="55">
        <v>46125</v>
      </c>
      <c r="F1198" s="26" t="s">
        <v>948</v>
      </c>
      <c r="G1198" s="26" t="s">
        <v>58</v>
      </c>
      <c r="H1198" s="26" t="s">
        <v>56</v>
      </c>
      <c r="I1198" s="26" t="s">
        <v>70</v>
      </c>
      <c r="J1198" s="26" t="s">
        <v>58</v>
      </c>
      <c r="K1198" s="27"/>
      <c r="L1198" s="28" t="s">
        <v>56</v>
      </c>
      <c r="M1198" s="29" t="str">
        <f t="shared" si="90"/>
        <v>✓ OK</v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4.25" customHeight="1" x14ac:dyDescent="0.3">
      <c r="A1199" s="23">
        <v>1195</v>
      </c>
      <c r="B1199" s="24" t="s">
        <v>3673</v>
      </c>
      <c r="C1199" s="25" t="s">
        <v>3674</v>
      </c>
      <c r="D1199" s="23" t="s">
        <v>3434</v>
      </c>
      <c r="E1199" s="55">
        <v>46125</v>
      </c>
      <c r="F1199" s="26" t="s">
        <v>948</v>
      </c>
      <c r="G1199" s="26" t="s">
        <v>58</v>
      </c>
      <c r="H1199" s="26" t="s">
        <v>56</v>
      </c>
      <c r="I1199" s="26" t="s">
        <v>70</v>
      </c>
      <c r="J1199" s="26" t="s">
        <v>58</v>
      </c>
      <c r="K1199" s="27"/>
      <c r="L1199" s="28" t="s">
        <v>56</v>
      </c>
      <c r="M1199" s="29" t="str">
        <f t="shared" si="90"/>
        <v>✓ OK</v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4.25" customHeight="1" x14ac:dyDescent="0.3">
      <c r="A1200" s="42">
        <v>1196</v>
      </c>
      <c r="B1200" s="43" t="s">
        <v>3675</v>
      </c>
      <c r="C1200" s="44" t="s">
        <v>3676</v>
      </c>
      <c r="D1200" s="42" t="s">
        <v>3434</v>
      </c>
      <c r="E1200" s="55">
        <v>46125</v>
      </c>
      <c r="F1200" s="26" t="s">
        <v>948</v>
      </c>
      <c r="G1200" s="26" t="s">
        <v>58</v>
      </c>
      <c r="H1200" s="26" t="s">
        <v>56</v>
      </c>
      <c r="I1200" s="26" t="s">
        <v>70</v>
      </c>
      <c r="J1200" s="26" t="s">
        <v>58</v>
      </c>
      <c r="K1200" s="27"/>
      <c r="L1200" s="28" t="s">
        <v>56</v>
      </c>
      <c r="M1200" s="29" t="str">
        <f t="shared" si="90"/>
        <v>✓ OK</v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4.25" customHeight="1" x14ac:dyDescent="0.3">
      <c r="A1201" s="23">
        <v>1197</v>
      </c>
      <c r="B1201" s="24" t="s">
        <v>3677</v>
      </c>
      <c r="C1201" s="25" t="s">
        <v>3678</v>
      </c>
      <c r="D1201" s="23" t="s">
        <v>3434</v>
      </c>
      <c r="E1201" s="55">
        <v>46125</v>
      </c>
      <c r="F1201" s="26" t="s">
        <v>948</v>
      </c>
      <c r="G1201" s="26" t="s">
        <v>58</v>
      </c>
      <c r="H1201" s="26" t="s">
        <v>56</v>
      </c>
      <c r="I1201" s="26" t="s">
        <v>70</v>
      </c>
      <c r="J1201" s="26" t="s">
        <v>58</v>
      </c>
      <c r="K1201" s="27"/>
      <c r="L1201" s="28" t="s">
        <v>56</v>
      </c>
      <c r="M1201" s="29" t="str">
        <f t="shared" si="90"/>
        <v>✓ OK</v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4.25" customHeight="1" x14ac:dyDescent="0.3">
      <c r="A1202" s="42">
        <v>1198</v>
      </c>
      <c r="B1202" s="43" t="s">
        <v>3679</v>
      </c>
      <c r="C1202" s="44" t="s">
        <v>3680</v>
      </c>
      <c r="D1202" s="42" t="s">
        <v>3434</v>
      </c>
      <c r="E1202" s="55">
        <v>46125</v>
      </c>
      <c r="F1202" s="26" t="s">
        <v>948</v>
      </c>
      <c r="G1202" s="26" t="s">
        <v>58</v>
      </c>
      <c r="H1202" s="26" t="s">
        <v>56</v>
      </c>
      <c r="I1202" s="26" t="s">
        <v>70</v>
      </c>
      <c r="J1202" s="26" t="s">
        <v>58</v>
      </c>
      <c r="K1202" s="27"/>
      <c r="L1202" s="28" t="s">
        <v>56</v>
      </c>
      <c r="M1202" s="29" t="str">
        <f t="shared" si="90"/>
        <v>✓ OK</v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4.25" customHeight="1" x14ac:dyDescent="0.3">
      <c r="A1203" s="23">
        <v>1199</v>
      </c>
      <c r="B1203" s="24" t="s">
        <v>3681</v>
      </c>
      <c r="C1203" s="25" t="s">
        <v>3682</v>
      </c>
      <c r="D1203" s="23" t="s">
        <v>3434</v>
      </c>
      <c r="E1203" s="55">
        <v>46125</v>
      </c>
      <c r="F1203" s="26" t="s">
        <v>948</v>
      </c>
      <c r="G1203" s="26" t="s">
        <v>58</v>
      </c>
      <c r="H1203" s="26" t="s">
        <v>56</v>
      </c>
      <c r="I1203" s="26" t="s">
        <v>70</v>
      </c>
      <c r="J1203" s="26" t="s">
        <v>58</v>
      </c>
      <c r="K1203" s="27"/>
      <c r="L1203" s="28" t="s">
        <v>56</v>
      </c>
      <c r="M1203" s="29" t="str">
        <f t="shared" si="90"/>
        <v>✓ OK</v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4.25" customHeight="1" x14ac:dyDescent="0.3">
      <c r="A1204" s="42">
        <v>1200</v>
      </c>
      <c r="B1204" s="43" t="s">
        <v>3683</v>
      </c>
      <c r="C1204" s="44" t="s">
        <v>3684</v>
      </c>
      <c r="D1204" s="42" t="s">
        <v>3434</v>
      </c>
      <c r="E1204" s="55">
        <v>46125</v>
      </c>
      <c r="F1204" s="26" t="s">
        <v>948</v>
      </c>
      <c r="G1204" s="26" t="s">
        <v>58</v>
      </c>
      <c r="H1204" s="26" t="s">
        <v>56</v>
      </c>
      <c r="I1204" s="26" t="s">
        <v>70</v>
      </c>
      <c r="J1204" s="26" t="s">
        <v>58</v>
      </c>
      <c r="K1204" s="27"/>
      <c r="L1204" s="28" t="s">
        <v>56</v>
      </c>
      <c r="M1204" s="29" t="str">
        <f t="shared" si="90"/>
        <v>✓ OK</v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4.25" customHeight="1" x14ac:dyDescent="0.3">
      <c r="A1205" s="23">
        <v>1201</v>
      </c>
      <c r="B1205" s="24" t="s">
        <v>3685</v>
      </c>
      <c r="C1205" s="25" t="s">
        <v>3686</v>
      </c>
      <c r="D1205" s="23" t="s">
        <v>3434</v>
      </c>
      <c r="E1205" s="55">
        <v>46125</v>
      </c>
      <c r="F1205" s="26" t="s">
        <v>948</v>
      </c>
      <c r="G1205" s="26" t="s">
        <v>58</v>
      </c>
      <c r="H1205" s="26" t="s">
        <v>56</v>
      </c>
      <c r="I1205" s="26" t="s">
        <v>70</v>
      </c>
      <c r="J1205" s="26" t="s">
        <v>58</v>
      </c>
      <c r="K1205" s="27"/>
      <c r="L1205" s="28" t="s">
        <v>56</v>
      </c>
      <c r="M1205" s="29" t="str">
        <f t="shared" si="90"/>
        <v>✓ OK</v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4.25" customHeight="1" x14ac:dyDescent="0.3">
      <c r="A1206" s="42">
        <v>1202</v>
      </c>
      <c r="B1206" s="43" t="s">
        <v>3687</v>
      </c>
      <c r="C1206" s="44" t="s">
        <v>3688</v>
      </c>
      <c r="D1206" s="42" t="s">
        <v>3434</v>
      </c>
      <c r="E1206" s="55">
        <v>46125</v>
      </c>
      <c r="F1206" s="26" t="s">
        <v>948</v>
      </c>
      <c r="G1206" s="26" t="s">
        <v>58</v>
      </c>
      <c r="H1206" s="26" t="s">
        <v>56</v>
      </c>
      <c r="I1206" s="26" t="s">
        <v>70</v>
      </c>
      <c r="J1206" s="26" t="s">
        <v>58</v>
      </c>
      <c r="K1206" s="27"/>
      <c r="L1206" s="28" t="s">
        <v>56</v>
      </c>
      <c r="M1206" s="29" t="str">
        <f t="shared" si="90"/>
        <v>✓ OK</v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4.25" customHeight="1" x14ac:dyDescent="0.3">
      <c r="A1207" s="23">
        <v>1203</v>
      </c>
      <c r="B1207" s="24" t="s">
        <v>3689</v>
      </c>
      <c r="C1207" s="25" t="s">
        <v>3690</v>
      </c>
      <c r="D1207" s="23" t="s">
        <v>3434</v>
      </c>
      <c r="E1207" s="55">
        <v>46125</v>
      </c>
      <c r="F1207" s="26" t="s">
        <v>948</v>
      </c>
      <c r="G1207" s="26" t="s">
        <v>58</v>
      </c>
      <c r="H1207" s="26" t="s">
        <v>56</v>
      </c>
      <c r="I1207" s="26" t="s">
        <v>70</v>
      </c>
      <c r="J1207" s="26" t="s">
        <v>58</v>
      </c>
      <c r="K1207" s="27"/>
      <c r="L1207" s="28" t="s">
        <v>56</v>
      </c>
      <c r="M1207" s="29" t="str">
        <f t="shared" si="90"/>
        <v>✓ OK</v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4.25" customHeight="1" x14ac:dyDescent="0.3">
      <c r="A1208" s="42">
        <v>1204</v>
      </c>
      <c r="B1208" s="43" t="s">
        <v>3691</v>
      </c>
      <c r="C1208" s="44" t="s">
        <v>3692</v>
      </c>
      <c r="D1208" s="42" t="s">
        <v>3434</v>
      </c>
      <c r="E1208" s="55">
        <v>46125</v>
      </c>
      <c r="F1208" s="26" t="s">
        <v>948</v>
      </c>
      <c r="G1208" s="26" t="s">
        <v>58</v>
      </c>
      <c r="H1208" s="26" t="s">
        <v>56</v>
      </c>
      <c r="I1208" s="26" t="s">
        <v>70</v>
      </c>
      <c r="J1208" s="26" t="s">
        <v>58</v>
      </c>
      <c r="K1208" s="27"/>
      <c r="L1208" s="28" t="s">
        <v>56</v>
      </c>
      <c r="M1208" s="29" t="str">
        <f t="shared" si="90"/>
        <v>✓ OK</v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4.25" customHeight="1" x14ac:dyDescent="0.3">
      <c r="A1209" s="23">
        <v>1205</v>
      </c>
      <c r="B1209" s="24" t="s">
        <v>3693</v>
      </c>
      <c r="C1209" s="25" t="s">
        <v>3694</v>
      </c>
      <c r="D1209" s="23" t="s">
        <v>3434</v>
      </c>
      <c r="E1209" s="55">
        <v>46125</v>
      </c>
      <c r="F1209" s="26" t="s">
        <v>948</v>
      </c>
      <c r="G1209" s="26" t="s">
        <v>58</v>
      </c>
      <c r="H1209" s="26" t="s">
        <v>56</v>
      </c>
      <c r="I1209" s="26" t="s">
        <v>70</v>
      </c>
      <c r="J1209" s="26" t="s">
        <v>58</v>
      </c>
      <c r="K1209" s="27"/>
      <c r="L1209" s="28" t="s">
        <v>56</v>
      </c>
      <c r="M1209" s="29" t="str">
        <f t="shared" si="90"/>
        <v>✓ OK</v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4.25" customHeight="1" x14ac:dyDescent="0.3">
      <c r="A1210" s="42">
        <v>1206</v>
      </c>
      <c r="B1210" s="43" t="s">
        <v>3695</v>
      </c>
      <c r="C1210" s="44" t="s">
        <v>3696</v>
      </c>
      <c r="D1210" s="42" t="s">
        <v>3434</v>
      </c>
      <c r="E1210" s="55">
        <v>46125</v>
      </c>
      <c r="F1210" s="26" t="s">
        <v>948</v>
      </c>
      <c r="G1210" s="26" t="s">
        <v>58</v>
      </c>
      <c r="H1210" s="26" t="s">
        <v>56</v>
      </c>
      <c r="I1210" s="26" t="s">
        <v>70</v>
      </c>
      <c r="J1210" s="26" t="s">
        <v>58</v>
      </c>
      <c r="K1210" s="27"/>
      <c r="L1210" s="28" t="s">
        <v>56</v>
      </c>
      <c r="M1210" s="29" t="str">
        <f t="shared" si="90"/>
        <v>✓ OK</v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4.25" customHeight="1" x14ac:dyDescent="0.3">
      <c r="A1211" s="23">
        <v>1207</v>
      </c>
      <c r="B1211" s="24" t="s">
        <v>3697</v>
      </c>
      <c r="C1211" s="25" t="s">
        <v>3698</v>
      </c>
      <c r="D1211" s="23" t="s">
        <v>3434</v>
      </c>
      <c r="E1211" s="55">
        <v>46125</v>
      </c>
      <c r="F1211" s="26" t="s">
        <v>948</v>
      </c>
      <c r="G1211" s="26" t="s">
        <v>58</v>
      </c>
      <c r="H1211" s="26" t="s">
        <v>56</v>
      </c>
      <c r="I1211" s="26" t="s">
        <v>70</v>
      </c>
      <c r="J1211" s="26" t="s">
        <v>58</v>
      </c>
      <c r="K1211" s="27"/>
      <c r="L1211" s="28" t="s">
        <v>56</v>
      </c>
      <c r="M1211" s="29" t="str">
        <f t="shared" si="90"/>
        <v>✓ OK</v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4.25" customHeight="1" x14ac:dyDescent="0.3">
      <c r="A1212" s="42">
        <v>1208</v>
      </c>
      <c r="B1212" s="43" t="s">
        <v>3699</v>
      </c>
      <c r="C1212" s="44" t="s">
        <v>3700</v>
      </c>
      <c r="D1212" s="42" t="s">
        <v>3434</v>
      </c>
      <c r="E1212" s="55">
        <v>46125</v>
      </c>
      <c r="F1212" s="26" t="s">
        <v>948</v>
      </c>
      <c r="G1212" s="26" t="s">
        <v>58</v>
      </c>
      <c r="H1212" s="26" t="s">
        <v>56</v>
      </c>
      <c r="I1212" s="26" t="s">
        <v>70</v>
      </c>
      <c r="J1212" s="26" t="s">
        <v>58</v>
      </c>
      <c r="K1212" s="27"/>
      <c r="L1212" s="28" t="s">
        <v>56</v>
      </c>
      <c r="M1212" s="29" t="str">
        <f t="shared" si="90"/>
        <v>✓ OK</v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4.25" customHeight="1" x14ac:dyDescent="0.3">
      <c r="A1213" s="23">
        <v>1209</v>
      </c>
      <c r="B1213" s="24" t="s">
        <v>3701</v>
      </c>
      <c r="C1213" s="25" t="s">
        <v>3702</v>
      </c>
      <c r="D1213" s="23" t="s">
        <v>3434</v>
      </c>
      <c r="E1213" s="55">
        <v>46125</v>
      </c>
      <c r="F1213" s="26" t="s">
        <v>948</v>
      </c>
      <c r="G1213" s="26" t="s">
        <v>58</v>
      </c>
      <c r="H1213" s="26" t="s">
        <v>56</v>
      </c>
      <c r="I1213" s="26" t="s">
        <v>70</v>
      </c>
      <c r="J1213" s="26" t="s">
        <v>58</v>
      </c>
      <c r="K1213" s="27"/>
      <c r="L1213" s="28" t="s">
        <v>56</v>
      </c>
      <c r="M1213" s="29" t="str">
        <f t="shared" si="90"/>
        <v>✓ OK</v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4.25" customHeight="1" x14ac:dyDescent="0.3">
      <c r="A1214" s="42">
        <v>1210</v>
      </c>
      <c r="B1214" s="43" t="s">
        <v>3703</v>
      </c>
      <c r="C1214" s="44" t="s">
        <v>3704</v>
      </c>
      <c r="D1214" s="42" t="s">
        <v>3434</v>
      </c>
      <c r="E1214" s="55">
        <v>46125</v>
      </c>
      <c r="F1214" s="26" t="s">
        <v>948</v>
      </c>
      <c r="G1214" s="26" t="s">
        <v>58</v>
      </c>
      <c r="H1214" s="26" t="s">
        <v>56</v>
      </c>
      <c r="I1214" s="26" t="s">
        <v>70</v>
      </c>
      <c r="J1214" s="26" t="s">
        <v>58</v>
      </c>
      <c r="K1214" s="27"/>
      <c r="L1214" s="28" t="s">
        <v>56</v>
      </c>
      <c r="M1214" s="29" t="str">
        <f t="shared" si="90"/>
        <v>✓ OK</v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4.25" customHeight="1" x14ac:dyDescent="0.3">
      <c r="A1215" s="23">
        <v>1211</v>
      </c>
      <c r="B1215" s="24" t="s">
        <v>3705</v>
      </c>
      <c r="C1215" s="25" t="s">
        <v>3706</v>
      </c>
      <c r="D1215" s="23" t="s">
        <v>3434</v>
      </c>
      <c r="E1215" s="55">
        <v>46125</v>
      </c>
      <c r="F1215" s="26" t="s">
        <v>948</v>
      </c>
      <c r="G1215" s="26" t="s">
        <v>58</v>
      </c>
      <c r="H1215" s="26" t="s">
        <v>56</v>
      </c>
      <c r="I1215" s="26" t="s">
        <v>70</v>
      </c>
      <c r="J1215" s="26" t="s">
        <v>58</v>
      </c>
      <c r="K1215" s="27"/>
      <c r="L1215" s="28" t="s">
        <v>56</v>
      </c>
      <c r="M1215" s="29" t="str">
        <f t="shared" si="90"/>
        <v>✓ OK</v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4.25" customHeight="1" x14ac:dyDescent="0.3">
      <c r="A1216" s="42">
        <v>1212</v>
      </c>
      <c r="B1216" s="43" t="s">
        <v>3707</v>
      </c>
      <c r="C1216" s="44" t="s">
        <v>3708</v>
      </c>
      <c r="D1216" s="42" t="s">
        <v>3434</v>
      </c>
      <c r="E1216" s="55">
        <v>46125</v>
      </c>
      <c r="F1216" s="26" t="s">
        <v>948</v>
      </c>
      <c r="G1216" s="26" t="s">
        <v>58</v>
      </c>
      <c r="H1216" s="26" t="s">
        <v>56</v>
      </c>
      <c r="I1216" s="26" t="s">
        <v>70</v>
      </c>
      <c r="J1216" s="26" t="s">
        <v>58</v>
      </c>
      <c r="K1216" s="27"/>
      <c r="L1216" s="28" t="s">
        <v>56</v>
      </c>
      <c r="M1216" s="29" t="str">
        <f t="shared" si="90"/>
        <v>✓ OK</v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4.25" customHeight="1" x14ac:dyDescent="0.3">
      <c r="A1217" s="23">
        <v>1213</v>
      </c>
      <c r="B1217" s="24" t="s">
        <v>3709</v>
      </c>
      <c r="C1217" s="25" t="s">
        <v>3710</v>
      </c>
      <c r="D1217" s="23" t="s">
        <v>3434</v>
      </c>
      <c r="E1217" s="55">
        <v>46125</v>
      </c>
      <c r="F1217" s="26" t="s">
        <v>948</v>
      </c>
      <c r="G1217" s="26" t="s">
        <v>58</v>
      </c>
      <c r="H1217" s="26" t="s">
        <v>56</v>
      </c>
      <c r="I1217" s="26" t="s">
        <v>70</v>
      </c>
      <c r="J1217" s="26" t="s">
        <v>58</v>
      </c>
      <c r="K1217" s="27"/>
      <c r="L1217" s="28" t="s">
        <v>56</v>
      </c>
      <c r="M1217" s="29" t="str">
        <f t="shared" si="90"/>
        <v>✓ OK</v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4.25" customHeight="1" x14ac:dyDescent="0.3">
      <c r="A1218" s="42">
        <v>1214</v>
      </c>
      <c r="B1218" s="43" t="s">
        <v>3711</v>
      </c>
      <c r="C1218" s="44" t="s">
        <v>3712</v>
      </c>
      <c r="D1218" s="42" t="s">
        <v>3434</v>
      </c>
      <c r="E1218" s="55">
        <v>46125</v>
      </c>
      <c r="F1218" s="26" t="s">
        <v>948</v>
      </c>
      <c r="G1218" s="26" t="s">
        <v>58</v>
      </c>
      <c r="H1218" s="26" t="s">
        <v>56</v>
      </c>
      <c r="I1218" s="26" t="s">
        <v>70</v>
      </c>
      <c r="J1218" s="26" t="s">
        <v>58</v>
      </c>
      <c r="K1218" s="27"/>
      <c r="L1218" s="28" t="s">
        <v>56</v>
      </c>
      <c r="M1218" s="29" t="str">
        <f t="shared" si="90"/>
        <v>✓ OK</v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4.25" customHeight="1" x14ac:dyDescent="0.3">
      <c r="A1219" s="23">
        <v>1215</v>
      </c>
      <c r="B1219" s="24" t="s">
        <v>3713</v>
      </c>
      <c r="C1219" s="25" t="s">
        <v>3714</v>
      </c>
      <c r="D1219" s="23" t="s">
        <v>3434</v>
      </c>
      <c r="E1219" s="55">
        <v>46125</v>
      </c>
      <c r="F1219" s="26" t="s">
        <v>948</v>
      </c>
      <c r="G1219" s="26" t="s">
        <v>58</v>
      </c>
      <c r="H1219" s="26" t="s">
        <v>56</v>
      </c>
      <c r="I1219" s="26" t="s">
        <v>70</v>
      </c>
      <c r="J1219" s="26" t="s">
        <v>58</v>
      </c>
      <c r="K1219" s="27"/>
      <c r="L1219" s="28" t="s">
        <v>56</v>
      </c>
      <c r="M1219" s="29" t="str">
        <f t="shared" si="90"/>
        <v>✓ OK</v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4.25" customHeight="1" x14ac:dyDescent="0.3">
      <c r="A1220" s="42">
        <v>1216</v>
      </c>
      <c r="B1220" s="43" t="s">
        <v>3715</v>
      </c>
      <c r="C1220" s="44" t="s">
        <v>3716</v>
      </c>
      <c r="D1220" s="42" t="s">
        <v>3434</v>
      </c>
      <c r="E1220" s="55">
        <v>46125</v>
      </c>
      <c r="F1220" s="26" t="s">
        <v>948</v>
      </c>
      <c r="G1220" s="26" t="s">
        <v>58</v>
      </c>
      <c r="H1220" s="26" t="s">
        <v>56</v>
      </c>
      <c r="I1220" s="26" t="s">
        <v>70</v>
      </c>
      <c r="J1220" s="26" t="s">
        <v>58</v>
      </c>
      <c r="K1220" s="27"/>
      <c r="L1220" s="28" t="s">
        <v>56</v>
      </c>
      <c r="M1220" s="29" t="str">
        <f t="shared" si="90"/>
        <v>✓ OK</v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4.25" customHeight="1" x14ac:dyDescent="0.3">
      <c r="A1221" s="23">
        <v>1217</v>
      </c>
      <c r="B1221" s="24" t="s">
        <v>3717</v>
      </c>
      <c r="C1221" s="25" t="s">
        <v>3718</v>
      </c>
      <c r="D1221" s="23" t="s">
        <v>3434</v>
      </c>
      <c r="E1221" s="55">
        <v>46125</v>
      </c>
      <c r="F1221" s="26" t="s">
        <v>948</v>
      </c>
      <c r="G1221" s="26" t="s">
        <v>58</v>
      </c>
      <c r="H1221" s="26" t="s">
        <v>56</v>
      </c>
      <c r="I1221" s="26" t="s">
        <v>70</v>
      </c>
      <c r="J1221" s="26" t="s">
        <v>58</v>
      </c>
      <c r="K1221" s="27"/>
      <c r="L1221" s="28" t="s">
        <v>56</v>
      </c>
      <c r="M1221" s="29" t="str">
        <f t="shared" ref="M1221:M1284" si="95">IF(E1221="","",IF(H1221="Yes","❌ Disc",IF(G1221="No","⚠ Missing",IF(J1221="Yes","✓ OK","⚠ Check"))))</f>
        <v>✓ OK</v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4.25" customHeight="1" x14ac:dyDescent="0.3">
      <c r="A1222" s="42">
        <v>1218</v>
      </c>
      <c r="B1222" s="43" t="s">
        <v>3719</v>
      </c>
      <c r="C1222" s="44" t="s">
        <v>3720</v>
      </c>
      <c r="D1222" s="42" t="s">
        <v>3434</v>
      </c>
      <c r="E1222" s="55">
        <v>46125</v>
      </c>
      <c r="F1222" s="26" t="s">
        <v>948</v>
      </c>
      <c r="G1222" s="26" t="s">
        <v>58</v>
      </c>
      <c r="H1222" s="26" t="s">
        <v>56</v>
      </c>
      <c r="I1222" s="26" t="s">
        <v>70</v>
      </c>
      <c r="J1222" s="26" t="s">
        <v>58</v>
      </c>
      <c r="K1222" s="27"/>
      <c r="L1222" s="28" t="s">
        <v>56</v>
      </c>
      <c r="M1222" s="29" t="str">
        <f t="shared" si="95"/>
        <v>✓ OK</v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4.25" customHeight="1" x14ac:dyDescent="0.3">
      <c r="A1223" s="23">
        <v>1219</v>
      </c>
      <c r="B1223" s="24" t="s">
        <v>3721</v>
      </c>
      <c r="C1223" s="25" t="s">
        <v>3722</v>
      </c>
      <c r="D1223" s="23" t="s">
        <v>3434</v>
      </c>
      <c r="E1223" s="55">
        <v>46125</v>
      </c>
      <c r="F1223" s="26" t="s">
        <v>948</v>
      </c>
      <c r="G1223" s="26" t="s">
        <v>58</v>
      </c>
      <c r="H1223" s="26" t="s">
        <v>56</v>
      </c>
      <c r="I1223" s="26" t="s">
        <v>70</v>
      </c>
      <c r="J1223" s="26" t="s">
        <v>58</v>
      </c>
      <c r="K1223" s="27"/>
      <c r="L1223" s="28" t="s">
        <v>56</v>
      </c>
      <c r="M1223" s="29" t="str">
        <f t="shared" si="95"/>
        <v>✓ OK</v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4.25" customHeight="1" x14ac:dyDescent="0.3">
      <c r="A1224" s="42">
        <v>1220</v>
      </c>
      <c r="B1224" s="43" t="s">
        <v>3723</v>
      </c>
      <c r="C1224" s="44" t="s">
        <v>3724</v>
      </c>
      <c r="D1224" s="42" t="s">
        <v>3434</v>
      </c>
      <c r="E1224" s="55">
        <v>46125</v>
      </c>
      <c r="F1224" s="26" t="s">
        <v>948</v>
      </c>
      <c r="G1224" s="26" t="s">
        <v>58</v>
      </c>
      <c r="H1224" s="26" t="s">
        <v>56</v>
      </c>
      <c r="I1224" s="26" t="s">
        <v>70</v>
      </c>
      <c r="J1224" s="26" t="s">
        <v>58</v>
      </c>
      <c r="K1224" s="27"/>
      <c r="L1224" s="28" t="s">
        <v>56</v>
      </c>
      <c r="M1224" s="29" t="str">
        <f t="shared" si="95"/>
        <v>✓ OK</v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4.25" customHeight="1" x14ac:dyDescent="0.3">
      <c r="A1225" s="23">
        <v>1221</v>
      </c>
      <c r="B1225" s="24" t="s">
        <v>3725</v>
      </c>
      <c r="C1225" s="25" t="s">
        <v>3726</v>
      </c>
      <c r="D1225" s="23" t="s">
        <v>3434</v>
      </c>
      <c r="E1225" s="55">
        <v>46125</v>
      </c>
      <c r="F1225" s="26" t="s">
        <v>948</v>
      </c>
      <c r="G1225" s="26" t="s">
        <v>58</v>
      </c>
      <c r="H1225" s="26" t="s">
        <v>56</v>
      </c>
      <c r="I1225" s="26" t="s">
        <v>70</v>
      </c>
      <c r="J1225" s="26" t="s">
        <v>58</v>
      </c>
      <c r="K1225" s="27"/>
      <c r="L1225" s="28" t="s">
        <v>56</v>
      </c>
      <c r="M1225" s="29" t="str">
        <f t="shared" si="95"/>
        <v>✓ OK</v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4.25" customHeight="1" x14ac:dyDescent="0.3">
      <c r="A1226" s="42">
        <v>1222</v>
      </c>
      <c r="B1226" s="43" t="s">
        <v>3727</v>
      </c>
      <c r="C1226" s="44" t="s">
        <v>3728</v>
      </c>
      <c r="D1226" s="42" t="s">
        <v>3434</v>
      </c>
      <c r="E1226" s="55">
        <v>46125</v>
      </c>
      <c r="F1226" s="26" t="s">
        <v>948</v>
      </c>
      <c r="G1226" s="26" t="s">
        <v>58</v>
      </c>
      <c r="H1226" s="26" t="s">
        <v>56</v>
      </c>
      <c r="I1226" s="26" t="s">
        <v>70</v>
      </c>
      <c r="J1226" s="26" t="s">
        <v>58</v>
      </c>
      <c r="K1226" s="27"/>
      <c r="L1226" s="28" t="s">
        <v>56</v>
      </c>
      <c r="M1226" s="29" t="str">
        <f t="shared" si="95"/>
        <v>✓ OK</v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4.25" customHeight="1" x14ac:dyDescent="0.3">
      <c r="A1227" s="23">
        <v>1223</v>
      </c>
      <c r="B1227" s="24" t="s">
        <v>3729</v>
      </c>
      <c r="C1227" s="25" t="s">
        <v>3730</v>
      </c>
      <c r="D1227" s="23" t="s">
        <v>3434</v>
      </c>
      <c r="E1227" s="55">
        <v>46125</v>
      </c>
      <c r="F1227" s="26" t="s">
        <v>948</v>
      </c>
      <c r="G1227" s="26" t="s">
        <v>58</v>
      </c>
      <c r="H1227" s="26" t="s">
        <v>56</v>
      </c>
      <c r="I1227" s="26" t="s">
        <v>70</v>
      </c>
      <c r="J1227" s="26" t="s">
        <v>58</v>
      </c>
      <c r="K1227" s="27"/>
      <c r="L1227" s="28" t="s">
        <v>56</v>
      </c>
      <c r="M1227" s="29" t="str">
        <f t="shared" si="95"/>
        <v>✓ OK</v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4.25" customHeight="1" x14ac:dyDescent="0.3">
      <c r="A1228" s="42">
        <v>1224</v>
      </c>
      <c r="B1228" s="43" t="s">
        <v>3731</v>
      </c>
      <c r="C1228" s="44" t="s">
        <v>3732</v>
      </c>
      <c r="D1228" s="42" t="s">
        <v>3434</v>
      </c>
      <c r="E1228" s="55">
        <v>46125</v>
      </c>
      <c r="F1228" s="26" t="s">
        <v>948</v>
      </c>
      <c r="G1228" s="26" t="s">
        <v>58</v>
      </c>
      <c r="H1228" s="26" t="s">
        <v>56</v>
      </c>
      <c r="I1228" s="26" t="s">
        <v>70</v>
      </c>
      <c r="J1228" s="26" t="s">
        <v>58</v>
      </c>
      <c r="K1228" s="27"/>
      <c r="L1228" s="28" t="s">
        <v>56</v>
      </c>
      <c r="M1228" s="29" t="str">
        <f t="shared" si="95"/>
        <v>✓ OK</v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4.25" customHeight="1" x14ac:dyDescent="0.3">
      <c r="A1229" s="23">
        <v>1225</v>
      </c>
      <c r="B1229" s="24" t="s">
        <v>3733</v>
      </c>
      <c r="C1229" s="25" t="s">
        <v>3734</v>
      </c>
      <c r="D1229" s="23" t="s">
        <v>3434</v>
      </c>
      <c r="E1229" s="55">
        <v>46125</v>
      </c>
      <c r="F1229" s="26" t="s">
        <v>948</v>
      </c>
      <c r="G1229" s="26" t="s">
        <v>58</v>
      </c>
      <c r="H1229" s="26" t="s">
        <v>56</v>
      </c>
      <c r="I1229" s="26" t="s">
        <v>70</v>
      </c>
      <c r="J1229" s="26" t="s">
        <v>58</v>
      </c>
      <c r="K1229" s="27"/>
      <c r="L1229" s="28" t="s">
        <v>56</v>
      </c>
      <c r="M1229" s="29" t="str">
        <f t="shared" si="95"/>
        <v>✓ OK</v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4.25" customHeight="1" x14ac:dyDescent="0.3">
      <c r="A1230" s="42">
        <v>1226</v>
      </c>
      <c r="B1230" s="43" t="s">
        <v>3735</v>
      </c>
      <c r="C1230" s="44" t="s">
        <v>3736</v>
      </c>
      <c r="D1230" s="42" t="s">
        <v>3434</v>
      </c>
      <c r="E1230" s="55">
        <v>46125</v>
      </c>
      <c r="F1230" s="26" t="s">
        <v>948</v>
      </c>
      <c r="G1230" s="26" t="s">
        <v>58</v>
      </c>
      <c r="H1230" s="26" t="s">
        <v>56</v>
      </c>
      <c r="I1230" s="26" t="s">
        <v>70</v>
      </c>
      <c r="J1230" s="26" t="s">
        <v>58</v>
      </c>
      <c r="K1230" s="27"/>
      <c r="L1230" s="28" t="s">
        <v>56</v>
      </c>
      <c r="M1230" s="29" t="str">
        <f t="shared" si="95"/>
        <v>✓ OK</v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4.25" customHeight="1" x14ac:dyDescent="0.3">
      <c r="A1231" s="23">
        <v>1227</v>
      </c>
      <c r="B1231" s="24" t="s">
        <v>3737</v>
      </c>
      <c r="C1231" s="25" t="s">
        <v>3738</v>
      </c>
      <c r="D1231" s="23" t="s">
        <v>3434</v>
      </c>
      <c r="E1231" s="55">
        <v>46125</v>
      </c>
      <c r="F1231" s="26" t="s">
        <v>948</v>
      </c>
      <c r="G1231" s="26" t="s">
        <v>58</v>
      </c>
      <c r="H1231" s="26" t="s">
        <v>56</v>
      </c>
      <c r="I1231" s="26" t="s">
        <v>70</v>
      </c>
      <c r="J1231" s="26" t="s">
        <v>58</v>
      </c>
      <c r="K1231" s="27"/>
      <c r="L1231" s="28" t="s">
        <v>56</v>
      </c>
      <c r="M1231" s="29" t="str">
        <f t="shared" si="95"/>
        <v>✓ OK</v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4.25" customHeight="1" x14ac:dyDescent="0.3">
      <c r="A1232" s="42">
        <v>1228</v>
      </c>
      <c r="B1232" s="43" t="s">
        <v>3739</v>
      </c>
      <c r="C1232" s="44" t="s">
        <v>3740</v>
      </c>
      <c r="D1232" s="42" t="s">
        <v>3434</v>
      </c>
      <c r="E1232" s="55">
        <v>46125</v>
      </c>
      <c r="F1232" s="26" t="s">
        <v>948</v>
      </c>
      <c r="G1232" s="26" t="s">
        <v>58</v>
      </c>
      <c r="H1232" s="26" t="s">
        <v>56</v>
      </c>
      <c r="I1232" s="26" t="s">
        <v>70</v>
      </c>
      <c r="J1232" s="26" t="s">
        <v>58</v>
      </c>
      <c r="K1232" s="27"/>
      <c r="L1232" s="28" t="s">
        <v>56</v>
      </c>
      <c r="M1232" s="29" t="str">
        <f t="shared" si="95"/>
        <v>✓ OK</v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4.25" customHeight="1" x14ac:dyDescent="0.3">
      <c r="A1233" s="23">
        <v>1229</v>
      </c>
      <c r="B1233" s="24" t="s">
        <v>3741</v>
      </c>
      <c r="C1233" s="25" t="s">
        <v>3742</v>
      </c>
      <c r="D1233" s="23" t="s">
        <v>3434</v>
      </c>
      <c r="E1233" s="55">
        <v>46125</v>
      </c>
      <c r="F1233" s="26" t="s">
        <v>948</v>
      </c>
      <c r="G1233" s="26" t="s">
        <v>58</v>
      </c>
      <c r="H1233" s="26" t="s">
        <v>56</v>
      </c>
      <c r="I1233" s="26" t="s">
        <v>70</v>
      </c>
      <c r="J1233" s="26" t="s">
        <v>58</v>
      </c>
      <c r="K1233" s="27"/>
      <c r="L1233" s="28" t="s">
        <v>56</v>
      </c>
      <c r="M1233" s="29" t="str">
        <f t="shared" si="95"/>
        <v>✓ OK</v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4.25" customHeight="1" x14ac:dyDescent="0.3">
      <c r="A1234" s="42">
        <v>1230</v>
      </c>
      <c r="B1234" s="43" t="s">
        <v>3743</v>
      </c>
      <c r="C1234" s="44" t="s">
        <v>3744</v>
      </c>
      <c r="D1234" s="42" t="s">
        <v>3434</v>
      </c>
      <c r="E1234" s="55">
        <v>46125</v>
      </c>
      <c r="F1234" s="26" t="s">
        <v>948</v>
      </c>
      <c r="G1234" s="26" t="s">
        <v>58</v>
      </c>
      <c r="H1234" s="26" t="s">
        <v>56</v>
      </c>
      <c r="I1234" s="26" t="s">
        <v>70</v>
      </c>
      <c r="J1234" s="26" t="s">
        <v>58</v>
      </c>
      <c r="K1234" s="27"/>
      <c r="L1234" s="28" t="s">
        <v>56</v>
      </c>
      <c r="M1234" s="29" t="str">
        <f t="shared" si="95"/>
        <v>✓ OK</v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4.25" customHeight="1" x14ac:dyDescent="0.3">
      <c r="A1235" s="23">
        <v>1231</v>
      </c>
      <c r="B1235" s="24" t="s">
        <v>3745</v>
      </c>
      <c r="C1235" s="25" t="s">
        <v>3746</v>
      </c>
      <c r="D1235" s="23" t="s">
        <v>3434</v>
      </c>
      <c r="E1235" s="55">
        <v>46125</v>
      </c>
      <c r="F1235" s="26" t="s">
        <v>948</v>
      </c>
      <c r="G1235" s="26" t="s">
        <v>58</v>
      </c>
      <c r="H1235" s="26" t="s">
        <v>56</v>
      </c>
      <c r="I1235" s="26" t="s">
        <v>70</v>
      </c>
      <c r="J1235" s="26" t="s">
        <v>58</v>
      </c>
      <c r="K1235" s="27"/>
      <c r="L1235" s="28" t="s">
        <v>56</v>
      </c>
      <c r="M1235" s="29" t="str">
        <f t="shared" si="95"/>
        <v>✓ OK</v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4.25" customHeight="1" x14ac:dyDescent="0.3">
      <c r="A1236" s="42">
        <v>1232</v>
      </c>
      <c r="B1236" s="43" t="s">
        <v>3747</v>
      </c>
      <c r="C1236" s="44" t="s">
        <v>3748</v>
      </c>
      <c r="D1236" s="42" t="s">
        <v>3434</v>
      </c>
      <c r="E1236" s="55">
        <v>46125</v>
      </c>
      <c r="F1236" s="26" t="s">
        <v>948</v>
      </c>
      <c r="G1236" s="26" t="s">
        <v>58</v>
      </c>
      <c r="H1236" s="26" t="s">
        <v>56</v>
      </c>
      <c r="I1236" s="26" t="s">
        <v>70</v>
      </c>
      <c r="J1236" s="26" t="s">
        <v>58</v>
      </c>
      <c r="K1236" s="27"/>
      <c r="L1236" s="28" t="s">
        <v>56</v>
      </c>
      <c r="M1236" s="29" t="str">
        <f t="shared" si="95"/>
        <v>✓ OK</v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4.25" customHeight="1" x14ac:dyDescent="0.3">
      <c r="A1237" s="23">
        <v>1233</v>
      </c>
      <c r="B1237" s="24" t="s">
        <v>3749</v>
      </c>
      <c r="C1237" s="25" t="s">
        <v>3750</v>
      </c>
      <c r="D1237" s="23" t="s">
        <v>3434</v>
      </c>
      <c r="E1237" s="55">
        <v>46125</v>
      </c>
      <c r="F1237" s="26" t="s">
        <v>948</v>
      </c>
      <c r="G1237" s="26" t="s">
        <v>58</v>
      </c>
      <c r="H1237" s="26" t="s">
        <v>56</v>
      </c>
      <c r="I1237" s="26" t="s">
        <v>70</v>
      </c>
      <c r="J1237" s="26" t="s">
        <v>58</v>
      </c>
      <c r="K1237" s="27"/>
      <c r="L1237" s="28" t="s">
        <v>56</v>
      </c>
      <c r="M1237" s="29" t="str">
        <f t="shared" si="95"/>
        <v>✓ OK</v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4.25" customHeight="1" x14ac:dyDescent="0.3">
      <c r="A1238" s="42">
        <v>1234</v>
      </c>
      <c r="B1238" s="43" t="s">
        <v>3751</v>
      </c>
      <c r="C1238" s="44" t="s">
        <v>3752</v>
      </c>
      <c r="D1238" s="42" t="s">
        <v>3434</v>
      </c>
      <c r="E1238" s="55">
        <v>46125</v>
      </c>
      <c r="F1238" s="26" t="s">
        <v>948</v>
      </c>
      <c r="G1238" s="26" t="s">
        <v>58</v>
      </c>
      <c r="H1238" s="26" t="s">
        <v>56</v>
      </c>
      <c r="I1238" s="26" t="s">
        <v>70</v>
      </c>
      <c r="J1238" s="26" t="s">
        <v>58</v>
      </c>
      <c r="K1238" s="27"/>
      <c r="L1238" s="28" t="s">
        <v>56</v>
      </c>
      <c r="M1238" s="29" t="str">
        <f t="shared" si="95"/>
        <v>✓ OK</v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4.25" customHeight="1" x14ac:dyDescent="0.3">
      <c r="A1239" s="23">
        <v>1235</v>
      </c>
      <c r="B1239" s="24" t="s">
        <v>3753</v>
      </c>
      <c r="C1239" s="25" t="s">
        <v>3754</v>
      </c>
      <c r="D1239" s="23" t="s">
        <v>3434</v>
      </c>
      <c r="E1239" s="55">
        <v>46125</v>
      </c>
      <c r="F1239" s="26" t="s">
        <v>948</v>
      </c>
      <c r="G1239" s="26" t="s">
        <v>58</v>
      </c>
      <c r="H1239" s="26" t="s">
        <v>56</v>
      </c>
      <c r="I1239" s="26" t="s">
        <v>70</v>
      </c>
      <c r="J1239" s="26" t="s">
        <v>58</v>
      </c>
      <c r="K1239" s="27"/>
      <c r="L1239" s="28" t="s">
        <v>56</v>
      </c>
      <c r="M1239" s="29" t="str">
        <f t="shared" si="95"/>
        <v>✓ OK</v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4.25" customHeight="1" x14ac:dyDescent="0.3">
      <c r="A1240" s="42">
        <v>1236</v>
      </c>
      <c r="B1240" s="43" t="s">
        <v>3755</v>
      </c>
      <c r="C1240" s="44" t="s">
        <v>3756</v>
      </c>
      <c r="D1240" s="42" t="s">
        <v>3434</v>
      </c>
      <c r="E1240" s="55">
        <v>46125</v>
      </c>
      <c r="F1240" s="26" t="s">
        <v>948</v>
      </c>
      <c r="G1240" s="26" t="s">
        <v>58</v>
      </c>
      <c r="H1240" s="26" t="s">
        <v>56</v>
      </c>
      <c r="I1240" s="26" t="s">
        <v>70</v>
      </c>
      <c r="J1240" s="26" t="s">
        <v>58</v>
      </c>
      <c r="K1240" s="27"/>
      <c r="L1240" s="28" t="s">
        <v>56</v>
      </c>
      <c r="M1240" s="29" t="str">
        <f t="shared" si="95"/>
        <v>✓ OK</v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4.25" customHeight="1" x14ac:dyDescent="0.3">
      <c r="A1241" s="23">
        <v>1237</v>
      </c>
      <c r="B1241" s="24" t="s">
        <v>3757</v>
      </c>
      <c r="C1241" s="25" t="s">
        <v>3758</v>
      </c>
      <c r="D1241" s="23" t="s">
        <v>3434</v>
      </c>
      <c r="E1241" s="55">
        <v>46125</v>
      </c>
      <c r="F1241" s="26" t="s">
        <v>948</v>
      </c>
      <c r="G1241" s="26" t="s">
        <v>58</v>
      </c>
      <c r="H1241" s="26" t="s">
        <v>56</v>
      </c>
      <c r="I1241" s="26" t="s">
        <v>70</v>
      </c>
      <c r="J1241" s="26" t="s">
        <v>58</v>
      </c>
      <c r="K1241" s="27"/>
      <c r="L1241" s="28" t="s">
        <v>56</v>
      </c>
      <c r="M1241" s="29" t="str">
        <f t="shared" si="95"/>
        <v>✓ OK</v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4.25" customHeight="1" x14ac:dyDescent="0.3">
      <c r="A1242" s="42">
        <v>1238</v>
      </c>
      <c r="B1242" s="43" t="s">
        <v>3759</v>
      </c>
      <c r="C1242" s="44" t="s">
        <v>3760</v>
      </c>
      <c r="D1242" s="42" t="s">
        <v>3434</v>
      </c>
      <c r="E1242" s="55">
        <v>46125</v>
      </c>
      <c r="F1242" s="26" t="s">
        <v>948</v>
      </c>
      <c r="G1242" s="26" t="s">
        <v>58</v>
      </c>
      <c r="H1242" s="26" t="s">
        <v>56</v>
      </c>
      <c r="I1242" s="26" t="s">
        <v>70</v>
      </c>
      <c r="J1242" s="26" t="s">
        <v>58</v>
      </c>
      <c r="K1242" s="27"/>
      <c r="L1242" s="28" t="s">
        <v>56</v>
      </c>
      <c r="M1242" s="29" t="str">
        <f t="shared" si="95"/>
        <v>✓ OK</v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4.25" customHeight="1" x14ac:dyDescent="0.3">
      <c r="A1243" s="23">
        <v>1239</v>
      </c>
      <c r="B1243" s="24" t="s">
        <v>3761</v>
      </c>
      <c r="C1243" s="25" t="s">
        <v>3762</v>
      </c>
      <c r="D1243" s="23" t="s">
        <v>3434</v>
      </c>
      <c r="E1243" s="55">
        <v>46125</v>
      </c>
      <c r="F1243" s="26" t="s">
        <v>948</v>
      </c>
      <c r="G1243" s="26" t="s">
        <v>58</v>
      </c>
      <c r="H1243" s="26" t="s">
        <v>56</v>
      </c>
      <c r="I1243" s="26" t="s">
        <v>70</v>
      </c>
      <c r="J1243" s="26" t="s">
        <v>58</v>
      </c>
      <c r="K1243" s="27"/>
      <c r="L1243" s="28" t="s">
        <v>56</v>
      </c>
      <c r="M1243" s="29" t="str">
        <f t="shared" si="95"/>
        <v>✓ OK</v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4.25" customHeight="1" x14ac:dyDescent="0.3">
      <c r="A1244" s="42">
        <v>1240</v>
      </c>
      <c r="B1244" s="43" t="s">
        <v>3763</v>
      </c>
      <c r="C1244" s="44" t="s">
        <v>3764</v>
      </c>
      <c r="D1244" s="42" t="s">
        <v>3434</v>
      </c>
      <c r="E1244" s="55">
        <v>46125</v>
      </c>
      <c r="F1244" s="26" t="s">
        <v>948</v>
      </c>
      <c r="G1244" s="26" t="s">
        <v>58</v>
      </c>
      <c r="H1244" s="26" t="s">
        <v>56</v>
      </c>
      <c r="I1244" s="26" t="s">
        <v>70</v>
      </c>
      <c r="J1244" s="26" t="s">
        <v>58</v>
      </c>
      <c r="K1244" s="27"/>
      <c r="L1244" s="28" t="s">
        <v>56</v>
      </c>
      <c r="M1244" s="29" t="str">
        <f t="shared" si="95"/>
        <v>✓ OK</v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4.25" customHeight="1" x14ac:dyDescent="0.3">
      <c r="A1245" s="23">
        <v>1241</v>
      </c>
      <c r="B1245" s="24" t="s">
        <v>3765</v>
      </c>
      <c r="C1245" s="25" t="s">
        <v>3766</v>
      </c>
      <c r="D1245" s="23" t="s">
        <v>3434</v>
      </c>
      <c r="E1245" s="55">
        <v>46125</v>
      </c>
      <c r="F1245" s="26" t="s">
        <v>948</v>
      </c>
      <c r="G1245" s="26" t="s">
        <v>58</v>
      </c>
      <c r="H1245" s="26" t="s">
        <v>56</v>
      </c>
      <c r="I1245" s="26" t="s">
        <v>70</v>
      </c>
      <c r="J1245" s="26" t="s">
        <v>58</v>
      </c>
      <c r="K1245" s="27"/>
      <c r="L1245" s="28" t="s">
        <v>56</v>
      </c>
      <c r="M1245" s="29" t="str">
        <f t="shared" si="95"/>
        <v>✓ OK</v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4.25" customHeight="1" x14ac:dyDescent="0.3">
      <c r="A1246" s="42">
        <v>1242</v>
      </c>
      <c r="B1246" s="43" t="s">
        <v>3767</v>
      </c>
      <c r="C1246" s="44" t="s">
        <v>3768</v>
      </c>
      <c r="D1246" s="42" t="s">
        <v>3434</v>
      </c>
      <c r="E1246" s="55">
        <v>46125</v>
      </c>
      <c r="F1246" s="26" t="s">
        <v>948</v>
      </c>
      <c r="G1246" s="26" t="s">
        <v>58</v>
      </c>
      <c r="H1246" s="26" t="s">
        <v>56</v>
      </c>
      <c r="I1246" s="26" t="s">
        <v>70</v>
      </c>
      <c r="J1246" s="26" t="s">
        <v>58</v>
      </c>
      <c r="K1246" s="27"/>
      <c r="L1246" s="28" t="s">
        <v>56</v>
      </c>
      <c r="M1246" s="29" t="str">
        <f t="shared" si="95"/>
        <v>✓ OK</v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4.25" customHeight="1" x14ac:dyDescent="0.3">
      <c r="A1247" s="23">
        <v>1243</v>
      </c>
      <c r="B1247" s="24" t="s">
        <v>3769</v>
      </c>
      <c r="C1247" s="25" t="s">
        <v>3770</v>
      </c>
      <c r="D1247" s="23" t="s">
        <v>3434</v>
      </c>
      <c r="E1247" s="55">
        <v>46125</v>
      </c>
      <c r="F1247" s="26" t="s">
        <v>948</v>
      </c>
      <c r="G1247" s="26" t="s">
        <v>58</v>
      </c>
      <c r="H1247" s="26" t="s">
        <v>56</v>
      </c>
      <c r="I1247" s="26" t="s">
        <v>70</v>
      </c>
      <c r="J1247" s="26" t="s">
        <v>58</v>
      </c>
      <c r="K1247" s="27"/>
      <c r="L1247" s="28" t="s">
        <v>56</v>
      </c>
      <c r="M1247" s="29" t="str">
        <f t="shared" si="95"/>
        <v>✓ OK</v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4.25" customHeight="1" x14ac:dyDescent="0.3">
      <c r="A1248" s="42">
        <v>1244</v>
      </c>
      <c r="B1248" s="43" t="s">
        <v>3771</v>
      </c>
      <c r="C1248" s="44" t="s">
        <v>3772</v>
      </c>
      <c r="D1248" s="42" t="s">
        <v>3434</v>
      </c>
      <c r="E1248" s="55">
        <v>46125</v>
      </c>
      <c r="F1248" s="26" t="s">
        <v>948</v>
      </c>
      <c r="G1248" s="26" t="s">
        <v>58</v>
      </c>
      <c r="H1248" s="26" t="s">
        <v>56</v>
      </c>
      <c r="I1248" s="26" t="s">
        <v>70</v>
      </c>
      <c r="J1248" s="26" t="s">
        <v>58</v>
      </c>
      <c r="K1248" s="27"/>
      <c r="L1248" s="28" t="s">
        <v>56</v>
      </c>
      <c r="M1248" s="29" t="str">
        <f t="shared" si="95"/>
        <v>✓ OK</v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4.25" customHeight="1" x14ac:dyDescent="0.3">
      <c r="A1249" s="23">
        <v>1245</v>
      </c>
      <c r="B1249" s="24" t="s">
        <v>3773</v>
      </c>
      <c r="C1249" s="25" t="s">
        <v>3774</v>
      </c>
      <c r="D1249" s="23" t="s">
        <v>3434</v>
      </c>
      <c r="E1249" s="55">
        <v>46125</v>
      </c>
      <c r="F1249" s="26" t="s">
        <v>948</v>
      </c>
      <c r="G1249" s="26" t="s">
        <v>58</v>
      </c>
      <c r="H1249" s="26" t="s">
        <v>56</v>
      </c>
      <c r="I1249" s="26" t="s">
        <v>70</v>
      </c>
      <c r="J1249" s="26" t="s">
        <v>58</v>
      </c>
      <c r="K1249" s="27"/>
      <c r="L1249" s="28" t="s">
        <v>56</v>
      </c>
      <c r="M1249" s="29" t="str">
        <f t="shared" si="95"/>
        <v>✓ OK</v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4.25" customHeight="1" x14ac:dyDescent="0.3">
      <c r="A1250" s="42">
        <v>1246</v>
      </c>
      <c r="B1250" s="43" t="s">
        <v>3775</v>
      </c>
      <c r="C1250" s="44" t="s">
        <v>3776</v>
      </c>
      <c r="D1250" s="42" t="s">
        <v>3434</v>
      </c>
      <c r="E1250" s="55">
        <v>46125</v>
      </c>
      <c r="F1250" s="26" t="s">
        <v>948</v>
      </c>
      <c r="G1250" s="26" t="s">
        <v>58</v>
      </c>
      <c r="H1250" s="26" t="s">
        <v>56</v>
      </c>
      <c r="I1250" s="26" t="s">
        <v>70</v>
      </c>
      <c r="J1250" s="26" t="s">
        <v>58</v>
      </c>
      <c r="K1250" s="27"/>
      <c r="L1250" s="28" t="s">
        <v>56</v>
      </c>
      <c r="M1250" s="29" t="str">
        <f t="shared" si="95"/>
        <v>✓ OK</v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4.25" customHeight="1" x14ac:dyDescent="0.3">
      <c r="A1251" s="23">
        <v>1247</v>
      </c>
      <c r="B1251" s="24" t="s">
        <v>3777</v>
      </c>
      <c r="C1251" s="25" t="s">
        <v>3778</v>
      </c>
      <c r="D1251" s="23" t="s">
        <v>3434</v>
      </c>
      <c r="E1251" s="55">
        <v>46125</v>
      </c>
      <c r="F1251" s="26" t="s">
        <v>948</v>
      </c>
      <c r="G1251" s="26" t="s">
        <v>58</v>
      </c>
      <c r="H1251" s="26" t="s">
        <v>56</v>
      </c>
      <c r="I1251" s="26" t="s">
        <v>70</v>
      </c>
      <c r="J1251" s="26" t="s">
        <v>58</v>
      </c>
      <c r="K1251" s="27"/>
      <c r="L1251" s="28" t="s">
        <v>56</v>
      </c>
      <c r="M1251" s="29" t="str">
        <f t="shared" si="95"/>
        <v>✓ OK</v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4.25" customHeight="1" x14ac:dyDescent="0.3">
      <c r="A1252" s="42">
        <v>1248</v>
      </c>
      <c r="B1252" s="43" t="s">
        <v>3779</v>
      </c>
      <c r="C1252" s="44" t="s">
        <v>3780</v>
      </c>
      <c r="D1252" s="42" t="s">
        <v>3434</v>
      </c>
      <c r="E1252" s="55">
        <v>46125</v>
      </c>
      <c r="F1252" s="26" t="s">
        <v>948</v>
      </c>
      <c r="G1252" s="26" t="s">
        <v>58</v>
      </c>
      <c r="H1252" s="26" t="s">
        <v>56</v>
      </c>
      <c r="I1252" s="26" t="s">
        <v>70</v>
      </c>
      <c r="J1252" s="26" t="s">
        <v>58</v>
      </c>
      <c r="K1252" s="27"/>
      <c r="L1252" s="28" t="s">
        <v>56</v>
      </c>
      <c r="M1252" s="29" t="str">
        <f t="shared" si="95"/>
        <v>✓ OK</v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4.25" customHeight="1" x14ac:dyDescent="0.3">
      <c r="A1253" s="23">
        <v>1249</v>
      </c>
      <c r="B1253" s="24" t="s">
        <v>3781</v>
      </c>
      <c r="C1253" s="25" t="s">
        <v>3782</v>
      </c>
      <c r="D1253" s="23" t="s">
        <v>3434</v>
      </c>
      <c r="E1253" s="55">
        <v>46125</v>
      </c>
      <c r="F1253" s="26" t="s">
        <v>948</v>
      </c>
      <c r="G1253" s="26" t="s">
        <v>58</v>
      </c>
      <c r="H1253" s="26" t="s">
        <v>56</v>
      </c>
      <c r="I1253" s="26" t="s">
        <v>70</v>
      </c>
      <c r="J1253" s="26" t="s">
        <v>58</v>
      </c>
      <c r="K1253" s="27"/>
      <c r="L1253" s="28" t="s">
        <v>56</v>
      </c>
      <c r="M1253" s="29" t="str">
        <f t="shared" si="95"/>
        <v>✓ OK</v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4.25" customHeight="1" x14ac:dyDescent="0.3">
      <c r="A1254" s="42">
        <v>1250</v>
      </c>
      <c r="B1254" s="43" t="s">
        <v>3783</v>
      </c>
      <c r="C1254" s="44" t="s">
        <v>3784</v>
      </c>
      <c r="D1254" s="42" t="s">
        <v>3434</v>
      </c>
      <c r="E1254" s="55">
        <v>46125</v>
      </c>
      <c r="F1254" s="26" t="s">
        <v>948</v>
      </c>
      <c r="G1254" s="26" t="s">
        <v>58</v>
      </c>
      <c r="H1254" s="26" t="s">
        <v>56</v>
      </c>
      <c r="I1254" s="26" t="s">
        <v>70</v>
      </c>
      <c r="J1254" s="26" t="s">
        <v>58</v>
      </c>
      <c r="K1254" s="27"/>
      <c r="L1254" s="28" t="s">
        <v>56</v>
      </c>
      <c r="M1254" s="29" t="str">
        <f t="shared" si="95"/>
        <v>✓ OK</v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4.25" customHeight="1" x14ac:dyDescent="0.3">
      <c r="A1255" s="23">
        <v>1251</v>
      </c>
      <c r="B1255" s="24" t="s">
        <v>3785</v>
      </c>
      <c r="C1255" s="25" t="s">
        <v>3786</v>
      </c>
      <c r="D1255" s="23" t="s">
        <v>3434</v>
      </c>
      <c r="E1255" s="55">
        <v>46125</v>
      </c>
      <c r="F1255" s="26" t="s">
        <v>948</v>
      </c>
      <c r="G1255" s="26" t="s">
        <v>58</v>
      </c>
      <c r="H1255" s="26" t="s">
        <v>56</v>
      </c>
      <c r="I1255" s="26" t="s">
        <v>70</v>
      </c>
      <c r="J1255" s="26" t="s">
        <v>58</v>
      </c>
      <c r="K1255" s="27"/>
      <c r="L1255" s="28" t="s">
        <v>56</v>
      </c>
      <c r="M1255" s="29" t="str">
        <f t="shared" si="95"/>
        <v>✓ OK</v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4.25" customHeight="1" x14ac:dyDescent="0.3">
      <c r="A1256" s="42">
        <v>1252</v>
      </c>
      <c r="B1256" s="43" t="s">
        <v>3787</v>
      </c>
      <c r="C1256" s="44" t="s">
        <v>3788</v>
      </c>
      <c r="D1256" s="42" t="s">
        <v>3434</v>
      </c>
      <c r="E1256" s="55">
        <v>46125</v>
      </c>
      <c r="F1256" s="26" t="s">
        <v>948</v>
      </c>
      <c r="G1256" s="26" t="s">
        <v>58</v>
      </c>
      <c r="H1256" s="26" t="s">
        <v>56</v>
      </c>
      <c r="I1256" s="26" t="s">
        <v>70</v>
      </c>
      <c r="J1256" s="26" t="s">
        <v>58</v>
      </c>
      <c r="K1256" s="27"/>
      <c r="L1256" s="28" t="s">
        <v>56</v>
      </c>
      <c r="M1256" s="29" t="str">
        <f t="shared" si="95"/>
        <v>✓ OK</v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4.25" customHeight="1" x14ac:dyDescent="0.3">
      <c r="A1257" s="23">
        <v>1253</v>
      </c>
      <c r="B1257" s="24" t="s">
        <v>3789</v>
      </c>
      <c r="C1257" s="25" t="s">
        <v>3790</v>
      </c>
      <c r="D1257" s="23" t="s">
        <v>3434</v>
      </c>
      <c r="E1257" s="55">
        <v>46125</v>
      </c>
      <c r="F1257" s="26" t="s">
        <v>948</v>
      </c>
      <c r="G1257" s="26" t="s">
        <v>58</v>
      </c>
      <c r="H1257" s="26" t="s">
        <v>56</v>
      </c>
      <c r="I1257" s="26" t="s">
        <v>70</v>
      </c>
      <c r="J1257" s="26" t="s">
        <v>58</v>
      </c>
      <c r="K1257" s="27"/>
      <c r="L1257" s="28" t="s">
        <v>56</v>
      </c>
      <c r="M1257" s="29" t="str">
        <f t="shared" si="95"/>
        <v>✓ OK</v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4.25" customHeight="1" x14ac:dyDescent="0.3">
      <c r="A1258" s="42">
        <v>1254</v>
      </c>
      <c r="B1258" s="43" t="s">
        <v>3791</v>
      </c>
      <c r="C1258" s="44" t="s">
        <v>3792</v>
      </c>
      <c r="D1258" s="42" t="s">
        <v>3434</v>
      </c>
      <c r="E1258" s="55">
        <v>46125</v>
      </c>
      <c r="F1258" s="26" t="s">
        <v>948</v>
      </c>
      <c r="G1258" s="26" t="s">
        <v>58</v>
      </c>
      <c r="H1258" s="26" t="s">
        <v>56</v>
      </c>
      <c r="I1258" s="26" t="s">
        <v>70</v>
      </c>
      <c r="J1258" s="26" t="s">
        <v>58</v>
      </c>
      <c r="K1258" s="27"/>
      <c r="L1258" s="28" t="s">
        <v>56</v>
      </c>
      <c r="M1258" s="29" t="str">
        <f t="shared" si="95"/>
        <v>✓ OK</v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4.25" customHeight="1" x14ac:dyDescent="0.3">
      <c r="A1259" s="23">
        <v>1255</v>
      </c>
      <c r="B1259" s="24" t="s">
        <v>3793</v>
      </c>
      <c r="C1259" s="25" t="s">
        <v>3794</v>
      </c>
      <c r="D1259" s="23" t="s">
        <v>3434</v>
      </c>
      <c r="E1259" s="55">
        <v>46125</v>
      </c>
      <c r="F1259" s="26" t="s">
        <v>948</v>
      </c>
      <c r="G1259" s="26" t="s">
        <v>58</v>
      </c>
      <c r="H1259" s="26" t="s">
        <v>56</v>
      </c>
      <c r="I1259" s="26" t="s">
        <v>70</v>
      </c>
      <c r="J1259" s="26" t="s">
        <v>58</v>
      </c>
      <c r="K1259" s="27"/>
      <c r="L1259" s="28" t="s">
        <v>56</v>
      </c>
      <c r="M1259" s="29" t="str">
        <f t="shared" si="95"/>
        <v>✓ OK</v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4.25" customHeight="1" x14ac:dyDescent="0.3">
      <c r="A1260" s="42">
        <v>1256</v>
      </c>
      <c r="B1260" s="43" t="s">
        <v>3795</v>
      </c>
      <c r="C1260" s="44" t="s">
        <v>3796</v>
      </c>
      <c r="D1260" s="42" t="s">
        <v>3434</v>
      </c>
      <c r="E1260" s="55">
        <v>46125</v>
      </c>
      <c r="F1260" s="26" t="s">
        <v>948</v>
      </c>
      <c r="G1260" s="26" t="s">
        <v>58</v>
      </c>
      <c r="H1260" s="26" t="s">
        <v>56</v>
      </c>
      <c r="I1260" s="26" t="s">
        <v>70</v>
      </c>
      <c r="J1260" s="26" t="s">
        <v>58</v>
      </c>
      <c r="K1260" s="27"/>
      <c r="L1260" s="28" t="s">
        <v>56</v>
      </c>
      <c r="M1260" s="29" t="str">
        <f t="shared" si="95"/>
        <v>✓ OK</v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4.25" customHeight="1" x14ac:dyDescent="0.3">
      <c r="A1261" s="23">
        <v>1257</v>
      </c>
      <c r="B1261" s="24" t="s">
        <v>3797</v>
      </c>
      <c r="C1261" s="25" t="s">
        <v>3798</v>
      </c>
      <c r="D1261" s="23" t="s">
        <v>3434</v>
      </c>
      <c r="E1261" s="55">
        <v>46125</v>
      </c>
      <c r="F1261" s="26" t="s">
        <v>948</v>
      </c>
      <c r="G1261" s="26" t="s">
        <v>58</v>
      </c>
      <c r="H1261" s="26" t="s">
        <v>56</v>
      </c>
      <c r="I1261" s="26" t="s">
        <v>70</v>
      </c>
      <c r="J1261" s="26" t="s">
        <v>58</v>
      </c>
      <c r="K1261" s="27"/>
      <c r="L1261" s="28" t="s">
        <v>56</v>
      </c>
      <c r="M1261" s="29" t="str">
        <f t="shared" si="95"/>
        <v>✓ OK</v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4.25" customHeight="1" x14ac:dyDescent="0.3">
      <c r="A1262" s="42">
        <v>1258</v>
      </c>
      <c r="B1262" s="43" t="s">
        <v>3799</v>
      </c>
      <c r="C1262" s="44" t="s">
        <v>3800</v>
      </c>
      <c r="D1262" s="42" t="s">
        <v>3434</v>
      </c>
      <c r="E1262" s="55">
        <v>46125</v>
      </c>
      <c r="F1262" s="26" t="s">
        <v>948</v>
      </c>
      <c r="G1262" s="26" t="s">
        <v>58</v>
      </c>
      <c r="H1262" s="26" t="s">
        <v>56</v>
      </c>
      <c r="I1262" s="26" t="s">
        <v>70</v>
      </c>
      <c r="J1262" s="26" t="s">
        <v>58</v>
      </c>
      <c r="K1262" s="27"/>
      <c r="L1262" s="28" t="s">
        <v>56</v>
      </c>
      <c r="M1262" s="29" t="str">
        <f t="shared" si="95"/>
        <v>✓ OK</v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4.25" customHeight="1" x14ac:dyDescent="0.3">
      <c r="A1263" s="23">
        <v>1259</v>
      </c>
      <c r="B1263" s="24" t="s">
        <v>3801</v>
      </c>
      <c r="C1263" s="25" t="s">
        <v>3802</v>
      </c>
      <c r="D1263" s="23" t="s">
        <v>3434</v>
      </c>
      <c r="E1263" s="55">
        <v>46125</v>
      </c>
      <c r="F1263" s="26" t="s">
        <v>948</v>
      </c>
      <c r="G1263" s="26" t="s">
        <v>58</v>
      </c>
      <c r="H1263" s="26" t="s">
        <v>56</v>
      </c>
      <c r="I1263" s="26" t="s">
        <v>70</v>
      </c>
      <c r="J1263" s="26" t="s">
        <v>58</v>
      </c>
      <c r="K1263" s="27"/>
      <c r="L1263" s="28" t="s">
        <v>56</v>
      </c>
      <c r="M1263" s="29" t="str">
        <f t="shared" si="95"/>
        <v>✓ OK</v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4.25" customHeight="1" x14ac:dyDescent="0.3">
      <c r="A1264" s="42">
        <v>1260</v>
      </c>
      <c r="B1264" s="43" t="s">
        <v>3803</v>
      </c>
      <c r="C1264" s="44" t="s">
        <v>3804</v>
      </c>
      <c r="D1264" s="42" t="s">
        <v>3434</v>
      </c>
      <c r="E1264" s="55">
        <v>46125</v>
      </c>
      <c r="F1264" s="26" t="s">
        <v>948</v>
      </c>
      <c r="G1264" s="26" t="s">
        <v>58</v>
      </c>
      <c r="H1264" s="26" t="s">
        <v>56</v>
      </c>
      <c r="I1264" s="26" t="s">
        <v>70</v>
      </c>
      <c r="J1264" s="26" t="s">
        <v>58</v>
      </c>
      <c r="K1264" s="27"/>
      <c r="L1264" s="28" t="s">
        <v>56</v>
      </c>
      <c r="M1264" s="29" t="str">
        <f t="shared" si="95"/>
        <v>✓ OK</v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4.25" customHeight="1" x14ac:dyDescent="0.3">
      <c r="A1265" s="23">
        <v>1261</v>
      </c>
      <c r="B1265" s="24" t="s">
        <v>3805</v>
      </c>
      <c r="C1265" s="25" t="s">
        <v>3806</v>
      </c>
      <c r="D1265" s="23" t="s">
        <v>3434</v>
      </c>
      <c r="E1265" s="55">
        <v>46125</v>
      </c>
      <c r="F1265" s="26" t="s">
        <v>948</v>
      </c>
      <c r="G1265" s="26" t="s">
        <v>58</v>
      </c>
      <c r="H1265" s="26" t="s">
        <v>56</v>
      </c>
      <c r="I1265" s="26" t="s">
        <v>70</v>
      </c>
      <c r="J1265" s="26" t="s">
        <v>58</v>
      </c>
      <c r="K1265" s="27"/>
      <c r="L1265" s="28" t="s">
        <v>56</v>
      </c>
      <c r="M1265" s="29" t="str">
        <f t="shared" si="95"/>
        <v>✓ OK</v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4.25" customHeight="1" x14ac:dyDescent="0.3">
      <c r="A1266" s="42">
        <v>1262</v>
      </c>
      <c r="B1266" s="43" t="s">
        <v>3807</v>
      </c>
      <c r="C1266" s="44" t="s">
        <v>3808</v>
      </c>
      <c r="D1266" s="42" t="s">
        <v>3434</v>
      </c>
      <c r="E1266" s="55">
        <v>46125</v>
      </c>
      <c r="F1266" s="26" t="s">
        <v>948</v>
      </c>
      <c r="G1266" s="26" t="s">
        <v>58</v>
      </c>
      <c r="H1266" s="26" t="s">
        <v>56</v>
      </c>
      <c r="I1266" s="26" t="s">
        <v>70</v>
      </c>
      <c r="J1266" s="26" t="s">
        <v>58</v>
      </c>
      <c r="K1266" s="27"/>
      <c r="L1266" s="28" t="s">
        <v>56</v>
      </c>
      <c r="M1266" s="29" t="str">
        <f t="shared" si="95"/>
        <v>✓ OK</v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4.25" customHeight="1" x14ac:dyDescent="0.3">
      <c r="A1267" s="23">
        <v>1263</v>
      </c>
      <c r="B1267" s="24" t="s">
        <v>3809</v>
      </c>
      <c r="C1267" s="25" t="s">
        <v>3810</v>
      </c>
      <c r="D1267" s="23" t="s">
        <v>3434</v>
      </c>
      <c r="E1267" s="55">
        <v>46125</v>
      </c>
      <c r="F1267" s="26" t="s">
        <v>948</v>
      </c>
      <c r="G1267" s="26" t="s">
        <v>58</v>
      </c>
      <c r="H1267" s="26" t="s">
        <v>56</v>
      </c>
      <c r="I1267" s="26" t="s">
        <v>70</v>
      </c>
      <c r="J1267" s="26" t="s">
        <v>58</v>
      </c>
      <c r="K1267" s="27"/>
      <c r="L1267" s="28" t="s">
        <v>56</v>
      </c>
      <c r="M1267" s="29" t="str">
        <f t="shared" si="95"/>
        <v>✓ OK</v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4.25" customHeight="1" x14ac:dyDescent="0.3">
      <c r="A1268" s="42">
        <v>1264</v>
      </c>
      <c r="B1268" s="43" t="s">
        <v>3811</v>
      </c>
      <c r="C1268" s="44" t="s">
        <v>3812</v>
      </c>
      <c r="D1268" s="42" t="s">
        <v>3434</v>
      </c>
      <c r="E1268" s="55">
        <v>46125</v>
      </c>
      <c r="F1268" s="26" t="s">
        <v>948</v>
      </c>
      <c r="G1268" s="26" t="s">
        <v>58</v>
      </c>
      <c r="H1268" s="26" t="s">
        <v>56</v>
      </c>
      <c r="I1268" s="26" t="s">
        <v>70</v>
      </c>
      <c r="J1268" s="26" t="s">
        <v>58</v>
      </c>
      <c r="K1268" s="27"/>
      <c r="L1268" s="28" t="s">
        <v>56</v>
      </c>
      <c r="M1268" s="29" t="str">
        <f t="shared" si="95"/>
        <v>✓ OK</v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4.25" customHeight="1" x14ac:dyDescent="0.3">
      <c r="A1269" s="23">
        <v>1265</v>
      </c>
      <c r="B1269" s="24" t="s">
        <v>3813</v>
      </c>
      <c r="C1269" s="25" t="s">
        <v>3814</v>
      </c>
      <c r="D1269" s="23" t="s">
        <v>3434</v>
      </c>
      <c r="E1269" s="55">
        <v>46125</v>
      </c>
      <c r="F1269" s="26" t="s">
        <v>948</v>
      </c>
      <c r="G1269" s="26" t="s">
        <v>58</v>
      </c>
      <c r="H1269" s="26" t="s">
        <v>56</v>
      </c>
      <c r="I1269" s="26" t="s">
        <v>70</v>
      </c>
      <c r="J1269" s="26" t="s">
        <v>58</v>
      </c>
      <c r="K1269" s="27"/>
      <c r="L1269" s="28" t="s">
        <v>56</v>
      </c>
      <c r="M1269" s="29" t="str">
        <f t="shared" si="95"/>
        <v>✓ OK</v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4.25" customHeight="1" x14ac:dyDescent="0.3">
      <c r="A1270" s="42">
        <v>1266</v>
      </c>
      <c r="B1270" s="43" t="s">
        <v>3815</v>
      </c>
      <c r="C1270" s="44" t="s">
        <v>3816</v>
      </c>
      <c r="D1270" s="42" t="s">
        <v>3434</v>
      </c>
      <c r="E1270" s="55">
        <v>46125</v>
      </c>
      <c r="F1270" s="26" t="s">
        <v>948</v>
      </c>
      <c r="G1270" s="26" t="s">
        <v>58</v>
      </c>
      <c r="H1270" s="26" t="s">
        <v>56</v>
      </c>
      <c r="I1270" s="26" t="s">
        <v>70</v>
      </c>
      <c r="J1270" s="26" t="s">
        <v>58</v>
      </c>
      <c r="K1270" s="27"/>
      <c r="L1270" s="28" t="s">
        <v>56</v>
      </c>
      <c r="M1270" s="29" t="str">
        <f t="shared" si="95"/>
        <v>✓ OK</v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4.25" customHeight="1" x14ac:dyDescent="0.3">
      <c r="A1271" s="23">
        <v>1267</v>
      </c>
      <c r="B1271" s="24" t="s">
        <v>3817</v>
      </c>
      <c r="C1271" s="25" t="s">
        <v>3818</v>
      </c>
      <c r="D1271" s="23" t="s">
        <v>3434</v>
      </c>
      <c r="E1271" s="55">
        <v>46125</v>
      </c>
      <c r="F1271" s="26" t="s">
        <v>948</v>
      </c>
      <c r="G1271" s="26" t="s">
        <v>58</v>
      </c>
      <c r="H1271" s="26" t="s">
        <v>56</v>
      </c>
      <c r="I1271" s="26" t="s">
        <v>70</v>
      </c>
      <c r="J1271" s="26" t="s">
        <v>58</v>
      </c>
      <c r="K1271" s="27"/>
      <c r="L1271" s="28" t="s">
        <v>56</v>
      </c>
      <c r="M1271" s="29" t="str">
        <f t="shared" si="95"/>
        <v>✓ OK</v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4.25" customHeight="1" x14ac:dyDescent="0.3">
      <c r="A1272" s="42">
        <v>1268</v>
      </c>
      <c r="B1272" s="43" t="s">
        <v>3819</v>
      </c>
      <c r="C1272" s="44" t="s">
        <v>3820</v>
      </c>
      <c r="D1272" s="42" t="s">
        <v>3434</v>
      </c>
      <c r="E1272" s="55">
        <v>46125</v>
      </c>
      <c r="F1272" s="26" t="s">
        <v>948</v>
      </c>
      <c r="G1272" s="26" t="s">
        <v>58</v>
      </c>
      <c r="H1272" s="26" t="s">
        <v>56</v>
      </c>
      <c r="I1272" s="26" t="s">
        <v>70</v>
      </c>
      <c r="J1272" s="26" t="s">
        <v>58</v>
      </c>
      <c r="K1272" s="27"/>
      <c r="L1272" s="28" t="s">
        <v>56</v>
      </c>
      <c r="M1272" s="29" t="str">
        <f t="shared" si="95"/>
        <v>✓ OK</v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4.25" customHeight="1" x14ac:dyDescent="0.3">
      <c r="A1273" s="23">
        <v>1269</v>
      </c>
      <c r="B1273" s="24" t="s">
        <v>3821</v>
      </c>
      <c r="C1273" s="25" t="s">
        <v>3822</v>
      </c>
      <c r="D1273" s="23" t="s">
        <v>3434</v>
      </c>
      <c r="E1273" s="55">
        <v>46125</v>
      </c>
      <c r="F1273" s="26" t="s">
        <v>948</v>
      </c>
      <c r="G1273" s="26" t="s">
        <v>58</v>
      </c>
      <c r="H1273" s="26" t="s">
        <v>56</v>
      </c>
      <c r="I1273" s="26" t="s">
        <v>70</v>
      </c>
      <c r="J1273" s="26" t="s">
        <v>58</v>
      </c>
      <c r="K1273" s="27"/>
      <c r="L1273" s="28" t="s">
        <v>56</v>
      </c>
      <c r="M1273" s="29" t="str">
        <f t="shared" si="95"/>
        <v>✓ OK</v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4.25" customHeight="1" x14ac:dyDescent="0.3">
      <c r="A1274" s="42">
        <v>1270</v>
      </c>
      <c r="B1274" s="43" t="s">
        <v>3823</v>
      </c>
      <c r="C1274" s="44" t="s">
        <v>3824</v>
      </c>
      <c r="D1274" s="42" t="s">
        <v>3434</v>
      </c>
      <c r="E1274" s="55">
        <v>46125</v>
      </c>
      <c r="F1274" s="26" t="s">
        <v>948</v>
      </c>
      <c r="G1274" s="26" t="s">
        <v>58</v>
      </c>
      <c r="H1274" s="26" t="s">
        <v>56</v>
      </c>
      <c r="I1274" s="26" t="s">
        <v>70</v>
      </c>
      <c r="J1274" s="26" t="s">
        <v>58</v>
      </c>
      <c r="K1274" s="27"/>
      <c r="L1274" s="28" t="s">
        <v>56</v>
      </c>
      <c r="M1274" s="29" t="str">
        <f t="shared" si="95"/>
        <v>✓ OK</v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4.25" customHeight="1" x14ac:dyDescent="0.3">
      <c r="A1275" s="23">
        <v>1271</v>
      </c>
      <c r="B1275" s="24" t="s">
        <v>3825</v>
      </c>
      <c r="C1275" s="25" t="s">
        <v>3826</v>
      </c>
      <c r="D1275" s="23" t="s">
        <v>3434</v>
      </c>
      <c r="E1275" s="55">
        <v>46125</v>
      </c>
      <c r="F1275" s="26" t="s">
        <v>948</v>
      </c>
      <c r="G1275" s="26" t="s">
        <v>58</v>
      </c>
      <c r="H1275" s="26" t="s">
        <v>56</v>
      </c>
      <c r="I1275" s="26" t="s">
        <v>70</v>
      </c>
      <c r="J1275" s="26" t="s">
        <v>58</v>
      </c>
      <c r="K1275" s="27"/>
      <c r="L1275" s="28" t="s">
        <v>56</v>
      </c>
      <c r="M1275" s="29" t="str">
        <f t="shared" si="95"/>
        <v>✓ OK</v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4.25" customHeight="1" x14ac:dyDescent="0.3">
      <c r="A1276" s="42">
        <v>1272</v>
      </c>
      <c r="B1276" s="43" t="s">
        <v>3827</v>
      </c>
      <c r="C1276" s="44" t="s">
        <v>3828</v>
      </c>
      <c r="D1276" s="42" t="s">
        <v>3434</v>
      </c>
      <c r="E1276" s="55">
        <v>46125</v>
      </c>
      <c r="F1276" s="26" t="s">
        <v>948</v>
      </c>
      <c r="G1276" s="26" t="s">
        <v>58</v>
      </c>
      <c r="H1276" s="26" t="s">
        <v>56</v>
      </c>
      <c r="I1276" s="26" t="s">
        <v>70</v>
      </c>
      <c r="J1276" s="26" t="s">
        <v>58</v>
      </c>
      <c r="K1276" s="27"/>
      <c r="L1276" s="28" t="s">
        <v>56</v>
      </c>
      <c r="M1276" s="29" t="str">
        <f t="shared" si="95"/>
        <v>✓ OK</v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4.25" customHeight="1" x14ac:dyDescent="0.3">
      <c r="A1277" s="23">
        <v>1273</v>
      </c>
      <c r="B1277" s="24" t="s">
        <v>3829</v>
      </c>
      <c r="C1277" s="25" t="s">
        <v>3830</v>
      </c>
      <c r="D1277" s="23" t="s">
        <v>3434</v>
      </c>
      <c r="E1277" s="55">
        <v>46125</v>
      </c>
      <c r="F1277" s="26" t="s">
        <v>948</v>
      </c>
      <c r="G1277" s="26" t="s">
        <v>58</v>
      </c>
      <c r="H1277" s="26" t="s">
        <v>56</v>
      </c>
      <c r="I1277" s="26" t="s">
        <v>70</v>
      </c>
      <c r="J1277" s="26" t="s">
        <v>58</v>
      </c>
      <c r="K1277" s="27"/>
      <c r="L1277" s="28" t="s">
        <v>56</v>
      </c>
      <c r="M1277" s="29" t="str">
        <f t="shared" si="95"/>
        <v>✓ OK</v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4.25" customHeight="1" x14ac:dyDescent="0.3">
      <c r="A1278" s="42">
        <v>1274</v>
      </c>
      <c r="B1278" s="43" t="s">
        <v>3831</v>
      </c>
      <c r="C1278" s="44" t="s">
        <v>3832</v>
      </c>
      <c r="D1278" s="42" t="s">
        <v>3434</v>
      </c>
      <c r="E1278" s="55">
        <v>46125</v>
      </c>
      <c r="F1278" s="26" t="s">
        <v>948</v>
      </c>
      <c r="G1278" s="26" t="s">
        <v>58</v>
      </c>
      <c r="H1278" s="26" t="s">
        <v>56</v>
      </c>
      <c r="I1278" s="26" t="s">
        <v>70</v>
      </c>
      <c r="J1278" s="26" t="s">
        <v>58</v>
      </c>
      <c r="K1278" s="27"/>
      <c r="L1278" s="28" t="s">
        <v>56</v>
      </c>
      <c r="M1278" s="29" t="str">
        <f t="shared" si="95"/>
        <v>✓ OK</v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4.25" customHeight="1" x14ac:dyDescent="0.3">
      <c r="A1279" s="23">
        <v>1275</v>
      </c>
      <c r="B1279" s="24" t="s">
        <v>3833</v>
      </c>
      <c r="C1279" s="25" t="s">
        <v>3834</v>
      </c>
      <c r="D1279" s="23" t="s">
        <v>3434</v>
      </c>
      <c r="E1279" s="55">
        <v>46125</v>
      </c>
      <c r="F1279" s="26" t="s">
        <v>948</v>
      </c>
      <c r="G1279" s="26" t="s">
        <v>58</v>
      </c>
      <c r="H1279" s="26" t="s">
        <v>56</v>
      </c>
      <c r="I1279" s="26" t="s">
        <v>70</v>
      </c>
      <c r="J1279" s="26" t="s">
        <v>58</v>
      </c>
      <c r="K1279" s="27"/>
      <c r="L1279" s="28" t="s">
        <v>56</v>
      </c>
      <c r="M1279" s="29" t="str">
        <f t="shared" si="95"/>
        <v>✓ OK</v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4.25" customHeight="1" x14ac:dyDescent="0.3">
      <c r="A1280" s="42">
        <v>1276</v>
      </c>
      <c r="B1280" s="43" t="s">
        <v>3835</v>
      </c>
      <c r="C1280" s="44" t="s">
        <v>3836</v>
      </c>
      <c r="D1280" s="42" t="s">
        <v>3434</v>
      </c>
      <c r="E1280" s="55">
        <v>46125</v>
      </c>
      <c r="F1280" s="26" t="s">
        <v>948</v>
      </c>
      <c r="G1280" s="26" t="s">
        <v>58</v>
      </c>
      <c r="H1280" s="26" t="s">
        <v>56</v>
      </c>
      <c r="I1280" s="26" t="s">
        <v>70</v>
      </c>
      <c r="J1280" s="26" t="s">
        <v>58</v>
      </c>
      <c r="K1280" s="27"/>
      <c r="L1280" s="28" t="s">
        <v>56</v>
      </c>
      <c r="M1280" s="29" t="str">
        <f t="shared" si="95"/>
        <v>✓ OK</v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4.25" customHeight="1" x14ac:dyDescent="0.3">
      <c r="A1281" s="23">
        <v>1277</v>
      </c>
      <c r="B1281" s="24" t="s">
        <v>3837</v>
      </c>
      <c r="C1281" s="25" t="s">
        <v>3838</v>
      </c>
      <c r="D1281" s="23" t="s">
        <v>3434</v>
      </c>
      <c r="E1281" s="55">
        <v>46125</v>
      </c>
      <c r="F1281" s="26" t="s">
        <v>948</v>
      </c>
      <c r="G1281" s="26" t="s">
        <v>58</v>
      </c>
      <c r="H1281" s="26" t="s">
        <v>56</v>
      </c>
      <c r="I1281" s="26" t="s">
        <v>70</v>
      </c>
      <c r="J1281" s="26" t="s">
        <v>58</v>
      </c>
      <c r="K1281" s="27"/>
      <c r="L1281" s="28" t="s">
        <v>56</v>
      </c>
      <c r="M1281" s="29" t="str">
        <f t="shared" si="95"/>
        <v>✓ OK</v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4.25" customHeight="1" x14ac:dyDescent="0.3">
      <c r="A1282" s="42">
        <v>1278</v>
      </c>
      <c r="B1282" s="43" t="s">
        <v>3839</v>
      </c>
      <c r="C1282" s="44" t="s">
        <v>3840</v>
      </c>
      <c r="D1282" s="42" t="s">
        <v>3434</v>
      </c>
      <c r="E1282" s="55">
        <v>46125</v>
      </c>
      <c r="F1282" s="26" t="s">
        <v>948</v>
      </c>
      <c r="G1282" s="26" t="s">
        <v>58</v>
      </c>
      <c r="H1282" s="26" t="s">
        <v>56</v>
      </c>
      <c r="I1282" s="26" t="s">
        <v>70</v>
      </c>
      <c r="J1282" s="26" t="s">
        <v>58</v>
      </c>
      <c r="K1282" s="27"/>
      <c r="L1282" s="28" t="s">
        <v>56</v>
      </c>
      <c r="M1282" s="29" t="str">
        <f t="shared" si="95"/>
        <v>✓ OK</v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4.25" customHeight="1" x14ac:dyDescent="0.3">
      <c r="A1283" s="23">
        <v>1279</v>
      </c>
      <c r="B1283" s="24" t="s">
        <v>3841</v>
      </c>
      <c r="C1283" s="25" t="s">
        <v>3842</v>
      </c>
      <c r="D1283" s="23" t="s">
        <v>3434</v>
      </c>
      <c r="E1283" s="55">
        <v>46125</v>
      </c>
      <c r="F1283" s="26" t="s">
        <v>948</v>
      </c>
      <c r="G1283" s="26" t="s">
        <v>58</v>
      </c>
      <c r="H1283" s="26" t="s">
        <v>56</v>
      </c>
      <c r="I1283" s="26" t="s">
        <v>70</v>
      </c>
      <c r="J1283" s="26" t="s">
        <v>58</v>
      </c>
      <c r="K1283" s="27"/>
      <c r="L1283" s="28" t="s">
        <v>56</v>
      </c>
      <c r="M1283" s="29" t="str">
        <f t="shared" si="95"/>
        <v>✓ OK</v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4.25" customHeight="1" x14ac:dyDescent="0.3">
      <c r="A1284" s="42">
        <v>1280</v>
      </c>
      <c r="B1284" s="43" t="s">
        <v>3843</v>
      </c>
      <c r="C1284" s="44" t="s">
        <v>3844</v>
      </c>
      <c r="D1284" s="42" t="s">
        <v>3434</v>
      </c>
      <c r="E1284" s="55">
        <v>46125</v>
      </c>
      <c r="F1284" s="26" t="s">
        <v>948</v>
      </c>
      <c r="G1284" s="26" t="s">
        <v>58</v>
      </c>
      <c r="H1284" s="26" t="s">
        <v>56</v>
      </c>
      <c r="I1284" s="26" t="s">
        <v>70</v>
      </c>
      <c r="J1284" s="26" t="s">
        <v>58</v>
      </c>
      <c r="K1284" s="27"/>
      <c r="L1284" s="28" t="s">
        <v>56</v>
      </c>
      <c r="M1284" s="29" t="str">
        <f t="shared" si="95"/>
        <v>✓ OK</v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4.25" customHeight="1" x14ac:dyDescent="0.3">
      <c r="A1285" s="23">
        <v>1281</v>
      </c>
      <c r="B1285" s="24" t="s">
        <v>3845</v>
      </c>
      <c r="C1285" s="25" t="s">
        <v>3846</v>
      </c>
      <c r="D1285" s="23" t="s">
        <v>3434</v>
      </c>
      <c r="E1285" s="55">
        <v>46125</v>
      </c>
      <c r="F1285" s="26" t="s">
        <v>948</v>
      </c>
      <c r="G1285" s="26" t="s">
        <v>58</v>
      </c>
      <c r="H1285" s="26" t="s">
        <v>56</v>
      </c>
      <c r="I1285" s="26" t="s">
        <v>70</v>
      </c>
      <c r="J1285" s="26" t="s">
        <v>58</v>
      </c>
      <c r="K1285" s="27"/>
      <c r="L1285" s="28" t="s">
        <v>56</v>
      </c>
      <c r="M1285" s="29" t="str">
        <f t="shared" ref="M1285:M1348" si="100">IF(E1285="","",IF(H1285="Yes","❌ Disc",IF(G1285="No","⚠ Missing",IF(J1285="Yes","✓ OK","⚠ Check"))))</f>
        <v>✓ OK</v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4.25" customHeight="1" x14ac:dyDescent="0.3">
      <c r="A1286" s="42">
        <v>1282</v>
      </c>
      <c r="B1286" s="43" t="s">
        <v>3847</v>
      </c>
      <c r="C1286" s="44" t="s">
        <v>3848</v>
      </c>
      <c r="D1286" s="42" t="s">
        <v>3434</v>
      </c>
      <c r="E1286" s="55">
        <v>46125</v>
      </c>
      <c r="F1286" s="26" t="s">
        <v>948</v>
      </c>
      <c r="G1286" s="26" t="s">
        <v>58</v>
      </c>
      <c r="H1286" s="26" t="s">
        <v>56</v>
      </c>
      <c r="I1286" s="26" t="s">
        <v>70</v>
      </c>
      <c r="J1286" s="26" t="s">
        <v>58</v>
      </c>
      <c r="K1286" s="27"/>
      <c r="L1286" s="28" t="s">
        <v>56</v>
      </c>
      <c r="M1286" s="29" t="str">
        <f t="shared" si="100"/>
        <v>✓ OK</v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4.25" customHeight="1" x14ac:dyDescent="0.3">
      <c r="A1287" s="23">
        <v>1283</v>
      </c>
      <c r="B1287" s="24" t="s">
        <v>3849</v>
      </c>
      <c r="C1287" s="25" t="s">
        <v>3850</v>
      </c>
      <c r="D1287" s="23" t="s">
        <v>3434</v>
      </c>
      <c r="E1287" s="55">
        <v>46125</v>
      </c>
      <c r="F1287" s="26" t="s">
        <v>948</v>
      </c>
      <c r="G1287" s="26" t="s">
        <v>58</v>
      </c>
      <c r="H1287" s="26" t="s">
        <v>56</v>
      </c>
      <c r="I1287" s="26" t="s">
        <v>70</v>
      </c>
      <c r="J1287" s="26" t="s">
        <v>58</v>
      </c>
      <c r="K1287" s="27"/>
      <c r="L1287" s="28" t="s">
        <v>56</v>
      </c>
      <c r="M1287" s="29" t="str">
        <f t="shared" si="100"/>
        <v>✓ OK</v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4.25" customHeight="1" x14ac:dyDescent="0.3">
      <c r="A1288" s="42">
        <v>1284</v>
      </c>
      <c r="B1288" s="43" t="s">
        <v>3851</v>
      </c>
      <c r="C1288" s="44" t="s">
        <v>3852</v>
      </c>
      <c r="D1288" s="42" t="s">
        <v>3434</v>
      </c>
      <c r="E1288" s="55">
        <v>46125</v>
      </c>
      <c r="F1288" s="26" t="s">
        <v>948</v>
      </c>
      <c r="G1288" s="26" t="s">
        <v>58</v>
      </c>
      <c r="H1288" s="26" t="s">
        <v>56</v>
      </c>
      <c r="I1288" s="26" t="s">
        <v>70</v>
      </c>
      <c r="J1288" s="26" t="s">
        <v>58</v>
      </c>
      <c r="K1288" s="27"/>
      <c r="L1288" s="28" t="s">
        <v>56</v>
      </c>
      <c r="M1288" s="29" t="str">
        <f t="shared" si="100"/>
        <v>✓ OK</v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4.25" customHeight="1" x14ac:dyDescent="0.3">
      <c r="A1289" s="23">
        <v>1285</v>
      </c>
      <c r="B1289" s="24" t="s">
        <v>3853</v>
      </c>
      <c r="C1289" s="25" t="s">
        <v>3854</v>
      </c>
      <c r="D1289" s="23" t="s">
        <v>3434</v>
      </c>
      <c r="E1289" s="55">
        <v>46125</v>
      </c>
      <c r="F1289" s="26" t="s">
        <v>948</v>
      </c>
      <c r="G1289" s="26" t="s">
        <v>58</v>
      </c>
      <c r="H1289" s="26" t="s">
        <v>56</v>
      </c>
      <c r="I1289" s="26" t="s">
        <v>70</v>
      </c>
      <c r="J1289" s="26" t="s">
        <v>58</v>
      </c>
      <c r="K1289" s="27"/>
      <c r="L1289" s="28" t="s">
        <v>56</v>
      </c>
      <c r="M1289" s="29" t="str">
        <f t="shared" si="100"/>
        <v>✓ OK</v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4.25" customHeight="1" x14ac:dyDescent="0.3">
      <c r="A1290" s="42">
        <v>1286</v>
      </c>
      <c r="B1290" s="43" t="s">
        <v>3855</v>
      </c>
      <c r="C1290" s="44" t="s">
        <v>3856</v>
      </c>
      <c r="D1290" s="42" t="s">
        <v>3434</v>
      </c>
      <c r="E1290" s="55">
        <v>46125</v>
      </c>
      <c r="F1290" s="26" t="s">
        <v>948</v>
      </c>
      <c r="G1290" s="26" t="s">
        <v>58</v>
      </c>
      <c r="H1290" s="26" t="s">
        <v>56</v>
      </c>
      <c r="I1290" s="26" t="s">
        <v>70</v>
      </c>
      <c r="J1290" s="26" t="s">
        <v>58</v>
      </c>
      <c r="K1290" s="27"/>
      <c r="L1290" s="28" t="s">
        <v>56</v>
      </c>
      <c r="M1290" s="29" t="str">
        <f t="shared" si="100"/>
        <v>✓ OK</v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4.25" customHeight="1" x14ac:dyDescent="0.3">
      <c r="A1291" s="23">
        <v>1287</v>
      </c>
      <c r="B1291" s="24" t="s">
        <v>3857</v>
      </c>
      <c r="C1291" s="25" t="s">
        <v>3858</v>
      </c>
      <c r="D1291" s="23" t="s">
        <v>3434</v>
      </c>
      <c r="E1291" s="55">
        <v>46125</v>
      </c>
      <c r="F1291" s="26" t="s">
        <v>948</v>
      </c>
      <c r="G1291" s="26" t="s">
        <v>58</v>
      </c>
      <c r="H1291" s="26" t="s">
        <v>56</v>
      </c>
      <c r="I1291" s="26" t="s">
        <v>70</v>
      </c>
      <c r="J1291" s="26" t="s">
        <v>58</v>
      </c>
      <c r="K1291" s="27"/>
      <c r="L1291" s="28" t="s">
        <v>56</v>
      </c>
      <c r="M1291" s="29" t="str">
        <f t="shared" si="100"/>
        <v>✓ OK</v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4.25" customHeight="1" x14ac:dyDescent="0.3">
      <c r="A1292" s="42">
        <v>1288</v>
      </c>
      <c r="B1292" s="43" t="s">
        <v>3859</v>
      </c>
      <c r="C1292" s="44" t="s">
        <v>3860</v>
      </c>
      <c r="D1292" s="42" t="s">
        <v>3434</v>
      </c>
      <c r="E1292" s="55">
        <v>46125</v>
      </c>
      <c r="F1292" s="26" t="s">
        <v>948</v>
      </c>
      <c r="G1292" s="26" t="s">
        <v>58</v>
      </c>
      <c r="H1292" s="26" t="s">
        <v>56</v>
      </c>
      <c r="I1292" s="26" t="s">
        <v>70</v>
      </c>
      <c r="J1292" s="26" t="s">
        <v>58</v>
      </c>
      <c r="K1292" s="27"/>
      <c r="L1292" s="28" t="s">
        <v>56</v>
      </c>
      <c r="M1292" s="29" t="str">
        <f t="shared" si="100"/>
        <v>✓ OK</v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4.25" customHeight="1" x14ac:dyDescent="0.3">
      <c r="A1293" s="23">
        <v>1289</v>
      </c>
      <c r="B1293" s="24" t="s">
        <v>3861</v>
      </c>
      <c r="C1293" s="25" t="s">
        <v>3862</v>
      </c>
      <c r="D1293" s="23" t="s">
        <v>3434</v>
      </c>
      <c r="E1293" s="55">
        <v>46125</v>
      </c>
      <c r="F1293" s="26" t="s">
        <v>948</v>
      </c>
      <c r="G1293" s="26" t="s">
        <v>58</v>
      </c>
      <c r="H1293" s="26" t="s">
        <v>56</v>
      </c>
      <c r="I1293" s="26" t="s">
        <v>70</v>
      </c>
      <c r="J1293" s="26" t="s">
        <v>58</v>
      </c>
      <c r="K1293" s="27"/>
      <c r="L1293" s="28" t="s">
        <v>56</v>
      </c>
      <c r="M1293" s="29" t="str">
        <f t="shared" si="100"/>
        <v>✓ OK</v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4.25" customHeight="1" x14ac:dyDescent="0.3">
      <c r="A1294" s="42">
        <v>1290</v>
      </c>
      <c r="B1294" s="43" t="s">
        <v>3863</v>
      </c>
      <c r="C1294" s="44" t="s">
        <v>3864</v>
      </c>
      <c r="D1294" s="42" t="s">
        <v>3434</v>
      </c>
      <c r="E1294" s="55">
        <v>46125</v>
      </c>
      <c r="F1294" s="26" t="s">
        <v>948</v>
      </c>
      <c r="G1294" s="26" t="s">
        <v>58</v>
      </c>
      <c r="H1294" s="26" t="s">
        <v>56</v>
      </c>
      <c r="I1294" s="26" t="s">
        <v>70</v>
      </c>
      <c r="J1294" s="26" t="s">
        <v>58</v>
      </c>
      <c r="K1294" s="27"/>
      <c r="L1294" s="28" t="s">
        <v>56</v>
      </c>
      <c r="M1294" s="29" t="str">
        <f t="shared" si="100"/>
        <v>✓ OK</v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4.25" customHeight="1" x14ac:dyDescent="0.3">
      <c r="A1295" s="23">
        <v>1291</v>
      </c>
      <c r="B1295" s="24" t="s">
        <v>3865</v>
      </c>
      <c r="C1295" s="25" t="s">
        <v>3866</v>
      </c>
      <c r="D1295" s="23" t="s">
        <v>3434</v>
      </c>
      <c r="E1295" s="55">
        <v>46125</v>
      </c>
      <c r="F1295" s="26" t="s">
        <v>948</v>
      </c>
      <c r="G1295" s="26" t="s">
        <v>58</v>
      </c>
      <c r="H1295" s="26" t="s">
        <v>56</v>
      </c>
      <c r="I1295" s="26" t="s">
        <v>70</v>
      </c>
      <c r="J1295" s="26" t="s">
        <v>58</v>
      </c>
      <c r="K1295" s="27"/>
      <c r="L1295" s="28" t="s">
        <v>56</v>
      </c>
      <c r="M1295" s="29" t="str">
        <f t="shared" si="100"/>
        <v>✓ OK</v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4.25" customHeight="1" x14ac:dyDescent="0.3">
      <c r="A1296" s="42">
        <v>1292</v>
      </c>
      <c r="B1296" s="43" t="s">
        <v>3867</v>
      </c>
      <c r="C1296" s="44" t="s">
        <v>3868</v>
      </c>
      <c r="D1296" s="42" t="s">
        <v>3434</v>
      </c>
      <c r="E1296" s="55">
        <v>46125</v>
      </c>
      <c r="F1296" s="26" t="s">
        <v>948</v>
      </c>
      <c r="G1296" s="26" t="s">
        <v>58</v>
      </c>
      <c r="H1296" s="26" t="s">
        <v>56</v>
      </c>
      <c r="I1296" s="26" t="s">
        <v>70</v>
      </c>
      <c r="J1296" s="26" t="s">
        <v>58</v>
      </c>
      <c r="K1296" s="27"/>
      <c r="L1296" s="28" t="s">
        <v>56</v>
      </c>
      <c r="M1296" s="29" t="str">
        <f t="shared" si="100"/>
        <v>✓ OK</v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4.25" customHeight="1" x14ac:dyDescent="0.3">
      <c r="A1297" s="23">
        <v>1293</v>
      </c>
      <c r="B1297" s="24" t="s">
        <v>3869</v>
      </c>
      <c r="C1297" s="25" t="s">
        <v>3870</v>
      </c>
      <c r="D1297" s="23" t="s">
        <v>3434</v>
      </c>
      <c r="E1297" s="55">
        <v>46125</v>
      </c>
      <c r="F1297" s="26" t="s">
        <v>948</v>
      </c>
      <c r="G1297" s="26" t="s">
        <v>58</v>
      </c>
      <c r="H1297" s="26" t="s">
        <v>56</v>
      </c>
      <c r="I1297" s="26" t="s">
        <v>70</v>
      </c>
      <c r="J1297" s="26" t="s">
        <v>58</v>
      </c>
      <c r="K1297" s="27"/>
      <c r="L1297" s="28" t="s">
        <v>56</v>
      </c>
      <c r="M1297" s="29" t="str">
        <f t="shared" si="100"/>
        <v>✓ OK</v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4.25" customHeight="1" x14ac:dyDescent="0.3">
      <c r="A1298" s="42">
        <v>1294</v>
      </c>
      <c r="B1298" s="43" t="s">
        <v>3871</v>
      </c>
      <c r="C1298" s="44" t="s">
        <v>3872</v>
      </c>
      <c r="D1298" s="42" t="s">
        <v>3434</v>
      </c>
      <c r="E1298" s="55">
        <v>46125</v>
      </c>
      <c r="F1298" s="26" t="s">
        <v>948</v>
      </c>
      <c r="G1298" s="26" t="s">
        <v>58</v>
      </c>
      <c r="H1298" s="26" t="s">
        <v>56</v>
      </c>
      <c r="I1298" s="26" t="s">
        <v>70</v>
      </c>
      <c r="J1298" s="26" t="s">
        <v>58</v>
      </c>
      <c r="K1298" s="27"/>
      <c r="L1298" s="28" t="s">
        <v>56</v>
      </c>
      <c r="M1298" s="29" t="str">
        <f t="shared" si="100"/>
        <v>✓ OK</v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4.25" customHeight="1" x14ac:dyDescent="0.3">
      <c r="A1299" s="23">
        <v>1295</v>
      </c>
      <c r="B1299" s="24" t="s">
        <v>3873</v>
      </c>
      <c r="C1299" s="25" t="s">
        <v>3874</v>
      </c>
      <c r="D1299" s="23" t="s">
        <v>3434</v>
      </c>
      <c r="E1299" s="55">
        <v>46125</v>
      </c>
      <c r="F1299" s="26" t="s">
        <v>948</v>
      </c>
      <c r="G1299" s="26" t="s">
        <v>58</v>
      </c>
      <c r="H1299" s="26" t="s">
        <v>56</v>
      </c>
      <c r="I1299" s="26" t="s">
        <v>70</v>
      </c>
      <c r="J1299" s="26" t="s">
        <v>58</v>
      </c>
      <c r="K1299" s="27"/>
      <c r="L1299" s="28" t="s">
        <v>56</v>
      </c>
      <c r="M1299" s="29" t="str">
        <f t="shared" si="100"/>
        <v>✓ OK</v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4.25" customHeight="1" x14ac:dyDescent="0.3">
      <c r="A1300" s="42">
        <v>1296</v>
      </c>
      <c r="B1300" s="43" t="s">
        <v>3875</v>
      </c>
      <c r="C1300" s="44" t="s">
        <v>3876</v>
      </c>
      <c r="D1300" s="42" t="s">
        <v>3434</v>
      </c>
      <c r="E1300" s="55">
        <v>46125</v>
      </c>
      <c r="F1300" s="26" t="s">
        <v>948</v>
      </c>
      <c r="G1300" s="26" t="s">
        <v>58</v>
      </c>
      <c r="H1300" s="26" t="s">
        <v>56</v>
      </c>
      <c r="I1300" s="26" t="s">
        <v>70</v>
      </c>
      <c r="J1300" s="26" t="s">
        <v>58</v>
      </c>
      <c r="K1300" s="27"/>
      <c r="L1300" s="28" t="s">
        <v>56</v>
      </c>
      <c r="M1300" s="29" t="str">
        <f t="shared" si="100"/>
        <v>✓ OK</v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4.25" customHeight="1" x14ac:dyDescent="0.3">
      <c r="A1301" s="23">
        <v>1297</v>
      </c>
      <c r="B1301" s="24" t="s">
        <v>3877</v>
      </c>
      <c r="C1301" s="25" t="s">
        <v>3878</v>
      </c>
      <c r="D1301" s="23" t="s">
        <v>3434</v>
      </c>
      <c r="E1301" s="55">
        <v>46125</v>
      </c>
      <c r="F1301" s="26" t="s">
        <v>948</v>
      </c>
      <c r="G1301" s="26" t="s">
        <v>58</v>
      </c>
      <c r="H1301" s="26" t="s">
        <v>56</v>
      </c>
      <c r="I1301" s="26" t="s">
        <v>70</v>
      </c>
      <c r="J1301" s="26" t="s">
        <v>58</v>
      </c>
      <c r="K1301" s="27"/>
      <c r="L1301" s="28" t="s">
        <v>56</v>
      </c>
      <c r="M1301" s="29" t="str">
        <f t="shared" si="100"/>
        <v>✓ OK</v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4.25" customHeight="1" x14ac:dyDescent="0.3">
      <c r="A1302" s="42">
        <v>1298</v>
      </c>
      <c r="B1302" s="43" t="s">
        <v>3879</v>
      </c>
      <c r="C1302" s="44" t="s">
        <v>3880</v>
      </c>
      <c r="D1302" s="42" t="s">
        <v>3434</v>
      </c>
      <c r="E1302" s="55">
        <v>46125</v>
      </c>
      <c r="F1302" s="26" t="s">
        <v>948</v>
      </c>
      <c r="G1302" s="26" t="s">
        <v>58</v>
      </c>
      <c r="H1302" s="26" t="s">
        <v>56</v>
      </c>
      <c r="I1302" s="26" t="s">
        <v>70</v>
      </c>
      <c r="J1302" s="26" t="s">
        <v>58</v>
      </c>
      <c r="K1302" s="27"/>
      <c r="L1302" s="28" t="s">
        <v>56</v>
      </c>
      <c r="M1302" s="29" t="str">
        <f t="shared" si="100"/>
        <v>✓ OK</v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4.25" customHeight="1" x14ac:dyDescent="0.3">
      <c r="A1303" s="23">
        <v>1299</v>
      </c>
      <c r="B1303" s="24" t="s">
        <v>3881</v>
      </c>
      <c r="C1303" s="25" t="s">
        <v>3882</v>
      </c>
      <c r="D1303" s="23" t="s">
        <v>3434</v>
      </c>
      <c r="E1303" s="55">
        <v>46125</v>
      </c>
      <c r="F1303" s="26" t="s">
        <v>948</v>
      </c>
      <c r="G1303" s="26" t="s">
        <v>58</v>
      </c>
      <c r="H1303" s="26" t="s">
        <v>56</v>
      </c>
      <c r="I1303" s="26" t="s">
        <v>70</v>
      </c>
      <c r="J1303" s="26" t="s">
        <v>58</v>
      </c>
      <c r="K1303" s="27"/>
      <c r="L1303" s="28" t="s">
        <v>56</v>
      </c>
      <c r="M1303" s="29" t="str">
        <f t="shared" si="100"/>
        <v>✓ OK</v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4.25" customHeight="1" x14ac:dyDescent="0.3">
      <c r="A1304" s="42">
        <v>1300</v>
      </c>
      <c r="B1304" s="43" t="s">
        <v>3883</v>
      </c>
      <c r="C1304" s="44" t="s">
        <v>3884</v>
      </c>
      <c r="D1304" s="42" t="s">
        <v>3434</v>
      </c>
      <c r="E1304" s="55">
        <v>46125</v>
      </c>
      <c r="F1304" s="26" t="s">
        <v>948</v>
      </c>
      <c r="G1304" s="26" t="s">
        <v>58</v>
      </c>
      <c r="H1304" s="26" t="s">
        <v>56</v>
      </c>
      <c r="I1304" s="26" t="s">
        <v>70</v>
      </c>
      <c r="J1304" s="26" t="s">
        <v>58</v>
      </c>
      <c r="K1304" s="27"/>
      <c r="L1304" s="28" t="s">
        <v>56</v>
      </c>
      <c r="M1304" s="29" t="str">
        <f t="shared" si="100"/>
        <v>✓ OK</v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4.25" customHeight="1" x14ac:dyDescent="0.3">
      <c r="A1305" s="23">
        <v>1301</v>
      </c>
      <c r="B1305" s="24" t="s">
        <v>3885</v>
      </c>
      <c r="C1305" s="25" t="s">
        <v>3886</v>
      </c>
      <c r="D1305" s="23" t="s">
        <v>3434</v>
      </c>
      <c r="E1305" s="55">
        <v>46125</v>
      </c>
      <c r="F1305" s="26" t="s">
        <v>948</v>
      </c>
      <c r="G1305" s="26" t="s">
        <v>58</v>
      </c>
      <c r="H1305" s="26" t="s">
        <v>56</v>
      </c>
      <c r="I1305" s="26" t="s">
        <v>70</v>
      </c>
      <c r="J1305" s="26" t="s">
        <v>58</v>
      </c>
      <c r="K1305" s="27"/>
      <c r="L1305" s="28" t="s">
        <v>56</v>
      </c>
      <c r="M1305" s="29" t="str">
        <f t="shared" si="100"/>
        <v>✓ OK</v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4.25" customHeight="1" x14ac:dyDescent="0.3">
      <c r="A1306" s="42">
        <v>1302</v>
      </c>
      <c r="B1306" s="43" t="s">
        <v>3887</v>
      </c>
      <c r="C1306" s="44" t="s">
        <v>3888</v>
      </c>
      <c r="D1306" s="42" t="s">
        <v>3434</v>
      </c>
      <c r="E1306" s="55">
        <v>46125</v>
      </c>
      <c r="F1306" s="26" t="s">
        <v>948</v>
      </c>
      <c r="G1306" s="26" t="s">
        <v>58</v>
      </c>
      <c r="H1306" s="26" t="s">
        <v>56</v>
      </c>
      <c r="I1306" s="26" t="s">
        <v>70</v>
      </c>
      <c r="J1306" s="26" t="s">
        <v>58</v>
      </c>
      <c r="K1306" s="27"/>
      <c r="L1306" s="28" t="s">
        <v>56</v>
      </c>
      <c r="M1306" s="29" t="str">
        <f t="shared" si="100"/>
        <v>✓ OK</v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4.25" customHeight="1" x14ac:dyDescent="0.3">
      <c r="A1307" s="23">
        <v>1303</v>
      </c>
      <c r="B1307" s="24" t="s">
        <v>3889</v>
      </c>
      <c r="C1307" s="25" t="s">
        <v>3890</v>
      </c>
      <c r="D1307" s="23" t="s">
        <v>3434</v>
      </c>
      <c r="E1307" s="55">
        <v>46125</v>
      </c>
      <c r="F1307" s="26" t="s">
        <v>948</v>
      </c>
      <c r="G1307" s="26" t="s">
        <v>58</v>
      </c>
      <c r="H1307" s="26" t="s">
        <v>56</v>
      </c>
      <c r="I1307" s="26" t="s">
        <v>70</v>
      </c>
      <c r="J1307" s="26" t="s">
        <v>58</v>
      </c>
      <c r="K1307" s="27"/>
      <c r="L1307" s="28" t="s">
        <v>56</v>
      </c>
      <c r="M1307" s="29" t="str">
        <f t="shared" si="100"/>
        <v>✓ OK</v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4.25" customHeight="1" x14ac:dyDescent="0.3">
      <c r="A1308" s="42">
        <v>1304</v>
      </c>
      <c r="B1308" s="43" t="s">
        <v>3891</v>
      </c>
      <c r="C1308" s="44" t="s">
        <v>3892</v>
      </c>
      <c r="D1308" s="42" t="s">
        <v>3434</v>
      </c>
      <c r="E1308" s="55">
        <v>46125</v>
      </c>
      <c r="F1308" s="26" t="s">
        <v>948</v>
      </c>
      <c r="G1308" s="26" t="s">
        <v>58</v>
      </c>
      <c r="H1308" s="26" t="s">
        <v>56</v>
      </c>
      <c r="I1308" s="26" t="s">
        <v>70</v>
      </c>
      <c r="J1308" s="26" t="s">
        <v>58</v>
      </c>
      <c r="K1308" s="27"/>
      <c r="L1308" s="28" t="s">
        <v>56</v>
      </c>
      <c r="M1308" s="29" t="str">
        <f t="shared" si="100"/>
        <v>✓ OK</v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4.25" customHeight="1" x14ac:dyDescent="0.3">
      <c r="A1309" s="23">
        <v>1305</v>
      </c>
      <c r="B1309" s="24" t="s">
        <v>3893</v>
      </c>
      <c r="C1309" s="25" t="s">
        <v>3894</v>
      </c>
      <c r="D1309" s="23" t="s">
        <v>3434</v>
      </c>
      <c r="E1309" s="55">
        <v>46125</v>
      </c>
      <c r="F1309" s="26" t="s">
        <v>948</v>
      </c>
      <c r="G1309" s="26" t="s">
        <v>58</v>
      </c>
      <c r="H1309" s="26" t="s">
        <v>56</v>
      </c>
      <c r="I1309" s="26" t="s">
        <v>70</v>
      </c>
      <c r="J1309" s="26" t="s">
        <v>58</v>
      </c>
      <c r="K1309" s="27"/>
      <c r="L1309" s="28" t="s">
        <v>56</v>
      </c>
      <c r="M1309" s="29" t="str">
        <f t="shared" si="100"/>
        <v>✓ OK</v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4.25" customHeight="1" x14ac:dyDescent="0.3">
      <c r="A1310" s="42">
        <v>1306</v>
      </c>
      <c r="B1310" s="43" t="s">
        <v>3895</v>
      </c>
      <c r="C1310" s="44" t="s">
        <v>3896</v>
      </c>
      <c r="D1310" s="42" t="s">
        <v>3434</v>
      </c>
      <c r="E1310" s="55">
        <v>46125</v>
      </c>
      <c r="F1310" s="26" t="s">
        <v>948</v>
      </c>
      <c r="G1310" s="26" t="s">
        <v>58</v>
      </c>
      <c r="H1310" s="26" t="s">
        <v>56</v>
      </c>
      <c r="I1310" s="26" t="s">
        <v>70</v>
      </c>
      <c r="J1310" s="26" t="s">
        <v>58</v>
      </c>
      <c r="K1310" s="27"/>
      <c r="L1310" s="28" t="s">
        <v>56</v>
      </c>
      <c r="M1310" s="29" t="str">
        <f t="shared" si="100"/>
        <v>✓ OK</v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4.25" customHeight="1" x14ac:dyDescent="0.3">
      <c r="A1311" s="23">
        <v>1307</v>
      </c>
      <c r="B1311" s="24" t="s">
        <v>3897</v>
      </c>
      <c r="C1311" s="25" t="s">
        <v>3898</v>
      </c>
      <c r="D1311" s="23" t="s">
        <v>3434</v>
      </c>
      <c r="E1311" s="55">
        <v>46125</v>
      </c>
      <c r="F1311" s="26" t="s">
        <v>948</v>
      </c>
      <c r="G1311" s="26" t="s">
        <v>58</v>
      </c>
      <c r="H1311" s="26" t="s">
        <v>56</v>
      </c>
      <c r="I1311" s="26" t="s">
        <v>70</v>
      </c>
      <c r="J1311" s="26" t="s">
        <v>58</v>
      </c>
      <c r="K1311" s="27"/>
      <c r="L1311" s="28" t="s">
        <v>56</v>
      </c>
      <c r="M1311" s="29" t="str">
        <f t="shared" si="100"/>
        <v>✓ OK</v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4.25" customHeight="1" x14ac:dyDescent="0.3">
      <c r="A1312" s="42">
        <v>1308</v>
      </c>
      <c r="B1312" s="43" t="s">
        <v>3899</v>
      </c>
      <c r="C1312" s="44" t="s">
        <v>3900</v>
      </c>
      <c r="D1312" s="42" t="s">
        <v>3434</v>
      </c>
      <c r="E1312" s="55">
        <v>46125</v>
      </c>
      <c r="F1312" s="26" t="s">
        <v>948</v>
      </c>
      <c r="G1312" s="26" t="s">
        <v>58</v>
      </c>
      <c r="H1312" s="26" t="s">
        <v>56</v>
      </c>
      <c r="I1312" s="26" t="s">
        <v>70</v>
      </c>
      <c r="J1312" s="26" t="s">
        <v>58</v>
      </c>
      <c r="K1312" s="27"/>
      <c r="L1312" s="28" t="s">
        <v>56</v>
      </c>
      <c r="M1312" s="29" t="str">
        <f t="shared" si="100"/>
        <v>✓ OK</v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4.25" customHeight="1" x14ac:dyDescent="0.3">
      <c r="A1313" s="23">
        <v>1309</v>
      </c>
      <c r="B1313" s="24" t="s">
        <v>3901</v>
      </c>
      <c r="C1313" s="25" t="s">
        <v>3902</v>
      </c>
      <c r="D1313" s="23" t="s">
        <v>3434</v>
      </c>
      <c r="E1313" s="55">
        <v>46125</v>
      </c>
      <c r="F1313" s="26" t="s">
        <v>948</v>
      </c>
      <c r="G1313" s="26" t="s">
        <v>58</v>
      </c>
      <c r="H1313" s="26" t="s">
        <v>56</v>
      </c>
      <c r="I1313" s="26" t="s">
        <v>70</v>
      </c>
      <c r="J1313" s="26" t="s">
        <v>58</v>
      </c>
      <c r="K1313" s="27"/>
      <c r="L1313" s="28" t="s">
        <v>56</v>
      </c>
      <c r="M1313" s="29" t="str">
        <f t="shared" si="100"/>
        <v>✓ OK</v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4.25" customHeight="1" x14ac:dyDescent="0.3">
      <c r="A1314" s="42">
        <v>1310</v>
      </c>
      <c r="B1314" s="43" t="s">
        <v>3903</v>
      </c>
      <c r="C1314" s="44" t="s">
        <v>3904</v>
      </c>
      <c r="D1314" s="42" t="s">
        <v>3434</v>
      </c>
      <c r="E1314" s="55">
        <v>46125</v>
      </c>
      <c r="F1314" s="26" t="s">
        <v>948</v>
      </c>
      <c r="G1314" s="26" t="s">
        <v>58</v>
      </c>
      <c r="H1314" s="26" t="s">
        <v>56</v>
      </c>
      <c r="I1314" s="26" t="s">
        <v>70</v>
      </c>
      <c r="J1314" s="26" t="s">
        <v>58</v>
      </c>
      <c r="K1314" s="27"/>
      <c r="L1314" s="28" t="s">
        <v>56</v>
      </c>
      <c r="M1314" s="29" t="str">
        <f t="shared" si="100"/>
        <v>✓ OK</v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4.25" customHeight="1" x14ac:dyDescent="0.3">
      <c r="A1315" s="23">
        <v>1311</v>
      </c>
      <c r="B1315" s="24" t="s">
        <v>3905</v>
      </c>
      <c r="C1315" s="25" t="s">
        <v>3906</v>
      </c>
      <c r="D1315" s="23" t="s">
        <v>3434</v>
      </c>
      <c r="E1315" s="55">
        <v>46125</v>
      </c>
      <c r="F1315" s="26" t="s">
        <v>948</v>
      </c>
      <c r="G1315" s="26" t="s">
        <v>58</v>
      </c>
      <c r="H1315" s="26" t="s">
        <v>56</v>
      </c>
      <c r="I1315" s="26" t="s">
        <v>70</v>
      </c>
      <c r="J1315" s="26" t="s">
        <v>58</v>
      </c>
      <c r="K1315" s="27"/>
      <c r="L1315" s="28" t="s">
        <v>56</v>
      </c>
      <c r="M1315" s="29" t="str">
        <f t="shared" si="100"/>
        <v>✓ OK</v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4.25" customHeight="1" x14ac:dyDescent="0.3">
      <c r="A1316" s="42">
        <v>1312</v>
      </c>
      <c r="B1316" s="43" t="s">
        <v>3907</v>
      </c>
      <c r="C1316" s="44" t="s">
        <v>3908</v>
      </c>
      <c r="D1316" s="42" t="s">
        <v>3434</v>
      </c>
      <c r="E1316" s="55">
        <v>46125</v>
      </c>
      <c r="F1316" s="26" t="s">
        <v>948</v>
      </c>
      <c r="G1316" s="26" t="s">
        <v>58</v>
      </c>
      <c r="H1316" s="26" t="s">
        <v>56</v>
      </c>
      <c r="I1316" s="26" t="s">
        <v>70</v>
      </c>
      <c r="J1316" s="26" t="s">
        <v>58</v>
      </c>
      <c r="K1316" s="27"/>
      <c r="L1316" s="28" t="s">
        <v>56</v>
      </c>
      <c r="M1316" s="29" t="str">
        <f t="shared" si="100"/>
        <v>✓ OK</v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4.25" customHeight="1" x14ac:dyDescent="0.3">
      <c r="A1317" s="23">
        <v>1313</v>
      </c>
      <c r="B1317" s="24" t="s">
        <v>3909</v>
      </c>
      <c r="C1317" s="25" t="s">
        <v>3910</v>
      </c>
      <c r="D1317" s="23" t="s">
        <v>3434</v>
      </c>
      <c r="E1317" s="55">
        <v>46125</v>
      </c>
      <c r="F1317" s="26" t="s">
        <v>948</v>
      </c>
      <c r="G1317" s="26" t="s">
        <v>58</v>
      </c>
      <c r="H1317" s="26" t="s">
        <v>56</v>
      </c>
      <c r="I1317" s="26" t="s">
        <v>70</v>
      </c>
      <c r="J1317" s="26" t="s">
        <v>58</v>
      </c>
      <c r="K1317" s="27"/>
      <c r="L1317" s="28" t="s">
        <v>56</v>
      </c>
      <c r="M1317" s="29" t="str">
        <f t="shared" si="100"/>
        <v>✓ OK</v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4.25" customHeight="1" x14ac:dyDescent="0.3">
      <c r="A1318" s="42">
        <v>1314</v>
      </c>
      <c r="B1318" s="43" t="s">
        <v>3911</v>
      </c>
      <c r="C1318" s="44" t="s">
        <v>3912</v>
      </c>
      <c r="D1318" s="42" t="s">
        <v>3434</v>
      </c>
      <c r="E1318" s="55">
        <v>46125</v>
      </c>
      <c r="F1318" s="26" t="s">
        <v>948</v>
      </c>
      <c r="G1318" s="26" t="s">
        <v>58</v>
      </c>
      <c r="H1318" s="26" t="s">
        <v>56</v>
      </c>
      <c r="I1318" s="26" t="s">
        <v>70</v>
      </c>
      <c r="J1318" s="26" t="s">
        <v>58</v>
      </c>
      <c r="K1318" s="27"/>
      <c r="L1318" s="28" t="s">
        <v>56</v>
      </c>
      <c r="M1318" s="29" t="str">
        <f t="shared" si="100"/>
        <v>✓ OK</v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4.25" customHeight="1" x14ac:dyDescent="0.3">
      <c r="A1319" s="23">
        <v>1315</v>
      </c>
      <c r="B1319" s="24" t="s">
        <v>3913</v>
      </c>
      <c r="C1319" s="25" t="s">
        <v>3914</v>
      </c>
      <c r="D1319" s="23" t="s">
        <v>3434</v>
      </c>
      <c r="E1319" s="55">
        <v>46125</v>
      </c>
      <c r="F1319" s="26" t="s">
        <v>948</v>
      </c>
      <c r="G1319" s="26" t="s">
        <v>58</v>
      </c>
      <c r="H1319" s="26" t="s">
        <v>56</v>
      </c>
      <c r="I1319" s="26" t="s">
        <v>70</v>
      </c>
      <c r="J1319" s="26" t="s">
        <v>58</v>
      </c>
      <c r="K1319" s="27"/>
      <c r="L1319" s="28" t="s">
        <v>56</v>
      </c>
      <c r="M1319" s="29" t="str">
        <f t="shared" si="100"/>
        <v>✓ OK</v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4.25" customHeight="1" x14ac:dyDescent="0.3">
      <c r="A1320" s="42">
        <v>1316</v>
      </c>
      <c r="B1320" s="43" t="s">
        <v>3915</v>
      </c>
      <c r="C1320" s="44" t="s">
        <v>3916</v>
      </c>
      <c r="D1320" s="42" t="s">
        <v>3434</v>
      </c>
      <c r="E1320" s="55">
        <v>46125</v>
      </c>
      <c r="F1320" s="26" t="s">
        <v>948</v>
      </c>
      <c r="G1320" s="26" t="s">
        <v>58</v>
      </c>
      <c r="H1320" s="26" t="s">
        <v>56</v>
      </c>
      <c r="I1320" s="26" t="s">
        <v>70</v>
      </c>
      <c r="J1320" s="26" t="s">
        <v>58</v>
      </c>
      <c r="K1320" s="27"/>
      <c r="L1320" s="28" t="s">
        <v>56</v>
      </c>
      <c r="M1320" s="29" t="str">
        <f t="shared" si="100"/>
        <v>✓ OK</v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4.25" customHeight="1" x14ac:dyDescent="0.3">
      <c r="A1321" s="23">
        <v>1317</v>
      </c>
      <c r="B1321" s="24" t="s">
        <v>3917</v>
      </c>
      <c r="C1321" s="25" t="s">
        <v>3918</v>
      </c>
      <c r="D1321" s="23" t="s">
        <v>3434</v>
      </c>
      <c r="E1321" s="55">
        <v>46125</v>
      </c>
      <c r="F1321" s="26" t="s">
        <v>948</v>
      </c>
      <c r="G1321" s="26" t="s">
        <v>58</v>
      </c>
      <c r="H1321" s="26" t="s">
        <v>56</v>
      </c>
      <c r="I1321" s="26" t="s">
        <v>70</v>
      </c>
      <c r="J1321" s="26" t="s">
        <v>58</v>
      </c>
      <c r="K1321" s="27"/>
      <c r="L1321" s="28" t="s">
        <v>56</v>
      </c>
      <c r="M1321" s="29" t="str">
        <f t="shared" si="100"/>
        <v>✓ OK</v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4.25" customHeight="1" x14ac:dyDescent="0.3">
      <c r="A1322" s="42">
        <v>1318</v>
      </c>
      <c r="B1322" s="43" t="s">
        <v>3919</v>
      </c>
      <c r="C1322" s="44" t="s">
        <v>3920</v>
      </c>
      <c r="D1322" s="42" t="s">
        <v>3434</v>
      </c>
      <c r="E1322" s="55">
        <v>46125</v>
      </c>
      <c r="F1322" s="26" t="s">
        <v>948</v>
      </c>
      <c r="G1322" s="26" t="s">
        <v>58</v>
      </c>
      <c r="H1322" s="26" t="s">
        <v>56</v>
      </c>
      <c r="I1322" s="26" t="s">
        <v>70</v>
      </c>
      <c r="J1322" s="26" t="s">
        <v>58</v>
      </c>
      <c r="K1322" s="27"/>
      <c r="L1322" s="28" t="s">
        <v>56</v>
      </c>
      <c r="M1322" s="29" t="str">
        <f t="shared" si="100"/>
        <v>✓ OK</v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4.25" customHeight="1" x14ac:dyDescent="0.3">
      <c r="A1323" s="23">
        <v>1319</v>
      </c>
      <c r="B1323" s="24" t="s">
        <v>3921</v>
      </c>
      <c r="C1323" s="25" t="s">
        <v>3922</v>
      </c>
      <c r="D1323" s="23" t="s">
        <v>3434</v>
      </c>
      <c r="E1323" s="55">
        <v>46125</v>
      </c>
      <c r="F1323" s="26" t="s">
        <v>948</v>
      </c>
      <c r="G1323" s="26" t="s">
        <v>58</v>
      </c>
      <c r="H1323" s="26" t="s">
        <v>56</v>
      </c>
      <c r="I1323" s="26" t="s">
        <v>70</v>
      </c>
      <c r="J1323" s="26" t="s">
        <v>58</v>
      </c>
      <c r="K1323" s="27"/>
      <c r="L1323" s="28" t="s">
        <v>56</v>
      </c>
      <c r="M1323" s="29" t="str">
        <f t="shared" si="100"/>
        <v>✓ OK</v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4.25" customHeight="1" x14ac:dyDescent="0.3">
      <c r="A1324" s="42">
        <v>1320</v>
      </c>
      <c r="B1324" s="43" t="s">
        <v>3923</v>
      </c>
      <c r="C1324" s="44" t="s">
        <v>3924</v>
      </c>
      <c r="D1324" s="42" t="s">
        <v>3434</v>
      </c>
      <c r="E1324" s="55">
        <v>46125</v>
      </c>
      <c r="F1324" s="26" t="s">
        <v>948</v>
      </c>
      <c r="G1324" s="26" t="s">
        <v>58</v>
      </c>
      <c r="H1324" s="26" t="s">
        <v>56</v>
      </c>
      <c r="I1324" s="26" t="s">
        <v>70</v>
      </c>
      <c r="J1324" s="26" t="s">
        <v>58</v>
      </c>
      <c r="K1324" s="27"/>
      <c r="L1324" s="28" t="s">
        <v>56</v>
      </c>
      <c r="M1324" s="29" t="str">
        <f t="shared" si="100"/>
        <v>✓ OK</v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4.25" customHeight="1" x14ac:dyDescent="0.3">
      <c r="A1325" s="23">
        <v>1321</v>
      </c>
      <c r="B1325" s="24" t="s">
        <v>3925</v>
      </c>
      <c r="C1325" s="25" t="s">
        <v>3926</v>
      </c>
      <c r="D1325" s="23" t="s">
        <v>3434</v>
      </c>
      <c r="E1325" s="55">
        <v>46125</v>
      </c>
      <c r="F1325" s="26" t="s">
        <v>948</v>
      </c>
      <c r="G1325" s="26" t="s">
        <v>58</v>
      </c>
      <c r="H1325" s="26" t="s">
        <v>56</v>
      </c>
      <c r="I1325" s="26" t="s">
        <v>70</v>
      </c>
      <c r="J1325" s="26" t="s">
        <v>58</v>
      </c>
      <c r="K1325" s="27"/>
      <c r="L1325" s="28" t="s">
        <v>56</v>
      </c>
      <c r="M1325" s="29" t="str">
        <f t="shared" si="100"/>
        <v>✓ OK</v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4.25" customHeight="1" x14ac:dyDescent="0.3">
      <c r="A1326" s="42">
        <v>1322</v>
      </c>
      <c r="B1326" s="43" t="s">
        <v>3927</v>
      </c>
      <c r="C1326" s="44" t="s">
        <v>3928</v>
      </c>
      <c r="D1326" s="42" t="s">
        <v>3434</v>
      </c>
      <c r="E1326" s="55">
        <v>46125</v>
      </c>
      <c r="F1326" s="26" t="s">
        <v>948</v>
      </c>
      <c r="G1326" s="26" t="s">
        <v>58</v>
      </c>
      <c r="H1326" s="26" t="s">
        <v>56</v>
      </c>
      <c r="I1326" s="26" t="s">
        <v>70</v>
      </c>
      <c r="J1326" s="26" t="s">
        <v>58</v>
      </c>
      <c r="K1326" s="27"/>
      <c r="L1326" s="28" t="s">
        <v>56</v>
      </c>
      <c r="M1326" s="29" t="str">
        <f t="shared" si="100"/>
        <v>✓ OK</v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4.25" customHeight="1" x14ac:dyDescent="0.3">
      <c r="A1327" s="23">
        <v>1323</v>
      </c>
      <c r="B1327" s="24" t="s">
        <v>3929</v>
      </c>
      <c r="C1327" s="25" t="s">
        <v>3930</v>
      </c>
      <c r="D1327" s="23" t="s">
        <v>3434</v>
      </c>
      <c r="E1327" s="55">
        <v>46125</v>
      </c>
      <c r="F1327" s="26" t="s">
        <v>948</v>
      </c>
      <c r="G1327" s="26" t="s">
        <v>58</v>
      </c>
      <c r="H1327" s="26" t="s">
        <v>56</v>
      </c>
      <c r="I1327" s="26" t="s">
        <v>70</v>
      </c>
      <c r="J1327" s="26" t="s">
        <v>58</v>
      </c>
      <c r="K1327" s="27"/>
      <c r="L1327" s="28" t="s">
        <v>56</v>
      </c>
      <c r="M1327" s="29" t="str">
        <f t="shared" si="100"/>
        <v>✓ OK</v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4.25" customHeight="1" x14ac:dyDescent="0.3">
      <c r="A1328" s="42">
        <v>1324</v>
      </c>
      <c r="B1328" s="43" t="s">
        <v>3931</v>
      </c>
      <c r="C1328" s="44" t="s">
        <v>3932</v>
      </c>
      <c r="D1328" s="42" t="s">
        <v>3434</v>
      </c>
      <c r="E1328" s="55">
        <v>46125</v>
      </c>
      <c r="F1328" s="26" t="s">
        <v>948</v>
      </c>
      <c r="G1328" s="26" t="s">
        <v>58</v>
      </c>
      <c r="H1328" s="26" t="s">
        <v>56</v>
      </c>
      <c r="I1328" s="26" t="s">
        <v>70</v>
      </c>
      <c r="J1328" s="26" t="s">
        <v>58</v>
      </c>
      <c r="K1328" s="27"/>
      <c r="L1328" s="28" t="s">
        <v>56</v>
      </c>
      <c r="M1328" s="29" t="str">
        <f t="shared" si="100"/>
        <v>✓ OK</v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4.25" customHeight="1" x14ac:dyDescent="0.3">
      <c r="A1329" s="23">
        <v>1325</v>
      </c>
      <c r="B1329" s="24" t="s">
        <v>3933</v>
      </c>
      <c r="C1329" s="25" t="s">
        <v>3934</v>
      </c>
      <c r="D1329" s="23" t="s">
        <v>3434</v>
      </c>
      <c r="E1329" s="55">
        <v>46125</v>
      </c>
      <c r="F1329" s="26" t="s">
        <v>948</v>
      </c>
      <c r="G1329" s="26" t="s">
        <v>58</v>
      </c>
      <c r="H1329" s="26" t="s">
        <v>56</v>
      </c>
      <c r="I1329" s="26" t="s">
        <v>70</v>
      </c>
      <c r="J1329" s="26" t="s">
        <v>58</v>
      </c>
      <c r="K1329" s="27"/>
      <c r="L1329" s="28" t="s">
        <v>56</v>
      </c>
      <c r="M1329" s="29" t="str">
        <f t="shared" si="100"/>
        <v>✓ OK</v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4.25" customHeight="1" x14ac:dyDescent="0.3">
      <c r="A1330" s="42">
        <v>1326</v>
      </c>
      <c r="B1330" s="43" t="s">
        <v>3935</v>
      </c>
      <c r="C1330" s="44" t="s">
        <v>3936</v>
      </c>
      <c r="D1330" s="42" t="s">
        <v>3434</v>
      </c>
      <c r="E1330" s="55">
        <v>46125</v>
      </c>
      <c r="F1330" s="26" t="s">
        <v>948</v>
      </c>
      <c r="G1330" s="26" t="s">
        <v>58</v>
      </c>
      <c r="H1330" s="26" t="s">
        <v>56</v>
      </c>
      <c r="I1330" s="26" t="s">
        <v>70</v>
      </c>
      <c r="J1330" s="26" t="s">
        <v>58</v>
      </c>
      <c r="K1330" s="27"/>
      <c r="L1330" s="28" t="s">
        <v>56</v>
      </c>
      <c r="M1330" s="29" t="str">
        <f t="shared" si="100"/>
        <v>✓ OK</v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4.25" customHeight="1" x14ac:dyDescent="0.3">
      <c r="A1331" s="23">
        <v>1327</v>
      </c>
      <c r="B1331" s="24" t="s">
        <v>3937</v>
      </c>
      <c r="C1331" s="25" t="s">
        <v>3938</v>
      </c>
      <c r="D1331" s="23" t="s">
        <v>3434</v>
      </c>
      <c r="E1331" s="55">
        <v>46125</v>
      </c>
      <c r="F1331" s="26" t="s">
        <v>948</v>
      </c>
      <c r="G1331" s="26" t="s">
        <v>58</v>
      </c>
      <c r="H1331" s="26" t="s">
        <v>56</v>
      </c>
      <c r="I1331" s="26" t="s">
        <v>70</v>
      </c>
      <c r="J1331" s="26" t="s">
        <v>58</v>
      </c>
      <c r="K1331" s="27"/>
      <c r="L1331" s="28" t="s">
        <v>56</v>
      </c>
      <c r="M1331" s="29" t="str">
        <f t="shared" si="100"/>
        <v>✓ OK</v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4.25" customHeight="1" x14ac:dyDescent="0.3">
      <c r="A1332" s="42">
        <v>1328</v>
      </c>
      <c r="B1332" s="43" t="s">
        <v>3939</v>
      </c>
      <c r="C1332" s="44" t="s">
        <v>3940</v>
      </c>
      <c r="D1332" s="42" t="s">
        <v>3434</v>
      </c>
      <c r="E1332" s="55">
        <v>46125</v>
      </c>
      <c r="F1332" s="26" t="s">
        <v>948</v>
      </c>
      <c r="G1332" s="26" t="s">
        <v>58</v>
      </c>
      <c r="H1332" s="26" t="s">
        <v>56</v>
      </c>
      <c r="I1332" s="26" t="s">
        <v>70</v>
      </c>
      <c r="J1332" s="26" t="s">
        <v>58</v>
      </c>
      <c r="K1332" s="27"/>
      <c r="L1332" s="28" t="s">
        <v>56</v>
      </c>
      <c r="M1332" s="29" t="str">
        <f t="shared" si="100"/>
        <v>✓ OK</v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4.25" customHeight="1" x14ac:dyDescent="0.3">
      <c r="A1333" s="23">
        <v>1329</v>
      </c>
      <c r="B1333" s="24" t="s">
        <v>3941</v>
      </c>
      <c r="C1333" s="25" t="s">
        <v>3942</v>
      </c>
      <c r="D1333" s="23" t="s">
        <v>3434</v>
      </c>
      <c r="E1333" s="55">
        <v>46125</v>
      </c>
      <c r="F1333" s="26" t="s">
        <v>948</v>
      </c>
      <c r="G1333" s="26" t="s">
        <v>58</v>
      </c>
      <c r="H1333" s="26" t="s">
        <v>56</v>
      </c>
      <c r="I1333" s="26" t="s">
        <v>70</v>
      </c>
      <c r="J1333" s="26" t="s">
        <v>58</v>
      </c>
      <c r="K1333" s="27"/>
      <c r="L1333" s="28" t="s">
        <v>56</v>
      </c>
      <c r="M1333" s="29" t="str">
        <f t="shared" si="100"/>
        <v>✓ OK</v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4.25" customHeight="1" x14ac:dyDescent="0.3">
      <c r="A1334" s="42">
        <v>1330</v>
      </c>
      <c r="B1334" s="43" t="s">
        <v>3943</v>
      </c>
      <c r="C1334" s="44" t="s">
        <v>3944</v>
      </c>
      <c r="D1334" s="42" t="s">
        <v>3434</v>
      </c>
      <c r="E1334" s="55">
        <v>46125</v>
      </c>
      <c r="F1334" s="26" t="s">
        <v>948</v>
      </c>
      <c r="G1334" s="26" t="s">
        <v>58</v>
      </c>
      <c r="H1334" s="26" t="s">
        <v>56</v>
      </c>
      <c r="I1334" s="26" t="s">
        <v>70</v>
      </c>
      <c r="J1334" s="26" t="s">
        <v>58</v>
      </c>
      <c r="K1334" s="27"/>
      <c r="L1334" s="28" t="s">
        <v>56</v>
      </c>
      <c r="M1334" s="29" t="str">
        <f t="shared" si="100"/>
        <v>✓ OK</v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4.25" customHeight="1" x14ac:dyDescent="0.3">
      <c r="A1335" s="23">
        <v>1331</v>
      </c>
      <c r="B1335" s="24" t="s">
        <v>3945</v>
      </c>
      <c r="C1335" s="25" t="s">
        <v>3946</v>
      </c>
      <c r="D1335" s="23" t="s">
        <v>3434</v>
      </c>
      <c r="E1335" s="55">
        <v>46125</v>
      </c>
      <c r="F1335" s="26" t="s">
        <v>948</v>
      </c>
      <c r="G1335" s="26" t="s">
        <v>58</v>
      </c>
      <c r="H1335" s="26" t="s">
        <v>56</v>
      </c>
      <c r="I1335" s="26" t="s">
        <v>70</v>
      </c>
      <c r="J1335" s="26" t="s">
        <v>58</v>
      </c>
      <c r="K1335" s="27"/>
      <c r="L1335" s="28" t="s">
        <v>56</v>
      </c>
      <c r="M1335" s="29" t="str">
        <f t="shared" si="100"/>
        <v>✓ OK</v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4.25" customHeight="1" x14ac:dyDescent="0.3">
      <c r="A1336" s="42">
        <v>1332</v>
      </c>
      <c r="B1336" s="43" t="s">
        <v>3947</v>
      </c>
      <c r="C1336" s="44" t="s">
        <v>3948</v>
      </c>
      <c r="D1336" s="42" t="s">
        <v>3434</v>
      </c>
      <c r="E1336" s="55">
        <v>46125</v>
      </c>
      <c r="F1336" s="26" t="s">
        <v>948</v>
      </c>
      <c r="G1336" s="26" t="s">
        <v>58</v>
      </c>
      <c r="H1336" s="26" t="s">
        <v>56</v>
      </c>
      <c r="I1336" s="26" t="s">
        <v>70</v>
      </c>
      <c r="J1336" s="26" t="s">
        <v>58</v>
      </c>
      <c r="K1336" s="27"/>
      <c r="L1336" s="28" t="s">
        <v>56</v>
      </c>
      <c r="M1336" s="29" t="str">
        <f t="shared" si="100"/>
        <v>✓ OK</v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4.25" customHeight="1" x14ac:dyDescent="0.3">
      <c r="A1337" s="23">
        <v>1333</v>
      </c>
      <c r="B1337" s="24" t="s">
        <v>3949</v>
      </c>
      <c r="C1337" s="25" t="s">
        <v>3950</v>
      </c>
      <c r="D1337" s="23" t="s">
        <v>3434</v>
      </c>
      <c r="E1337" s="55">
        <v>46125</v>
      </c>
      <c r="F1337" s="26" t="s">
        <v>948</v>
      </c>
      <c r="G1337" s="26" t="s">
        <v>58</v>
      </c>
      <c r="H1337" s="26" t="s">
        <v>56</v>
      </c>
      <c r="I1337" s="26" t="s">
        <v>70</v>
      </c>
      <c r="J1337" s="26" t="s">
        <v>58</v>
      </c>
      <c r="K1337" s="27"/>
      <c r="L1337" s="28" t="s">
        <v>56</v>
      </c>
      <c r="M1337" s="29" t="str">
        <f t="shared" si="100"/>
        <v>✓ OK</v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4.25" customHeight="1" x14ac:dyDescent="0.3">
      <c r="A1338" s="42">
        <v>1334</v>
      </c>
      <c r="B1338" s="43" t="s">
        <v>3951</v>
      </c>
      <c r="C1338" s="44" t="s">
        <v>3952</v>
      </c>
      <c r="D1338" s="42" t="s">
        <v>3434</v>
      </c>
      <c r="E1338" s="55">
        <v>46125</v>
      </c>
      <c r="F1338" s="26" t="s">
        <v>948</v>
      </c>
      <c r="G1338" s="26" t="s">
        <v>58</v>
      </c>
      <c r="H1338" s="26" t="s">
        <v>56</v>
      </c>
      <c r="I1338" s="26" t="s">
        <v>70</v>
      </c>
      <c r="J1338" s="26" t="s">
        <v>58</v>
      </c>
      <c r="K1338" s="27"/>
      <c r="L1338" s="28" t="s">
        <v>56</v>
      </c>
      <c r="M1338" s="29" t="str">
        <f t="shared" si="100"/>
        <v>✓ OK</v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4.25" customHeight="1" x14ac:dyDescent="0.3">
      <c r="A1339" s="23">
        <v>1335</v>
      </c>
      <c r="B1339" s="24" t="s">
        <v>3953</v>
      </c>
      <c r="C1339" s="25" t="s">
        <v>3954</v>
      </c>
      <c r="D1339" s="23" t="s">
        <v>3434</v>
      </c>
      <c r="E1339" s="55">
        <v>46125</v>
      </c>
      <c r="F1339" s="26" t="s">
        <v>948</v>
      </c>
      <c r="G1339" s="26" t="s">
        <v>58</v>
      </c>
      <c r="H1339" s="26" t="s">
        <v>56</v>
      </c>
      <c r="I1339" s="26" t="s">
        <v>70</v>
      </c>
      <c r="J1339" s="26" t="s">
        <v>58</v>
      </c>
      <c r="K1339" s="27"/>
      <c r="L1339" s="28" t="s">
        <v>56</v>
      </c>
      <c r="M1339" s="29" t="str">
        <f t="shared" si="100"/>
        <v>✓ OK</v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4.25" customHeight="1" x14ac:dyDescent="0.3">
      <c r="A1340" s="42">
        <v>1336</v>
      </c>
      <c r="B1340" s="43" t="s">
        <v>3955</v>
      </c>
      <c r="C1340" s="44" t="s">
        <v>3956</v>
      </c>
      <c r="D1340" s="42" t="s">
        <v>3434</v>
      </c>
      <c r="E1340" s="55">
        <v>46125</v>
      </c>
      <c r="F1340" s="26" t="s">
        <v>948</v>
      </c>
      <c r="G1340" s="26" t="s">
        <v>58</v>
      </c>
      <c r="H1340" s="26" t="s">
        <v>56</v>
      </c>
      <c r="I1340" s="26" t="s">
        <v>70</v>
      </c>
      <c r="J1340" s="26" t="s">
        <v>58</v>
      </c>
      <c r="K1340" s="27"/>
      <c r="L1340" s="28" t="s">
        <v>56</v>
      </c>
      <c r="M1340" s="29" t="str">
        <f t="shared" si="100"/>
        <v>✓ OK</v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4.25" customHeight="1" x14ac:dyDescent="0.3">
      <c r="A1341" s="23">
        <v>1337</v>
      </c>
      <c r="B1341" s="24" t="s">
        <v>3957</v>
      </c>
      <c r="C1341" s="25" t="s">
        <v>3958</v>
      </c>
      <c r="D1341" s="23" t="s">
        <v>3434</v>
      </c>
      <c r="E1341" s="55">
        <v>46125</v>
      </c>
      <c r="F1341" s="26" t="s">
        <v>948</v>
      </c>
      <c r="G1341" s="26" t="s">
        <v>58</v>
      </c>
      <c r="H1341" s="26" t="s">
        <v>56</v>
      </c>
      <c r="I1341" s="26" t="s">
        <v>70</v>
      </c>
      <c r="J1341" s="26" t="s">
        <v>58</v>
      </c>
      <c r="K1341" s="27"/>
      <c r="L1341" s="28" t="s">
        <v>56</v>
      </c>
      <c r="M1341" s="29" t="str">
        <f t="shared" si="100"/>
        <v>✓ OK</v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4.25" customHeight="1" x14ac:dyDescent="0.3">
      <c r="A1342" s="42">
        <v>1338</v>
      </c>
      <c r="B1342" s="43" t="s">
        <v>3959</v>
      </c>
      <c r="C1342" s="44" t="s">
        <v>3960</v>
      </c>
      <c r="D1342" s="42" t="s">
        <v>3434</v>
      </c>
      <c r="E1342" s="55">
        <v>46125</v>
      </c>
      <c r="F1342" s="26" t="s">
        <v>948</v>
      </c>
      <c r="G1342" s="26" t="s">
        <v>58</v>
      </c>
      <c r="H1342" s="26" t="s">
        <v>56</v>
      </c>
      <c r="I1342" s="26" t="s">
        <v>70</v>
      </c>
      <c r="J1342" s="26" t="s">
        <v>58</v>
      </c>
      <c r="K1342" s="27"/>
      <c r="L1342" s="28" t="s">
        <v>56</v>
      </c>
      <c r="M1342" s="29" t="str">
        <f t="shared" si="100"/>
        <v>✓ OK</v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4.25" customHeight="1" x14ac:dyDescent="0.3">
      <c r="A1343" s="23">
        <v>1339</v>
      </c>
      <c r="B1343" s="24" t="s">
        <v>3961</v>
      </c>
      <c r="C1343" s="25" t="s">
        <v>3962</v>
      </c>
      <c r="D1343" s="23" t="s">
        <v>3434</v>
      </c>
      <c r="E1343" s="55">
        <v>46125</v>
      </c>
      <c r="F1343" s="26" t="s">
        <v>948</v>
      </c>
      <c r="G1343" s="26" t="s">
        <v>58</v>
      </c>
      <c r="H1343" s="26" t="s">
        <v>56</v>
      </c>
      <c r="I1343" s="26" t="s">
        <v>70</v>
      </c>
      <c r="J1343" s="26" t="s">
        <v>58</v>
      </c>
      <c r="K1343" s="27"/>
      <c r="L1343" s="28" t="s">
        <v>56</v>
      </c>
      <c r="M1343" s="29" t="str">
        <f t="shared" si="100"/>
        <v>✓ OK</v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4.25" customHeight="1" x14ac:dyDescent="0.3">
      <c r="A1344" s="42">
        <v>1340</v>
      </c>
      <c r="B1344" s="43" t="s">
        <v>3963</v>
      </c>
      <c r="C1344" s="44" t="s">
        <v>3964</v>
      </c>
      <c r="D1344" s="42" t="s">
        <v>3434</v>
      </c>
      <c r="E1344" s="55">
        <v>46125</v>
      </c>
      <c r="F1344" s="26" t="s">
        <v>948</v>
      </c>
      <c r="G1344" s="26" t="s">
        <v>58</v>
      </c>
      <c r="H1344" s="26" t="s">
        <v>56</v>
      </c>
      <c r="I1344" s="26" t="s">
        <v>70</v>
      </c>
      <c r="J1344" s="26" t="s">
        <v>58</v>
      </c>
      <c r="K1344" s="27"/>
      <c r="L1344" s="28" t="s">
        <v>56</v>
      </c>
      <c r="M1344" s="29" t="str">
        <f t="shared" si="100"/>
        <v>✓ OK</v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4.25" customHeight="1" x14ac:dyDescent="0.3">
      <c r="A1345" s="23">
        <v>1341</v>
      </c>
      <c r="B1345" s="24" t="s">
        <v>3965</v>
      </c>
      <c r="C1345" s="25" t="s">
        <v>3966</v>
      </c>
      <c r="D1345" s="23" t="s">
        <v>3434</v>
      </c>
      <c r="E1345" s="55">
        <v>46125</v>
      </c>
      <c r="F1345" s="26" t="s">
        <v>948</v>
      </c>
      <c r="G1345" s="26" t="s">
        <v>58</v>
      </c>
      <c r="H1345" s="26" t="s">
        <v>56</v>
      </c>
      <c r="I1345" s="26" t="s">
        <v>70</v>
      </c>
      <c r="J1345" s="26" t="s">
        <v>58</v>
      </c>
      <c r="K1345" s="27"/>
      <c r="L1345" s="28" t="s">
        <v>56</v>
      </c>
      <c r="M1345" s="29" t="str">
        <f t="shared" si="100"/>
        <v>✓ OK</v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4.25" customHeight="1" x14ac:dyDescent="0.3">
      <c r="A1346" s="42">
        <v>1342</v>
      </c>
      <c r="B1346" s="43" t="s">
        <v>3967</v>
      </c>
      <c r="C1346" s="44" t="s">
        <v>3968</v>
      </c>
      <c r="D1346" s="42" t="s">
        <v>3434</v>
      </c>
      <c r="E1346" s="55">
        <v>46125</v>
      </c>
      <c r="F1346" s="26" t="s">
        <v>948</v>
      </c>
      <c r="G1346" s="26" t="s">
        <v>58</v>
      </c>
      <c r="H1346" s="26" t="s">
        <v>56</v>
      </c>
      <c r="I1346" s="26" t="s">
        <v>70</v>
      </c>
      <c r="J1346" s="26" t="s">
        <v>58</v>
      </c>
      <c r="K1346" s="27"/>
      <c r="L1346" s="28" t="s">
        <v>56</v>
      </c>
      <c r="M1346" s="29" t="str">
        <f t="shared" si="100"/>
        <v>✓ OK</v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4.25" customHeight="1" x14ac:dyDescent="0.3">
      <c r="A1347" s="23">
        <v>1343</v>
      </c>
      <c r="B1347" s="24" t="s">
        <v>3969</v>
      </c>
      <c r="C1347" s="25" t="s">
        <v>3970</v>
      </c>
      <c r="D1347" s="23" t="s">
        <v>3434</v>
      </c>
      <c r="E1347" s="55">
        <v>46125</v>
      </c>
      <c r="F1347" s="26" t="s">
        <v>948</v>
      </c>
      <c r="G1347" s="26" t="s">
        <v>58</v>
      </c>
      <c r="H1347" s="26" t="s">
        <v>56</v>
      </c>
      <c r="I1347" s="26" t="s">
        <v>70</v>
      </c>
      <c r="J1347" s="26" t="s">
        <v>58</v>
      </c>
      <c r="K1347" s="27"/>
      <c r="L1347" s="28" t="s">
        <v>56</v>
      </c>
      <c r="M1347" s="29" t="str">
        <f t="shared" si="100"/>
        <v>✓ OK</v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4.25" customHeight="1" x14ac:dyDescent="0.3">
      <c r="A1348" s="42">
        <v>1344</v>
      </c>
      <c r="B1348" s="43" t="s">
        <v>3971</v>
      </c>
      <c r="C1348" s="44" t="s">
        <v>3972</v>
      </c>
      <c r="D1348" s="42" t="s">
        <v>3434</v>
      </c>
      <c r="E1348" s="55">
        <v>46125</v>
      </c>
      <c r="F1348" s="26" t="s">
        <v>948</v>
      </c>
      <c r="G1348" s="26" t="s">
        <v>58</v>
      </c>
      <c r="H1348" s="26" t="s">
        <v>56</v>
      </c>
      <c r="I1348" s="26" t="s">
        <v>70</v>
      </c>
      <c r="J1348" s="26" t="s">
        <v>58</v>
      </c>
      <c r="K1348" s="27"/>
      <c r="L1348" s="28" t="s">
        <v>56</v>
      </c>
      <c r="M1348" s="29" t="str">
        <f t="shared" si="100"/>
        <v>✓ OK</v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4.25" customHeight="1" x14ac:dyDescent="0.3">
      <c r="A1349" s="23">
        <v>1345</v>
      </c>
      <c r="B1349" s="24" t="s">
        <v>3973</v>
      </c>
      <c r="C1349" s="25" t="s">
        <v>3974</v>
      </c>
      <c r="D1349" s="23" t="s">
        <v>3434</v>
      </c>
      <c r="E1349" s="55">
        <v>46125</v>
      </c>
      <c r="F1349" s="26" t="s">
        <v>948</v>
      </c>
      <c r="G1349" s="26" t="s">
        <v>58</v>
      </c>
      <c r="H1349" s="26" t="s">
        <v>56</v>
      </c>
      <c r="I1349" s="26" t="s">
        <v>70</v>
      </c>
      <c r="J1349" s="26" t="s">
        <v>58</v>
      </c>
      <c r="K1349" s="27"/>
      <c r="L1349" s="28" t="s">
        <v>56</v>
      </c>
      <c r="M1349" s="29" t="str">
        <f t="shared" ref="M1349:M1413" si="105">IF(E1349="","",IF(H1349="Yes","❌ Disc",IF(G1349="No","⚠ Missing",IF(J1349="Yes","✓ OK","⚠ Check"))))</f>
        <v>✓ OK</v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4.25" customHeight="1" x14ac:dyDescent="0.3">
      <c r="A1350" s="42">
        <v>1346</v>
      </c>
      <c r="B1350" s="43" t="s">
        <v>3975</v>
      </c>
      <c r="C1350" s="44" t="s">
        <v>3976</v>
      </c>
      <c r="D1350" s="42" t="s">
        <v>3434</v>
      </c>
      <c r="E1350" s="55">
        <v>46125</v>
      </c>
      <c r="F1350" s="26" t="s">
        <v>948</v>
      </c>
      <c r="G1350" s="26" t="s">
        <v>58</v>
      </c>
      <c r="H1350" s="26" t="s">
        <v>56</v>
      </c>
      <c r="I1350" s="26" t="s">
        <v>70</v>
      </c>
      <c r="J1350" s="26" t="s">
        <v>58</v>
      </c>
      <c r="K1350" s="27"/>
      <c r="L1350" s="28" t="s">
        <v>56</v>
      </c>
      <c r="M1350" s="29" t="str">
        <f t="shared" si="105"/>
        <v>✓ OK</v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4.25" customHeight="1" x14ac:dyDescent="0.3">
      <c r="A1351" s="23">
        <v>1347</v>
      </c>
      <c r="B1351" s="24" t="s">
        <v>3977</v>
      </c>
      <c r="C1351" s="25" t="s">
        <v>3978</v>
      </c>
      <c r="D1351" s="23" t="s">
        <v>3434</v>
      </c>
      <c r="E1351" s="55">
        <v>46125</v>
      </c>
      <c r="F1351" s="26" t="s">
        <v>948</v>
      </c>
      <c r="G1351" s="26" t="s">
        <v>58</v>
      </c>
      <c r="H1351" s="26" t="s">
        <v>56</v>
      </c>
      <c r="I1351" s="26" t="s">
        <v>70</v>
      </c>
      <c r="J1351" s="26" t="s">
        <v>58</v>
      </c>
      <c r="K1351" s="27"/>
      <c r="L1351" s="28" t="s">
        <v>56</v>
      </c>
      <c r="M1351" s="29" t="str">
        <f t="shared" si="105"/>
        <v>✓ OK</v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4.25" customHeight="1" x14ac:dyDescent="0.3">
      <c r="A1352" s="42">
        <v>1348</v>
      </c>
      <c r="B1352" s="43" t="s">
        <v>3979</v>
      </c>
      <c r="C1352" s="44" t="s">
        <v>3980</v>
      </c>
      <c r="D1352" s="42" t="s">
        <v>3434</v>
      </c>
      <c r="E1352" s="55">
        <v>46125</v>
      </c>
      <c r="F1352" s="26" t="s">
        <v>948</v>
      </c>
      <c r="G1352" s="26" t="s">
        <v>58</v>
      </c>
      <c r="H1352" s="26" t="s">
        <v>56</v>
      </c>
      <c r="I1352" s="26" t="s">
        <v>70</v>
      </c>
      <c r="J1352" s="26" t="s">
        <v>58</v>
      </c>
      <c r="K1352" s="27"/>
      <c r="L1352" s="28" t="s">
        <v>56</v>
      </c>
      <c r="M1352" s="29" t="str">
        <f t="shared" si="105"/>
        <v>✓ OK</v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4.25" customHeight="1" x14ac:dyDescent="0.3">
      <c r="A1353" s="23">
        <v>1349</v>
      </c>
      <c r="B1353" s="24" t="s">
        <v>3981</v>
      </c>
      <c r="C1353" s="25" t="s">
        <v>3982</v>
      </c>
      <c r="D1353" s="23" t="s">
        <v>3434</v>
      </c>
      <c r="E1353" s="55">
        <v>46125</v>
      </c>
      <c r="F1353" s="26" t="s">
        <v>948</v>
      </c>
      <c r="G1353" s="26" t="s">
        <v>58</v>
      </c>
      <c r="H1353" s="26" t="s">
        <v>56</v>
      </c>
      <c r="I1353" s="26" t="s">
        <v>70</v>
      </c>
      <c r="J1353" s="26" t="s">
        <v>58</v>
      </c>
      <c r="K1353" s="27"/>
      <c r="L1353" s="28" t="s">
        <v>56</v>
      </c>
      <c r="M1353" s="29" t="str">
        <f t="shared" si="105"/>
        <v>✓ OK</v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4.25" customHeight="1" x14ac:dyDescent="0.3">
      <c r="A1354" s="42">
        <v>1350</v>
      </c>
      <c r="B1354" s="43" t="s">
        <v>3983</v>
      </c>
      <c r="C1354" s="44" t="s">
        <v>3984</v>
      </c>
      <c r="D1354" s="42" t="s">
        <v>3434</v>
      </c>
      <c r="E1354" s="55">
        <v>46125</v>
      </c>
      <c r="F1354" s="26" t="s">
        <v>948</v>
      </c>
      <c r="G1354" s="26" t="s">
        <v>58</v>
      </c>
      <c r="H1354" s="26" t="s">
        <v>56</v>
      </c>
      <c r="I1354" s="26" t="s">
        <v>70</v>
      </c>
      <c r="J1354" s="26" t="s">
        <v>58</v>
      </c>
      <c r="K1354" s="27"/>
      <c r="L1354" s="28" t="s">
        <v>56</v>
      </c>
      <c r="M1354" s="29" t="str">
        <f t="shared" si="105"/>
        <v>✓ OK</v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4.25" customHeight="1" x14ac:dyDescent="0.3">
      <c r="A1355" s="23">
        <v>1351</v>
      </c>
      <c r="B1355" s="24" t="s">
        <v>3985</v>
      </c>
      <c r="C1355" s="25" t="s">
        <v>3986</v>
      </c>
      <c r="D1355" s="23" t="s">
        <v>3434</v>
      </c>
      <c r="E1355" s="55">
        <v>46125</v>
      </c>
      <c r="F1355" s="26" t="s">
        <v>948</v>
      </c>
      <c r="G1355" s="26" t="s">
        <v>58</v>
      </c>
      <c r="H1355" s="26" t="s">
        <v>56</v>
      </c>
      <c r="I1355" s="26" t="s">
        <v>70</v>
      </c>
      <c r="J1355" s="26" t="s">
        <v>58</v>
      </c>
      <c r="K1355" s="27"/>
      <c r="L1355" s="28" t="s">
        <v>56</v>
      </c>
      <c r="M1355" s="29" t="str">
        <f t="shared" si="105"/>
        <v>✓ OK</v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4.25" customHeight="1" x14ac:dyDescent="0.3">
      <c r="A1356" s="42">
        <v>1352</v>
      </c>
      <c r="B1356" s="43" t="s">
        <v>3987</v>
      </c>
      <c r="C1356" s="44" t="s">
        <v>3988</v>
      </c>
      <c r="D1356" s="42" t="s">
        <v>3434</v>
      </c>
      <c r="E1356" s="55">
        <v>46125</v>
      </c>
      <c r="F1356" s="26" t="s">
        <v>948</v>
      </c>
      <c r="G1356" s="26" t="s">
        <v>58</v>
      </c>
      <c r="H1356" s="26" t="s">
        <v>56</v>
      </c>
      <c r="I1356" s="26" t="s">
        <v>70</v>
      </c>
      <c r="J1356" s="26" t="s">
        <v>58</v>
      </c>
      <c r="K1356" s="27"/>
      <c r="L1356" s="28" t="s">
        <v>56</v>
      </c>
      <c r="M1356" s="29" t="str">
        <f t="shared" si="105"/>
        <v>✓ OK</v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4.25" customHeight="1" x14ac:dyDescent="0.3">
      <c r="A1357" s="23">
        <v>1353</v>
      </c>
      <c r="B1357" s="24" t="s">
        <v>3989</v>
      </c>
      <c r="C1357" s="25" t="s">
        <v>3990</v>
      </c>
      <c r="D1357" s="23" t="s">
        <v>3434</v>
      </c>
      <c r="E1357" s="55">
        <v>46125</v>
      </c>
      <c r="F1357" s="26" t="s">
        <v>948</v>
      </c>
      <c r="G1357" s="26" t="s">
        <v>58</v>
      </c>
      <c r="H1357" s="26" t="s">
        <v>56</v>
      </c>
      <c r="I1357" s="26" t="s">
        <v>70</v>
      </c>
      <c r="J1357" s="26" t="s">
        <v>58</v>
      </c>
      <c r="K1357" s="27"/>
      <c r="L1357" s="28" t="s">
        <v>56</v>
      </c>
      <c r="M1357" s="29" t="str">
        <f t="shared" si="105"/>
        <v>✓ OK</v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4.25" customHeight="1" x14ac:dyDescent="0.3">
      <c r="A1358" s="42">
        <v>1354</v>
      </c>
      <c r="B1358" s="43" t="s">
        <v>3991</v>
      </c>
      <c r="C1358" s="44" t="s">
        <v>3992</v>
      </c>
      <c r="D1358" s="42" t="s">
        <v>3434</v>
      </c>
      <c r="E1358" s="55">
        <v>46125</v>
      </c>
      <c r="F1358" s="26" t="s">
        <v>948</v>
      </c>
      <c r="G1358" s="26" t="s">
        <v>58</v>
      </c>
      <c r="H1358" s="26" t="s">
        <v>56</v>
      </c>
      <c r="I1358" s="26" t="s">
        <v>70</v>
      </c>
      <c r="J1358" s="26" t="s">
        <v>58</v>
      </c>
      <c r="K1358" s="27"/>
      <c r="L1358" s="28" t="s">
        <v>56</v>
      </c>
      <c r="M1358" s="29" t="str">
        <f t="shared" si="105"/>
        <v>✓ OK</v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4.25" customHeight="1" x14ac:dyDescent="0.3">
      <c r="A1359" s="23">
        <v>1355</v>
      </c>
      <c r="B1359" s="24" t="s">
        <v>3993</v>
      </c>
      <c r="C1359" s="25" t="s">
        <v>3994</v>
      </c>
      <c r="D1359" s="23" t="s">
        <v>3434</v>
      </c>
      <c r="E1359" s="55">
        <v>46125</v>
      </c>
      <c r="F1359" s="26" t="s">
        <v>948</v>
      </c>
      <c r="G1359" s="26" t="s">
        <v>58</v>
      </c>
      <c r="H1359" s="26" t="s">
        <v>56</v>
      </c>
      <c r="I1359" s="26" t="s">
        <v>70</v>
      </c>
      <c r="J1359" s="26" t="s">
        <v>58</v>
      </c>
      <c r="K1359" s="27"/>
      <c r="L1359" s="28" t="s">
        <v>56</v>
      </c>
      <c r="M1359" s="29" t="str">
        <f t="shared" si="105"/>
        <v>✓ OK</v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4.25" customHeight="1" x14ac:dyDescent="0.3">
      <c r="A1360" s="42">
        <v>1356</v>
      </c>
      <c r="B1360" s="43" t="s">
        <v>3995</v>
      </c>
      <c r="C1360" s="44" t="s">
        <v>3996</v>
      </c>
      <c r="D1360" s="42" t="s">
        <v>3434</v>
      </c>
      <c r="E1360" s="55">
        <v>46125</v>
      </c>
      <c r="F1360" s="26" t="s">
        <v>948</v>
      </c>
      <c r="G1360" s="26" t="s">
        <v>58</v>
      </c>
      <c r="H1360" s="26" t="s">
        <v>56</v>
      </c>
      <c r="I1360" s="26" t="s">
        <v>70</v>
      </c>
      <c r="J1360" s="26" t="s">
        <v>58</v>
      </c>
      <c r="K1360" s="27"/>
      <c r="L1360" s="28" t="s">
        <v>56</v>
      </c>
      <c r="M1360" s="29" t="str">
        <f t="shared" si="105"/>
        <v>✓ OK</v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4.25" customHeight="1" x14ac:dyDescent="0.3">
      <c r="A1361" s="23">
        <v>1357</v>
      </c>
      <c r="B1361" s="24" t="s">
        <v>3997</v>
      </c>
      <c r="C1361" s="25" t="s">
        <v>3998</v>
      </c>
      <c r="D1361" s="23" t="s">
        <v>3434</v>
      </c>
      <c r="E1361" s="55">
        <v>46125</v>
      </c>
      <c r="F1361" s="26" t="s">
        <v>948</v>
      </c>
      <c r="G1361" s="26" t="s">
        <v>58</v>
      </c>
      <c r="H1361" s="26" t="s">
        <v>56</v>
      </c>
      <c r="I1361" s="26" t="s">
        <v>70</v>
      </c>
      <c r="J1361" s="26" t="s">
        <v>58</v>
      </c>
      <c r="K1361" s="27"/>
      <c r="L1361" s="28" t="s">
        <v>56</v>
      </c>
      <c r="M1361" s="29" t="str">
        <f t="shared" si="105"/>
        <v>✓ OK</v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4.25" customHeight="1" x14ac:dyDescent="0.3">
      <c r="A1362" s="42">
        <v>1358</v>
      </c>
      <c r="B1362" s="43" t="s">
        <v>3999</v>
      </c>
      <c r="C1362" s="44" t="s">
        <v>4000</v>
      </c>
      <c r="D1362" s="42" t="s">
        <v>3434</v>
      </c>
      <c r="E1362" s="55">
        <v>46125</v>
      </c>
      <c r="F1362" s="26" t="s">
        <v>948</v>
      </c>
      <c r="G1362" s="26" t="s">
        <v>58</v>
      </c>
      <c r="H1362" s="26" t="s">
        <v>56</v>
      </c>
      <c r="I1362" s="26" t="s">
        <v>70</v>
      </c>
      <c r="J1362" s="26" t="s">
        <v>58</v>
      </c>
      <c r="K1362" s="27"/>
      <c r="L1362" s="28" t="s">
        <v>56</v>
      </c>
      <c r="M1362" s="29" t="str">
        <f t="shared" si="105"/>
        <v>✓ OK</v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4.25" customHeight="1" x14ac:dyDescent="0.3">
      <c r="A1363" s="23">
        <v>1359</v>
      </c>
      <c r="B1363" s="24" t="s">
        <v>4001</v>
      </c>
      <c r="C1363" s="25" t="s">
        <v>4002</v>
      </c>
      <c r="D1363" s="23" t="s">
        <v>3434</v>
      </c>
      <c r="E1363" s="55">
        <v>46125</v>
      </c>
      <c r="F1363" s="26" t="s">
        <v>948</v>
      </c>
      <c r="G1363" s="26" t="s">
        <v>58</v>
      </c>
      <c r="H1363" s="26" t="s">
        <v>56</v>
      </c>
      <c r="I1363" s="26" t="s">
        <v>70</v>
      </c>
      <c r="J1363" s="26" t="s">
        <v>58</v>
      </c>
      <c r="K1363" s="27"/>
      <c r="L1363" s="28" t="s">
        <v>56</v>
      </c>
      <c r="M1363" s="29" t="str">
        <f t="shared" si="105"/>
        <v>✓ OK</v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4.25" customHeight="1" x14ac:dyDescent="0.3">
      <c r="A1364" s="42">
        <v>1360</v>
      </c>
      <c r="B1364" s="43" t="s">
        <v>4003</v>
      </c>
      <c r="C1364" s="44" t="s">
        <v>4004</v>
      </c>
      <c r="D1364" s="42" t="s">
        <v>3434</v>
      </c>
      <c r="E1364" s="55">
        <v>46125</v>
      </c>
      <c r="F1364" s="26" t="s">
        <v>948</v>
      </c>
      <c r="G1364" s="26" t="s">
        <v>58</v>
      </c>
      <c r="H1364" s="26" t="s">
        <v>56</v>
      </c>
      <c r="I1364" s="26" t="s">
        <v>70</v>
      </c>
      <c r="J1364" s="26" t="s">
        <v>58</v>
      </c>
      <c r="K1364" s="27"/>
      <c r="L1364" s="28" t="s">
        <v>56</v>
      </c>
      <c r="M1364" s="29" t="str">
        <f t="shared" si="105"/>
        <v>✓ OK</v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4.25" customHeight="1" x14ac:dyDescent="0.3">
      <c r="A1365" s="23">
        <v>1361</v>
      </c>
      <c r="B1365" s="24" t="s">
        <v>4005</v>
      </c>
      <c r="C1365" s="25" t="s">
        <v>4006</v>
      </c>
      <c r="D1365" s="23" t="s">
        <v>3434</v>
      </c>
      <c r="E1365" s="55">
        <v>46125</v>
      </c>
      <c r="F1365" s="26" t="s">
        <v>948</v>
      </c>
      <c r="G1365" s="26" t="s">
        <v>58</v>
      </c>
      <c r="H1365" s="26" t="s">
        <v>56</v>
      </c>
      <c r="I1365" s="26" t="s">
        <v>70</v>
      </c>
      <c r="J1365" s="26" t="s">
        <v>58</v>
      </c>
      <c r="K1365" s="27"/>
      <c r="L1365" s="28" t="s">
        <v>56</v>
      </c>
      <c r="M1365" s="29" t="str">
        <f t="shared" si="105"/>
        <v>✓ OK</v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4.25" customHeight="1" x14ac:dyDescent="0.3">
      <c r="A1366" s="42">
        <v>1362</v>
      </c>
      <c r="B1366" s="43" t="s">
        <v>4007</v>
      </c>
      <c r="C1366" s="44" t="s">
        <v>4008</v>
      </c>
      <c r="D1366" s="42" t="s">
        <v>3434</v>
      </c>
      <c r="E1366" s="55">
        <v>46125</v>
      </c>
      <c r="F1366" s="26" t="s">
        <v>948</v>
      </c>
      <c r="G1366" s="26" t="s">
        <v>58</v>
      </c>
      <c r="H1366" s="26" t="s">
        <v>56</v>
      </c>
      <c r="I1366" s="26" t="s">
        <v>70</v>
      </c>
      <c r="J1366" s="26" t="s">
        <v>58</v>
      </c>
      <c r="K1366" s="27"/>
      <c r="L1366" s="28" t="s">
        <v>56</v>
      </c>
      <c r="M1366" s="29" t="str">
        <f t="shared" si="105"/>
        <v>✓ OK</v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4.25" customHeight="1" x14ac:dyDescent="0.3">
      <c r="A1367" s="23">
        <v>1363</v>
      </c>
      <c r="B1367" s="24" t="s">
        <v>4009</v>
      </c>
      <c r="C1367" s="25" t="s">
        <v>4010</v>
      </c>
      <c r="D1367" s="23" t="s">
        <v>3434</v>
      </c>
      <c r="E1367" s="55">
        <v>46125</v>
      </c>
      <c r="F1367" s="26" t="s">
        <v>948</v>
      </c>
      <c r="G1367" s="26" t="s">
        <v>58</v>
      </c>
      <c r="H1367" s="26" t="s">
        <v>56</v>
      </c>
      <c r="I1367" s="26" t="s">
        <v>70</v>
      </c>
      <c r="J1367" s="26" t="s">
        <v>58</v>
      </c>
      <c r="K1367" s="27"/>
      <c r="L1367" s="28" t="s">
        <v>56</v>
      </c>
      <c r="M1367" s="29" t="str">
        <f t="shared" si="105"/>
        <v>✓ OK</v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4.25" customHeight="1" x14ac:dyDescent="0.3">
      <c r="A1368" s="42">
        <v>1364</v>
      </c>
      <c r="B1368" s="43" t="s">
        <v>4011</v>
      </c>
      <c r="C1368" s="44" t="s">
        <v>4012</v>
      </c>
      <c r="D1368" s="42" t="s">
        <v>3434</v>
      </c>
      <c r="E1368" s="55">
        <v>46125</v>
      </c>
      <c r="F1368" s="26" t="s">
        <v>948</v>
      </c>
      <c r="G1368" s="26" t="s">
        <v>58</v>
      </c>
      <c r="H1368" s="26" t="s">
        <v>56</v>
      </c>
      <c r="I1368" s="26" t="s">
        <v>70</v>
      </c>
      <c r="J1368" s="26" t="s">
        <v>58</v>
      </c>
      <c r="K1368" s="27"/>
      <c r="L1368" s="28" t="s">
        <v>56</v>
      </c>
      <c r="M1368" s="29" t="str">
        <f t="shared" si="105"/>
        <v>✓ OK</v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4.25" customHeight="1" x14ac:dyDescent="0.3">
      <c r="A1369" s="23">
        <v>1365</v>
      </c>
      <c r="B1369" s="24" t="s">
        <v>4013</v>
      </c>
      <c r="C1369" s="25" t="s">
        <v>4014</v>
      </c>
      <c r="D1369" s="23" t="s">
        <v>3434</v>
      </c>
      <c r="E1369" s="55">
        <v>46125</v>
      </c>
      <c r="F1369" s="26" t="s">
        <v>948</v>
      </c>
      <c r="G1369" s="26" t="s">
        <v>58</v>
      </c>
      <c r="H1369" s="26" t="s">
        <v>56</v>
      </c>
      <c r="I1369" s="26" t="s">
        <v>70</v>
      </c>
      <c r="J1369" s="26" t="s">
        <v>58</v>
      </c>
      <c r="K1369" s="27"/>
      <c r="L1369" s="28" t="s">
        <v>56</v>
      </c>
      <c r="M1369" s="29" t="str">
        <f t="shared" si="105"/>
        <v>✓ OK</v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4.25" customHeight="1" x14ac:dyDescent="0.3">
      <c r="A1370" s="42">
        <v>1366</v>
      </c>
      <c r="B1370" s="43" t="s">
        <v>4015</v>
      </c>
      <c r="C1370" s="44" t="s">
        <v>4016</v>
      </c>
      <c r="D1370" s="42" t="s">
        <v>3434</v>
      </c>
      <c r="E1370" s="55">
        <v>46125</v>
      </c>
      <c r="F1370" s="26" t="s">
        <v>948</v>
      </c>
      <c r="G1370" s="26" t="s">
        <v>58</v>
      </c>
      <c r="H1370" s="26" t="s">
        <v>56</v>
      </c>
      <c r="I1370" s="26" t="s">
        <v>70</v>
      </c>
      <c r="J1370" s="26" t="s">
        <v>58</v>
      </c>
      <c r="K1370" s="27"/>
      <c r="L1370" s="28" t="s">
        <v>56</v>
      </c>
      <c r="M1370" s="29" t="str">
        <f t="shared" si="105"/>
        <v>✓ OK</v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4.25" customHeight="1" x14ac:dyDescent="0.3">
      <c r="A1371" s="23">
        <v>1367</v>
      </c>
      <c r="B1371" s="24" t="s">
        <v>4017</v>
      </c>
      <c r="C1371" s="25" t="s">
        <v>4018</v>
      </c>
      <c r="D1371" s="23" t="s">
        <v>3434</v>
      </c>
      <c r="E1371" s="55">
        <v>46125</v>
      </c>
      <c r="F1371" s="26" t="s">
        <v>948</v>
      </c>
      <c r="G1371" s="26" t="s">
        <v>58</v>
      </c>
      <c r="H1371" s="26" t="s">
        <v>56</v>
      </c>
      <c r="I1371" s="26" t="s">
        <v>70</v>
      </c>
      <c r="J1371" s="26" t="s">
        <v>58</v>
      </c>
      <c r="K1371" s="27"/>
      <c r="L1371" s="28" t="s">
        <v>56</v>
      </c>
      <c r="M1371" s="29" t="str">
        <f t="shared" si="105"/>
        <v>✓ OK</v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4.25" customHeight="1" x14ac:dyDescent="0.3">
      <c r="A1372" s="42">
        <v>1368</v>
      </c>
      <c r="B1372" s="43" t="s">
        <v>4019</v>
      </c>
      <c r="C1372" s="44" t="s">
        <v>4020</v>
      </c>
      <c r="D1372" s="42" t="s">
        <v>3434</v>
      </c>
      <c r="E1372" s="55">
        <v>46125</v>
      </c>
      <c r="F1372" s="26" t="s">
        <v>948</v>
      </c>
      <c r="G1372" s="26" t="s">
        <v>58</v>
      </c>
      <c r="H1372" s="26" t="s">
        <v>56</v>
      </c>
      <c r="I1372" s="26" t="s">
        <v>70</v>
      </c>
      <c r="J1372" s="26" t="s">
        <v>58</v>
      </c>
      <c r="K1372" s="27"/>
      <c r="L1372" s="28" t="s">
        <v>56</v>
      </c>
      <c r="M1372" s="29" t="str">
        <f t="shared" si="105"/>
        <v>✓ OK</v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4.25" customHeight="1" x14ac:dyDescent="0.3">
      <c r="A1373" s="23">
        <v>1369</v>
      </c>
      <c r="B1373" s="24" t="s">
        <v>4021</v>
      </c>
      <c r="C1373" s="25" t="s">
        <v>4022</v>
      </c>
      <c r="D1373" s="23" t="s">
        <v>3434</v>
      </c>
      <c r="E1373" s="55">
        <v>46125</v>
      </c>
      <c r="F1373" s="26" t="s">
        <v>948</v>
      </c>
      <c r="G1373" s="26" t="s">
        <v>58</v>
      </c>
      <c r="H1373" s="26" t="s">
        <v>56</v>
      </c>
      <c r="I1373" s="26" t="s">
        <v>70</v>
      </c>
      <c r="J1373" s="26" t="s">
        <v>58</v>
      </c>
      <c r="K1373" s="27"/>
      <c r="L1373" s="28" t="s">
        <v>56</v>
      </c>
      <c r="M1373" s="29" t="str">
        <f t="shared" si="105"/>
        <v>✓ OK</v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4.25" customHeight="1" x14ac:dyDescent="0.3">
      <c r="A1374" s="42">
        <v>1370</v>
      </c>
      <c r="B1374" s="43" t="s">
        <v>4023</v>
      </c>
      <c r="C1374" s="44" t="s">
        <v>4024</v>
      </c>
      <c r="D1374" s="42" t="s">
        <v>3434</v>
      </c>
      <c r="E1374" s="55">
        <v>46125</v>
      </c>
      <c r="F1374" s="26" t="s">
        <v>948</v>
      </c>
      <c r="G1374" s="26" t="s">
        <v>58</v>
      </c>
      <c r="H1374" s="26" t="s">
        <v>56</v>
      </c>
      <c r="I1374" s="26" t="s">
        <v>70</v>
      </c>
      <c r="J1374" s="26" t="s">
        <v>58</v>
      </c>
      <c r="K1374" s="27"/>
      <c r="L1374" s="28" t="s">
        <v>56</v>
      </c>
      <c r="M1374" s="29" t="str">
        <f t="shared" si="105"/>
        <v>✓ OK</v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4.25" customHeight="1" x14ac:dyDescent="0.3">
      <c r="A1375" s="23">
        <v>1371</v>
      </c>
      <c r="B1375" s="24" t="s">
        <v>4025</v>
      </c>
      <c r="C1375" s="25" t="s">
        <v>4026</v>
      </c>
      <c r="D1375" s="23" t="s">
        <v>3434</v>
      </c>
      <c r="E1375" s="55">
        <v>46125</v>
      </c>
      <c r="F1375" s="26" t="s">
        <v>948</v>
      </c>
      <c r="G1375" s="26" t="s">
        <v>58</v>
      </c>
      <c r="H1375" s="26" t="s">
        <v>56</v>
      </c>
      <c r="I1375" s="26" t="s">
        <v>70</v>
      </c>
      <c r="J1375" s="26" t="s">
        <v>58</v>
      </c>
      <c r="K1375" s="27"/>
      <c r="L1375" s="28" t="s">
        <v>56</v>
      </c>
      <c r="M1375" s="29" t="str">
        <f t="shared" si="105"/>
        <v>✓ OK</v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4.25" customHeight="1" x14ac:dyDescent="0.3">
      <c r="A1376" s="42">
        <v>1372</v>
      </c>
      <c r="B1376" s="43" t="s">
        <v>4027</v>
      </c>
      <c r="C1376" s="44" t="s">
        <v>4028</v>
      </c>
      <c r="D1376" s="42" t="s">
        <v>3434</v>
      </c>
      <c r="E1376" s="55">
        <v>46125</v>
      </c>
      <c r="F1376" s="26" t="s">
        <v>948</v>
      </c>
      <c r="G1376" s="26" t="s">
        <v>58</v>
      </c>
      <c r="H1376" s="26" t="s">
        <v>56</v>
      </c>
      <c r="I1376" s="26" t="s">
        <v>70</v>
      </c>
      <c r="J1376" s="26" t="s">
        <v>58</v>
      </c>
      <c r="K1376" s="27"/>
      <c r="L1376" s="28" t="s">
        <v>56</v>
      </c>
      <c r="M1376" s="29" t="str">
        <f t="shared" si="105"/>
        <v>✓ OK</v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4.25" customHeight="1" x14ac:dyDescent="0.3">
      <c r="A1377" s="23">
        <v>1373</v>
      </c>
      <c r="B1377" s="24" t="s">
        <v>4029</v>
      </c>
      <c r="C1377" s="25" t="s">
        <v>4030</v>
      </c>
      <c r="D1377" s="23" t="s">
        <v>3434</v>
      </c>
      <c r="E1377" s="55">
        <v>46125</v>
      </c>
      <c r="F1377" s="26" t="s">
        <v>948</v>
      </c>
      <c r="G1377" s="26" t="s">
        <v>58</v>
      </c>
      <c r="H1377" s="26" t="s">
        <v>56</v>
      </c>
      <c r="I1377" s="26" t="s">
        <v>70</v>
      </c>
      <c r="J1377" s="26" t="s">
        <v>58</v>
      </c>
      <c r="K1377" s="27"/>
      <c r="L1377" s="28" t="s">
        <v>56</v>
      </c>
      <c r="M1377" s="29" t="str">
        <f t="shared" si="105"/>
        <v>✓ OK</v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4.25" customHeight="1" x14ac:dyDescent="0.3">
      <c r="A1378" s="42">
        <v>1374</v>
      </c>
      <c r="B1378" s="43" t="s">
        <v>4031</v>
      </c>
      <c r="C1378" s="44" t="s">
        <v>4032</v>
      </c>
      <c r="D1378" s="42" t="s">
        <v>3434</v>
      </c>
      <c r="E1378" s="55">
        <v>46125</v>
      </c>
      <c r="F1378" s="26" t="s">
        <v>948</v>
      </c>
      <c r="G1378" s="26" t="s">
        <v>58</v>
      </c>
      <c r="H1378" s="26" t="s">
        <v>56</v>
      </c>
      <c r="I1378" s="26" t="s">
        <v>70</v>
      </c>
      <c r="J1378" s="26" t="s">
        <v>58</v>
      </c>
      <c r="K1378" s="27"/>
      <c r="L1378" s="28" t="s">
        <v>56</v>
      </c>
      <c r="M1378" s="29" t="str">
        <f t="shared" si="105"/>
        <v>✓ OK</v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4.25" customHeight="1" x14ac:dyDescent="0.3">
      <c r="A1379" s="23">
        <v>1375</v>
      </c>
      <c r="B1379" s="24" t="s">
        <v>4033</v>
      </c>
      <c r="C1379" s="25" t="s">
        <v>4034</v>
      </c>
      <c r="D1379" s="23" t="s">
        <v>3434</v>
      </c>
      <c r="E1379" s="55">
        <v>46125</v>
      </c>
      <c r="F1379" s="26" t="s">
        <v>948</v>
      </c>
      <c r="G1379" s="26" t="s">
        <v>58</v>
      </c>
      <c r="H1379" s="26" t="s">
        <v>56</v>
      </c>
      <c r="I1379" s="26" t="s">
        <v>70</v>
      </c>
      <c r="J1379" s="26" t="s">
        <v>58</v>
      </c>
      <c r="K1379" s="27"/>
      <c r="L1379" s="28" t="s">
        <v>56</v>
      </c>
      <c r="M1379" s="29" t="str">
        <f t="shared" si="105"/>
        <v>✓ OK</v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4.25" customHeight="1" x14ac:dyDescent="0.3">
      <c r="A1380" s="42">
        <v>1376</v>
      </c>
      <c r="B1380" s="43" t="s">
        <v>4035</v>
      </c>
      <c r="C1380" s="44" t="s">
        <v>4036</v>
      </c>
      <c r="D1380" s="42" t="s">
        <v>3434</v>
      </c>
      <c r="E1380" s="55">
        <v>46125</v>
      </c>
      <c r="F1380" s="26" t="s">
        <v>948</v>
      </c>
      <c r="G1380" s="26" t="s">
        <v>58</v>
      </c>
      <c r="H1380" s="26" t="s">
        <v>56</v>
      </c>
      <c r="I1380" s="26" t="s">
        <v>70</v>
      </c>
      <c r="J1380" s="26" t="s">
        <v>58</v>
      </c>
      <c r="K1380" s="27"/>
      <c r="L1380" s="28" t="s">
        <v>56</v>
      </c>
      <c r="M1380" s="29" t="str">
        <f t="shared" si="105"/>
        <v>✓ OK</v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4.25" customHeight="1" x14ac:dyDescent="0.3">
      <c r="A1381" s="23">
        <v>1377</v>
      </c>
      <c r="B1381" s="24" t="s">
        <v>4037</v>
      </c>
      <c r="C1381" s="25" t="s">
        <v>4038</v>
      </c>
      <c r="D1381" s="23" t="s">
        <v>3434</v>
      </c>
      <c r="E1381" s="55">
        <v>46125</v>
      </c>
      <c r="F1381" s="26" t="s">
        <v>948</v>
      </c>
      <c r="G1381" s="26" t="s">
        <v>58</v>
      </c>
      <c r="H1381" s="26" t="s">
        <v>56</v>
      </c>
      <c r="I1381" s="26" t="s">
        <v>70</v>
      </c>
      <c r="J1381" s="26" t="s">
        <v>58</v>
      </c>
      <c r="K1381" s="27"/>
      <c r="L1381" s="28" t="s">
        <v>56</v>
      </c>
      <c r="M1381" s="29" t="str">
        <f t="shared" si="105"/>
        <v>✓ OK</v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4.25" customHeight="1" x14ac:dyDescent="0.3">
      <c r="A1382" s="42">
        <v>1378</v>
      </c>
      <c r="B1382" s="43" t="s">
        <v>4039</v>
      </c>
      <c r="C1382" s="44" t="s">
        <v>4040</v>
      </c>
      <c r="D1382" s="42" t="s">
        <v>3434</v>
      </c>
      <c r="E1382" s="55">
        <v>46125</v>
      </c>
      <c r="F1382" s="26" t="s">
        <v>948</v>
      </c>
      <c r="G1382" s="26" t="s">
        <v>58</v>
      </c>
      <c r="H1382" s="26" t="s">
        <v>56</v>
      </c>
      <c r="I1382" s="26" t="s">
        <v>70</v>
      </c>
      <c r="J1382" s="26" t="s">
        <v>58</v>
      </c>
      <c r="K1382" s="27"/>
      <c r="L1382" s="28" t="s">
        <v>56</v>
      </c>
      <c r="M1382" s="29" t="str">
        <f t="shared" si="105"/>
        <v>✓ OK</v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4.25" customHeight="1" x14ac:dyDescent="0.3">
      <c r="A1383" s="23">
        <v>1379</v>
      </c>
      <c r="B1383" s="24" t="s">
        <v>4041</v>
      </c>
      <c r="C1383" s="25" t="s">
        <v>4042</v>
      </c>
      <c r="D1383" s="23" t="s">
        <v>3434</v>
      </c>
      <c r="E1383" s="55">
        <v>46125</v>
      </c>
      <c r="F1383" s="26" t="s">
        <v>948</v>
      </c>
      <c r="G1383" s="26" t="s">
        <v>58</v>
      </c>
      <c r="H1383" s="26" t="s">
        <v>56</v>
      </c>
      <c r="I1383" s="26" t="s">
        <v>70</v>
      </c>
      <c r="J1383" s="26" t="s">
        <v>58</v>
      </c>
      <c r="K1383" s="27"/>
      <c r="L1383" s="28" t="s">
        <v>56</v>
      </c>
      <c r="M1383" s="29" t="str">
        <f t="shared" si="105"/>
        <v>✓ OK</v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4.25" customHeight="1" x14ac:dyDescent="0.3">
      <c r="A1384" s="42">
        <v>1380</v>
      </c>
      <c r="B1384" s="43" t="s">
        <v>4043</v>
      </c>
      <c r="C1384" s="44" t="s">
        <v>4044</v>
      </c>
      <c r="D1384" s="42" t="s">
        <v>3434</v>
      </c>
      <c r="E1384" s="55">
        <v>46125</v>
      </c>
      <c r="F1384" s="26" t="s">
        <v>948</v>
      </c>
      <c r="G1384" s="26" t="s">
        <v>58</v>
      </c>
      <c r="H1384" s="26" t="s">
        <v>56</v>
      </c>
      <c r="I1384" s="26" t="s">
        <v>70</v>
      </c>
      <c r="J1384" s="26" t="s">
        <v>58</v>
      </c>
      <c r="K1384" s="27"/>
      <c r="L1384" s="28" t="s">
        <v>56</v>
      </c>
      <c r="M1384" s="29" t="str">
        <f t="shared" si="105"/>
        <v>✓ OK</v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4.25" customHeight="1" x14ac:dyDescent="0.3">
      <c r="A1385" s="23">
        <v>1381</v>
      </c>
      <c r="B1385" s="24" t="s">
        <v>4045</v>
      </c>
      <c r="C1385" s="25" t="s">
        <v>4046</v>
      </c>
      <c r="D1385" s="23" t="s">
        <v>3434</v>
      </c>
      <c r="E1385" s="55">
        <v>46125</v>
      </c>
      <c r="F1385" s="26" t="s">
        <v>948</v>
      </c>
      <c r="G1385" s="26" t="s">
        <v>58</v>
      </c>
      <c r="H1385" s="26" t="s">
        <v>56</v>
      </c>
      <c r="I1385" s="26" t="s">
        <v>70</v>
      </c>
      <c r="J1385" s="26" t="s">
        <v>58</v>
      </c>
      <c r="K1385" s="27"/>
      <c r="L1385" s="28" t="s">
        <v>56</v>
      </c>
      <c r="M1385" s="29" t="str">
        <f t="shared" si="105"/>
        <v>✓ OK</v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4.25" customHeight="1" x14ac:dyDescent="0.3">
      <c r="A1386" s="42">
        <v>1382</v>
      </c>
      <c r="B1386" s="43" t="s">
        <v>4047</v>
      </c>
      <c r="C1386" s="44" t="s">
        <v>4048</v>
      </c>
      <c r="D1386" s="42" t="s">
        <v>3434</v>
      </c>
      <c r="E1386" s="55">
        <v>46125</v>
      </c>
      <c r="F1386" s="26" t="s">
        <v>948</v>
      </c>
      <c r="G1386" s="26" t="s">
        <v>58</v>
      </c>
      <c r="H1386" s="26" t="s">
        <v>56</v>
      </c>
      <c r="I1386" s="26" t="s">
        <v>70</v>
      </c>
      <c r="J1386" s="26" t="s">
        <v>58</v>
      </c>
      <c r="K1386" s="27"/>
      <c r="L1386" s="28" t="s">
        <v>56</v>
      </c>
      <c r="M1386" s="29" t="str">
        <f t="shared" si="105"/>
        <v>✓ OK</v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4.25" customHeight="1" x14ac:dyDescent="0.3">
      <c r="A1387" s="23">
        <v>1383</v>
      </c>
      <c r="B1387" s="24" t="s">
        <v>4049</v>
      </c>
      <c r="C1387" s="25" t="s">
        <v>4050</v>
      </c>
      <c r="D1387" s="23" t="s">
        <v>3434</v>
      </c>
      <c r="E1387" s="55">
        <v>46125</v>
      </c>
      <c r="F1387" s="26" t="s">
        <v>948</v>
      </c>
      <c r="G1387" s="26" t="s">
        <v>58</v>
      </c>
      <c r="H1387" s="26" t="s">
        <v>56</v>
      </c>
      <c r="I1387" s="26" t="s">
        <v>70</v>
      </c>
      <c r="J1387" s="26" t="s">
        <v>58</v>
      </c>
      <c r="K1387" s="27"/>
      <c r="L1387" s="28" t="s">
        <v>56</v>
      </c>
      <c r="M1387" s="29" t="str">
        <f t="shared" si="105"/>
        <v>✓ OK</v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4.25" customHeight="1" x14ac:dyDescent="0.3">
      <c r="A1388" s="42">
        <v>1384</v>
      </c>
      <c r="B1388" s="43" t="s">
        <v>4051</v>
      </c>
      <c r="C1388" s="44" t="s">
        <v>4052</v>
      </c>
      <c r="D1388" s="42" t="s">
        <v>3434</v>
      </c>
      <c r="E1388" s="55">
        <v>46125</v>
      </c>
      <c r="F1388" s="26" t="s">
        <v>948</v>
      </c>
      <c r="G1388" s="26" t="s">
        <v>58</v>
      </c>
      <c r="H1388" s="26" t="s">
        <v>56</v>
      </c>
      <c r="I1388" s="26" t="s">
        <v>70</v>
      </c>
      <c r="J1388" s="26" t="s">
        <v>58</v>
      </c>
      <c r="K1388" s="27"/>
      <c r="L1388" s="28" t="s">
        <v>56</v>
      </c>
      <c r="M1388" s="29" t="str">
        <f t="shared" si="105"/>
        <v>✓ OK</v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4.25" customHeight="1" x14ac:dyDescent="0.3">
      <c r="A1389" s="23">
        <v>1385</v>
      </c>
      <c r="B1389" s="24" t="s">
        <v>4053</v>
      </c>
      <c r="C1389" s="25" t="s">
        <v>4054</v>
      </c>
      <c r="D1389" s="23" t="s">
        <v>3434</v>
      </c>
      <c r="E1389" s="55">
        <v>46125</v>
      </c>
      <c r="F1389" s="26" t="s">
        <v>948</v>
      </c>
      <c r="G1389" s="26" t="s">
        <v>58</v>
      </c>
      <c r="H1389" s="26" t="s">
        <v>56</v>
      </c>
      <c r="I1389" s="26" t="s">
        <v>70</v>
      </c>
      <c r="J1389" s="26" t="s">
        <v>58</v>
      </c>
      <c r="K1389" s="27"/>
      <c r="L1389" s="28" t="s">
        <v>56</v>
      </c>
      <c r="M1389" s="29" t="str">
        <f t="shared" si="105"/>
        <v>✓ OK</v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4.25" customHeight="1" x14ac:dyDescent="0.3">
      <c r="A1390" s="42">
        <v>1386</v>
      </c>
      <c r="B1390" s="43" t="s">
        <v>4055</v>
      </c>
      <c r="C1390" s="44" t="s">
        <v>4056</v>
      </c>
      <c r="D1390" s="42" t="s">
        <v>3434</v>
      </c>
      <c r="E1390" s="55">
        <v>46125</v>
      </c>
      <c r="F1390" s="26" t="s">
        <v>948</v>
      </c>
      <c r="G1390" s="26" t="s">
        <v>58</v>
      </c>
      <c r="H1390" s="26" t="s">
        <v>56</v>
      </c>
      <c r="I1390" s="26" t="s">
        <v>70</v>
      </c>
      <c r="J1390" s="26" t="s">
        <v>58</v>
      </c>
      <c r="K1390" s="27"/>
      <c r="L1390" s="28" t="s">
        <v>56</v>
      </c>
      <c r="M1390" s="29" t="str">
        <f t="shared" si="105"/>
        <v>✓ OK</v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4.25" customHeight="1" x14ac:dyDescent="0.3">
      <c r="A1391" s="23">
        <v>1387</v>
      </c>
      <c r="B1391" s="24" t="s">
        <v>4057</v>
      </c>
      <c r="C1391" s="25" t="s">
        <v>4058</v>
      </c>
      <c r="D1391" s="23" t="s">
        <v>3434</v>
      </c>
      <c r="E1391" s="55">
        <v>46125</v>
      </c>
      <c r="F1391" s="26" t="s">
        <v>948</v>
      </c>
      <c r="G1391" s="26" t="s">
        <v>58</v>
      </c>
      <c r="H1391" s="26" t="s">
        <v>56</v>
      </c>
      <c r="I1391" s="26" t="s">
        <v>70</v>
      </c>
      <c r="J1391" s="26" t="s">
        <v>58</v>
      </c>
      <c r="K1391" s="27"/>
      <c r="L1391" s="28" t="s">
        <v>56</v>
      </c>
      <c r="M1391" s="29" t="str">
        <f t="shared" si="105"/>
        <v>✓ OK</v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4.25" customHeight="1" x14ac:dyDescent="0.3">
      <c r="A1392" s="42">
        <v>1388</v>
      </c>
      <c r="B1392" s="43" t="s">
        <v>4059</v>
      </c>
      <c r="C1392" s="44" t="s">
        <v>4060</v>
      </c>
      <c r="D1392" s="42" t="s">
        <v>3434</v>
      </c>
      <c r="E1392" s="55">
        <v>46125</v>
      </c>
      <c r="F1392" s="26" t="s">
        <v>948</v>
      </c>
      <c r="G1392" s="26" t="s">
        <v>58</v>
      </c>
      <c r="H1392" s="26" t="s">
        <v>56</v>
      </c>
      <c r="I1392" s="26" t="s">
        <v>70</v>
      </c>
      <c r="J1392" s="26" t="s">
        <v>58</v>
      </c>
      <c r="K1392" s="27"/>
      <c r="L1392" s="28" t="s">
        <v>56</v>
      </c>
      <c r="M1392" s="29" t="str">
        <f t="shared" si="105"/>
        <v>✓ OK</v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4.25" customHeight="1" x14ac:dyDescent="0.3">
      <c r="A1393" s="23">
        <v>1389</v>
      </c>
      <c r="B1393" s="24" t="s">
        <v>4061</v>
      </c>
      <c r="C1393" s="25" t="s">
        <v>4062</v>
      </c>
      <c r="D1393" s="23" t="s">
        <v>3434</v>
      </c>
      <c r="E1393" s="55">
        <v>46125</v>
      </c>
      <c r="F1393" s="26" t="s">
        <v>948</v>
      </c>
      <c r="G1393" s="26" t="s">
        <v>58</v>
      </c>
      <c r="H1393" s="26" t="s">
        <v>56</v>
      </c>
      <c r="I1393" s="26" t="s">
        <v>70</v>
      </c>
      <c r="J1393" s="26" t="s">
        <v>58</v>
      </c>
      <c r="K1393" s="27"/>
      <c r="L1393" s="28" t="s">
        <v>56</v>
      </c>
      <c r="M1393" s="29" t="str">
        <f t="shared" si="105"/>
        <v>✓ OK</v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4.25" customHeight="1" x14ac:dyDescent="0.3">
      <c r="A1394" s="42">
        <v>1390</v>
      </c>
      <c r="B1394" s="43" t="s">
        <v>4063</v>
      </c>
      <c r="C1394" s="44" t="s">
        <v>4064</v>
      </c>
      <c r="D1394" s="42" t="s">
        <v>3434</v>
      </c>
      <c r="E1394" s="55">
        <v>46125</v>
      </c>
      <c r="F1394" s="26" t="s">
        <v>948</v>
      </c>
      <c r="G1394" s="26" t="s">
        <v>58</v>
      </c>
      <c r="H1394" s="26" t="s">
        <v>56</v>
      </c>
      <c r="I1394" s="26" t="s">
        <v>70</v>
      </c>
      <c r="J1394" s="26" t="s">
        <v>58</v>
      </c>
      <c r="K1394" s="27"/>
      <c r="L1394" s="28" t="s">
        <v>56</v>
      </c>
      <c r="M1394" s="29" t="str">
        <f t="shared" si="105"/>
        <v>✓ OK</v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4.25" customHeight="1" x14ac:dyDescent="0.3">
      <c r="A1395" s="23">
        <v>1391</v>
      </c>
      <c r="B1395" s="24" t="s">
        <v>4065</v>
      </c>
      <c r="C1395" s="25" t="s">
        <v>4066</v>
      </c>
      <c r="D1395" s="23" t="s">
        <v>3434</v>
      </c>
      <c r="E1395" s="55">
        <v>46125</v>
      </c>
      <c r="F1395" s="26" t="s">
        <v>948</v>
      </c>
      <c r="G1395" s="26" t="s">
        <v>58</v>
      </c>
      <c r="H1395" s="26" t="s">
        <v>56</v>
      </c>
      <c r="I1395" s="26" t="s">
        <v>70</v>
      </c>
      <c r="J1395" s="26" t="s">
        <v>58</v>
      </c>
      <c r="K1395" s="27"/>
      <c r="L1395" s="28" t="s">
        <v>56</v>
      </c>
      <c r="M1395" s="29" t="str">
        <f t="shared" si="105"/>
        <v>✓ OK</v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4.25" customHeight="1" x14ac:dyDescent="0.3">
      <c r="A1396" s="42">
        <v>1392</v>
      </c>
      <c r="B1396" s="43" t="s">
        <v>4067</v>
      </c>
      <c r="C1396" s="44" t="s">
        <v>4068</v>
      </c>
      <c r="D1396" s="42" t="s">
        <v>3434</v>
      </c>
      <c r="E1396" s="55">
        <v>46125</v>
      </c>
      <c r="F1396" s="26" t="s">
        <v>948</v>
      </c>
      <c r="G1396" s="26" t="s">
        <v>58</v>
      </c>
      <c r="H1396" s="26" t="s">
        <v>56</v>
      </c>
      <c r="I1396" s="26" t="s">
        <v>70</v>
      </c>
      <c r="J1396" s="26" t="s">
        <v>58</v>
      </c>
      <c r="K1396" s="27"/>
      <c r="L1396" s="28" t="s">
        <v>56</v>
      </c>
      <c r="M1396" s="29" t="str">
        <f t="shared" si="105"/>
        <v>✓ OK</v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4.25" customHeight="1" x14ac:dyDescent="0.3">
      <c r="A1397" s="23">
        <v>1393</v>
      </c>
      <c r="B1397" s="24" t="s">
        <v>4069</v>
      </c>
      <c r="C1397" s="25" t="s">
        <v>4070</v>
      </c>
      <c r="D1397" s="23" t="s">
        <v>3434</v>
      </c>
      <c r="E1397" s="55">
        <v>46125</v>
      </c>
      <c r="F1397" s="26" t="s">
        <v>948</v>
      </c>
      <c r="G1397" s="26" t="s">
        <v>58</v>
      </c>
      <c r="H1397" s="26" t="s">
        <v>56</v>
      </c>
      <c r="I1397" s="26" t="s">
        <v>70</v>
      </c>
      <c r="J1397" s="26" t="s">
        <v>58</v>
      </c>
      <c r="K1397" s="27"/>
      <c r="L1397" s="28" t="s">
        <v>56</v>
      </c>
      <c r="M1397" s="29" t="str">
        <f t="shared" si="105"/>
        <v>✓ OK</v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4.25" customHeight="1" x14ac:dyDescent="0.3">
      <c r="A1398" s="42">
        <v>1394</v>
      </c>
      <c r="B1398" s="43" t="s">
        <v>4071</v>
      </c>
      <c r="C1398" s="44" t="s">
        <v>4072</v>
      </c>
      <c r="D1398" s="42" t="s">
        <v>3434</v>
      </c>
      <c r="E1398" s="55">
        <v>46125</v>
      </c>
      <c r="F1398" s="26" t="s">
        <v>948</v>
      </c>
      <c r="G1398" s="26" t="s">
        <v>58</v>
      </c>
      <c r="H1398" s="26" t="s">
        <v>56</v>
      </c>
      <c r="I1398" s="26" t="s">
        <v>70</v>
      </c>
      <c r="J1398" s="26" t="s">
        <v>58</v>
      </c>
      <c r="K1398" s="27"/>
      <c r="L1398" s="28" t="s">
        <v>56</v>
      </c>
      <c r="M1398" s="29" t="str">
        <f t="shared" si="105"/>
        <v>✓ OK</v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4.25" customHeight="1" x14ac:dyDescent="0.3">
      <c r="A1399" s="23">
        <v>1395</v>
      </c>
      <c r="B1399" s="24" t="s">
        <v>4073</v>
      </c>
      <c r="C1399" s="25" t="s">
        <v>4074</v>
      </c>
      <c r="D1399" s="23" t="s">
        <v>3434</v>
      </c>
      <c r="E1399" s="55">
        <v>46125</v>
      </c>
      <c r="F1399" s="26" t="s">
        <v>948</v>
      </c>
      <c r="G1399" s="26" t="s">
        <v>58</v>
      </c>
      <c r="H1399" s="26" t="s">
        <v>56</v>
      </c>
      <c r="I1399" s="26" t="s">
        <v>70</v>
      </c>
      <c r="J1399" s="26" t="s">
        <v>58</v>
      </c>
      <c r="K1399" s="27"/>
      <c r="L1399" s="28" t="s">
        <v>56</v>
      </c>
      <c r="M1399" s="29" t="str">
        <f t="shared" si="105"/>
        <v>✓ OK</v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4.25" customHeight="1" x14ac:dyDescent="0.3">
      <c r="A1400" s="42">
        <v>1396</v>
      </c>
      <c r="B1400" s="43" t="s">
        <v>4075</v>
      </c>
      <c r="C1400" s="44" t="s">
        <v>4076</v>
      </c>
      <c r="D1400" s="42" t="s">
        <v>3434</v>
      </c>
      <c r="E1400" s="55">
        <v>46125</v>
      </c>
      <c r="F1400" s="26" t="s">
        <v>948</v>
      </c>
      <c r="G1400" s="26" t="s">
        <v>58</v>
      </c>
      <c r="H1400" s="26" t="s">
        <v>56</v>
      </c>
      <c r="I1400" s="26" t="s">
        <v>70</v>
      </c>
      <c r="J1400" s="26" t="s">
        <v>58</v>
      </c>
      <c r="K1400" s="27"/>
      <c r="L1400" s="28" t="s">
        <v>56</v>
      </c>
      <c r="M1400" s="29" t="str">
        <f t="shared" si="105"/>
        <v>✓ OK</v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4.25" customHeight="1" x14ac:dyDescent="0.3">
      <c r="A1401" s="23">
        <v>1397</v>
      </c>
      <c r="B1401" s="24" t="s">
        <v>4077</v>
      </c>
      <c r="C1401" s="25" t="s">
        <v>4078</v>
      </c>
      <c r="D1401" s="23" t="s">
        <v>3434</v>
      </c>
      <c r="E1401" s="55">
        <v>46125</v>
      </c>
      <c r="F1401" s="26" t="s">
        <v>948</v>
      </c>
      <c r="G1401" s="26" t="s">
        <v>58</v>
      </c>
      <c r="H1401" s="26" t="s">
        <v>56</v>
      </c>
      <c r="I1401" s="26" t="s">
        <v>70</v>
      </c>
      <c r="J1401" s="26" t="s">
        <v>58</v>
      </c>
      <c r="K1401" s="27"/>
      <c r="L1401" s="28" t="s">
        <v>56</v>
      </c>
      <c r="M1401" s="29" t="str">
        <f t="shared" si="105"/>
        <v>✓ OK</v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4.25" customHeight="1" x14ac:dyDescent="0.3">
      <c r="A1402" s="42">
        <v>1398</v>
      </c>
      <c r="B1402" s="43" t="s">
        <v>4079</v>
      </c>
      <c r="C1402" s="44" t="s">
        <v>4080</v>
      </c>
      <c r="D1402" s="42" t="s">
        <v>3434</v>
      </c>
      <c r="E1402" s="55">
        <v>46125</v>
      </c>
      <c r="F1402" s="26" t="s">
        <v>948</v>
      </c>
      <c r="G1402" s="26" t="s">
        <v>58</v>
      </c>
      <c r="H1402" s="26" t="s">
        <v>56</v>
      </c>
      <c r="I1402" s="26" t="s">
        <v>70</v>
      </c>
      <c r="J1402" s="26" t="s">
        <v>58</v>
      </c>
      <c r="K1402" s="27"/>
      <c r="L1402" s="28" t="s">
        <v>56</v>
      </c>
      <c r="M1402" s="29" t="str">
        <f t="shared" si="105"/>
        <v>✓ OK</v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4.25" customHeight="1" x14ac:dyDescent="0.3">
      <c r="A1403" s="23">
        <v>1399</v>
      </c>
      <c r="B1403" s="24" t="s">
        <v>4081</v>
      </c>
      <c r="C1403" s="25" t="s">
        <v>4082</v>
      </c>
      <c r="D1403" s="23" t="s">
        <v>3434</v>
      </c>
      <c r="E1403" s="55">
        <v>46125</v>
      </c>
      <c r="F1403" s="26" t="s">
        <v>948</v>
      </c>
      <c r="G1403" s="26" t="s">
        <v>58</v>
      </c>
      <c r="H1403" s="26" t="s">
        <v>56</v>
      </c>
      <c r="I1403" s="26" t="s">
        <v>70</v>
      </c>
      <c r="J1403" s="26" t="s">
        <v>58</v>
      </c>
      <c r="K1403" s="27"/>
      <c r="L1403" s="28" t="s">
        <v>56</v>
      </c>
      <c r="M1403" s="29" t="str">
        <f t="shared" si="105"/>
        <v>✓ OK</v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4.25" customHeight="1" x14ac:dyDescent="0.3">
      <c r="A1404" s="42">
        <v>1400</v>
      </c>
      <c r="B1404" s="43" t="s">
        <v>4083</v>
      </c>
      <c r="C1404" s="44" t="s">
        <v>4084</v>
      </c>
      <c r="D1404" s="42" t="s">
        <v>3434</v>
      </c>
      <c r="E1404" s="55">
        <v>46125</v>
      </c>
      <c r="F1404" s="26" t="s">
        <v>948</v>
      </c>
      <c r="G1404" s="26" t="s">
        <v>58</v>
      </c>
      <c r="H1404" s="26" t="s">
        <v>56</v>
      </c>
      <c r="I1404" s="26" t="s">
        <v>70</v>
      </c>
      <c r="J1404" s="26" t="s">
        <v>58</v>
      </c>
      <c r="K1404" s="27"/>
      <c r="L1404" s="28" t="s">
        <v>56</v>
      </c>
      <c r="M1404" s="29" t="str">
        <f t="shared" si="105"/>
        <v>✓ OK</v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4.25" customHeight="1" x14ac:dyDescent="0.3">
      <c r="A1405" s="23">
        <v>1401</v>
      </c>
      <c r="B1405" s="24" t="s">
        <v>4085</v>
      </c>
      <c r="C1405" s="25" t="s">
        <v>4086</v>
      </c>
      <c r="D1405" s="23" t="s">
        <v>3434</v>
      </c>
      <c r="E1405" s="55">
        <v>46125</v>
      </c>
      <c r="F1405" s="26" t="s">
        <v>948</v>
      </c>
      <c r="G1405" s="26" t="s">
        <v>58</v>
      </c>
      <c r="H1405" s="26" t="s">
        <v>56</v>
      </c>
      <c r="I1405" s="26" t="s">
        <v>70</v>
      </c>
      <c r="J1405" s="26" t="s">
        <v>58</v>
      </c>
      <c r="K1405" s="27"/>
      <c r="L1405" s="28" t="s">
        <v>56</v>
      </c>
      <c r="M1405" s="29" t="str">
        <f t="shared" si="105"/>
        <v>✓ OK</v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4.25" customHeight="1" x14ac:dyDescent="0.3">
      <c r="A1406" s="42">
        <v>1402</v>
      </c>
      <c r="B1406" s="43" t="s">
        <v>4087</v>
      </c>
      <c r="C1406" s="44" t="s">
        <v>4088</v>
      </c>
      <c r="D1406" s="42" t="s">
        <v>3434</v>
      </c>
      <c r="E1406" s="55">
        <v>46125</v>
      </c>
      <c r="F1406" s="26" t="s">
        <v>948</v>
      </c>
      <c r="G1406" s="26" t="s">
        <v>58</v>
      </c>
      <c r="H1406" s="26" t="s">
        <v>56</v>
      </c>
      <c r="I1406" s="26" t="s">
        <v>70</v>
      </c>
      <c r="J1406" s="26" t="s">
        <v>58</v>
      </c>
      <c r="K1406" s="27"/>
      <c r="L1406" s="28" t="s">
        <v>56</v>
      </c>
      <c r="M1406" s="29" t="str">
        <f t="shared" si="105"/>
        <v>✓ OK</v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4.25" customHeight="1" x14ac:dyDescent="0.3">
      <c r="A1407" s="23">
        <v>1403</v>
      </c>
      <c r="B1407" s="24" t="s">
        <v>4089</v>
      </c>
      <c r="C1407" s="25" t="s">
        <v>4090</v>
      </c>
      <c r="D1407" s="23" t="s">
        <v>3434</v>
      </c>
      <c r="E1407" s="55">
        <v>46125</v>
      </c>
      <c r="F1407" s="26" t="s">
        <v>948</v>
      </c>
      <c r="G1407" s="26" t="s">
        <v>58</v>
      </c>
      <c r="H1407" s="26" t="s">
        <v>56</v>
      </c>
      <c r="I1407" s="26" t="s">
        <v>70</v>
      </c>
      <c r="J1407" s="26" t="s">
        <v>58</v>
      </c>
      <c r="K1407" s="27"/>
      <c r="L1407" s="28" t="s">
        <v>56</v>
      </c>
      <c r="M1407" s="29" t="str">
        <f t="shared" si="105"/>
        <v>✓ OK</v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4.25" customHeight="1" x14ac:dyDescent="0.3">
      <c r="A1408" s="42">
        <v>1404</v>
      </c>
      <c r="B1408" s="43" t="s">
        <v>4091</v>
      </c>
      <c r="C1408" s="44" t="s">
        <v>4092</v>
      </c>
      <c r="D1408" s="42" t="s">
        <v>3434</v>
      </c>
      <c r="E1408" s="55">
        <v>46125</v>
      </c>
      <c r="F1408" s="26" t="s">
        <v>948</v>
      </c>
      <c r="G1408" s="26" t="s">
        <v>58</v>
      </c>
      <c r="H1408" s="26" t="s">
        <v>56</v>
      </c>
      <c r="I1408" s="26" t="s">
        <v>70</v>
      </c>
      <c r="J1408" s="26" t="s">
        <v>58</v>
      </c>
      <c r="K1408" s="27"/>
      <c r="L1408" s="28" t="s">
        <v>56</v>
      </c>
      <c r="M1408" s="29" t="str">
        <f t="shared" si="105"/>
        <v>✓ OK</v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4.25" customHeight="1" x14ac:dyDescent="0.3">
      <c r="A1409" s="23">
        <v>1405</v>
      </c>
      <c r="B1409" s="24" t="s">
        <v>4093</v>
      </c>
      <c r="C1409" s="25" t="s">
        <v>4094</v>
      </c>
      <c r="D1409" s="23" t="s">
        <v>3434</v>
      </c>
      <c r="E1409" s="55">
        <v>46125</v>
      </c>
      <c r="F1409" s="26" t="s">
        <v>948</v>
      </c>
      <c r="G1409" s="26" t="s">
        <v>58</v>
      </c>
      <c r="H1409" s="26" t="s">
        <v>56</v>
      </c>
      <c r="I1409" s="26" t="s">
        <v>70</v>
      </c>
      <c r="J1409" s="26" t="s">
        <v>58</v>
      </c>
      <c r="K1409" s="27"/>
      <c r="L1409" s="28" t="s">
        <v>56</v>
      </c>
      <c r="M1409" s="29" t="str">
        <f t="shared" si="105"/>
        <v>✓ OK</v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4.25" customHeight="1" x14ac:dyDescent="0.3">
      <c r="A1410" s="42">
        <v>1406</v>
      </c>
      <c r="B1410" s="43" t="s">
        <v>4095</v>
      </c>
      <c r="C1410" s="44" t="s">
        <v>4096</v>
      </c>
      <c r="D1410" s="42" t="s">
        <v>3434</v>
      </c>
      <c r="E1410" s="55">
        <v>46125</v>
      </c>
      <c r="F1410" s="26" t="s">
        <v>948</v>
      </c>
      <c r="G1410" s="26" t="s">
        <v>58</v>
      </c>
      <c r="H1410" s="26" t="s">
        <v>56</v>
      </c>
      <c r="I1410" s="26" t="s">
        <v>70</v>
      </c>
      <c r="J1410" s="26" t="s">
        <v>58</v>
      </c>
      <c r="K1410" s="27"/>
      <c r="L1410" s="28" t="s">
        <v>56</v>
      </c>
      <c r="M1410" s="29" t="str">
        <f t="shared" si="105"/>
        <v>✓ OK</v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4.25" customHeight="1" x14ac:dyDescent="0.3">
      <c r="A1411" s="23">
        <v>1407</v>
      </c>
      <c r="B1411" s="24" t="s">
        <v>4097</v>
      </c>
      <c r="C1411" s="25" t="s">
        <v>4098</v>
      </c>
      <c r="D1411" s="23" t="s">
        <v>3434</v>
      </c>
      <c r="E1411" s="55">
        <v>46125</v>
      </c>
      <c r="F1411" s="26" t="s">
        <v>948</v>
      </c>
      <c r="G1411" s="26" t="s">
        <v>58</v>
      </c>
      <c r="H1411" s="26" t="s">
        <v>56</v>
      </c>
      <c r="I1411" s="26" t="s">
        <v>70</v>
      </c>
      <c r="J1411" s="26" t="s">
        <v>58</v>
      </c>
      <c r="K1411" s="27"/>
      <c r="L1411" s="28" t="s">
        <v>56</v>
      </c>
      <c r="M1411" s="29" t="str">
        <f t="shared" si="105"/>
        <v>✓ OK</v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4.25" customHeight="1" x14ac:dyDescent="0.3">
      <c r="A1412" s="42">
        <v>1408</v>
      </c>
      <c r="B1412" s="43" t="s">
        <v>4099</v>
      </c>
      <c r="C1412" s="44" t="s">
        <v>4100</v>
      </c>
      <c r="D1412" s="42" t="s">
        <v>3434</v>
      </c>
      <c r="E1412" s="55">
        <v>46125</v>
      </c>
      <c r="F1412" s="26" t="s">
        <v>948</v>
      </c>
      <c r="G1412" s="26" t="s">
        <v>58</v>
      </c>
      <c r="H1412" s="26" t="s">
        <v>56</v>
      </c>
      <c r="I1412" s="26" t="s">
        <v>70</v>
      </c>
      <c r="J1412" s="26" t="s">
        <v>58</v>
      </c>
      <c r="K1412" s="27"/>
      <c r="L1412" s="28" t="s">
        <v>56</v>
      </c>
      <c r="M1412" s="29" t="str">
        <f t="shared" si="105"/>
        <v>✓ OK</v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4.25" customHeight="1" x14ac:dyDescent="0.3">
      <c r="A1413" s="23">
        <v>1409</v>
      </c>
      <c r="B1413" s="24" t="s">
        <v>4101</v>
      </c>
      <c r="C1413" s="25" t="s">
        <v>4102</v>
      </c>
      <c r="D1413" s="23" t="s">
        <v>3434</v>
      </c>
      <c r="E1413" s="55">
        <v>46125</v>
      </c>
      <c r="F1413" s="26" t="s">
        <v>948</v>
      </c>
      <c r="G1413" s="26" t="s">
        <v>58</v>
      </c>
      <c r="H1413" s="26" t="s">
        <v>56</v>
      </c>
      <c r="I1413" s="26" t="s">
        <v>70</v>
      </c>
      <c r="J1413" s="26" t="s">
        <v>58</v>
      </c>
      <c r="K1413" s="27"/>
      <c r="L1413" s="28" t="s">
        <v>56</v>
      </c>
      <c r="M1413" s="29" t="str">
        <f t="shared" si="105"/>
        <v>✓ OK</v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4" xr:uid="{00000000-0001-0000-05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1413">
    <cfRule type="expression" dxfId="483" priority="1">
      <formula>MOD(ROW(),2)=0</formula>
    </cfRule>
  </conditionalFormatting>
  <conditionalFormatting sqref="F5:AW1413">
    <cfRule type="expression" dxfId="482" priority="48">
      <formula>MOD(ROW(),2)=0</formula>
    </cfRule>
  </conditionalFormatting>
  <conditionalFormatting sqref="G5:G1413">
    <cfRule type="expression" dxfId="481" priority="7">
      <formula>G5="Yes"</formula>
    </cfRule>
    <cfRule type="expression" dxfId="480" priority="8">
      <formula>G5="No"</formula>
    </cfRule>
  </conditionalFormatting>
  <conditionalFormatting sqref="H5:H1413">
    <cfRule type="expression" dxfId="479" priority="9">
      <formula>H5="Yes"</formula>
    </cfRule>
  </conditionalFormatting>
  <conditionalFormatting sqref="J5:J1413">
    <cfRule type="expression" dxfId="478" priority="10">
      <formula>J5="Yes"</formula>
    </cfRule>
    <cfRule type="expression" dxfId="477" priority="11">
      <formula>J5="No"</formula>
    </cfRule>
  </conditionalFormatting>
  <conditionalFormatting sqref="M5:M1413">
    <cfRule type="expression" dxfId="476" priority="3">
      <formula>M5="✓ OK"</formula>
    </cfRule>
    <cfRule type="expression" dxfId="475" priority="4">
      <formula>M5="❌ Disc"</formula>
    </cfRule>
    <cfRule type="expression" dxfId="474" priority="5">
      <formula>M5="⚠ Missing"</formula>
    </cfRule>
    <cfRule type="expression" dxfId="473" priority="6">
      <formula>M5="⚠ Check"</formula>
    </cfRule>
  </conditionalFormatting>
  <conditionalFormatting sqref="P5:P1413">
    <cfRule type="expression" dxfId="472" priority="16">
      <formula>P5="Yes"</formula>
    </cfRule>
    <cfRule type="expression" dxfId="471" priority="17">
      <formula>P5="No"</formula>
    </cfRule>
  </conditionalFormatting>
  <conditionalFormatting sqref="Q5:Q1413">
    <cfRule type="expression" dxfId="470" priority="18">
      <formula>Q5="Yes"</formula>
    </cfRule>
  </conditionalFormatting>
  <conditionalFormatting sqref="S5:S1413">
    <cfRule type="expression" dxfId="469" priority="19">
      <formula>S5="Yes"</formula>
    </cfRule>
    <cfRule type="expression" dxfId="468" priority="20">
      <formula>S5="No"</formula>
    </cfRule>
  </conditionalFormatting>
  <conditionalFormatting sqref="V5:V1413">
    <cfRule type="expression" dxfId="467" priority="12">
      <formula>V5="✓ OK"</formula>
    </cfRule>
    <cfRule type="expression" dxfId="466" priority="13">
      <formula>V5="❌ Disc"</formula>
    </cfRule>
    <cfRule type="expression" dxfId="465" priority="14">
      <formula>V5="⚠ Missing"</formula>
    </cfRule>
    <cfRule type="expression" dxfId="464" priority="15">
      <formula>V5="⚠ Check"</formula>
    </cfRule>
  </conditionalFormatting>
  <conditionalFormatting sqref="Y5:Y1413">
    <cfRule type="expression" dxfId="463" priority="26">
      <formula>Y5="No"</formula>
    </cfRule>
    <cfRule type="expression" dxfId="462" priority="25">
      <formula>Y5="Yes"</formula>
    </cfRule>
  </conditionalFormatting>
  <conditionalFormatting sqref="Z5:Z1413">
    <cfRule type="expression" dxfId="461" priority="27">
      <formula>Z5="Yes"</formula>
    </cfRule>
  </conditionalFormatting>
  <conditionalFormatting sqref="AB5:AB1413">
    <cfRule type="expression" dxfId="460" priority="28">
      <formula>AB5="Yes"</formula>
    </cfRule>
    <cfRule type="expression" dxfId="459" priority="29">
      <formula>AB5="No"</formula>
    </cfRule>
  </conditionalFormatting>
  <conditionalFormatting sqref="AE5:AE1413">
    <cfRule type="expression" dxfId="458" priority="21">
      <formula>AE5="✓ OK"</formula>
    </cfRule>
    <cfRule type="expression" dxfId="457" priority="22">
      <formula>AE5="❌ Disc"</formula>
    </cfRule>
    <cfRule type="expression" dxfId="456" priority="23">
      <formula>AE5="⚠ Missing"</formula>
    </cfRule>
    <cfRule type="expression" dxfId="455" priority="24">
      <formula>AE5="⚠ Check"</formula>
    </cfRule>
  </conditionalFormatting>
  <conditionalFormatting sqref="AH5:AH1413">
    <cfRule type="expression" dxfId="454" priority="34">
      <formula>AH5="Yes"</formula>
    </cfRule>
    <cfRule type="expression" dxfId="453" priority="35">
      <formula>AH5="No"</formula>
    </cfRule>
  </conditionalFormatting>
  <conditionalFormatting sqref="AI5:AI1413">
    <cfRule type="expression" dxfId="452" priority="36">
      <formula>AI5="Yes"</formula>
    </cfRule>
  </conditionalFormatting>
  <conditionalFormatting sqref="AK5:AK1413">
    <cfRule type="expression" dxfId="451" priority="37">
      <formula>AK5="Yes"</formula>
    </cfRule>
    <cfRule type="expression" dxfId="450" priority="38">
      <formula>AK5="No"</formula>
    </cfRule>
  </conditionalFormatting>
  <conditionalFormatting sqref="AN5:AN1413">
    <cfRule type="expression" dxfId="449" priority="30">
      <formula>AN5="✓ OK"</formula>
    </cfRule>
    <cfRule type="expression" dxfId="448" priority="31">
      <formula>AN5="❌ Disc"</formula>
    </cfRule>
    <cfRule type="expression" dxfId="447" priority="32">
      <formula>AN5="⚠ Missing"</formula>
    </cfRule>
    <cfRule type="expression" dxfId="446" priority="33">
      <formula>AN5="⚠ Check"</formula>
    </cfRule>
  </conditionalFormatting>
  <conditionalFormatting sqref="AQ5:AQ1413">
    <cfRule type="expression" dxfId="445" priority="44">
      <formula>AQ5="No"</formula>
    </cfRule>
    <cfRule type="expression" dxfId="444" priority="43">
      <formula>AQ5="Yes"</formula>
    </cfRule>
  </conditionalFormatting>
  <conditionalFormatting sqref="AR5:AR1413">
    <cfRule type="expression" dxfId="443" priority="45">
      <formula>AR5="Yes"</formula>
    </cfRule>
  </conditionalFormatting>
  <conditionalFormatting sqref="AT5:AT1413">
    <cfRule type="expression" dxfId="442" priority="46">
      <formula>AT5="Yes"</formula>
    </cfRule>
    <cfRule type="expression" dxfId="441" priority="47">
      <formula>AT5="No"</formula>
    </cfRule>
  </conditionalFormatting>
  <conditionalFormatting sqref="AW5:AW1413">
    <cfRule type="expression" dxfId="440" priority="39">
      <formula>AW5="✓ OK"</formula>
    </cfRule>
    <cfRule type="expression" dxfId="439" priority="40">
      <formula>AW5="❌ Disc"</formula>
    </cfRule>
    <cfRule type="expression" dxfId="438" priority="41">
      <formula>AW5="⚠ Missing"</formula>
    </cfRule>
    <cfRule type="expression" dxfId="437" priority="42">
      <formula>AW5="⚠ Check"</formula>
    </cfRule>
  </conditionalFormatting>
  <dataValidations count="2">
    <dataValidation type="list" allowBlank="1" sqref="AS5:AS1413 R5:R1413 AA5:AA1413 AJ5:AJ1413 I5:I1413" xr:uid="{00000000-0002-0000-0500-000000000000}">
      <formula1>"Good finish,Minor defect,Major defect,Discontinued,Not Available"</formula1>
      <formula2>0</formula2>
    </dataValidation>
    <dataValidation type="list" allowBlank="1" sqref="AT5:AT1413 J5:J1413 P5:Q1413 S5:S1413 Y5:Z1413 AB5:AB1413 AH5:AI1413 AK5:AK1413 AQ5:AR1413 G5:H1413" xr:uid="{00000000-0002-0000-05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AW77"/>
  <sheetViews>
    <sheetView zoomScaleNormal="100" workbookViewId="0">
      <pane xSplit="4" ySplit="4" topLeftCell="E46" activePane="bottomRight" state="frozen"/>
      <selection pane="topRight" activeCell="AP1" sqref="AP1"/>
      <selection pane="bottomLeft" activeCell="A5" sqref="A5"/>
      <selection pane="bottomRight" activeCell="F62" sqref="F62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4" t="s">
        <v>4103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</row>
    <row r="2" spans="1:49" ht="15" customHeight="1" x14ac:dyDescent="0.3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85"/>
      <c r="AT2" s="85"/>
      <c r="AU2" s="85"/>
      <c r="AV2" s="85"/>
      <c r="AW2" s="85"/>
    </row>
    <row r="3" spans="1:49" ht="19.5" customHeight="1" x14ac:dyDescent="0.3">
      <c r="A3" s="22"/>
      <c r="B3" s="22"/>
      <c r="C3" s="22"/>
      <c r="D3" s="22"/>
      <c r="E3" s="86" t="s">
        <v>34</v>
      </c>
      <c r="F3" s="86"/>
      <c r="G3" s="86"/>
      <c r="H3" s="86"/>
      <c r="I3" s="86"/>
      <c r="J3" s="86"/>
      <c r="K3" s="86"/>
      <c r="L3" s="86"/>
      <c r="M3" s="86"/>
      <c r="N3" s="87" t="s">
        <v>35</v>
      </c>
      <c r="O3" s="87"/>
      <c r="P3" s="87"/>
      <c r="Q3" s="87"/>
      <c r="R3" s="87"/>
      <c r="S3" s="87"/>
      <c r="T3" s="87"/>
      <c r="U3" s="87"/>
      <c r="V3" s="87"/>
      <c r="W3" s="88" t="s">
        <v>36</v>
      </c>
      <c r="X3" s="88"/>
      <c r="Y3" s="88"/>
      <c r="Z3" s="88"/>
      <c r="AA3" s="88"/>
      <c r="AB3" s="88"/>
      <c r="AC3" s="88"/>
      <c r="AD3" s="88"/>
      <c r="AE3" s="88"/>
      <c r="AF3" s="89" t="s">
        <v>37</v>
      </c>
      <c r="AG3" s="89"/>
      <c r="AH3" s="89"/>
      <c r="AI3" s="89"/>
      <c r="AJ3" s="89"/>
      <c r="AK3" s="89"/>
      <c r="AL3" s="89"/>
      <c r="AM3" s="89"/>
      <c r="AN3" s="89"/>
      <c r="AO3" s="90" t="s">
        <v>38</v>
      </c>
      <c r="AP3" s="90"/>
      <c r="AQ3" s="90"/>
      <c r="AR3" s="90"/>
      <c r="AS3" s="90"/>
      <c r="AT3" s="90"/>
      <c r="AU3" s="90"/>
      <c r="AV3" s="90"/>
      <c r="AW3" s="90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4104</v>
      </c>
      <c r="C5" s="25" t="s">
        <v>4105</v>
      </c>
      <c r="D5" s="23" t="s">
        <v>4106</v>
      </c>
      <c r="E5" s="55">
        <v>46125</v>
      </c>
      <c r="F5" s="26" t="s">
        <v>948</v>
      </c>
      <c r="G5" s="26" t="s">
        <v>58</v>
      </c>
      <c r="H5" s="26" t="s">
        <v>56</v>
      </c>
      <c r="I5" s="26" t="s">
        <v>70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4107</v>
      </c>
      <c r="C6" s="44" t="s">
        <v>4108</v>
      </c>
      <c r="D6" s="42" t="s">
        <v>4106</v>
      </c>
      <c r="E6" s="55">
        <v>46125</v>
      </c>
      <c r="F6" s="26" t="s">
        <v>948</v>
      </c>
      <c r="G6" s="26" t="s">
        <v>58</v>
      </c>
      <c r="H6" s="26" t="s">
        <v>56</v>
      </c>
      <c r="I6" s="26" t="s">
        <v>70</v>
      </c>
      <c r="J6" s="26" t="s">
        <v>58</v>
      </c>
      <c r="K6" s="27"/>
      <c r="L6" s="28" t="s">
        <v>56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4109</v>
      </c>
      <c r="C7" s="25" t="s">
        <v>4110</v>
      </c>
      <c r="D7" s="23" t="s">
        <v>4106</v>
      </c>
      <c r="E7" s="55">
        <v>46125</v>
      </c>
      <c r="F7" s="26" t="s">
        <v>948</v>
      </c>
      <c r="G7" s="26" t="s">
        <v>58</v>
      </c>
      <c r="H7" s="26" t="s">
        <v>56</v>
      </c>
      <c r="I7" s="26" t="s">
        <v>70</v>
      </c>
      <c r="J7" s="26" t="s">
        <v>58</v>
      </c>
      <c r="K7" s="27"/>
      <c r="L7" s="28" t="s">
        <v>56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4111</v>
      </c>
      <c r="C8" s="44" t="s">
        <v>4112</v>
      </c>
      <c r="D8" s="42" t="s">
        <v>4106</v>
      </c>
      <c r="E8" s="55">
        <v>46125</v>
      </c>
      <c r="F8" s="26" t="s">
        <v>948</v>
      </c>
      <c r="G8" s="26" t="s">
        <v>58</v>
      </c>
      <c r="H8" s="26" t="s">
        <v>56</v>
      </c>
      <c r="I8" s="26" t="s">
        <v>70</v>
      </c>
      <c r="J8" s="26" t="s">
        <v>58</v>
      </c>
      <c r="K8" s="27"/>
      <c r="L8" s="28" t="s">
        <v>56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4113</v>
      </c>
      <c r="C9" s="25" t="s">
        <v>4114</v>
      </c>
      <c r="D9" s="23" t="s">
        <v>4106</v>
      </c>
      <c r="E9" s="55">
        <v>46125</v>
      </c>
      <c r="F9" s="26" t="s">
        <v>948</v>
      </c>
      <c r="G9" s="26" t="s">
        <v>58</v>
      </c>
      <c r="H9" s="26" t="s">
        <v>56</v>
      </c>
      <c r="I9" s="26" t="s">
        <v>70</v>
      </c>
      <c r="J9" s="26" t="s">
        <v>58</v>
      </c>
      <c r="K9" s="27"/>
      <c r="L9" s="28" t="s">
        <v>56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4115</v>
      </c>
      <c r="C10" s="44" t="s">
        <v>4116</v>
      </c>
      <c r="D10" s="42" t="s">
        <v>4106</v>
      </c>
      <c r="E10" s="55">
        <v>46125</v>
      </c>
      <c r="F10" s="26" t="s">
        <v>948</v>
      </c>
      <c r="G10" s="26" t="s">
        <v>58</v>
      </c>
      <c r="H10" s="26" t="s">
        <v>56</v>
      </c>
      <c r="I10" s="26" t="s">
        <v>70</v>
      </c>
      <c r="J10" s="26" t="s">
        <v>58</v>
      </c>
      <c r="K10" s="27"/>
      <c r="L10" s="28" t="s">
        <v>56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4117</v>
      </c>
      <c r="C11" s="25" t="s">
        <v>4118</v>
      </c>
      <c r="D11" s="23" t="s">
        <v>4106</v>
      </c>
      <c r="E11" s="55">
        <v>46125</v>
      </c>
      <c r="F11" s="26" t="s">
        <v>948</v>
      </c>
      <c r="G11" s="26" t="s">
        <v>58</v>
      </c>
      <c r="H11" s="26" t="s">
        <v>56</v>
      </c>
      <c r="I11" s="26" t="s">
        <v>70</v>
      </c>
      <c r="J11" s="26" t="s">
        <v>58</v>
      </c>
      <c r="K11" s="27"/>
      <c r="L11" s="28" t="s">
        <v>56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4119</v>
      </c>
      <c r="C12" s="44" t="s">
        <v>4120</v>
      </c>
      <c r="D12" s="42" t="s">
        <v>4106</v>
      </c>
      <c r="E12" s="55">
        <v>46125</v>
      </c>
      <c r="F12" s="26" t="s">
        <v>948</v>
      </c>
      <c r="G12" s="26" t="s">
        <v>58</v>
      </c>
      <c r="H12" s="26" t="s">
        <v>56</v>
      </c>
      <c r="I12" s="26" t="s">
        <v>70</v>
      </c>
      <c r="J12" s="26" t="s">
        <v>58</v>
      </c>
      <c r="K12" s="27"/>
      <c r="L12" s="28" t="s">
        <v>56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4121</v>
      </c>
      <c r="C13" s="25" t="s">
        <v>4122</v>
      </c>
      <c r="D13" s="23" t="s">
        <v>4106</v>
      </c>
      <c r="E13" s="55">
        <v>46125</v>
      </c>
      <c r="F13" s="26" t="s">
        <v>948</v>
      </c>
      <c r="G13" s="26" t="s">
        <v>58</v>
      </c>
      <c r="H13" s="26" t="s">
        <v>56</v>
      </c>
      <c r="I13" s="26" t="s">
        <v>70</v>
      </c>
      <c r="J13" s="26" t="s">
        <v>58</v>
      </c>
      <c r="K13" s="27"/>
      <c r="L13" s="28" t="s">
        <v>56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4123</v>
      </c>
      <c r="C14" s="44" t="s">
        <v>4124</v>
      </c>
      <c r="D14" s="42" t="s">
        <v>4106</v>
      </c>
      <c r="E14" s="55">
        <v>46125</v>
      </c>
      <c r="F14" s="26" t="s">
        <v>948</v>
      </c>
      <c r="G14" s="26" t="s">
        <v>58</v>
      </c>
      <c r="H14" s="26" t="s">
        <v>56</v>
      </c>
      <c r="I14" s="26" t="s">
        <v>70</v>
      </c>
      <c r="J14" s="26" t="s">
        <v>58</v>
      </c>
      <c r="K14" s="27"/>
      <c r="L14" s="28" t="s">
        <v>56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4125</v>
      </c>
      <c r="C15" s="25" t="s">
        <v>4126</v>
      </c>
      <c r="D15" s="23" t="s">
        <v>4106</v>
      </c>
      <c r="E15" s="55">
        <v>46125</v>
      </c>
      <c r="F15" s="26" t="s">
        <v>948</v>
      </c>
      <c r="G15" s="26" t="s">
        <v>58</v>
      </c>
      <c r="H15" s="26" t="s">
        <v>56</v>
      </c>
      <c r="I15" s="26" t="s">
        <v>70</v>
      </c>
      <c r="J15" s="26" t="s">
        <v>58</v>
      </c>
      <c r="K15" s="27"/>
      <c r="L15" s="28" t="s">
        <v>56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4127</v>
      </c>
      <c r="C16" s="44" t="s">
        <v>4128</v>
      </c>
      <c r="D16" s="42" t="s">
        <v>4106</v>
      </c>
      <c r="E16" s="55">
        <v>46125</v>
      </c>
      <c r="F16" s="26" t="s">
        <v>948</v>
      </c>
      <c r="G16" s="26" t="s">
        <v>58</v>
      </c>
      <c r="H16" s="26" t="s">
        <v>56</v>
      </c>
      <c r="I16" s="26" t="s">
        <v>70</v>
      </c>
      <c r="J16" s="26" t="s">
        <v>58</v>
      </c>
      <c r="K16" s="27"/>
      <c r="L16" s="28" t="s">
        <v>56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4129</v>
      </c>
      <c r="C17" s="25" t="s">
        <v>4130</v>
      </c>
      <c r="D17" s="23" t="s">
        <v>4106</v>
      </c>
      <c r="E17" s="55">
        <v>46125</v>
      </c>
      <c r="F17" s="26" t="s">
        <v>948</v>
      </c>
      <c r="G17" s="26" t="s">
        <v>58</v>
      </c>
      <c r="H17" s="26" t="s">
        <v>56</v>
      </c>
      <c r="I17" s="26" t="s">
        <v>70</v>
      </c>
      <c r="J17" s="26" t="s">
        <v>58</v>
      </c>
      <c r="K17" s="27"/>
      <c r="L17" s="28" t="s">
        <v>56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4131</v>
      </c>
      <c r="C18" s="44" t="s">
        <v>4132</v>
      </c>
      <c r="D18" s="42" t="s">
        <v>4106</v>
      </c>
      <c r="E18" s="55">
        <v>46125</v>
      </c>
      <c r="F18" s="26" t="s">
        <v>948</v>
      </c>
      <c r="G18" s="26" t="s">
        <v>58</v>
      </c>
      <c r="H18" s="26" t="s">
        <v>56</v>
      </c>
      <c r="I18" s="26" t="s">
        <v>70</v>
      </c>
      <c r="J18" s="26" t="s">
        <v>58</v>
      </c>
      <c r="K18" s="27"/>
      <c r="L18" s="28" t="s">
        <v>56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4133</v>
      </c>
      <c r="C19" s="25" t="s">
        <v>4134</v>
      </c>
      <c r="D19" s="23" t="s">
        <v>4106</v>
      </c>
      <c r="E19" s="55">
        <v>46125</v>
      </c>
      <c r="F19" s="26" t="s">
        <v>948</v>
      </c>
      <c r="G19" s="26" t="s">
        <v>58</v>
      </c>
      <c r="H19" s="26" t="s">
        <v>56</v>
      </c>
      <c r="I19" s="26" t="s">
        <v>70</v>
      </c>
      <c r="J19" s="26" t="s">
        <v>58</v>
      </c>
      <c r="K19" s="27"/>
      <c r="L19" s="28" t="s">
        <v>56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4135</v>
      </c>
      <c r="C20" s="44" t="s">
        <v>4136</v>
      </c>
      <c r="D20" s="42" t="s">
        <v>4106</v>
      </c>
      <c r="E20" s="55">
        <v>46125</v>
      </c>
      <c r="F20" s="26" t="s">
        <v>948</v>
      </c>
      <c r="G20" s="26" t="s">
        <v>58</v>
      </c>
      <c r="H20" s="26" t="s">
        <v>56</v>
      </c>
      <c r="I20" s="26" t="s">
        <v>70</v>
      </c>
      <c r="J20" s="26" t="s">
        <v>58</v>
      </c>
      <c r="K20" s="27"/>
      <c r="L20" s="28" t="s">
        <v>56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4137</v>
      </c>
      <c r="C21" s="25" t="s">
        <v>4138</v>
      </c>
      <c r="D21" s="23" t="s">
        <v>4106</v>
      </c>
      <c r="E21" s="55">
        <v>46125</v>
      </c>
      <c r="F21" s="26" t="s">
        <v>948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1053</v>
      </c>
      <c r="L21" s="28" t="s">
        <v>58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4139</v>
      </c>
      <c r="C22" s="44" t="s">
        <v>4140</v>
      </c>
      <c r="D22" s="42" t="s">
        <v>4106</v>
      </c>
      <c r="E22" s="55">
        <v>46125</v>
      </c>
      <c r="F22" s="26" t="s">
        <v>948</v>
      </c>
      <c r="G22" s="26" t="s">
        <v>58</v>
      </c>
      <c r="H22" s="26" t="s">
        <v>56</v>
      </c>
      <c r="I22" s="26" t="s">
        <v>70</v>
      </c>
      <c r="J22" s="26" t="s">
        <v>58</v>
      </c>
      <c r="K22" s="27"/>
      <c r="L22" s="28" t="s">
        <v>56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4141</v>
      </c>
      <c r="C23" s="25" t="s">
        <v>4142</v>
      </c>
      <c r="D23" s="23" t="s">
        <v>4106</v>
      </c>
      <c r="E23" s="55">
        <v>46125</v>
      </c>
      <c r="F23" s="26" t="s">
        <v>948</v>
      </c>
      <c r="G23" s="26" t="s">
        <v>58</v>
      </c>
      <c r="H23" s="26" t="s">
        <v>56</v>
      </c>
      <c r="I23" s="26" t="s">
        <v>70</v>
      </c>
      <c r="J23" s="26" t="s">
        <v>58</v>
      </c>
      <c r="K23" s="27"/>
      <c r="L23" s="28" t="s">
        <v>56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4143</v>
      </c>
      <c r="C24" s="44" t="s">
        <v>4144</v>
      </c>
      <c r="D24" s="42" t="s">
        <v>4106</v>
      </c>
      <c r="E24" s="55">
        <v>46125</v>
      </c>
      <c r="F24" s="26" t="s">
        <v>948</v>
      </c>
      <c r="G24" s="26" t="s">
        <v>58</v>
      </c>
      <c r="H24" s="26" t="s">
        <v>56</v>
      </c>
      <c r="I24" s="26" t="s">
        <v>70</v>
      </c>
      <c r="J24" s="26" t="s">
        <v>58</v>
      </c>
      <c r="K24" s="27"/>
      <c r="L24" s="28" t="s">
        <v>56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4145</v>
      </c>
      <c r="C25" s="25" t="s">
        <v>4146</v>
      </c>
      <c r="D25" s="23" t="s">
        <v>4106</v>
      </c>
      <c r="E25" s="55">
        <v>46125</v>
      </c>
      <c r="F25" s="26" t="s">
        <v>948</v>
      </c>
      <c r="G25" s="26" t="s">
        <v>58</v>
      </c>
      <c r="H25" s="26" t="s">
        <v>56</v>
      </c>
      <c r="I25" s="26" t="s">
        <v>70</v>
      </c>
      <c r="J25" s="26" t="s">
        <v>58</v>
      </c>
      <c r="K25" s="27"/>
      <c r="L25" s="28" t="s">
        <v>56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4147</v>
      </c>
      <c r="C26" s="44" t="s">
        <v>4148</v>
      </c>
      <c r="D26" s="42" t="s">
        <v>4106</v>
      </c>
      <c r="E26" s="55">
        <v>46125</v>
      </c>
      <c r="F26" s="26" t="s">
        <v>948</v>
      </c>
      <c r="G26" s="26" t="s">
        <v>58</v>
      </c>
      <c r="H26" s="26" t="s">
        <v>56</v>
      </c>
      <c r="I26" s="26" t="s">
        <v>70</v>
      </c>
      <c r="J26" s="26" t="s">
        <v>58</v>
      </c>
      <c r="K26" s="27"/>
      <c r="L26" s="28" t="s">
        <v>56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4149</v>
      </c>
      <c r="C27" s="25" t="s">
        <v>4150</v>
      </c>
      <c r="D27" s="23" t="s">
        <v>4106</v>
      </c>
      <c r="E27" s="55">
        <v>46125</v>
      </c>
      <c r="F27" s="26" t="s">
        <v>948</v>
      </c>
      <c r="G27" s="26" t="s">
        <v>58</v>
      </c>
      <c r="H27" s="26" t="s">
        <v>56</v>
      </c>
      <c r="I27" s="26" t="s">
        <v>70</v>
      </c>
      <c r="J27" s="26" t="s">
        <v>58</v>
      </c>
      <c r="K27" s="27"/>
      <c r="L27" s="28" t="s">
        <v>56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4151</v>
      </c>
      <c r="C28" s="44" t="s">
        <v>4152</v>
      </c>
      <c r="D28" s="42" t="s">
        <v>4106</v>
      </c>
      <c r="E28" s="55">
        <v>46125</v>
      </c>
      <c r="F28" s="26" t="s">
        <v>948</v>
      </c>
      <c r="G28" s="26" t="s">
        <v>58</v>
      </c>
      <c r="H28" s="26" t="s">
        <v>56</v>
      </c>
      <c r="I28" s="26" t="s">
        <v>70</v>
      </c>
      <c r="J28" s="26" t="s">
        <v>58</v>
      </c>
      <c r="K28" s="27"/>
      <c r="L28" s="28" t="s">
        <v>56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4153</v>
      </c>
      <c r="C29" s="25" t="s">
        <v>4154</v>
      </c>
      <c r="D29" s="23" t="s">
        <v>4106</v>
      </c>
      <c r="E29" s="55">
        <v>46125</v>
      </c>
      <c r="F29" s="26" t="s">
        <v>948</v>
      </c>
      <c r="G29" s="26" t="s">
        <v>56</v>
      </c>
      <c r="H29" s="26" t="s">
        <v>56</v>
      </c>
      <c r="I29" s="26" t="s">
        <v>57</v>
      </c>
      <c r="J29" s="26" t="s">
        <v>56</v>
      </c>
      <c r="K29" s="27"/>
      <c r="L29" s="28" t="s">
        <v>58</v>
      </c>
      <c r="M29" s="29" t="str">
        <f t="shared" si="0"/>
        <v>⚠ Missing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4155</v>
      </c>
      <c r="C30" s="44" t="s">
        <v>4156</v>
      </c>
      <c r="D30" s="42" t="s">
        <v>4106</v>
      </c>
      <c r="E30" s="55">
        <v>46125</v>
      </c>
      <c r="F30" s="26" t="s">
        <v>948</v>
      </c>
      <c r="G30" s="26" t="s">
        <v>58</v>
      </c>
      <c r="H30" s="26" t="s">
        <v>56</v>
      </c>
      <c r="I30" s="26" t="s">
        <v>70</v>
      </c>
      <c r="J30" s="26" t="s">
        <v>58</v>
      </c>
      <c r="K30" s="27"/>
      <c r="L30" s="28" t="s">
        <v>56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4157</v>
      </c>
      <c r="C31" s="25" t="s">
        <v>4158</v>
      </c>
      <c r="D31" s="23" t="s">
        <v>4106</v>
      </c>
      <c r="E31" s="55">
        <v>46125</v>
      </c>
      <c r="F31" s="26" t="s">
        <v>948</v>
      </c>
      <c r="G31" s="26" t="s">
        <v>56</v>
      </c>
      <c r="H31" s="26" t="s">
        <v>56</v>
      </c>
      <c r="I31" s="26" t="s">
        <v>57</v>
      </c>
      <c r="J31" s="26" t="s">
        <v>56</v>
      </c>
      <c r="K31" s="27" t="s">
        <v>1053</v>
      </c>
      <c r="L31" s="28" t="s">
        <v>58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4159</v>
      </c>
      <c r="C32" s="44" t="s">
        <v>4160</v>
      </c>
      <c r="D32" s="42" t="s">
        <v>4106</v>
      </c>
      <c r="E32" s="55">
        <v>46125</v>
      </c>
      <c r="F32" s="26" t="s">
        <v>948</v>
      </c>
      <c r="G32" s="26" t="s">
        <v>58</v>
      </c>
      <c r="H32" s="26" t="s">
        <v>56</v>
      </c>
      <c r="I32" s="26" t="s">
        <v>70</v>
      </c>
      <c r="J32" s="26" t="s">
        <v>58</v>
      </c>
      <c r="K32" s="27"/>
      <c r="L32" s="28" t="s">
        <v>56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4161</v>
      </c>
      <c r="C33" s="25" t="s">
        <v>4162</v>
      </c>
      <c r="D33" s="23" t="s">
        <v>4106</v>
      </c>
      <c r="E33" s="55">
        <v>46125</v>
      </c>
      <c r="F33" s="26" t="s">
        <v>948</v>
      </c>
      <c r="G33" s="26" t="s">
        <v>58</v>
      </c>
      <c r="H33" s="26" t="s">
        <v>56</v>
      </c>
      <c r="I33" s="26" t="s">
        <v>70</v>
      </c>
      <c r="J33" s="26" t="s">
        <v>58</v>
      </c>
      <c r="K33" s="27"/>
      <c r="L33" s="28" t="s">
        <v>56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4163</v>
      </c>
      <c r="C34" s="44" t="s">
        <v>4164</v>
      </c>
      <c r="D34" s="42" t="s">
        <v>4106</v>
      </c>
      <c r="E34" s="55">
        <v>46125</v>
      </c>
      <c r="F34" s="26" t="s">
        <v>948</v>
      </c>
      <c r="G34" s="26" t="s">
        <v>58</v>
      </c>
      <c r="H34" s="26" t="s">
        <v>56</v>
      </c>
      <c r="I34" s="26" t="s">
        <v>70</v>
      </c>
      <c r="J34" s="26" t="s">
        <v>58</v>
      </c>
      <c r="K34" s="27"/>
      <c r="L34" s="28" t="s">
        <v>56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4165</v>
      </c>
      <c r="C35" s="25" t="s">
        <v>4166</v>
      </c>
      <c r="D35" s="23" t="s">
        <v>4106</v>
      </c>
      <c r="E35" s="55">
        <v>46125</v>
      </c>
      <c r="F35" s="26" t="s">
        <v>948</v>
      </c>
      <c r="G35" s="26" t="s">
        <v>58</v>
      </c>
      <c r="H35" s="26" t="s">
        <v>56</v>
      </c>
      <c r="I35" s="26" t="s">
        <v>70</v>
      </c>
      <c r="J35" s="26" t="s">
        <v>58</v>
      </c>
      <c r="K35" s="27"/>
      <c r="L35" s="28" t="s">
        <v>56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4167</v>
      </c>
      <c r="C36" s="44" t="s">
        <v>4168</v>
      </c>
      <c r="D36" s="42" t="s">
        <v>4106</v>
      </c>
      <c r="E36" s="55">
        <v>46125</v>
      </c>
      <c r="F36" s="26" t="s">
        <v>948</v>
      </c>
      <c r="G36" s="26" t="s">
        <v>58</v>
      </c>
      <c r="H36" s="26" t="s">
        <v>56</v>
      </c>
      <c r="I36" s="26" t="s">
        <v>70</v>
      </c>
      <c r="J36" s="26" t="s">
        <v>58</v>
      </c>
      <c r="K36" s="27"/>
      <c r="L36" s="28" t="s">
        <v>56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4169</v>
      </c>
      <c r="C37" s="25" t="s">
        <v>4170</v>
      </c>
      <c r="D37" s="23" t="s">
        <v>4106</v>
      </c>
      <c r="E37" s="55">
        <v>46125</v>
      </c>
      <c r="F37" s="26" t="s">
        <v>948</v>
      </c>
      <c r="G37" s="26" t="s">
        <v>58</v>
      </c>
      <c r="H37" s="26" t="s">
        <v>56</v>
      </c>
      <c r="I37" s="26" t="s">
        <v>70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4171</v>
      </c>
      <c r="C38" s="44" t="s">
        <v>4172</v>
      </c>
      <c r="D38" s="42" t="s">
        <v>4106</v>
      </c>
      <c r="E38" s="55">
        <v>46125</v>
      </c>
      <c r="F38" s="26" t="s">
        <v>948</v>
      </c>
      <c r="G38" s="26" t="s">
        <v>58</v>
      </c>
      <c r="H38" s="26" t="s">
        <v>56</v>
      </c>
      <c r="I38" s="26" t="s">
        <v>70</v>
      </c>
      <c r="J38" s="26" t="s">
        <v>58</v>
      </c>
      <c r="K38" s="27"/>
      <c r="L38" s="28" t="s">
        <v>56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4.25" customHeight="1" x14ac:dyDescent="0.3">
      <c r="A39" s="23">
        <v>35</v>
      </c>
      <c r="B39" s="24" t="s">
        <v>4173</v>
      </c>
      <c r="C39" s="25" t="s">
        <v>4174</v>
      </c>
      <c r="D39" s="23" t="s">
        <v>4106</v>
      </c>
      <c r="E39" s="55">
        <v>46125</v>
      </c>
      <c r="F39" s="26" t="s">
        <v>948</v>
      </c>
      <c r="G39" s="26" t="s">
        <v>58</v>
      </c>
      <c r="H39" s="26" t="s">
        <v>56</v>
      </c>
      <c r="I39" s="26" t="s">
        <v>70</v>
      </c>
      <c r="J39" s="26" t="s">
        <v>58</v>
      </c>
      <c r="K39" s="27"/>
      <c r="L39" s="28" t="s">
        <v>56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4.25" customHeight="1" x14ac:dyDescent="0.3">
      <c r="A40" s="42">
        <v>36</v>
      </c>
      <c r="B40" s="43" t="s">
        <v>4175</v>
      </c>
      <c r="C40" s="44" t="s">
        <v>4176</v>
      </c>
      <c r="D40" s="42" t="s">
        <v>4106</v>
      </c>
      <c r="E40" s="55">
        <v>46125</v>
      </c>
      <c r="F40" s="26" t="s">
        <v>948</v>
      </c>
      <c r="G40" s="26" t="s">
        <v>58</v>
      </c>
      <c r="H40" s="26" t="s">
        <v>56</v>
      </c>
      <c r="I40" s="26" t="s">
        <v>70</v>
      </c>
      <c r="J40" s="26" t="s">
        <v>58</v>
      </c>
      <c r="K40" s="27"/>
      <c r="L40" s="28" t="s">
        <v>56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4.25" customHeight="1" x14ac:dyDescent="0.3">
      <c r="A41" s="23">
        <v>37</v>
      </c>
      <c r="B41" s="24" t="s">
        <v>4177</v>
      </c>
      <c r="C41" s="25" t="s">
        <v>4178</v>
      </c>
      <c r="D41" s="23" t="s">
        <v>4106</v>
      </c>
      <c r="E41" s="55">
        <v>46125</v>
      </c>
      <c r="F41" s="26" t="s">
        <v>948</v>
      </c>
      <c r="G41" s="26" t="s">
        <v>58</v>
      </c>
      <c r="H41" s="26" t="s">
        <v>56</v>
      </c>
      <c r="I41" s="26" t="s">
        <v>70</v>
      </c>
      <c r="J41" s="26" t="s">
        <v>58</v>
      </c>
      <c r="K41" s="27"/>
      <c r="L41" s="28" t="s">
        <v>56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4.25" customHeight="1" x14ac:dyDescent="0.3">
      <c r="A42" s="42">
        <v>38</v>
      </c>
      <c r="B42" s="43" t="s">
        <v>4179</v>
      </c>
      <c r="C42" s="44" t="s">
        <v>4180</v>
      </c>
      <c r="D42" s="42" t="s">
        <v>4106</v>
      </c>
      <c r="E42" s="55">
        <v>46125</v>
      </c>
      <c r="F42" s="26" t="s">
        <v>948</v>
      </c>
      <c r="G42" s="26" t="s">
        <v>58</v>
      </c>
      <c r="H42" s="26" t="s">
        <v>56</v>
      </c>
      <c r="I42" s="26" t="s">
        <v>70</v>
      </c>
      <c r="J42" s="26" t="s">
        <v>58</v>
      </c>
      <c r="K42" s="27"/>
      <c r="L42" s="28" t="s">
        <v>56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4.25" customHeight="1" x14ac:dyDescent="0.3">
      <c r="A43" s="23">
        <v>39</v>
      </c>
      <c r="B43" s="24" t="s">
        <v>4181</v>
      </c>
      <c r="C43" s="25" t="s">
        <v>4182</v>
      </c>
      <c r="D43" s="23" t="s">
        <v>4106</v>
      </c>
      <c r="E43" s="55">
        <v>46125</v>
      </c>
      <c r="F43" s="26" t="s">
        <v>948</v>
      </c>
      <c r="G43" s="26" t="s">
        <v>58</v>
      </c>
      <c r="H43" s="26" t="s">
        <v>56</v>
      </c>
      <c r="I43" s="26" t="s">
        <v>70</v>
      </c>
      <c r="J43" s="26" t="s">
        <v>58</v>
      </c>
      <c r="K43" s="27"/>
      <c r="L43" s="28" t="s">
        <v>56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4.25" customHeight="1" x14ac:dyDescent="0.3">
      <c r="A44" s="42">
        <v>40</v>
      </c>
      <c r="B44" s="43" t="s">
        <v>4183</v>
      </c>
      <c r="C44" s="44" t="s">
        <v>4184</v>
      </c>
      <c r="D44" s="42" t="s">
        <v>4106</v>
      </c>
      <c r="E44" s="55">
        <v>46125</v>
      </c>
      <c r="F44" s="26" t="s">
        <v>948</v>
      </c>
      <c r="G44" s="26" t="s">
        <v>58</v>
      </c>
      <c r="H44" s="26" t="s">
        <v>56</v>
      </c>
      <c r="I44" s="26" t="s">
        <v>70</v>
      </c>
      <c r="J44" s="26" t="s">
        <v>58</v>
      </c>
      <c r="K44" s="27"/>
      <c r="L44" s="28" t="s">
        <v>56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4.25" customHeight="1" x14ac:dyDescent="0.3">
      <c r="A45" s="23">
        <v>41</v>
      </c>
      <c r="B45" s="24" t="s">
        <v>4185</v>
      </c>
      <c r="C45" s="25" t="s">
        <v>4186</v>
      </c>
      <c r="D45" s="23" t="s">
        <v>4106</v>
      </c>
      <c r="E45" s="55">
        <v>46125</v>
      </c>
      <c r="F45" s="26" t="s">
        <v>948</v>
      </c>
      <c r="G45" s="26" t="s">
        <v>58</v>
      </c>
      <c r="H45" s="26" t="s">
        <v>56</v>
      </c>
      <c r="I45" s="26" t="s">
        <v>70</v>
      </c>
      <c r="J45" s="26" t="s">
        <v>58</v>
      </c>
      <c r="K45" s="27"/>
      <c r="L45" s="28" t="s">
        <v>56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4.25" customHeight="1" x14ac:dyDescent="0.3">
      <c r="A46" s="42">
        <v>42</v>
      </c>
      <c r="B46" s="43" t="s">
        <v>4187</v>
      </c>
      <c r="C46" s="44" t="s">
        <v>4188</v>
      </c>
      <c r="D46" s="42" t="s">
        <v>4106</v>
      </c>
      <c r="E46" s="55">
        <v>46125</v>
      </c>
      <c r="F46" s="26" t="s">
        <v>948</v>
      </c>
      <c r="G46" s="26" t="s">
        <v>58</v>
      </c>
      <c r="H46" s="26" t="s">
        <v>56</v>
      </c>
      <c r="I46" s="26" t="s">
        <v>70</v>
      </c>
      <c r="J46" s="26" t="s">
        <v>58</v>
      </c>
      <c r="K46" s="27"/>
      <c r="L46" s="28" t="s">
        <v>56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4.25" customHeight="1" x14ac:dyDescent="0.3">
      <c r="A47" s="23">
        <v>43</v>
      </c>
      <c r="B47" s="24" t="s">
        <v>4189</v>
      </c>
      <c r="C47" s="25" t="s">
        <v>4190</v>
      </c>
      <c r="D47" s="23" t="s">
        <v>4106</v>
      </c>
      <c r="E47" s="55">
        <v>46125</v>
      </c>
      <c r="F47" s="26" t="s">
        <v>948</v>
      </c>
      <c r="G47" s="26" t="s">
        <v>58</v>
      </c>
      <c r="H47" s="26" t="s">
        <v>56</v>
      </c>
      <c r="I47" s="26" t="s">
        <v>70</v>
      </c>
      <c r="J47" s="26" t="s">
        <v>58</v>
      </c>
      <c r="K47" s="27"/>
      <c r="L47" s="28" t="s">
        <v>56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4.25" customHeight="1" x14ac:dyDescent="0.3">
      <c r="A48" s="42">
        <v>44</v>
      </c>
      <c r="B48" s="43" t="s">
        <v>4191</v>
      </c>
      <c r="C48" s="44" t="s">
        <v>4192</v>
      </c>
      <c r="D48" s="42" t="s">
        <v>4193</v>
      </c>
      <c r="E48" s="55">
        <v>46125</v>
      </c>
      <c r="F48" s="26" t="s">
        <v>948</v>
      </c>
      <c r="G48" s="26" t="s">
        <v>58</v>
      </c>
      <c r="H48" s="26" t="s">
        <v>56</v>
      </c>
      <c r="I48" s="26" t="s">
        <v>70</v>
      </c>
      <c r="J48" s="26" t="s">
        <v>56</v>
      </c>
      <c r="K48" s="27" t="s">
        <v>4194</v>
      </c>
      <c r="L48" s="28" t="s">
        <v>56</v>
      </c>
      <c r="M48" s="29" t="str">
        <f t="shared" si="5"/>
        <v>⚠ Check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4.25" customHeight="1" x14ac:dyDescent="0.3">
      <c r="A49" s="23">
        <v>45</v>
      </c>
      <c r="B49" s="24" t="s">
        <v>4195</v>
      </c>
      <c r="C49" s="25" t="s">
        <v>4196</v>
      </c>
      <c r="D49" s="23" t="s">
        <v>4193</v>
      </c>
      <c r="E49" s="55">
        <v>46125</v>
      </c>
      <c r="F49" s="26" t="s">
        <v>948</v>
      </c>
      <c r="G49" s="26" t="s">
        <v>58</v>
      </c>
      <c r="H49" s="26" t="s">
        <v>56</v>
      </c>
      <c r="I49" s="26" t="s">
        <v>70</v>
      </c>
      <c r="J49" s="26" t="s">
        <v>56</v>
      </c>
      <c r="K49" s="27" t="s">
        <v>4194</v>
      </c>
      <c r="L49" s="28" t="s">
        <v>56</v>
      </c>
      <c r="M49" s="29" t="str">
        <f t="shared" si="5"/>
        <v>⚠ Check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4.25" customHeight="1" x14ac:dyDescent="0.3">
      <c r="A50" s="42">
        <v>46</v>
      </c>
      <c r="B50" s="43" t="s">
        <v>4197</v>
      </c>
      <c r="C50" s="44" t="s">
        <v>4198</v>
      </c>
      <c r="D50" s="42" t="s">
        <v>4193</v>
      </c>
      <c r="E50" s="55">
        <v>46125</v>
      </c>
      <c r="F50" s="26" t="s">
        <v>948</v>
      </c>
      <c r="G50" s="26" t="s">
        <v>58</v>
      </c>
      <c r="H50" s="26" t="s">
        <v>56</v>
      </c>
      <c r="I50" s="26" t="s">
        <v>70</v>
      </c>
      <c r="J50" s="26" t="s">
        <v>56</v>
      </c>
      <c r="K50" s="27" t="s">
        <v>4194</v>
      </c>
      <c r="L50" s="28" t="s">
        <v>56</v>
      </c>
      <c r="M50" s="29" t="str">
        <f t="shared" si="5"/>
        <v>⚠ Check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4.25" customHeight="1" x14ac:dyDescent="0.3">
      <c r="A51" s="23">
        <v>47</v>
      </c>
      <c r="B51" s="24" t="s">
        <v>4199</v>
      </c>
      <c r="C51" s="25" t="s">
        <v>4200</v>
      </c>
      <c r="D51" s="23" t="s">
        <v>4193</v>
      </c>
      <c r="E51" s="55">
        <v>46125</v>
      </c>
      <c r="F51" s="26" t="s">
        <v>948</v>
      </c>
      <c r="G51" s="26" t="s">
        <v>58</v>
      </c>
      <c r="H51" s="26" t="s">
        <v>56</v>
      </c>
      <c r="I51" s="26" t="s">
        <v>70</v>
      </c>
      <c r="J51" s="26" t="s">
        <v>56</v>
      </c>
      <c r="K51" s="27" t="s">
        <v>4194</v>
      </c>
      <c r="L51" s="28" t="s">
        <v>56</v>
      </c>
      <c r="M51" s="29" t="str">
        <f t="shared" si="5"/>
        <v>⚠ Check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4.25" customHeight="1" x14ac:dyDescent="0.3">
      <c r="A52" s="42">
        <v>48</v>
      </c>
      <c r="B52" s="43" t="s">
        <v>4201</v>
      </c>
      <c r="C52" s="44" t="s">
        <v>4202</v>
      </c>
      <c r="D52" s="42" t="s">
        <v>4193</v>
      </c>
      <c r="E52" s="55">
        <v>46125</v>
      </c>
      <c r="F52" s="26" t="s">
        <v>948</v>
      </c>
      <c r="G52" s="26" t="s">
        <v>58</v>
      </c>
      <c r="H52" s="26" t="s">
        <v>56</v>
      </c>
      <c r="I52" s="26" t="s">
        <v>70</v>
      </c>
      <c r="J52" s="26" t="s">
        <v>56</v>
      </c>
      <c r="K52" s="27" t="s">
        <v>4194</v>
      </c>
      <c r="L52" s="28" t="s">
        <v>56</v>
      </c>
      <c r="M52" s="29" t="str">
        <f t="shared" si="5"/>
        <v>⚠ Check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4.25" customHeight="1" x14ac:dyDescent="0.3">
      <c r="A53" s="23">
        <v>49</v>
      </c>
      <c r="B53" s="24" t="s">
        <v>4203</v>
      </c>
      <c r="C53" s="25" t="s">
        <v>4204</v>
      </c>
      <c r="D53" s="23" t="s">
        <v>4193</v>
      </c>
      <c r="E53" s="55">
        <v>46125</v>
      </c>
      <c r="F53" s="26" t="s">
        <v>948</v>
      </c>
      <c r="G53" s="26" t="s">
        <v>58</v>
      </c>
      <c r="H53" s="26" t="s">
        <v>56</v>
      </c>
      <c r="I53" s="26" t="s">
        <v>70</v>
      </c>
      <c r="J53" s="26" t="s">
        <v>56</v>
      </c>
      <c r="K53" s="27" t="s">
        <v>4194</v>
      </c>
      <c r="L53" s="28" t="s">
        <v>56</v>
      </c>
      <c r="M53" s="29" t="str">
        <f t="shared" si="5"/>
        <v>⚠ Check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4.25" customHeight="1" x14ac:dyDescent="0.3">
      <c r="A54" s="42">
        <v>50</v>
      </c>
      <c r="B54" s="43" t="s">
        <v>4205</v>
      </c>
      <c r="C54" s="44" t="s">
        <v>4206</v>
      </c>
      <c r="D54" s="42" t="s">
        <v>4193</v>
      </c>
      <c r="E54" s="55">
        <v>46125</v>
      </c>
      <c r="F54" s="26" t="s">
        <v>948</v>
      </c>
      <c r="G54" s="26" t="s">
        <v>58</v>
      </c>
      <c r="H54" s="26" t="s">
        <v>56</v>
      </c>
      <c r="I54" s="26" t="s">
        <v>70</v>
      </c>
      <c r="J54" s="26" t="s">
        <v>56</v>
      </c>
      <c r="K54" s="27" t="s">
        <v>4194</v>
      </c>
      <c r="L54" s="28" t="s">
        <v>56</v>
      </c>
      <c r="M54" s="29" t="str">
        <f t="shared" si="5"/>
        <v>⚠ Check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4.25" customHeight="1" x14ac:dyDescent="0.3">
      <c r="A55" s="23">
        <v>51</v>
      </c>
      <c r="B55" s="24" t="s">
        <v>4207</v>
      </c>
      <c r="C55" s="25" t="s">
        <v>4208</v>
      </c>
      <c r="D55" s="23" t="s">
        <v>4193</v>
      </c>
      <c r="E55" s="55">
        <v>46125</v>
      </c>
      <c r="F55" s="26" t="s">
        <v>948</v>
      </c>
      <c r="G55" s="26" t="s">
        <v>58</v>
      </c>
      <c r="H55" s="26" t="s">
        <v>56</v>
      </c>
      <c r="I55" s="26" t="s">
        <v>70</v>
      </c>
      <c r="J55" s="26" t="s">
        <v>56</v>
      </c>
      <c r="K55" s="27" t="s">
        <v>4194</v>
      </c>
      <c r="L55" s="28" t="s">
        <v>56</v>
      </c>
      <c r="M55" s="29" t="str">
        <f t="shared" si="5"/>
        <v>⚠ Check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4.25" customHeight="1" x14ac:dyDescent="0.3">
      <c r="A56" s="42">
        <v>52</v>
      </c>
      <c r="B56" s="43" t="s">
        <v>4209</v>
      </c>
      <c r="C56" s="44" t="s">
        <v>4210</v>
      </c>
      <c r="D56" s="42" t="s">
        <v>4193</v>
      </c>
      <c r="E56" s="55">
        <v>46125</v>
      </c>
      <c r="F56" s="26" t="s">
        <v>948</v>
      </c>
      <c r="G56" s="26" t="s">
        <v>58</v>
      </c>
      <c r="H56" s="26" t="s">
        <v>56</v>
      </c>
      <c r="I56" s="26" t="s">
        <v>70</v>
      </c>
      <c r="J56" s="26" t="s">
        <v>56</v>
      </c>
      <c r="K56" s="27" t="s">
        <v>4194</v>
      </c>
      <c r="L56" s="28" t="s">
        <v>56</v>
      </c>
      <c r="M56" s="29" t="str">
        <f t="shared" si="5"/>
        <v>⚠ Check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4.25" customHeight="1" x14ac:dyDescent="0.3">
      <c r="A57" s="23">
        <v>53</v>
      </c>
      <c r="B57" s="24" t="s">
        <v>4211</v>
      </c>
      <c r="C57" s="25" t="s">
        <v>4212</v>
      </c>
      <c r="D57" s="23" t="s">
        <v>4193</v>
      </c>
      <c r="E57" s="55">
        <v>46125</v>
      </c>
      <c r="F57" s="26" t="s">
        <v>948</v>
      </c>
      <c r="G57" s="26" t="s">
        <v>58</v>
      </c>
      <c r="H57" s="26" t="s">
        <v>56</v>
      </c>
      <c r="I57" s="26" t="s">
        <v>70</v>
      </c>
      <c r="J57" s="26" t="s">
        <v>56</v>
      </c>
      <c r="K57" s="27" t="s">
        <v>4194</v>
      </c>
      <c r="L57" s="28" t="s">
        <v>56</v>
      </c>
      <c r="M57" s="29" t="str">
        <f t="shared" si="5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4.25" customHeight="1" x14ac:dyDescent="0.3">
      <c r="A58" s="42">
        <v>54</v>
      </c>
      <c r="B58" s="43" t="s">
        <v>4213</v>
      </c>
      <c r="C58" s="44" t="s">
        <v>4214</v>
      </c>
      <c r="D58" s="42" t="s">
        <v>4215</v>
      </c>
      <c r="E58" s="55">
        <v>46125</v>
      </c>
      <c r="F58" s="26" t="s">
        <v>948</v>
      </c>
      <c r="G58" s="26" t="s">
        <v>58</v>
      </c>
      <c r="H58" s="26" t="s">
        <v>56</v>
      </c>
      <c r="I58" s="26" t="s">
        <v>70</v>
      </c>
      <c r="J58" s="26" t="s">
        <v>58</v>
      </c>
      <c r="K58" s="27"/>
      <c r="L58" s="28" t="s">
        <v>56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4.25" customHeight="1" x14ac:dyDescent="0.3">
      <c r="A59" s="23">
        <v>55</v>
      </c>
      <c r="B59" s="24" t="s">
        <v>4216</v>
      </c>
      <c r="C59" s="25" t="s">
        <v>4217</v>
      </c>
      <c r="D59" s="23" t="s">
        <v>4215</v>
      </c>
      <c r="E59" s="55">
        <v>46125</v>
      </c>
      <c r="F59" s="26" t="s">
        <v>948</v>
      </c>
      <c r="G59" s="26" t="s">
        <v>58</v>
      </c>
      <c r="H59" s="26" t="s">
        <v>56</v>
      </c>
      <c r="I59" s="26" t="s">
        <v>70</v>
      </c>
      <c r="J59" s="26" t="s">
        <v>58</v>
      </c>
      <c r="K59" s="27"/>
      <c r="L59" s="28" t="s">
        <v>56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4.25" customHeight="1" x14ac:dyDescent="0.3">
      <c r="A60" s="42">
        <v>56</v>
      </c>
      <c r="B60" s="43" t="s">
        <v>4218</v>
      </c>
      <c r="C60" s="44" t="s">
        <v>4219</v>
      </c>
      <c r="D60" s="42" t="s">
        <v>4215</v>
      </c>
      <c r="E60" s="55">
        <v>46125</v>
      </c>
      <c r="F60" s="26" t="s">
        <v>948</v>
      </c>
      <c r="G60" s="26" t="s">
        <v>58</v>
      </c>
      <c r="H60" s="26" t="s">
        <v>56</v>
      </c>
      <c r="I60" s="26" t="s">
        <v>70</v>
      </c>
      <c r="J60" s="26" t="s">
        <v>58</v>
      </c>
      <c r="K60" s="27"/>
      <c r="L60" s="28" t="s">
        <v>56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4.25" customHeight="1" x14ac:dyDescent="0.3">
      <c r="A61" s="23">
        <v>57</v>
      </c>
      <c r="B61" s="24" t="s">
        <v>4220</v>
      </c>
      <c r="C61" s="25" t="s">
        <v>4221</v>
      </c>
      <c r="D61" s="23" t="s">
        <v>4215</v>
      </c>
      <c r="E61" s="55">
        <v>46125</v>
      </c>
      <c r="F61" s="26" t="s">
        <v>948</v>
      </c>
      <c r="G61" s="26" t="s">
        <v>58</v>
      </c>
      <c r="H61" s="26" t="s">
        <v>56</v>
      </c>
      <c r="I61" s="26" t="s">
        <v>70</v>
      </c>
      <c r="J61" s="26" t="s">
        <v>58</v>
      </c>
      <c r="K61" s="27"/>
      <c r="L61" s="28" t="s">
        <v>56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4.25" customHeight="1" x14ac:dyDescent="0.3">
      <c r="A62" s="42">
        <v>58</v>
      </c>
      <c r="B62" s="43" t="s">
        <v>4222</v>
      </c>
      <c r="C62" s="44" t="s">
        <v>4223</v>
      </c>
      <c r="D62" s="42" t="s">
        <v>4215</v>
      </c>
      <c r="E62" s="55">
        <v>46125</v>
      </c>
      <c r="F62" s="26" t="s">
        <v>948</v>
      </c>
      <c r="G62" s="26" t="s">
        <v>58</v>
      </c>
      <c r="H62" s="26" t="s">
        <v>56</v>
      </c>
      <c r="I62" s="26" t="s">
        <v>70</v>
      </c>
      <c r="J62" s="26" t="s">
        <v>58</v>
      </c>
      <c r="K62" s="27"/>
      <c r="L62" s="28" t="s">
        <v>56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4.25" customHeight="1" x14ac:dyDescent="0.3">
      <c r="A63" s="23">
        <v>59</v>
      </c>
      <c r="B63" s="24" t="s">
        <v>4224</v>
      </c>
      <c r="C63" s="25" t="s">
        <v>4225</v>
      </c>
      <c r="D63" s="23" t="s">
        <v>4215</v>
      </c>
      <c r="E63" s="55">
        <v>46125</v>
      </c>
      <c r="F63" s="26" t="s">
        <v>948</v>
      </c>
      <c r="G63" s="26" t="s">
        <v>58</v>
      </c>
      <c r="H63" s="26" t="s">
        <v>56</v>
      </c>
      <c r="I63" s="26" t="s">
        <v>70</v>
      </c>
      <c r="J63" s="26" t="s">
        <v>58</v>
      </c>
      <c r="K63" s="27"/>
      <c r="L63" s="28" t="s">
        <v>56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4.25" customHeight="1" x14ac:dyDescent="0.3">
      <c r="A64" s="42">
        <v>60</v>
      </c>
      <c r="B64" s="43" t="s">
        <v>4226</v>
      </c>
      <c r="C64" s="44" t="s">
        <v>4227</v>
      </c>
      <c r="D64" s="42" t="s">
        <v>4215</v>
      </c>
      <c r="E64" s="55">
        <v>46125</v>
      </c>
      <c r="F64" s="26" t="s">
        <v>948</v>
      </c>
      <c r="G64" s="26" t="s">
        <v>58</v>
      </c>
      <c r="H64" s="26" t="s">
        <v>56</v>
      </c>
      <c r="I64" s="26" t="s">
        <v>70</v>
      </c>
      <c r="J64" s="26" t="s">
        <v>58</v>
      </c>
      <c r="K64" s="27"/>
      <c r="L64" s="28" t="s">
        <v>56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4.25" customHeight="1" x14ac:dyDescent="0.3">
      <c r="A65" s="23">
        <v>61</v>
      </c>
      <c r="B65" s="24" t="s">
        <v>4228</v>
      </c>
      <c r="C65" s="25" t="s">
        <v>4229</v>
      </c>
      <c r="D65" s="23" t="s">
        <v>4215</v>
      </c>
      <c r="E65" s="55">
        <v>46125</v>
      </c>
      <c r="F65" s="26" t="s">
        <v>948</v>
      </c>
      <c r="G65" s="26" t="s">
        <v>58</v>
      </c>
      <c r="H65" s="26" t="s">
        <v>56</v>
      </c>
      <c r="I65" s="26" t="s">
        <v>70</v>
      </c>
      <c r="J65" s="26" t="s">
        <v>58</v>
      </c>
      <c r="K65" s="27"/>
      <c r="L65" s="28" t="s">
        <v>56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4.25" customHeight="1" x14ac:dyDescent="0.3">
      <c r="A66" s="42">
        <v>62</v>
      </c>
      <c r="B66" s="43" t="s">
        <v>4230</v>
      </c>
      <c r="C66" s="44" t="s">
        <v>4231</v>
      </c>
      <c r="D66" s="42" t="s">
        <v>4215</v>
      </c>
      <c r="E66" s="55">
        <v>46125</v>
      </c>
      <c r="F66" s="26" t="s">
        <v>948</v>
      </c>
      <c r="G66" s="26" t="s">
        <v>58</v>
      </c>
      <c r="H66" s="26" t="s">
        <v>56</v>
      </c>
      <c r="I66" s="26" t="s">
        <v>70</v>
      </c>
      <c r="J66" s="26" t="s">
        <v>58</v>
      </c>
      <c r="K66" s="27"/>
      <c r="L66" s="28" t="s">
        <v>56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4.25" customHeight="1" x14ac:dyDescent="0.3">
      <c r="A67" s="23">
        <v>63</v>
      </c>
      <c r="B67" s="24" t="s">
        <v>4232</v>
      </c>
      <c r="C67" s="25" t="s">
        <v>4233</v>
      </c>
      <c r="D67" s="23" t="s">
        <v>4215</v>
      </c>
      <c r="E67" s="55">
        <v>46125</v>
      </c>
      <c r="F67" s="26" t="s">
        <v>948</v>
      </c>
      <c r="G67" s="26" t="s">
        <v>58</v>
      </c>
      <c r="H67" s="26" t="s">
        <v>56</v>
      </c>
      <c r="I67" s="26" t="s">
        <v>70</v>
      </c>
      <c r="J67" s="26" t="s">
        <v>58</v>
      </c>
      <c r="K67" s="27"/>
      <c r="L67" s="28" t="s">
        <v>56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4.25" customHeight="1" x14ac:dyDescent="0.3">
      <c r="A68" s="42">
        <v>64</v>
      </c>
      <c r="B68" s="43" t="s">
        <v>4234</v>
      </c>
      <c r="C68" s="44" t="s">
        <v>4235</v>
      </c>
      <c r="D68" s="42" t="s">
        <v>4215</v>
      </c>
      <c r="E68" s="55">
        <v>46125</v>
      </c>
      <c r="F68" s="26" t="s">
        <v>948</v>
      </c>
      <c r="G68" s="26" t="s">
        <v>58</v>
      </c>
      <c r="H68" s="26" t="s">
        <v>56</v>
      </c>
      <c r="I68" s="26" t="s">
        <v>70</v>
      </c>
      <c r="J68" s="26" t="s">
        <v>58</v>
      </c>
      <c r="K68" s="27"/>
      <c r="L68" s="28" t="s">
        <v>56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4.25" customHeight="1" x14ac:dyDescent="0.3">
      <c r="A69" s="23">
        <v>65</v>
      </c>
      <c r="B69" s="24" t="s">
        <v>4236</v>
      </c>
      <c r="C69" s="25" t="s">
        <v>4237</v>
      </c>
      <c r="D69" s="23" t="s">
        <v>4215</v>
      </c>
      <c r="E69" s="55">
        <v>46125</v>
      </c>
      <c r="F69" s="26" t="s">
        <v>948</v>
      </c>
      <c r="G69" s="26" t="s">
        <v>58</v>
      </c>
      <c r="H69" s="26" t="s">
        <v>56</v>
      </c>
      <c r="I69" s="26" t="s">
        <v>70</v>
      </c>
      <c r="J69" s="26" t="s">
        <v>58</v>
      </c>
      <c r="K69" s="27"/>
      <c r="L69" s="28" t="s">
        <v>56</v>
      </c>
      <c r="M69" s="29" t="str">
        <f t="shared" ref="M69:M77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77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77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77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77" si="14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4238</v>
      </c>
      <c r="C70" s="44" t="s">
        <v>4239</v>
      </c>
      <c r="D70" s="42" t="s">
        <v>4215</v>
      </c>
      <c r="E70" s="55">
        <v>46125</v>
      </c>
      <c r="F70" s="26" t="s">
        <v>948</v>
      </c>
      <c r="G70" s="26" t="s">
        <v>56</v>
      </c>
      <c r="H70" s="26" t="s">
        <v>56</v>
      </c>
      <c r="I70" s="26" t="s">
        <v>57</v>
      </c>
      <c r="J70" s="26" t="s">
        <v>56</v>
      </c>
      <c r="K70" s="27" t="s">
        <v>1053</v>
      </c>
      <c r="L70" s="28" t="s">
        <v>58</v>
      </c>
      <c r="M70" s="29" t="str">
        <f t="shared" si="10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4.25" customHeight="1" x14ac:dyDescent="0.3">
      <c r="A71" s="23">
        <v>67</v>
      </c>
      <c r="B71" s="24" t="s">
        <v>4240</v>
      </c>
      <c r="C71" s="25" t="s">
        <v>4241</v>
      </c>
      <c r="D71" s="23" t="s">
        <v>4215</v>
      </c>
      <c r="E71" s="55">
        <v>46125</v>
      </c>
      <c r="F71" s="26" t="s">
        <v>948</v>
      </c>
      <c r="G71" s="26" t="s">
        <v>58</v>
      </c>
      <c r="H71" s="26" t="s">
        <v>56</v>
      </c>
      <c r="I71" s="26" t="s">
        <v>70</v>
      </c>
      <c r="J71" s="26" t="s">
        <v>58</v>
      </c>
      <c r="K71" s="27"/>
      <c r="L71" s="28" t="s">
        <v>56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4.25" customHeight="1" x14ac:dyDescent="0.3">
      <c r="A72" s="42">
        <v>68</v>
      </c>
      <c r="B72" s="43" t="s">
        <v>4242</v>
      </c>
      <c r="C72" s="44" t="s">
        <v>4243</v>
      </c>
      <c r="D72" s="42" t="s">
        <v>4215</v>
      </c>
      <c r="E72" s="55">
        <v>46125</v>
      </c>
      <c r="F72" s="26" t="s">
        <v>948</v>
      </c>
      <c r="G72" s="26" t="s">
        <v>58</v>
      </c>
      <c r="H72" s="26" t="s">
        <v>56</v>
      </c>
      <c r="I72" s="26" t="s">
        <v>70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4.25" customHeight="1" x14ac:dyDescent="0.3">
      <c r="A73" s="23">
        <v>69</v>
      </c>
      <c r="B73" s="24" t="s">
        <v>4244</v>
      </c>
      <c r="C73" s="25" t="s">
        <v>4245</v>
      </c>
      <c r="D73" s="23" t="s">
        <v>4215</v>
      </c>
      <c r="E73" s="55">
        <v>46125</v>
      </c>
      <c r="F73" s="26" t="s">
        <v>948</v>
      </c>
      <c r="G73" s="26" t="s">
        <v>58</v>
      </c>
      <c r="H73" s="26" t="s">
        <v>56</v>
      </c>
      <c r="I73" s="26" t="s">
        <v>70</v>
      </c>
      <c r="J73" s="26" t="s">
        <v>58</v>
      </c>
      <c r="K73" s="27"/>
      <c r="L73" s="28" t="s">
        <v>56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4.25" customHeight="1" x14ac:dyDescent="0.3">
      <c r="A74" s="42">
        <v>70</v>
      </c>
      <c r="B74" s="43" t="s">
        <v>4246</v>
      </c>
      <c r="C74" s="44" t="s">
        <v>4247</v>
      </c>
      <c r="D74" s="42" t="s">
        <v>4215</v>
      </c>
      <c r="E74" s="55">
        <v>46125</v>
      </c>
      <c r="F74" s="26" t="s">
        <v>948</v>
      </c>
      <c r="G74" s="26" t="s">
        <v>58</v>
      </c>
      <c r="H74" s="26" t="s">
        <v>56</v>
      </c>
      <c r="I74" s="26" t="s">
        <v>70</v>
      </c>
      <c r="J74" s="26" t="s">
        <v>58</v>
      </c>
      <c r="K74" s="27"/>
      <c r="L74" s="28" t="s">
        <v>56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4.25" customHeight="1" x14ac:dyDescent="0.3">
      <c r="A75" s="23">
        <v>71</v>
      </c>
      <c r="B75" s="24" t="s">
        <v>4248</v>
      </c>
      <c r="C75" s="25" t="s">
        <v>4249</v>
      </c>
      <c r="D75" s="23" t="s">
        <v>4215</v>
      </c>
      <c r="E75" s="55">
        <v>46125</v>
      </c>
      <c r="F75" s="26" t="s">
        <v>948</v>
      </c>
      <c r="G75" s="26" t="s">
        <v>58</v>
      </c>
      <c r="H75" s="26" t="s">
        <v>56</v>
      </c>
      <c r="I75" s="26" t="s">
        <v>70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4.25" customHeight="1" x14ac:dyDescent="0.3">
      <c r="A76" s="42">
        <v>72</v>
      </c>
      <c r="B76" s="43" t="s">
        <v>4250</v>
      </c>
      <c r="C76" s="44" t="s">
        <v>4251</v>
      </c>
      <c r="D76" s="42" t="s">
        <v>4215</v>
      </c>
      <c r="E76" s="55">
        <v>46125</v>
      </c>
      <c r="F76" s="26" t="s">
        <v>948</v>
      </c>
      <c r="G76" s="26" t="s">
        <v>58</v>
      </c>
      <c r="H76" s="26" t="s">
        <v>56</v>
      </c>
      <c r="I76" s="26" t="s">
        <v>70</v>
      </c>
      <c r="J76" s="26" t="s">
        <v>58</v>
      </c>
      <c r="K76" s="27"/>
      <c r="L76" s="28" t="s">
        <v>56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4.25" customHeight="1" x14ac:dyDescent="0.3">
      <c r="A77" s="23">
        <v>73</v>
      </c>
      <c r="B77" s="24" t="s">
        <v>4252</v>
      </c>
      <c r="C77" s="25" t="s">
        <v>4253</v>
      </c>
      <c r="D77" s="23" t="s">
        <v>4215</v>
      </c>
      <c r="E77" s="55">
        <v>46125</v>
      </c>
      <c r="F77" s="26" t="s">
        <v>948</v>
      </c>
      <c r="G77" s="26" t="s">
        <v>58</v>
      </c>
      <c r="H77" s="26" t="s">
        <v>56</v>
      </c>
      <c r="I77" s="26" t="s">
        <v>70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</sheetData>
  <autoFilter ref="A4:AW77" xr:uid="{00000000-0009-0000-0000-000006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77">
    <cfRule type="expression" dxfId="436" priority="1">
      <formula>MOD(ROW(),2)=0</formula>
    </cfRule>
  </conditionalFormatting>
  <conditionalFormatting sqref="F5:AW77">
    <cfRule type="expression" dxfId="435" priority="48">
      <formula>MOD(ROW(),2)=0</formula>
    </cfRule>
  </conditionalFormatting>
  <conditionalFormatting sqref="G5:G77">
    <cfRule type="expression" dxfId="434" priority="7">
      <formula>G5="Yes"</formula>
    </cfRule>
    <cfRule type="expression" dxfId="433" priority="8">
      <formula>G5="No"</formula>
    </cfRule>
  </conditionalFormatting>
  <conditionalFormatting sqref="H5:H77">
    <cfRule type="expression" dxfId="432" priority="9">
      <formula>H5="Yes"</formula>
    </cfRule>
  </conditionalFormatting>
  <conditionalFormatting sqref="J5:J77">
    <cfRule type="expression" dxfId="431" priority="10">
      <formula>J5="Yes"</formula>
    </cfRule>
    <cfRule type="expression" dxfId="430" priority="11">
      <formula>J5="No"</formula>
    </cfRule>
  </conditionalFormatting>
  <conditionalFormatting sqref="M5:M77">
    <cfRule type="expression" dxfId="429" priority="3">
      <formula>M5="✓ OK"</formula>
    </cfRule>
    <cfRule type="expression" dxfId="428" priority="4">
      <formula>M5="❌ Disc"</formula>
    </cfRule>
    <cfRule type="expression" dxfId="427" priority="5">
      <formula>M5="⚠ Missing"</formula>
    </cfRule>
    <cfRule type="expression" dxfId="426" priority="6">
      <formula>M5="⚠ Check"</formula>
    </cfRule>
  </conditionalFormatting>
  <conditionalFormatting sqref="P5:P77">
    <cfRule type="expression" dxfId="425" priority="16">
      <formula>P5="Yes"</formula>
    </cfRule>
    <cfRule type="expression" dxfId="424" priority="17">
      <formula>P5="No"</formula>
    </cfRule>
  </conditionalFormatting>
  <conditionalFormatting sqref="Q5:Q77">
    <cfRule type="expression" dxfId="423" priority="18">
      <formula>Q5="Yes"</formula>
    </cfRule>
  </conditionalFormatting>
  <conditionalFormatting sqref="S5:S77">
    <cfRule type="expression" dxfId="422" priority="19">
      <formula>S5="Yes"</formula>
    </cfRule>
    <cfRule type="expression" dxfId="421" priority="20">
      <formula>S5="No"</formula>
    </cfRule>
  </conditionalFormatting>
  <conditionalFormatting sqref="V5:V77">
    <cfRule type="expression" dxfId="420" priority="12">
      <formula>V5="✓ OK"</formula>
    </cfRule>
    <cfRule type="expression" dxfId="419" priority="13">
      <formula>V5="❌ Disc"</formula>
    </cfRule>
    <cfRule type="expression" dxfId="418" priority="14">
      <formula>V5="⚠ Missing"</formula>
    </cfRule>
    <cfRule type="expression" dxfId="417" priority="15">
      <formula>V5="⚠ Check"</formula>
    </cfRule>
  </conditionalFormatting>
  <conditionalFormatting sqref="Y5:Y77">
    <cfRule type="expression" dxfId="416" priority="26">
      <formula>Y5="No"</formula>
    </cfRule>
    <cfRule type="expression" dxfId="415" priority="25">
      <formula>Y5="Yes"</formula>
    </cfRule>
  </conditionalFormatting>
  <conditionalFormatting sqref="Z5:Z77">
    <cfRule type="expression" dxfId="414" priority="27">
      <formula>Z5="Yes"</formula>
    </cfRule>
  </conditionalFormatting>
  <conditionalFormatting sqref="AB5:AB77">
    <cfRule type="expression" dxfId="413" priority="28">
      <formula>AB5="Yes"</formula>
    </cfRule>
    <cfRule type="expression" dxfId="412" priority="29">
      <formula>AB5="No"</formula>
    </cfRule>
  </conditionalFormatting>
  <conditionalFormatting sqref="AE5:AE77">
    <cfRule type="expression" dxfId="411" priority="21">
      <formula>AE5="✓ OK"</formula>
    </cfRule>
    <cfRule type="expression" dxfId="410" priority="22">
      <formula>AE5="❌ Disc"</formula>
    </cfRule>
    <cfRule type="expression" dxfId="409" priority="23">
      <formula>AE5="⚠ Missing"</formula>
    </cfRule>
    <cfRule type="expression" dxfId="408" priority="24">
      <formula>AE5="⚠ Check"</formula>
    </cfRule>
  </conditionalFormatting>
  <conditionalFormatting sqref="AH5:AH77">
    <cfRule type="expression" dxfId="407" priority="34">
      <formula>AH5="Yes"</formula>
    </cfRule>
    <cfRule type="expression" dxfId="406" priority="35">
      <formula>AH5="No"</formula>
    </cfRule>
  </conditionalFormatting>
  <conditionalFormatting sqref="AI5:AI77">
    <cfRule type="expression" dxfId="405" priority="36">
      <formula>AI5="Yes"</formula>
    </cfRule>
  </conditionalFormatting>
  <conditionalFormatting sqref="AK5:AK77">
    <cfRule type="expression" dxfId="404" priority="37">
      <formula>AK5="Yes"</formula>
    </cfRule>
    <cfRule type="expression" dxfId="403" priority="38">
      <formula>AK5="No"</formula>
    </cfRule>
  </conditionalFormatting>
  <conditionalFormatting sqref="AN5:AN77">
    <cfRule type="expression" dxfId="402" priority="30">
      <formula>AN5="✓ OK"</formula>
    </cfRule>
    <cfRule type="expression" dxfId="401" priority="31">
      <formula>AN5="❌ Disc"</formula>
    </cfRule>
    <cfRule type="expression" dxfId="400" priority="32">
      <formula>AN5="⚠ Missing"</formula>
    </cfRule>
    <cfRule type="expression" dxfId="399" priority="33">
      <formula>AN5="⚠ Check"</formula>
    </cfRule>
  </conditionalFormatting>
  <conditionalFormatting sqref="AQ5:AQ77">
    <cfRule type="expression" dxfId="398" priority="44">
      <formula>AQ5="No"</formula>
    </cfRule>
    <cfRule type="expression" dxfId="397" priority="43">
      <formula>AQ5="Yes"</formula>
    </cfRule>
  </conditionalFormatting>
  <conditionalFormatting sqref="AR5:AR77">
    <cfRule type="expression" dxfId="396" priority="45">
      <formula>AR5="Yes"</formula>
    </cfRule>
  </conditionalFormatting>
  <conditionalFormatting sqref="AT5:AT77">
    <cfRule type="expression" dxfId="395" priority="46">
      <formula>AT5="Yes"</formula>
    </cfRule>
    <cfRule type="expression" dxfId="394" priority="47">
      <formula>AT5="No"</formula>
    </cfRule>
  </conditionalFormatting>
  <conditionalFormatting sqref="AW5:AW77">
    <cfRule type="expression" dxfId="393" priority="39">
      <formula>AW5="✓ OK"</formula>
    </cfRule>
    <cfRule type="expression" dxfId="392" priority="40">
      <formula>AW5="❌ Disc"</formula>
    </cfRule>
    <cfRule type="expression" dxfId="391" priority="41">
      <formula>AW5="⚠ Missing"</formula>
    </cfRule>
    <cfRule type="expression" dxfId="390" priority="42">
      <formula>AW5="⚠ Check"</formula>
    </cfRule>
  </conditionalFormatting>
  <dataValidations count="2">
    <dataValidation type="list" allowBlank="1" sqref="AS5:AS77 R5:R77 AA5:AA77 AJ5:AJ77 I5:I77" xr:uid="{00000000-0002-0000-0600-000000000000}">
      <formula1>"Good finish,Minor defect,Major defect,Discontinued,Not Available"</formula1>
      <formula2>0</formula2>
    </dataValidation>
    <dataValidation type="list" allowBlank="1" sqref="AT5:AT77 G5:H77 P5:Q77 S5:S77 Y5:Z77 AB5:AB77 AH5:AI77 AK5:AK77 AQ5:AR77 J5:J77" xr:uid="{00000000-0002-0000-06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FF"/>
  </sheetPr>
  <dimension ref="A1:AW26"/>
  <sheetViews>
    <sheetView zoomScaleNormal="100" workbookViewId="0">
      <pane xSplit="4" ySplit="4" topLeftCell="E10" activePane="bottomRight" state="frozen"/>
      <selection pane="topRight" activeCell="E1" sqref="E1"/>
      <selection pane="bottomLeft" activeCell="A8" sqref="A8"/>
      <selection pane="bottomRight" activeCell="G26" sqref="G2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4" t="s">
        <v>4254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</row>
    <row r="2" spans="1:49" ht="15" customHeight="1" x14ac:dyDescent="0.3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85"/>
      <c r="AT2" s="85"/>
      <c r="AU2" s="85"/>
      <c r="AV2" s="85"/>
      <c r="AW2" s="85"/>
    </row>
    <row r="3" spans="1:49" ht="19.5" customHeight="1" x14ac:dyDescent="0.3">
      <c r="A3" s="22"/>
      <c r="B3" s="22"/>
      <c r="C3" s="22"/>
      <c r="D3" s="22"/>
      <c r="E3" s="86" t="s">
        <v>34</v>
      </c>
      <c r="F3" s="86"/>
      <c r="G3" s="86"/>
      <c r="H3" s="86"/>
      <c r="I3" s="86"/>
      <c r="J3" s="86"/>
      <c r="K3" s="86"/>
      <c r="L3" s="86"/>
      <c r="M3" s="86"/>
      <c r="N3" s="87" t="s">
        <v>35</v>
      </c>
      <c r="O3" s="87"/>
      <c r="P3" s="87"/>
      <c r="Q3" s="87"/>
      <c r="R3" s="87"/>
      <c r="S3" s="87"/>
      <c r="T3" s="87"/>
      <c r="U3" s="87"/>
      <c r="V3" s="87"/>
      <c r="W3" s="88" t="s">
        <v>36</v>
      </c>
      <c r="X3" s="88"/>
      <c r="Y3" s="88"/>
      <c r="Z3" s="88"/>
      <c r="AA3" s="88"/>
      <c r="AB3" s="88"/>
      <c r="AC3" s="88"/>
      <c r="AD3" s="88"/>
      <c r="AE3" s="88"/>
      <c r="AF3" s="89" t="s">
        <v>37</v>
      </c>
      <c r="AG3" s="89"/>
      <c r="AH3" s="89"/>
      <c r="AI3" s="89"/>
      <c r="AJ3" s="89"/>
      <c r="AK3" s="89"/>
      <c r="AL3" s="89"/>
      <c r="AM3" s="89"/>
      <c r="AN3" s="89"/>
      <c r="AO3" s="90" t="s">
        <v>38</v>
      </c>
      <c r="AP3" s="90"/>
      <c r="AQ3" s="90"/>
      <c r="AR3" s="90"/>
      <c r="AS3" s="90"/>
      <c r="AT3" s="90"/>
      <c r="AU3" s="90"/>
      <c r="AV3" s="90"/>
      <c r="AW3" s="90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4255</v>
      </c>
      <c r="C5" s="25" t="s">
        <v>4256</v>
      </c>
      <c r="D5" s="23" t="s">
        <v>4257</v>
      </c>
      <c r="E5" s="55">
        <v>46125</v>
      </c>
      <c r="F5" s="26" t="s">
        <v>948</v>
      </c>
      <c r="G5" s="26" t="s">
        <v>56</v>
      </c>
      <c r="H5" s="26" t="s">
        <v>56</v>
      </c>
      <c r="I5" s="26" t="s">
        <v>57</v>
      </c>
      <c r="J5" s="26" t="s">
        <v>56</v>
      </c>
      <c r="K5" s="27" t="s">
        <v>4258</v>
      </c>
      <c r="L5" s="28" t="s">
        <v>58</v>
      </c>
      <c r="M5" s="29" t="str">
        <f t="shared" ref="M5:M26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4259</v>
      </c>
      <c r="C6" s="44" t="s">
        <v>4260</v>
      </c>
      <c r="D6" s="42" t="s">
        <v>4257</v>
      </c>
      <c r="E6" s="55">
        <v>46125</v>
      </c>
      <c r="F6" s="26" t="s">
        <v>948</v>
      </c>
      <c r="G6" s="26" t="s">
        <v>56</v>
      </c>
      <c r="H6" s="26" t="s">
        <v>56</v>
      </c>
      <c r="I6" s="26" t="s">
        <v>57</v>
      </c>
      <c r="J6" s="26" t="s">
        <v>56</v>
      </c>
      <c r="K6" s="27" t="s">
        <v>4258</v>
      </c>
      <c r="L6" s="28" t="s">
        <v>58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4261</v>
      </c>
      <c r="C7" s="25" t="s">
        <v>4262</v>
      </c>
      <c r="D7" s="23" t="s">
        <v>4257</v>
      </c>
      <c r="E7" s="55">
        <v>46125</v>
      </c>
      <c r="F7" s="26" t="s">
        <v>948</v>
      </c>
      <c r="G7" s="26" t="s">
        <v>56</v>
      </c>
      <c r="H7" s="26" t="s">
        <v>56</v>
      </c>
      <c r="I7" s="26" t="s">
        <v>57</v>
      </c>
      <c r="J7" s="26" t="s">
        <v>56</v>
      </c>
      <c r="K7" s="27" t="s">
        <v>4258</v>
      </c>
      <c r="L7" s="28" t="s">
        <v>58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4263</v>
      </c>
      <c r="C8" s="44" t="s">
        <v>4264</v>
      </c>
      <c r="D8" s="42" t="s">
        <v>4257</v>
      </c>
      <c r="E8" s="55">
        <v>46125</v>
      </c>
      <c r="F8" s="26" t="s">
        <v>948</v>
      </c>
      <c r="G8" s="26" t="s">
        <v>56</v>
      </c>
      <c r="H8" s="26" t="s">
        <v>56</v>
      </c>
      <c r="I8" s="26" t="s">
        <v>57</v>
      </c>
      <c r="J8" s="26" t="s">
        <v>56</v>
      </c>
      <c r="K8" s="27" t="s">
        <v>4258</v>
      </c>
      <c r="L8" s="28" t="s">
        <v>58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4265</v>
      </c>
      <c r="C9" s="25" t="s">
        <v>4266</v>
      </c>
      <c r="D9" s="23" t="s">
        <v>4257</v>
      </c>
      <c r="E9" s="55">
        <v>46125</v>
      </c>
      <c r="F9" s="26" t="s">
        <v>948</v>
      </c>
      <c r="G9" s="26" t="s">
        <v>56</v>
      </c>
      <c r="H9" s="26" t="s">
        <v>56</v>
      </c>
      <c r="I9" s="26" t="s">
        <v>57</v>
      </c>
      <c r="J9" s="26" t="s">
        <v>56</v>
      </c>
      <c r="K9" s="27" t="s">
        <v>4258</v>
      </c>
      <c r="L9" s="28" t="s">
        <v>58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4267</v>
      </c>
      <c r="C10" s="44" t="s">
        <v>4268</v>
      </c>
      <c r="D10" s="42" t="s">
        <v>4257</v>
      </c>
      <c r="E10" s="55">
        <v>46125</v>
      </c>
      <c r="F10" s="26" t="s">
        <v>948</v>
      </c>
      <c r="G10" s="26" t="s">
        <v>56</v>
      </c>
      <c r="H10" s="26" t="s">
        <v>56</v>
      </c>
      <c r="I10" s="26" t="s">
        <v>57</v>
      </c>
      <c r="J10" s="26" t="s">
        <v>56</v>
      </c>
      <c r="K10" s="27" t="s">
        <v>4258</v>
      </c>
      <c r="L10" s="28" t="s">
        <v>58</v>
      </c>
      <c r="M10" s="29" t="str">
        <f t="shared" si="0"/>
        <v>⚠ Missing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4269</v>
      </c>
      <c r="C11" s="25" t="s">
        <v>4270</v>
      </c>
      <c r="D11" s="23" t="s">
        <v>4257</v>
      </c>
      <c r="E11" s="55">
        <v>46125</v>
      </c>
      <c r="F11" s="26" t="s">
        <v>948</v>
      </c>
      <c r="G11" s="26" t="s">
        <v>56</v>
      </c>
      <c r="H11" s="26" t="s">
        <v>56</v>
      </c>
      <c r="I11" s="26" t="s">
        <v>57</v>
      </c>
      <c r="J11" s="26" t="s">
        <v>56</v>
      </c>
      <c r="K11" s="27" t="s">
        <v>4258</v>
      </c>
      <c r="L11" s="28" t="s">
        <v>58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4271</v>
      </c>
      <c r="C12" s="44" t="s">
        <v>4272</v>
      </c>
      <c r="D12" s="42" t="s">
        <v>4257</v>
      </c>
      <c r="E12" s="55">
        <v>46125</v>
      </c>
      <c r="F12" s="26" t="s">
        <v>948</v>
      </c>
      <c r="G12" s="26" t="s">
        <v>56</v>
      </c>
      <c r="H12" s="26" t="s">
        <v>56</v>
      </c>
      <c r="I12" s="26" t="s">
        <v>57</v>
      </c>
      <c r="J12" s="26" t="s">
        <v>56</v>
      </c>
      <c r="K12" s="27" t="s">
        <v>4258</v>
      </c>
      <c r="L12" s="28" t="s">
        <v>58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4273</v>
      </c>
      <c r="C13" s="25" t="s">
        <v>4274</v>
      </c>
      <c r="D13" s="23" t="s">
        <v>4257</v>
      </c>
      <c r="E13" s="55">
        <v>46125</v>
      </c>
      <c r="F13" s="26" t="s">
        <v>948</v>
      </c>
      <c r="G13" s="26" t="s">
        <v>56</v>
      </c>
      <c r="H13" s="26" t="s">
        <v>56</v>
      </c>
      <c r="I13" s="26" t="s">
        <v>57</v>
      </c>
      <c r="J13" s="26" t="s">
        <v>56</v>
      </c>
      <c r="K13" s="27" t="s">
        <v>4258</v>
      </c>
      <c r="L13" s="28" t="s">
        <v>58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4275</v>
      </c>
      <c r="C14" s="44" t="s">
        <v>4276</v>
      </c>
      <c r="D14" s="42" t="s">
        <v>4257</v>
      </c>
      <c r="E14" s="55">
        <v>46125</v>
      </c>
      <c r="F14" s="26" t="s">
        <v>948</v>
      </c>
      <c r="G14" s="26" t="s">
        <v>56</v>
      </c>
      <c r="H14" s="26" t="s">
        <v>56</v>
      </c>
      <c r="I14" s="26" t="s">
        <v>57</v>
      </c>
      <c r="J14" s="26" t="s">
        <v>56</v>
      </c>
      <c r="K14" s="27" t="s">
        <v>4258</v>
      </c>
      <c r="L14" s="28" t="s">
        <v>58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4277</v>
      </c>
      <c r="C15" s="25" t="s">
        <v>4278</v>
      </c>
      <c r="D15" s="23" t="s">
        <v>4257</v>
      </c>
      <c r="E15" s="55">
        <v>46125</v>
      </c>
      <c r="F15" s="26" t="s">
        <v>948</v>
      </c>
      <c r="G15" s="26" t="s">
        <v>56</v>
      </c>
      <c r="H15" s="26" t="s">
        <v>56</v>
      </c>
      <c r="I15" s="26" t="s">
        <v>57</v>
      </c>
      <c r="J15" s="26" t="s">
        <v>56</v>
      </c>
      <c r="K15" s="27" t="s">
        <v>4258</v>
      </c>
      <c r="L15" s="28" t="s">
        <v>58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4279</v>
      </c>
      <c r="C16" s="44" t="s">
        <v>4280</v>
      </c>
      <c r="D16" s="42" t="s">
        <v>4257</v>
      </c>
      <c r="E16" s="55">
        <v>46125</v>
      </c>
      <c r="F16" s="26" t="s">
        <v>948</v>
      </c>
      <c r="G16" s="26" t="s">
        <v>56</v>
      </c>
      <c r="H16" s="26" t="s">
        <v>56</v>
      </c>
      <c r="I16" s="26" t="s">
        <v>57</v>
      </c>
      <c r="J16" s="26" t="s">
        <v>56</v>
      </c>
      <c r="K16" s="27" t="s">
        <v>4258</v>
      </c>
      <c r="L16" s="28" t="s">
        <v>58</v>
      </c>
      <c r="M16" s="29" t="str">
        <f t="shared" si="0"/>
        <v>⚠ Missing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4281</v>
      </c>
      <c r="C17" s="25" t="s">
        <v>4282</v>
      </c>
      <c r="D17" s="23" t="s">
        <v>4257</v>
      </c>
      <c r="E17" s="55">
        <v>46125</v>
      </c>
      <c r="F17" s="26" t="s">
        <v>948</v>
      </c>
      <c r="G17" s="26" t="s">
        <v>56</v>
      </c>
      <c r="H17" s="26" t="s">
        <v>56</v>
      </c>
      <c r="I17" s="26" t="s">
        <v>57</v>
      </c>
      <c r="J17" s="26" t="s">
        <v>56</v>
      </c>
      <c r="K17" s="27" t="s">
        <v>4258</v>
      </c>
      <c r="L17" s="28" t="s">
        <v>58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4283</v>
      </c>
      <c r="C18" s="44" t="s">
        <v>4284</v>
      </c>
      <c r="D18" s="42" t="s">
        <v>4257</v>
      </c>
      <c r="E18" s="55">
        <v>46125</v>
      </c>
      <c r="F18" s="26" t="s">
        <v>948</v>
      </c>
      <c r="G18" s="26" t="s">
        <v>56</v>
      </c>
      <c r="H18" s="26" t="s">
        <v>56</v>
      </c>
      <c r="I18" s="26" t="s">
        <v>57</v>
      </c>
      <c r="J18" s="26" t="s">
        <v>56</v>
      </c>
      <c r="K18" s="27" t="s">
        <v>4258</v>
      </c>
      <c r="L18" s="28" t="s">
        <v>58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4285</v>
      </c>
      <c r="C19" s="25" t="s">
        <v>4286</v>
      </c>
      <c r="D19" s="23" t="s">
        <v>4257</v>
      </c>
      <c r="E19" s="55">
        <v>46125</v>
      </c>
      <c r="F19" s="26" t="s">
        <v>948</v>
      </c>
      <c r="G19" s="26" t="s">
        <v>56</v>
      </c>
      <c r="H19" s="26" t="s">
        <v>56</v>
      </c>
      <c r="I19" s="26" t="s">
        <v>57</v>
      </c>
      <c r="J19" s="26" t="s">
        <v>56</v>
      </c>
      <c r="K19" s="27" t="s">
        <v>4258</v>
      </c>
      <c r="L19" s="28" t="s">
        <v>58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4287</v>
      </c>
      <c r="C20" s="44" t="s">
        <v>4288</v>
      </c>
      <c r="D20" s="42" t="s">
        <v>4257</v>
      </c>
      <c r="E20" s="55">
        <v>46125</v>
      </c>
      <c r="F20" s="26" t="s">
        <v>948</v>
      </c>
      <c r="G20" s="26" t="s">
        <v>56</v>
      </c>
      <c r="H20" s="26" t="s">
        <v>56</v>
      </c>
      <c r="I20" s="26" t="s">
        <v>57</v>
      </c>
      <c r="J20" s="26" t="s">
        <v>56</v>
      </c>
      <c r="K20" s="27" t="s">
        <v>4258</v>
      </c>
      <c r="L20" s="28" t="s">
        <v>58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4289</v>
      </c>
      <c r="C21" s="25" t="s">
        <v>4290</v>
      </c>
      <c r="D21" s="23" t="s">
        <v>4257</v>
      </c>
      <c r="E21" s="55">
        <v>46125</v>
      </c>
      <c r="F21" s="26" t="s">
        <v>948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4258</v>
      </c>
      <c r="L21" s="28" t="s">
        <v>58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4291</v>
      </c>
      <c r="C22" s="44" t="s">
        <v>4292</v>
      </c>
      <c r="D22" s="42" t="s">
        <v>4293</v>
      </c>
      <c r="E22" s="55">
        <v>46125</v>
      </c>
      <c r="F22" s="26" t="s">
        <v>948</v>
      </c>
      <c r="G22" s="26" t="s">
        <v>58</v>
      </c>
      <c r="H22" s="26" t="s">
        <v>56</v>
      </c>
      <c r="I22" s="26" t="s">
        <v>70</v>
      </c>
      <c r="J22" s="26" t="s">
        <v>56</v>
      </c>
      <c r="K22" s="27" t="s">
        <v>4194</v>
      </c>
      <c r="L22" s="28" t="s">
        <v>58</v>
      </c>
      <c r="M22" s="29" t="str">
        <f t="shared" si="0"/>
        <v>⚠ Check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4294</v>
      </c>
      <c r="C23" s="25" t="s">
        <v>4295</v>
      </c>
      <c r="D23" s="23" t="s">
        <v>4293</v>
      </c>
      <c r="E23" s="55">
        <v>46125</v>
      </c>
      <c r="F23" s="26" t="s">
        <v>948</v>
      </c>
      <c r="G23" s="26" t="s">
        <v>58</v>
      </c>
      <c r="H23" s="26" t="s">
        <v>56</v>
      </c>
      <c r="I23" s="26" t="s">
        <v>70</v>
      </c>
      <c r="J23" s="26" t="s">
        <v>58</v>
      </c>
      <c r="K23" s="27"/>
      <c r="L23" s="28" t="s">
        <v>56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4296</v>
      </c>
      <c r="C24" s="44" t="s">
        <v>4297</v>
      </c>
      <c r="D24" s="42" t="s">
        <v>4293</v>
      </c>
      <c r="E24" s="55">
        <v>46125</v>
      </c>
      <c r="F24" s="26" t="s">
        <v>948</v>
      </c>
      <c r="G24" s="26" t="s">
        <v>58</v>
      </c>
      <c r="H24" s="26" t="s">
        <v>56</v>
      </c>
      <c r="I24" s="26" t="s">
        <v>70</v>
      </c>
      <c r="J24" s="26" t="s">
        <v>56</v>
      </c>
      <c r="K24" s="27" t="s">
        <v>4194</v>
      </c>
      <c r="L24" s="28" t="s">
        <v>58</v>
      </c>
      <c r="M24" s="29" t="str">
        <f t="shared" si="0"/>
        <v>⚠ Check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4298</v>
      </c>
      <c r="C25" s="25" t="s">
        <v>4299</v>
      </c>
      <c r="D25" s="23" t="s">
        <v>4293</v>
      </c>
      <c r="E25" s="55">
        <v>46125</v>
      </c>
      <c r="F25" s="26" t="s">
        <v>948</v>
      </c>
      <c r="G25" s="26" t="s">
        <v>58</v>
      </c>
      <c r="H25" s="26" t="s">
        <v>56</v>
      </c>
      <c r="I25" s="26" t="s">
        <v>70</v>
      </c>
      <c r="J25" s="26" t="s">
        <v>58</v>
      </c>
      <c r="K25" s="27"/>
      <c r="L25" s="28" t="s">
        <v>56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4300</v>
      </c>
      <c r="C26" s="44" t="s">
        <v>4301</v>
      </c>
      <c r="D26" s="42" t="s">
        <v>4293</v>
      </c>
      <c r="E26" s="55">
        <v>46125</v>
      </c>
      <c r="F26" s="26" t="s">
        <v>948</v>
      </c>
      <c r="G26" s="26" t="s">
        <v>58</v>
      </c>
      <c r="H26" s="26" t="s">
        <v>56</v>
      </c>
      <c r="I26" s="26" t="s">
        <v>70</v>
      </c>
      <c r="J26" s="26" t="s">
        <v>58</v>
      </c>
      <c r="K26" s="27"/>
      <c r="L26" s="28" t="s">
        <v>56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26">
    <cfRule type="expression" dxfId="389" priority="47">
      <formula>MOD(ROW(),2)=0</formula>
    </cfRule>
  </conditionalFormatting>
  <conditionalFormatting sqref="G5:G26">
    <cfRule type="expression" dxfId="388" priority="7">
      <formula>G5="No"</formula>
    </cfRule>
    <cfRule type="expression" dxfId="387" priority="6">
      <formula>G5="Yes"</formula>
    </cfRule>
  </conditionalFormatting>
  <conditionalFormatting sqref="H5:H26">
    <cfRule type="expression" dxfId="386" priority="8">
      <formula>H5="Yes"</formula>
    </cfRule>
  </conditionalFormatting>
  <conditionalFormatting sqref="J5:J26">
    <cfRule type="expression" dxfId="385" priority="9">
      <formula>J5="Yes"</formula>
    </cfRule>
    <cfRule type="expression" dxfId="384" priority="10">
      <formula>J5="No"</formula>
    </cfRule>
  </conditionalFormatting>
  <conditionalFormatting sqref="M5:M26">
    <cfRule type="expression" dxfId="383" priority="3">
      <formula>M5="❌ Disc"</formula>
    </cfRule>
    <cfRule type="expression" dxfId="382" priority="4">
      <formula>M5="⚠ Missing"</formula>
    </cfRule>
    <cfRule type="expression" dxfId="381" priority="5">
      <formula>M5="⚠ Check"</formula>
    </cfRule>
    <cfRule type="expression" dxfId="380" priority="2">
      <formula>M5="✓ OK"</formula>
    </cfRule>
  </conditionalFormatting>
  <conditionalFormatting sqref="P5:P26">
    <cfRule type="expression" dxfId="379" priority="15">
      <formula>P5="Yes"</formula>
    </cfRule>
    <cfRule type="expression" dxfId="378" priority="16">
      <formula>P5="No"</formula>
    </cfRule>
  </conditionalFormatting>
  <conditionalFormatting sqref="Q5:Q26">
    <cfRule type="expression" dxfId="377" priority="17">
      <formula>Q5="Yes"</formula>
    </cfRule>
  </conditionalFormatting>
  <conditionalFormatting sqref="S5:S26">
    <cfRule type="expression" dxfId="376" priority="18">
      <formula>S5="Yes"</formula>
    </cfRule>
    <cfRule type="expression" dxfId="375" priority="19">
      <formula>S5="No"</formula>
    </cfRule>
  </conditionalFormatting>
  <conditionalFormatting sqref="V5:V26">
    <cfRule type="expression" dxfId="374" priority="11">
      <formula>V5="✓ OK"</formula>
    </cfRule>
    <cfRule type="expression" dxfId="373" priority="12">
      <formula>V5="❌ Disc"</formula>
    </cfRule>
    <cfRule type="expression" dxfId="372" priority="13">
      <formula>V5="⚠ Missing"</formula>
    </cfRule>
    <cfRule type="expression" dxfId="371" priority="14">
      <formula>V5="⚠ Check"</formula>
    </cfRule>
  </conditionalFormatting>
  <conditionalFormatting sqref="Y5:Y26">
    <cfRule type="expression" dxfId="370" priority="25">
      <formula>Y5="No"</formula>
    </cfRule>
    <cfRule type="expression" dxfId="369" priority="24">
      <formula>Y5="Yes"</formula>
    </cfRule>
  </conditionalFormatting>
  <conditionalFormatting sqref="Z5:Z26">
    <cfRule type="expression" dxfId="368" priority="26">
      <formula>Z5="Yes"</formula>
    </cfRule>
  </conditionalFormatting>
  <conditionalFormatting sqref="AB5:AB26">
    <cfRule type="expression" dxfId="367" priority="27">
      <formula>AB5="Yes"</formula>
    </cfRule>
    <cfRule type="expression" dxfId="366" priority="28">
      <formula>AB5="No"</formula>
    </cfRule>
  </conditionalFormatting>
  <conditionalFormatting sqref="AE5:AE26">
    <cfRule type="expression" dxfId="365" priority="21">
      <formula>AE5="❌ Disc"</formula>
    </cfRule>
    <cfRule type="expression" dxfId="364" priority="22">
      <formula>AE5="⚠ Missing"</formula>
    </cfRule>
    <cfRule type="expression" dxfId="363" priority="23">
      <formula>AE5="⚠ Check"</formula>
    </cfRule>
    <cfRule type="expression" dxfId="362" priority="20">
      <formula>AE5="✓ OK"</formula>
    </cfRule>
  </conditionalFormatting>
  <conditionalFormatting sqref="AH5:AH26">
    <cfRule type="expression" dxfId="361" priority="33">
      <formula>AH5="Yes"</formula>
    </cfRule>
    <cfRule type="expression" dxfId="360" priority="34">
      <formula>AH5="No"</formula>
    </cfRule>
  </conditionalFormatting>
  <conditionalFormatting sqref="AI5:AI26">
    <cfRule type="expression" dxfId="359" priority="35">
      <formula>AI5="Yes"</formula>
    </cfRule>
  </conditionalFormatting>
  <conditionalFormatting sqref="AK5:AK26">
    <cfRule type="expression" dxfId="358" priority="36">
      <formula>AK5="Yes"</formula>
    </cfRule>
    <cfRule type="expression" dxfId="357" priority="37">
      <formula>AK5="No"</formula>
    </cfRule>
  </conditionalFormatting>
  <conditionalFormatting sqref="AN5:AN26">
    <cfRule type="expression" dxfId="356" priority="30">
      <formula>AN5="❌ Disc"</formula>
    </cfRule>
    <cfRule type="expression" dxfId="355" priority="31">
      <formula>AN5="⚠ Missing"</formula>
    </cfRule>
    <cfRule type="expression" dxfId="354" priority="32">
      <formula>AN5="⚠ Check"</formula>
    </cfRule>
    <cfRule type="expression" dxfId="353" priority="29">
      <formula>AN5="✓ OK"</formula>
    </cfRule>
  </conditionalFormatting>
  <conditionalFormatting sqref="AQ5:AQ26">
    <cfRule type="expression" dxfId="352" priority="43">
      <formula>AQ5="No"</formula>
    </cfRule>
    <cfRule type="expression" dxfId="351" priority="42">
      <formula>AQ5="Yes"</formula>
    </cfRule>
  </conditionalFormatting>
  <conditionalFormatting sqref="AR5:AR26">
    <cfRule type="expression" dxfId="350" priority="44">
      <formula>AR5="Yes"</formula>
    </cfRule>
  </conditionalFormatting>
  <conditionalFormatting sqref="AT5:AT26">
    <cfRule type="expression" dxfId="349" priority="45">
      <formula>AT5="Yes"</formula>
    </cfRule>
    <cfRule type="expression" dxfId="348" priority="46">
      <formula>AT5="No"</formula>
    </cfRule>
  </conditionalFormatting>
  <conditionalFormatting sqref="AW5:AW26">
    <cfRule type="expression" dxfId="347" priority="38">
      <formula>AW5="✓ OK"</formula>
    </cfRule>
    <cfRule type="expression" dxfId="346" priority="39">
      <formula>AW5="❌ Disc"</formula>
    </cfRule>
    <cfRule type="expression" dxfId="345" priority="40">
      <formula>AW5="⚠ Missing"</formula>
    </cfRule>
    <cfRule type="expression" dxfId="344" priority="41">
      <formula>AW5="⚠ Check"</formula>
    </cfRule>
  </conditionalFormatting>
  <dataValidations count="2">
    <dataValidation type="list" allowBlank="1" sqref="AS5:AS26 R5:R26 AA5:AA26 AJ5:AJ26 I5:I26" xr:uid="{00000000-0002-0000-0800-000000000000}">
      <formula1>"Good finish,Minor defect,Major defect,Discontinued,Not Available"</formula1>
      <formula2>0</formula2>
    </dataValidation>
    <dataValidation type="list" allowBlank="1" sqref="AT5:AT26 G5:H26 P5:Q26 S5:S26 Y5:Z26 AB5:AB26 AH5:AI26 AK5:AK26 AQ5:AR26 J5:J26" xr:uid="{00000000-0002-0000-08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FF"/>
  </sheetPr>
  <dimension ref="A1:AW15"/>
  <sheetViews>
    <sheetView zoomScaleNormal="10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B5" sqref="B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4" t="s">
        <v>4302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</row>
    <row r="2" spans="1:49" ht="15" customHeight="1" x14ac:dyDescent="0.3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85"/>
      <c r="AT2" s="85"/>
      <c r="AU2" s="85"/>
      <c r="AV2" s="85"/>
      <c r="AW2" s="85"/>
    </row>
    <row r="3" spans="1:49" ht="19.5" customHeight="1" x14ac:dyDescent="0.3">
      <c r="A3" s="22"/>
      <c r="B3" s="22"/>
      <c r="C3" s="22"/>
      <c r="D3" s="22"/>
      <c r="E3" s="86" t="s">
        <v>34</v>
      </c>
      <c r="F3" s="86"/>
      <c r="G3" s="86"/>
      <c r="H3" s="86"/>
      <c r="I3" s="86"/>
      <c r="J3" s="86"/>
      <c r="K3" s="86"/>
      <c r="L3" s="86"/>
      <c r="M3" s="86"/>
      <c r="N3" s="87" t="s">
        <v>35</v>
      </c>
      <c r="O3" s="87"/>
      <c r="P3" s="87"/>
      <c r="Q3" s="87"/>
      <c r="R3" s="87"/>
      <c r="S3" s="87"/>
      <c r="T3" s="87"/>
      <c r="U3" s="87"/>
      <c r="V3" s="87"/>
      <c r="W3" s="88" t="s">
        <v>36</v>
      </c>
      <c r="X3" s="88"/>
      <c r="Y3" s="88"/>
      <c r="Z3" s="88"/>
      <c r="AA3" s="88"/>
      <c r="AB3" s="88"/>
      <c r="AC3" s="88"/>
      <c r="AD3" s="88"/>
      <c r="AE3" s="88"/>
      <c r="AF3" s="89" t="s">
        <v>37</v>
      </c>
      <c r="AG3" s="89"/>
      <c r="AH3" s="89"/>
      <c r="AI3" s="89"/>
      <c r="AJ3" s="89"/>
      <c r="AK3" s="89"/>
      <c r="AL3" s="89"/>
      <c r="AM3" s="89"/>
      <c r="AN3" s="89"/>
      <c r="AO3" s="90" t="s">
        <v>38</v>
      </c>
      <c r="AP3" s="90"/>
      <c r="AQ3" s="90"/>
      <c r="AR3" s="90"/>
      <c r="AS3" s="90"/>
      <c r="AT3" s="90"/>
      <c r="AU3" s="90"/>
      <c r="AV3" s="90"/>
      <c r="AW3" s="90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4303</v>
      </c>
      <c r="C5" s="25" t="s">
        <v>4304</v>
      </c>
      <c r="D5" s="23" t="s">
        <v>4305</v>
      </c>
      <c r="E5" s="55">
        <v>46125</v>
      </c>
      <c r="F5" s="26" t="s">
        <v>948</v>
      </c>
      <c r="G5" s="26" t="s">
        <v>58</v>
      </c>
      <c r="H5" s="26" t="s">
        <v>56</v>
      </c>
      <c r="I5" s="26" t="s">
        <v>70</v>
      </c>
      <c r="J5" s="26" t="s">
        <v>56</v>
      </c>
      <c r="K5" s="27" t="s">
        <v>4194</v>
      </c>
      <c r="L5" s="28" t="s">
        <v>58</v>
      </c>
      <c r="M5" s="29" t="str">
        <f t="shared" ref="M5:M15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4306</v>
      </c>
      <c r="C6" s="44" t="s">
        <v>4307</v>
      </c>
      <c r="D6" s="42" t="s">
        <v>4305</v>
      </c>
      <c r="E6" s="55">
        <v>46125</v>
      </c>
      <c r="F6" s="26" t="s">
        <v>948</v>
      </c>
      <c r="G6" s="26" t="s">
        <v>58</v>
      </c>
      <c r="H6" s="26" t="s">
        <v>56</v>
      </c>
      <c r="I6" s="26" t="s">
        <v>70</v>
      </c>
      <c r="J6" s="26" t="s">
        <v>58</v>
      </c>
      <c r="K6" s="27"/>
      <c r="L6" s="28" t="s">
        <v>56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4308</v>
      </c>
      <c r="C7" s="25" t="s">
        <v>4309</v>
      </c>
      <c r="D7" s="23" t="s">
        <v>4305</v>
      </c>
      <c r="E7" s="55">
        <v>46125</v>
      </c>
      <c r="F7" s="26" t="s">
        <v>948</v>
      </c>
      <c r="G7" s="26" t="s">
        <v>58</v>
      </c>
      <c r="H7" s="26" t="s">
        <v>56</v>
      </c>
      <c r="I7" s="26" t="s">
        <v>70</v>
      </c>
      <c r="J7" s="26" t="s">
        <v>58</v>
      </c>
      <c r="K7" s="27"/>
      <c r="L7" s="28" t="s">
        <v>56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4310</v>
      </c>
      <c r="C8" s="44" t="s">
        <v>4311</v>
      </c>
      <c r="D8" s="42" t="s">
        <v>4305</v>
      </c>
      <c r="E8" s="55">
        <v>46125</v>
      </c>
      <c r="F8" s="26" t="s">
        <v>948</v>
      </c>
      <c r="G8" s="26" t="s">
        <v>58</v>
      </c>
      <c r="H8" s="26" t="s">
        <v>56</v>
      </c>
      <c r="I8" s="26" t="s">
        <v>70</v>
      </c>
      <c r="J8" s="26" t="s">
        <v>58</v>
      </c>
      <c r="K8" s="27"/>
      <c r="L8" s="28" t="s">
        <v>56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4312</v>
      </c>
      <c r="C9" s="25" t="s">
        <v>4313</v>
      </c>
      <c r="D9" s="23" t="s">
        <v>4305</v>
      </c>
      <c r="E9" s="55">
        <v>46125</v>
      </c>
      <c r="F9" s="26" t="s">
        <v>948</v>
      </c>
      <c r="G9" s="26" t="s">
        <v>58</v>
      </c>
      <c r="H9" s="26" t="s">
        <v>56</v>
      </c>
      <c r="I9" s="26" t="s">
        <v>70</v>
      </c>
      <c r="J9" s="26" t="s">
        <v>58</v>
      </c>
      <c r="K9" s="27"/>
      <c r="L9" s="28" t="s">
        <v>56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4314</v>
      </c>
      <c r="C10" s="44" t="s">
        <v>4315</v>
      </c>
      <c r="D10" s="42" t="s">
        <v>4305</v>
      </c>
      <c r="E10" s="55">
        <v>46125</v>
      </c>
      <c r="F10" s="26" t="s">
        <v>948</v>
      </c>
      <c r="G10" s="26" t="s">
        <v>58</v>
      </c>
      <c r="H10" s="26" t="s">
        <v>56</v>
      </c>
      <c r="I10" s="26" t="s">
        <v>70</v>
      </c>
      <c r="J10" s="26" t="s">
        <v>58</v>
      </c>
      <c r="K10" s="27"/>
      <c r="L10" s="28" t="s">
        <v>56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4316</v>
      </c>
      <c r="C11" s="25" t="s">
        <v>4317</v>
      </c>
      <c r="D11" s="23" t="s">
        <v>4305</v>
      </c>
      <c r="E11" s="55">
        <v>46125</v>
      </c>
      <c r="F11" s="26" t="s">
        <v>948</v>
      </c>
      <c r="G11" s="26" t="s">
        <v>58</v>
      </c>
      <c r="H11" s="26" t="s">
        <v>56</v>
      </c>
      <c r="I11" s="26" t="s">
        <v>70</v>
      </c>
      <c r="J11" s="26" t="s">
        <v>58</v>
      </c>
      <c r="K11" s="27"/>
      <c r="L11" s="28" t="s">
        <v>56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4318</v>
      </c>
      <c r="C12" s="44" t="s">
        <v>4319</v>
      </c>
      <c r="D12" s="42" t="s">
        <v>4305</v>
      </c>
      <c r="E12" s="55">
        <v>46125</v>
      </c>
      <c r="F12" s="26" t="s">
        <v>948</v>
      </c>
      <c r="G12" s="26" t="s">
        <v>58</v>
      </c>
      <c r="H12" s="26" t="s">
        <v>56</v>
      </c>
      <c r="I12" s="26" t="s">
        <v>70</v>
      </c>
      <c r="J12" s="26" t="s">
        <v>58</v>
      </c>
      <c r="K12" s="27"/>
      <c r="L12" s="28" t="s">
        <v>56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4320</v>
      </c>
      <c r="C13" s="25" t="s">
        <v>4321</v>
      </c>
      <c r="D13" s="23" t="s">
        <v>4305</v>
      </c>
      <c r="E13" s="55">
        <v>46125</v>
      </c>
      <c r="F13" s="26" t="s">
        <v>948</v>
      </c>
      <c r="G13" s="26" t="s">
        <v>58</v>
      </c>
      <c r="H13" s="26" t="s">
        <v>56</v>
      </c>
      <c r="I13" s="26" t="s">
        <v>70</v>
      </c>
      <c r="J13" s="26" t="s">
        <v>58</v>
      </c>
      <c r="K13" s="27"/>
      <c r="L13" s="28" t="s">
        <v>56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4322</v>
      </c>
      <c r="C14" s="44" t="s">
        <v>4323</v>
      </c>
      <c r="D14" s="42" t="s">
        <v>4305</v>
      </c>
      <c r="E14" s="55">
        <v>46125</v>
      </c>
      <c r="F14" s="26" t="s">
        <v>948</v>
      </c>
      <c r="G14" s="26" t="s">
        <v>58</v>
      </c>
      <c r="H14" s="26" t="s">
        <v>56</v>
      </c>
      <c r="I14" s="26" t="s">
        <v>70</v>
      </c>
      <c r="J14" s="26" t="s">
        <v>58</v>
      </c>
      <c r="K14" s="27"/>
      <c r="L14" s="28" t="s">
        <v>56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4324</v>
      </c>
      <c r="C15" s="25" t="s">
        <v>4325</v>
      </c>
      <c r="D15" s="23" t="s">
        <v>4305</v>
      </c>
      <c r="E15" s="55">
        <v>46125</v>
      </c>
      <c r="F15" s="26" t="s">
        <v>948</v>
      </c>
      <c r="G15" s="26" t="s">
        <v>58</v>
      </c>
      <c r="H15" s="26" t="s">
        <v>56</v>
      </c>
      <c r="I15" s="26" t="s">
        <v>70</v>
      </c>
      <c r="J15" s="26" t="s">
        <v>58</v>
      </c>
      <c r="K15" s="27"/>
      <c r="L15" s="28" t="s">
        <v>56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</sheetData>
  <autoFilter ref="A4:AW4" xr:uid="{00000000-0009-0000-0000-000007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15">
    <cfRule type="expression" dxfId="343" priority="47">
      <formula>MOD(ROW(),2)=0</formula>
    </cfRule>
  </conditionalFormatting>
  <conditionalFormatting sqref="G5:G15">
    <cfRule type="expression" dxfId="342" priority="7">
      <formula>G5="No"</formula>
    </cfRule>
    <cfRule type="expression" dxfId="341" priority="6">
      <formula>G5="Yes"</formula>
    </cfRule>
  </conditionalFormatting>
  <conditionalFormatting sqref="H5:H15">
    <cfRule type="expression" dxfId="340" priority="8">
      <formula>H5="Yes"</formula>
    </cfRule>
  </conditionalFormatting>
  <conditionalFormatting sqref="J5:J15">
    <cfRule type="expression" dxfId="339" priority="9">
      <formula>J5="Yes"</formula>
    </cfRule>
    <cfRule type="expression" dxfId="338" priority="10">
      <formula>J5="No"</formula>
    </cfRule>
  </conditionalFormatting>
  <conditionalFormatting sqref="M5:M15">
    <cfRule type="expression" dxfId="337" priority="3">
      <formula>M5="❌ Disc"</formula>
    </cfRule>
    <cfRule type="expression" dxfId="336" priority="4">
      <formula>M5="⚠ Missing"</formula>
    </cfRule>
    <cfRule type="expression" dxfId="335" priority="5">
      <formula>M5="⚠ Check"</formula>
    </cfRule>
    <cfRule type="expression" dxfId="334" priority="2">
      <formula>M5="✓ OK"</formula>
    </cfRule>
  </conditionalFormatting>
  <conditionalFormatting sqref="P5:P15">
    <cfRule type="expression" dxfId="333" priority="15">
      <formula>P5="Yes"</formula>
    </cfRule>
    <cfRule type="expression" dxfId="332" priority="16">
      <formula>P5="No"</formula>
    </cfRule>
  </conditionalFormatting>
  <conditionalFormatting sqref="Q5:Q15">
    <cfRule type="expression" dxfId="331" priority="17">
      <formula>Q5="Yes"</formula>
    </cfRule>
  </conditionalFormatting>
  <conditionalFormatting sqref="S5:S15">
    <cfRule type="expression" dxfId="330" priority="18">
      <formula>S5="Yes"</formula>
    </cfRule>
    <cfRule type="expression" dxfId="329" priority="19">
      <formula>S5="No"</formula>
    </cfRule>
  </conditionalFormatting>
  <conditionalFormatting sqref="V5:V15">
    <cfRule type="expression" dxfId="328" priority="11">
      <formula>V5="✓ OK"</formula>
    </cfRule>
    <cfRule type="expression" dxfId="327" priority="12">
      <formula>V5="❌ Disc"</formula>
    </cfRule>
    <cfRule type="expression" dxfId="326" priority="13">
      <formula>V5="⚠ Missing"</formula>
    </cfRule>
    <cfRule type="expression" dxfId="325" priority="14">
      <formula>V5="⚠ Check"</formula>
    </cfRule>
  </conditionalFormatting>
  <conditionalFormatting sqref="Y5:Y15">
    <cfRule type="expression" dxfId="324" priority="25">
      <formula>Y5="No"</formula>
    </cfRule>
    <cfRule type="expression" dxfId="323" priority="24">
      <formula>Y5="Yes"</formula>
    </cfRule>
  </conditionalFormatting>
  <conditionalFormatting sqref="Z5:Z15">
    <cfRule type="expression" dxfId="322" priority="26">
      <formula>Z5="Yes"</formula>
    </cfRule>
  </conditionalFormatting>
  <conditionalFormatting sqref="AB5:AB15">
    <cfRule type="expression" dxfId="321" priority="27">
      <formula>AB5="Yes"</formula>
    </cfRule>
    <cfRule type="expression" dxfId="320" priority="28">
      <formula>AB5="No"</formula>
    </cfRule>
  </conditionalFormatting>
  <conditionalFormatting sqref="AE5:AE15">
    <cfRule type="expression" dxfId="319" priority="21">
      <formula>AE5="❌ Disc"</formula>
    </cfRule>
    <cfRule type="expression" dxfId="318" priority="22">
      <formula>AE5="⚠ Missing"</formula>
    </cfRule>
    <cfRule type="expression" dxfId="317" priority="23">
      <formula>AE5="⚠ Check"</formula>
    </cfRule>
    <cfRule type="expression" dxfId="316" priority="20">
      <formula>AE5="✓ OK"</formula>
    </cfRule>
  </conditionalFormatting>
  <conditionalFormatting sqref="AH5:AH15">
    <cfRule type="expression" dxfId="315" priority="33">
      <formula>AH5="Yes"</formula>
    </cfRule>
    <cfRule type="expression" dxfId="314" priority="34">
      <formula>AH5="No"</formula>
    </cfRule>
  </conditionalFormatting>
  <conditionalFormatting sqref="AI5:AI15">
    <cfRule type="expression" dxfId="313" priority="35">
      <formula>AI5="Yes"</formula>
    </cfRule>
  </conditionalFormatting>
  <conditionalFormatting sqref="AK5:AK15">
    <cfRule type="expression" dxfId="312" priority="36">
      <formula>AK5="Yes"</formula>
    </cfRule>
    <cfRule type="expression" dxfId="311" priority="37">
      <formula>AK5="No"</formula>
    </cfRule>
  </conditionalFormatting>
  <conditionalFormatting sqref="AN5:AN15">
    <cfRule type="expression" dxfId="310" priority="30">
      <formula>AN5="❌ Disc"</formula>
    </cfRule>
    <cfRule type="expression" dxfId="309" priority="31">
      <formula>AN5="⚠ Missing"</formula>
    </cfRule>
    <cfRule type="expression" dxfId="308" priority="32">
      <formula>AN5="⚠ Check"</formula>
    </cfRule>
    <cfRule type="expression" dxfId="307" priority="29">
      <formula>AN5="✓ OK"</formula>
    </cfRule>
  </conditionalFormatting>
  <conditionalFormatting sqref="AQ5:AQ15">
    <cfRule type="expression" dxfId="306" priority="43">
      <formula>AQ5="No"</formula>
    </cfRule>
    <cfRule type="expression" dxfId="305" priority="42">
      <formula>AQ5="Yes"</formula>
    </cfRule>
  </conditionalFormatting>
  <conditionalFormatting sqref="AR5:AR15">
    <cfRule type="expression" dxfId="304" priority="44">
      <formula>AR5="Yes"</formula>
    </cfRule>
  </conditionalFormatting>
  <conditionalFormatting sqref="AT5:AT15">
    <cfRule type="expression" dxfId="303" priority="45">
      <formula>AT5="Yes"</formula>
    </cfRule>
    <cfRule type="expression" dxfId="302" priority="46">
      <formula>AT5="No"</formula>
    </cfRule>
  </conditionalFormatting>
  <conditionalFormatting sqref="AW5:AW15">
    <cfRule type="expression" dxfId="301" priority="38">
      <formula>AW5="✓ OK"</formula>
    </cfRule>
    <cfRule type="expression" dxfId="300" priority="39">
      <formula>AW5="❌ Disc"</formula>
    </cfRule>
    <cfRule type="expression" dxfId="299" priority="40">
      <formula>AW5="⚠ Missing"</formula>
    </cfRule>
    <cfRule type="expression" dxfId="298" priority="41">
      <formula>AW5="⚠ Check"</formula>
    </cfRule>
  </conditionalFormatting>
  <dataValidations count="2">
    <dataValidation type="list" allowBlank="1" sqref="AS5:AS15 R5:R15 AA5:AA15 AJ5:AJ15 I5:I15" xr:uid="{00000000-0002-0000-0700-000000000000}">
      <formula1>"Good finish,Minor defect,Major defect,Discontinued,Not Available"</formula1>
      <formula2>0</formula2>
    </dataValidation>
    <dataValidation type="list" allowBlank="1" sqref="AT5:AT15 G5:H15 P5:Q15 S5:S15 Y5:Z15 AB5:AB15 AH5:AI15 AK5:AK15 AQ5:AR15 J5:J15" xr:uid="{00000000-0002-0000-07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FF"/>
  </sheetPr>
  <dimension ref="A1:AW39"/>
  <sheetViews>
    <sheetView zoomScaleNormal="100"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G13" sqref="G13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4" t="s">
        <v>4326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</row>
    <row r="2" spans="1:49" ht="15" customHeight="1" x14ac:dyDescent="0.3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85"/>
      <c r="AT2" s="85"/>
      <c r="AU2" s="85"/>
      <c r="AV2" s="85"/>
      <c r="AW2" s="85"/>
    </row>
    <row r="3" spans="1:49" ht="19.5" customHeight="1" x14ac:dyDescent="0.3">
      <c r="A3" s="22"/>
      <c r="B3" s="22"/>
      <c r="C3" s="22"/>
      <c r="D3" s="22"/>
      <c r="E3" s="86" t="s">
        <v>34</v>
      </c>
      <c r="F3" s="86"/>
      <c r="G3" s="86"/>
      <c r="H3" s="86"/>
      <c r="I3" s="86"/>
      <c r="J3" s="86"/>
      <c r="K3" s="86"/>
      <c r="L3" s="86"/>
      <c r="M3" s="86"/>
      <c r="N3" s="87" t="s">
        <v>35</v>
      </c>
      <c r="O3" s="87"/>
      <c r="P3" s="87"/>
      <c r="Q3" s="87"/>
      <c r="R3" s="87"/>
      <c r="S3" s="87"/>
      <c r="T3" s="87"/>
      <c r="U3" s="87"/>
      <c r="V3" s="87"/>
      <c r="W3" s="88" t="s">
        <v>36</v>
      </c>
      <c r="X3" s="88"/>
      <c r="Y3" s="88"/>
      <c r="Z3" s="88"/>
      <c r="AA3" s="88"/>
      <c r="AB3" s="88"/>
      <c r="AC3" s="88"/>
      <c r="AD3" s="88"/>
      <c r="AE3" s="88"/>
      <c r="AF3" s="89" t="s">
        <v>37</v>
      </c>
      <c r="AG3" s="89"/>
      <c r="AH3" s="89"/>
      <c r="AI3" s="89"/>
      <c r="AJ3" s="89"/>
      <c r="AK3" s="89"/>
      <c r="AL3" s="89"/>
      <c r="AM3" s="89"/>
      <c r="AN3" s="89"/>
      <c r="AO3" s="90" t="s">
        <v>38</v>
      </c>
      <c r="AP3" s="90"/>
      <c r="AQ3" s="90"/>
      <c r="AR3" s="90"/>
      <c r="AS3" s="90"/>
      <c r="AT3" s="90"/>
      <c r="AU3" s="90"/>
      <c r="AV3" s="90"/>
      <c r="AW3" s="90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4327</v>
      </c>
      <c r="C5" s="25" t="s">
        <v>4328</v>
      </c>
      <c r="D5" s="23" t="s">
        <v>947</v>
      </c>
      <c r="E5" s="55">
        <v>46125</v>
      </c>
      <c r="F5" s="26" t="s">
        <v>4329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:M39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4330</v>
      </c>
      <c r="C6" s="44" t="s">
        <v>4331</v>
      </c>
      <c r="D6" s="42" t="s">
        <v>947</v>
      </c>
      <c r="E6" s="55">
        <v>46125</v>
      </c>
      <c r="F6" s="26" t="s">
        <v>4329</v>
      </c>
      <c r="G6" s="26" t="s">
        <v>56</v>
      </c>
      <c r="H6" s="26" t="s">
        <v>56</v>
      </c>
      <c r="I6" s="26" t="s">
        <v>57</v>
      </c>
      <c r="J6" s="26" t="s">
        <v>56</v>
      </c>
      <c r="K6" s="27"/>
      <c r="L6" s="28" t="s">
        <v>58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4332</v>
      </c>
      <c r="C7" s="25" t="s">
        <v>4333</v>
      </c>
      <c r="D7" s="23" t="s">
        <v>947</v>
      </c>
      <c r="E7" s="55">
        <v>46125</v>
      </c>
      <c r="F7" s="26" t="s">
        <v>4329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4334</v>
      </c>
      <c r="C8" s="44" t="s">
        <v>4335</v>
      </c>
      <c r="D8" s="42" t="s">
        <v>947</v>
      </c>
      <c r="E8" s="55">
        <v>46125</v>
      </c>
      <c r="F8" s="26" t="s">
        <v>4329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4336</v>
      </c>
      <c r="C9" s="25" t="s">
        <v>4337</v>
      </c>
      <c r="D9" s="23" t="s">
        <v>947</v>
      </c>
      <c r="E9" s="55">
        <v>46125</v>
      </c>
      <c r="F9" s="26" t="s">
        <v>4329</v>
      </c>
      <c r="G9" s="26" t="s">
        <v>56</v>
      </c>
      <c r="H9" s="26" t="s">
        <v>56</v>
      </c>
      <c r="I9" s="26" t="s">
        <v>57</v>
      </c>
      <c r="J9" s="26" t="s">
        <v>56</v>
      </c>
      <c r="K9" s="27"/>
      <c r="L9" s="28" t="s">
        <v>58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4338</v>
      </c>
      <c r="C10" s="44" t="s">
        <v>4339</v>
      </c>
      <c r="D10" s="42" t="s">
        <v>947</v>
      </c>
      <c r="E10" s="55">
        <v>46125</v>
      </c>
      <c r="F10" s="26" t="s">
        <v>4329</v>
      </c>
      <c r="G10" s="26" t="s">
        <v>56</v>
      </c>
      <c r="H10" s="26" t="s">
        <v>56</v>
      </c>
      <c r="I10" s="26" t="s">
        <v>57</v>
      </c>
      <c r="J10" s="26" t="s">
        <v>56</v>
      </c>
      <c r="K10" s="27"/>
      <c r="L10" s="28" t="s">
        <v>58</v>
      </c>
      <c r="M10" s="29" t="str">
        <f t="shared" si="0"/>
        <v>⚠ Missing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4340</v>
      </c>
      <c r="C11" s="25" t="s">
        <v>4341</v>
      </c>
      <c r="D11" s="23" t="s">
        <v>947</v>
      </c>
      <c r="E11" s="55">
        <v>46125</v>
      </c>
      <c r="F11" s="26" t="s">
        <v>4329</v>
      </c>
      <c r="G11" s="26" t="s">
        <v>56</v>
      </c>
      <c r="H11" s="26" t="s">
        <v>56</v>
      </c>
      <c r="I11" s="26" t="s">
        <v>57</v>
      </c>
      <c r="J11" s="26" t="s">
        <v>56</v>
      </c>
      <c r="K11" s="27"/>
      <c r="L11" s="28" t="s">
        <v>58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4342</v>
      </c>
      <c r="C12" s="44" t="s">
        <v>4343</v>
      </c>
      <c r="D12" s="42" t="s">
        <v>947</v>
      </c>
      <c r="E12" s="55">
        <v>46125</v>
      </c>
      <c r="F12" s="26" t="s">
        <v>4329</v>
      </c>
      <c r="G12" s="26" t="s">
        <v>56</v>
      </c>
      <c r="H12" s="26" t="s">
        <v>56</v>
      </c>
      <c r="I12" s="26" t="s">
        <v>57</v>
      </c>
      <c r="J12" s="26" t="s">
        <v>56</v>
      </c>
      <c r="K12" s="27"/>
      <c r="L12" s="28" t="s">
        <v>58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4344</v>
      </c>
      <c r="C13" s="25" t="s">
        <v>4345</v>
      </c>
      <c r="D13" s="23" t="s">
        <v>4305</v>
      </c>
      <c r="E13" s="55">
        <v>46125</v>
      </c>
      <c r="F13" s="26" t="s">
        <v>4329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4346</v>
      </c>
      <c r="C14" s="44" t="s">
        <v>4347</v>
      </c>
      <c r="D14" s="42" t="s">
        <v>4305</v>
      </c>
      <c r="E14" s="55">
        <v>46125</v>
      </c>
      <c r="F14" s="26" t="s">
        <v>4329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4348</v>
      </c>
      <c r="C15" s="25" t="s">
        <v>4349</v>
      </c>
      <c r="D15" s="23" t="s">
        <v>4305</v>
      </c>
      <c r="E15" s="55">
        <v>46125</v>
      </c>
      <c r="F15" s="26" t="s">
        <v>4329</v>
      </c>
      <c r="G15" s="26" t="s">
        <v>56</v>
      </c>
      <c r="H15" s="26" t="s">
        <v>56</v>
      </c>
      <c r="I15" s="26" t="s">
        <v>57</v>
      </c>
      <c r="J15" s="26" t="s">
        <v>56</v>
      </c>
      <c r="K15" s="27"/>
      <c r="L15" s="28" t="s">
        <v>58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4350</v>
      </c>
      <c r="C16" s="44" t="s">
        <v>4351</v>
      </c>
      <c r="D16" s="42" t="s">
        <v>4305</v>
      </c>
      <c r="E16" s="55">
        <v>46125</v>
      </c>
      <c r="F16" s="26" t="s">
        <v>4329</v>
      </c>
      <c r="G16" s="26" t="s">
        <v>56</v>
      </c>
      <c r="H16" s="26" t="s">
        <v>56</v>
      </c>
      <c r="I16" s="26" t="s">
        <v>57</v>
      </c>
      <c r="J16" s="26" t="s">
        <v>56</v>
      </c>
      <c r="K16" s="27"/>
      <c r="L16" s="28" t="s">
        <v>58</v>
      </c>
      <c r="M16" s="29" t="str">
        <f t="shared" si="0"/>
        <v>⚠ Missing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4352</v>
      </c>
      <c r="C17" s="25" t="s">
        <v>4353</v>
      </c>
      <c r="D17" s="23" t="s">
        <v>4305</v>
      </c>
      <c r="E17" s="55">
        <v>46125</v>
      </c>
      <c r="F17" s="26" t="s">
        <v>4329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4354</v>
      </c>
      <c r="C18" s="44" t="s">
        <v>4355</v>
      </c>
      <c r="D18" s="42" t="s">
        <v>4305</v>
      </c>
      <c r="E18" s="55">
        <v>46125</v>
      </c>
      <c r="F18" s="26" t="s">
        <v>4329</v>
      </c>
      <c r="G18" s="26" t="s">
        <v>58</v>
      </c>
      <c r="H18" s="26" t="s">
        <v>56</v>
      </c>
      <c r="I18" s="26" t="s">
        <v>70</v>
      </c>
      <c r="J18" s="26" t="s">
        <v>58</v>
      </c>
      <c r="K18" s="27"/>
      <c r="L18" s="28" t="s">
        <v>56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4356</v>
      </c>
      <c r="C19" s="25" t="s">
        <v>4357</v>
      </c>
      <c r="D19" s="23" t="s">
        <v>4305</v>
      </c>
      <c r="E19" s="55">
        <v>46125</v>
      </c>
      <c r="F19" s="26" t="s">
        <v>4329</v>
      </c>
      <c r="G19" s="26" t="s">
        <v>56</v>
      </c>
      <c r="H19" s="26" t="s">
        <v>56</v>
      </c>
      <c r="I19" s="26" t="s">
        <v>57</v>
      </c>
      <c r="J19" s="26" t="s">
        <v>56</v>
      </c>
      <c r="K19" s="27"/>
      <c r="L19" s="28" t="s">
        <v>58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4358</v>
      </c>
      <c r="C20" s="44" t="s">
        <v>4359</v>
      </c>
      <c r="D20" s="42" t="s">
        <v>4305</v>
      </c>
      <c r="E20" s="55">
        <v>46125</v>
      </c>
      <c r="F20" s="26" t="s">
        <v>4329</v>
      </c>
      <c r="G20" s="26" t="s">
        <v>58</v>
      </c>
      <c r="H20" s="26" t="s">
        <v>56</v>
      </c>
      <c r="I20" s="26" t="s">
        <v>70</v>
      </c>
      <c r="J20" s="26" t="s">
        <v>58</v>
      </c>
      <c r="K20" s="27"/>
      <c r="L20" s="28" t="s">
        <v>56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4360</v>
      </c>
      <c r="C21" s="25" t="s">
        <v>4361</v>
      </c>
      <c r="D21" s="23" t="s">
        <v>4305</v>
      </c>
      <c r="E21" s="55">
        <v>46125</v>
      </c>
      <c r="F21" s="26" t="s">
        <v>4329</v>
      </c>
      <c r="G21" s="26" t="s">
        <v>58</v>
      </c>
      <c r="H21" s="26" t="s">
        <v>56</v>
      </c>
      <c r="I21" s="26" t="s">
        <v>70</v>
      </c>
      <c r="J21" s="26" t="s">
        <v>58</v>
      </c>
      <c r="K21" s="27"/>
      <c r="L21" s="28" t="s">
        <v>56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4362</v>
      </c>
      <c r="C22" s="44" t="s">
        <v>4363</v>
      </c>
      <c r="D22" s="42" t="s">
        <v>4305</v>
      </c>
      <c r="E22" s="55">
        <v>46125</v>
      </c>
      <c r="F22" s="26" t="s">
        <v>4329</v>
      </c>
      <c r="G22" s="26" t="s">
        <v>58</v>
      </c>
      <c r="H22" s="26" t="s">
        <v>56</v>
      </c>
      <c r="I22" s="26" t="s">
        <v>70</v>
      </c>
      <c r="J22" s="26" t="s">
        <v>58</v>
      </c>
      <c r="K22" s="27"/>
      <c r="L22" s="28" t="s">
        <v>56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4364</v>
      </c>
      <c r="C23" s="25" t="s">
        <v>4365</v>
      </c>
      <c r="D23" s="23" t="s">
        <v>4305</v>
      </c>
      <c r="E23" s="55">
        <v>46125</v>
      </c>
      <c r="F23" s="26" t="s">
        <v>4329</v>
      </c>
      <c r="G23" s="26" t="s">
        <v>58</v>
      </c>
      <c r="H23" s="26" t="s">
        <v>56</v>
      </c>
      <c r="I23" s="26" t="s">
        <v>70</v>
      </c>
      <c r="J23" s="26" t="s">
        <v>58</v>
      </c>
      <c r="K23" s="27"/>
      <c r="L23" s="28" t="s">
        <v>56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4366</v>
      </c>
      <c r="C24" s="44" t="s">
        <v>4367</v>
      </c>
      <c r="D24" s="42" t="s">
        <v>4305</v>
      </c>
      <c r="E24" s="55">
        <v>46125</v>
      </c>
      <c r="F24" s="26" t="s">
        <v>4329</v>
      </c>
      <c r="G24" s="26" t="s">
        <v>58</v>
      </c>
      <c r="H24" s="26" t="s">
        <v>56</v>
      </c>
      <c r="I24" s="26" t="s">
        <v>70</v>
      </c>
      <c r="J24" s="26" t="s">
        <v>58</v>
      </c>
      <c r="K24" s="27"/>
      <c r="L24" s="28" t="s">
        <v>56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4368</v>
      </c>
      <c r="C25" s="25" t="s">
        <v>4369</v>
      </c>
      <c r="D25" s="23" t="s">
        <v>4305</v>
      </c>
      <c r="E25" s="55">
        <v>46125</v>
      </c>
      <c r="F25" s="26" t="s">
        <v>4329</v>
      </c>
      <c r="G25" s="26" t="s">
        <v>58</v>
      </c>
      <c r="H25" s="26" t="s">
        <v>56</v>
      </c>
      <c r="I25" s="26" t="s">
        <v>70</v>
      </c>
      <c r="J25" s="26" t="s">
        <v>58</v>
      </c>
      <c r="K25" s="27"/>
      <c r="L25" s="28" t="s">
        <v>56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4370</v>
      </c>
      <c r="C26" s="44" t="s">
        <v>4371</v>
      </c>
      <c r="D26" s="42" t="s">
        <v>4305</v>
      </c>
      <c r="E26" s="55">
        <v>46125</v>
      </c>
      <c r="F26" s="26" t="s">
        <v>4329</v>
      </c>
      <c r="G26" s="26" t="s">
        <v>58</v>
      </c>
      <c r="H26" s="26" t="s">
        <v>56</v>
      </c>
      <c r="I26" s="26" t="s">
        <v>70</v>
      </c>
      <c r="J26" s="26" t="s">
        <v>58</v>
      </c>
      <c r="K26" s="27"/>
      <c r="L26" s="28" t="s">
        <v>56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4372</v>
      </c>
      <c r="C27" s="25" t="s">
        <v>4373</v>
      </c>
      <c r="D27" s="23" t="s">
        <v>4305</v>
      </c>
      <c r="E27" s="55">
        <v>46125</v>
      </c>
      <c r="F27" s="26" t="s">
        <v>4329</v>
      </c>
      <c r="G27" s="26" t="s">
        <v>56</v>
      </c>
      <c r="H27" s="26" t="s">
        <v>56</v>
      </c>
      <c r="I27" s="26" t="s">
        <v>57</v>
      </c>
      <c r="J27" s="26" t="s">
        <v>56</v>
      </c>
      <c r="K27" s="27"/>
      <c r="L27" s="28" t="s">
        <v>58</v>
      </c>
      <c r="M27" s="29" t="str">
        <f t="shared" si="0"/>
        <v>⚠ Missing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4374</v>
      </c>
      <c r="C28" s="44" t="s">
        <v>4375</v>
      </c>
      <c r="D28" s="42" t="s">
        <v>4305</v>
      </c>
      <c r="E28" s="55">
        <v>46125</v>
      </c>
      <c r="F28" s="26" t="s">
        <v>4329</v>
      </c>
      <c r="G28" s="26" t="s">
        <v>58</v>
      </c>
      <c r="H28" s="26" t="s">
        <v>56</v>
      </c>
      <c r="I28" s="26" t="s">
        <v>70</v>
      </c>
      <c r="J28" s="26" t="s">
        <v>58</v>
      </c>
      <c r="K28" s="27"/>
      <c r="L28" s="28" t="s">
        <v>56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4376</v>
      </c>
      <c r="C29" s="25" t="s">
        <v>4377</v>
      </c>
      <c r="D29" s="23" t="s">
        <v>4305</v>
      </c>
      <c r="E29" s="55">
        <v>46125</v>
      </c>
      <c r="F29" s="26" t="s">
        <v>4329</v>
      </c>
      <c r="G29" s="26" t="s">
        <v>58</v>
      </c>
      <c r="H29" s="26" t="s">
        <v>56</v>
      </c>
      <c r="I29" s="26" t="s">
        <v>70</v>
      </c>
      <c r="J29" s="26" t="s">
        <v>58</v>
      </c>
      <c r="K29" s="27"/>
      <c r="L29" s="28" t="s">
        <v>56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4378</v>
      </c>
      <c r="C30" s="44" t="s">
        <v>4379</v>
      </c>
      <c r="D30" s="42" t="s">
        <v>4305</v>
      </c>
      <c r="E30" s="55">
        <v>46125</v>
      </c>
      <c r="F30" s="26" t="s">
        <v>4329</v>
      </c>
      <c r="G30" s="26" t="s">
        <v>58</v>
      </c>
      <c r="H30" s="26" t="s">
        <v>56</v>
      </c>
      <c r="I30" s="26" t="s">
        <v>70</v>
      </c>
      <c r="J30" s="26" t="s">
        <v>58</v>
      </c>
      <c r="K30" s="27"/>
      <c r="L30" s="28" t="s">
        <v>56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4380</v>
      </c>
      <c r="C31" s="25" t="s">
        <v>4381</v>
      </c>
      <c r="D31" s="23" t="s">
        <v>4305</v>
      </c>
      <c r="E31" s="55">
        <v>46125</v>
      </c>
      <c r="F31" s="26" t="s">
        <v>4329</v>
      </c>
      <c r="G31" s="26" t="s">
        <v>56</v>
      </c>
      <c r="H31" s="26" t="s">
        <v>56</v>
      </c>
      <c r="I31" s="26" t="s">
        <v>57</v>
      </c>
      <c r="J31" s="26" t="s">
        <v>56</v>
      </c>
      <c r="K31" s="27"/>
      <c r="L31" s="28" t="s">
        <v>58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4382</v>
      </c>
      <c r="C32" s="44" t="s">
        <v>4383</v>
      </c>
      <c r="D32" s="42" t="s">
        <v>4305</v>
      </c>
      <c r="E32" s="55">
        <v>46125</v>
      </c>
      <c r="F32" s="26" t="s">
        <v>4329</v>
      </c>
      <c r="G32" s="26" t="s">
        <v>58</v>
      </c>
      <c r="H32" s="26" t="s">
        <v>56</v>
      </c>
      <c r="I32" s="26" t="s">
        <v>70</v>
      </c>
      <c r="J32" s="26" t="s">
        <v>58</v>
      </c>
      <c r="K32" s="27"/>
      <c r="L32" s="28" t="s">
        <v>56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4384</v>
      </c>
      <c r="C33" s="25" t="s">
        <v>4385</v>
      </c>
      <c r="D33" s="23" t="s">
        <v>4305</v>
      </c>
      <c r="E33" s="55">
        <v>46125</v>
      </c>
      <c r="F33" s="26" t="s">
        <v>4329</v>
      </c>
      <c r="G33" s="26" t="s">
        <v>58</v>
      </c>
      <c r="H33" s="26" t="s">
        <v>56</v>
      </c>
      <c r="I33" s="26" t="s">
        <v>70</v>
      </c>
      <c r="J33" s="26" t="s">
        <v>58</v>
      </c>
      <c r="K33" s="27"/>
      <c r="L33" s="28" t="s">
        <v>56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4386</v>
      </c>
      <c r="C34" s="44" t="s">
        <v>4387</v>
      </c>
      <c r="D34" s="42" t="s">
        <v>4305</v>
      </c>
      <c r="E34" s="55">
        <v>46125</v>
      </c>
      <c r="F34" s="26" t="s">
        <v>4329</v>
      </c>
      <c r="G34" s="26" t="s">
        <v>56</v>
      </c>
      <c r="H34" s="26" t="s">
        <v>56</v>
      </c>
      <c r="I34" s="26" t="s">
        <v>57</v>
      </c>
      <c r="J34" s="26" t="s">
        <v>56</v>
      </c>
      <c r="K34" s="27"/>
      <c r="L34" s="28" t="s">
        <v>58</v>
      </c>
      <c r="M34" s="29" t="str">
        <f t="shared" si="0"/>
        <v>⚠ Missing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4388</v>
      </c>
      <c r="C35" s="25" t="s">
        <v>4389</v>
      </c>
      <c r="D35" s="23" t="s">
        <v>4305</v>
      </c>
      <c r="E35" s="55">
        <v>46125</v>
      </c>
      <c r="F35" s="26" t="s">
        <v>4329</v>
      </c>
      <c r="G35" s="26" t="s">
        <v>58</v>
      </c>
      <c r="H35" s="26" t="s">
        <v>56</v>
      </c>
      <c r="I35" s="26" t="s">
        <v>70</v>
      </c>
      <c r="J35" s="26" t="s">
        <v>58</v>
      </c>
      <c r="K35" s="27"/>
      <c r="L35" s="28" t="s">
        <v>56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4390</v>
      </c>
      <c r="C36" s="44" t="s">
        <v>4391</v>
      </c>
      <c r="D36" s="42" t="s">
        <v>4305</v>
      </c>
      <c r="E36" s="55">
        <v>46125</v>
      </c>
      <c r="F36" s="26" t="s">
        <v>4329</v>
      </c>
      <c r="G36" s="26" t="s">
        <v>56</v>
      </c>
      <c r="H36" s="26" t="s">
        <v>56</v>
      </c>
      <c r="I36" s="26" t="s">
        <v>57</v>
      </c>
      <c r="J36" s="26" t="s">
        <v>56</v>
      </c>
      <c r="K36" s="27"/>
      <c r="L36" s="28" t="s">
        <v>58</v>
      </c>
      <c r="M36" s="29" t="str">
        <f t="shared" si="0"/>
        <v>⚠ Missing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4392</v>
      </c>
      <c r="C37" s="25" t="s">
        <v>4393</v>
      </c>
      <c r="D37" s="23" t="s">
        <v>4305</v>
      </c>
      <c r="E37" s="55">
        <v>46125</v>
      </c>
      <c r="F37" s="26" t="s">
        <v>4329</v>
      </c>
      <c r="G37" s="26" t="s">
        <v>58</v>
      </c>
      <c r="H37" s="26" t="s">
        <v>56</v>
      </c>
      <c r="I37" s="26" t="s">
        <v>70</v>
      </c>
      <c r="J37" s="26" t="s">
        <v>58</v>
      </c>
      <c r="K37" s="27"/>
      <c r="L37" s="28" t="s">
        <v>56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4394</v>
      </c>
      <c r="C38" s="44" t="s">
        <v>4395</v>
      </c>
      <c r="D38" s="42" t="s">
        <v>4305</v>
      </c>
      <c r="E38" s="55">
        <v>46125</v>
      </c>
      <c r="F38" s="26" t="s">
        <v>4329</v>
      </c>
      <c r="G38" s="26" t="s">
        <v>58</v>
      </c>
      <c r="H38" s="26" t="s">
        <v>56</v>
      </c>
      <c r="I38" s="26" t="s">
        <v>70</v>
      </c>
      <c r="J38" s="26" t="s">
        <v>58</v>
      </c>
      <c r="K38" s="27"/>
      <c r="L38" s="28" t="s">
        <v>56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4396</v>
      </c>
      <c r="C39" s="25" t="s">
        <v>4397</v>
      </c>
      <c r="D39" s="23" t="s">
        <v>4305</v>
      </c>
      <c r="E39" s="55">
        <v>46125</v>
      </c>
      <c r="F39" s="26" t="s">
        <v>4329</v>
      </c>
      <c r="G39" s="26" t="s">
        <v>58</v>
      </c>
      <c r="H39" s="26" t="s">
        <v>56</v>
      </c>
      <c r="I39" s="26" t="s">
        <v>70</v>
      </c>
      <c r="J39" s="26" t="s">
        <v>58</v>
      </c>
      <c r="K39" s="27"/>
      <c r="L39" s="28" t="s">
        <v>56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39">
    <cfRule type="expression" dxfId="297" priority="47">
      <formula>MOD(ROW(),2)=0</formula>
    </cfRule>
  </conditionalFormatting>
  <conditionalFormatting sqref="G5:G39">
    <cfRule type="expression" dxfId="296" priority="7">
      <formula>G5="No"</formula>
    </cfRule>
    <cfRule type="expression" dxfId="295" priority="6">
      <formula>G5="Yes"</formula>
    </cfRule>
  </conditionalFormatting>
  <conditionalFormatting sqref="H5:H39">
    <cfRule type="expression" dxfId="294" priority="8">
      <formula>H5="Yes"</formula>
    </cfRule>
  </conditionalFormatting>
  <conditionalFormatting sqref="J5:J39">
    <cfRule type="expression" dxfId="293" priority="9">
      <formula>J5="Yes"</formula>
    </cfRule>
    <cfRule type="expression" dxfId="292" priority="10">
      <formula>J5="No"</formula>
    </cfRule>
  </conditionalFormatting>
  <conditionalFormatting sqref="M5:M39">
    <cfRule type="expression" dxfId="291" priority="3">
      <formula>M5="❌ Disc"</formula>
    </cfRule>
    <cfRule type="expression" dxfId="290" priority="4">
      <formula>M5="⚠ Missing"</formula>
    </cfRule>
    <cfRule type="expression" dxfId="289" priority="5">
      <formula>M5="⚠ Check"</formula>
    </cfRule>
    <cfRule type="expression" dxfId="288" priority="2">
      <formula>M5="✓ OK"</formula>
    </cfRule>
  </conditionalFormatting>
  <conditionalFormatting sqref="P5:P39">
    <cfRule type="expression" dxfId="287" priority="15">
      <formula>P5="Yes"</formula>
    </cfRule>
    <cfRule type="expression" dxfId="286" priority="16">
      <formula>P5="No"</formula>
    </cfRule>
  </conditionalFormatting>
  <conditionalFormatting sqref="Q5:Q39">
    <cfRule type="expression" dxfId="285" priority="17">
      <formula>Q5="Yes"</formula>
    </cfRule>
  </conditionalFormatting>
  <conditionalFormatting sqref="S5:S39">
    <cfRule type="expression" dxfId="284" priority="18">
      <formula>S5="Yes"</formula>
    </cfRule>
    <cfRule type="expression" dxfId="283" priority="19">
      <formula>S5="No"</formula>
    </cfRule>
  </conditionalFormatting>
  <conditionalFormatting sqref="V5:V39">
    <cfRule type="expression" dxfId="282" priority="11">
      <formula>V5="✓ OK"</formula>
    </cfRule>
    <cfRule type="expression" dxfId="281" priority="12">
      <formula>V5="❌ Disc"</formula>
    </cfRule>
    <cfRule type="expression" dxfId="280" priority="13">
      <formula>V5="⚠ Missing"</formula>
    </cfRule>
    <cfRule type="expression" dxfId="279" priority="14">
      <formula>V5="⚠ Check"</formula>
    </cfRule>
  </conditionalFormatting>
  <conditionalFormatting sqref="Y5:Y39">
    <cfRule type="expression" dxfId="278" priority="25">
      <formula>Y5="No"</formula>
    </cfRule>
    <cfRule type="expression" dxfId="277" priority="24">
      <formula>Y5="Yes"</formula>
    </cfRule>
  </conditionalFormatting>
  <conditionalFormatting sqref="Z5:Z39">
    <cfRule type="expression" dxfId="276" priority="26">
      <formula>Z5="Yes"</formula>
    </cfRule>
  </conditionalFormatting>
  <conditionalFormatting sqref="AB5:AB39">
    <cfRule type="expression" dxfId="275" priority="27">
      <formula>AB5="Yes"</formula>
    </cfRule>
    <cfRule type="expression" dxfId="274" priority="28">
      <formula>AB5="No"</formula>
    </cfRule>
  </conditionalFormatting>
  <conditionalFormatting sqref="AE5:AE39">
    <cfRule type="expression" dxfId="273" priority="21">
      <formula>AE5="❌ Disc"</formula>
    </cfRule>
    <cfRule type="expression" dxfId="272" priority="22">
      <formula>AE5="⚠ Missing"</formula>
    </cfRule>
    <cfRule type="expression" dxfId="271" priority="23">
      <formula>AE5="⚠ Check"</formula>
    </cfRule>
    <cfRule type="expression" dxfId="270" priority="20">
      <formula>AE5="✓ OK"</formula>
    </cfRule>
  </conditionalFormatting>
  <conditionalFormatting sqref="AH5:AH39">
    <cfRule type="expression" dxfId="269" priority="33">
      <formula>AH5="Yes"</formula>
    </cfRule>
    <cfRule type="expression" dxfId="268" priority="34">
      <formula>AH5="No"</formula>
    </cfRule>
  </conditionalFormatting>
  <conditionalFormatting sqref="AI5:AI39">
    <cfRule type="expression" dxfId="267" priority="35">
      <formula>AI5="Yes"</formula>
    </cfRule>
  </conditionalFormatting>
  <conditionalFormatting sqref="AK5:AK39">
    <cfRule type="expression" dxfId="266" priority="36">
      <formula>AK5="Yes"</formula>
    </cfRule>
    <cfRule type="expression" dxfId="265" priority="37">
      <formula>AK5="No"</formula>
    </cfRule>
  </conditionalFormatting>
  <conditionalFormatting sqref="AN5:AN39">
    <cfRule type="expression" dxfId="264" priority="30">
      <formula>AN5="❌ Disc"</formula>
    </cfRule>
    <cfRule type="expression" dxfId="263" priority="31">
      <formula>AN5="⚠ Missing"</formula>
    </cfRule>
    <cfRule type="expression" dxfId="262" priority="32">
      <formula>AN5="⚠ Check"</formula>
    </cfRule>
    <cfRule type="expression" dxfId="261" priority="29">
      <formula>AN5="✓ OK"</formula>
    </cfRule>
  </conditionalFormatting>
  <conditionalFormatting sqref="AQ5:AQ39">
    <cfRule type="expression" dxfId="260" priority="43">
      <formula>AQ5="No"</formula>
    </cfRule>
    <cfRule type="expression" dxfId="259" priority="42">
      <formula>AQ5="Yes"</formula>
    </cfRule>
  </conditionalFormatting>
  <conditionalFormatting sqref="AR5:AR39">
    <cfRule type="expression" dxfId="258" priority="44">
      <formula>AR5="Yes"</formula>
    </cfRule>
  </conditionalFormatting>
  <conditionalFormatting sqref="AT5:AT39">
    <cfRule type="expression" dxfId="257" priority="45">
      <formula>AT5="Yes"</formula>
    </cfRule>
    <cfRule type="expression" dxfId="256" priority="46">
      <formula>AT5="No"</formula>
    </cfRule>
  </conditionalFormatting>
  <conditionalFormatting sqref="AW5:AW39">
    <cfRule type="expression" dxfId="255" priority="38">
      <formula>AW5="✓ OK"</formula>
    </cfRule>
    <cfRule type="expression" dxfId="254" priority="39">
      <formula>AW5="❌ Disc"</formula>
    </cfRule>
    <cfRule type="expression" dxfId="253" priority="40">
      <formula>AW5="⚠ Missing"</formula>
    </cfRule>
    <cfRule type="expression" dxfId="252" priority="41">
      <formula>AW5="⚠ Check"</formula>
    </cfRule>
  </conditionalFormatting>
  <dataValidations count="2">
    <dataValidation type="list" allowBlank="1" sqref="AS5:AS39 R5:R39 AA5:AA39 AJ5:AJ39 I5:I39" xr:uid="{00000000-0002-0000-0900-000000000000}">
      <formula1>"Good finish,Minor defect,Major defect,Discontinued,Not Available"</formula1>
      <formula2>0</formula2>
    </dataValidation>
    <dataValidation type="list" allowBlank="1" sqref="J5:J39 AT5:AT39 P5:Q39 S5:S39 Y5:Z39 AB5:AB39 AH5:AI39 AK5:AK39 AQ5:AR39 G5:H39" xr:uid="{00000000-0002-0000-09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</sheetPr>
  <dimension ref="A1:AW80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7" sqref="G7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4" t="s">
        <v>4398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</row>
    <row r="2" spans="1:49" ht="15" customHeight="1" x14ac:dyDescent="0.3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85"/>
      <c r="AT2" s="85"/>
      <c r="AU2" s="85"/>
      <c r="AV2" s="85"/>
      <c r="AW2" s="85"/>
    </row>
    <row r="3" spans="1:49" ht="19.5" customHeight="1" x14ac:dyDescent="0.3">
      <c r="A3" s="22"/>
      <c r="B3" s="22"/>
      <c r="C3" s="22"/>
      <c r="D3" s="22"/>
      <c r="E3" s="86" t="s">
        <v>34</v>
      </c>
      <c r="F3" s="86"/>
      <c r="G3" s="86"/>
      <c r="H3" s="86"/>
      <c r="I3" s="86"/>
      <c r="J3" s="86"/>
      <c r="K3" s="86"/>
      <c r="L3" s="86"/>
      <c r="M3" s="86"/>
      <c r="N3" s="87" t="s">
        <v>35</v>
      </c>
      <c r="O3" s="87"/>
      <c r="P3" s="87"/>
      <c r="Q3" s="87"/>
      <c r="R3" s="87"/>
      <c r="S3" s="87"/>
      <c r="T3" s="87"/>
      <c r="U3" s="87"/>
      <c r="V3" s="87"/>
      <c r="W3" s="88" t="s">
        <v>36</v>
      </c>
      <c r="X3" s="88"/>
      <c r="Y3" s="88"/>
      <c r="Z3" s="88"/>
      <c r="AA3" s="88"/>
      <c r="AB3" s="88"/>
      <c r="AC3" s="88"/>
      <c r="AD3" s="88"/>
      <c r="AE3" s="88"/>
      <c r="AF3" s="89" t="s">
        <v>37</v>
      </c>
      <c r="AG3" s="89"/>
      <c r="AH3" s="89"/>
      <c r="AI3" s="89"/>
      <c r="AJ3" s="89"/>
      <c r="AK3" s="89"/>
      <c r="AL3" s="89"/>
      <c r="AM3" s="89"/>
      <c r="AN3" s="89"/>
      <c r="AO3" s="90" t="s">
        <v>38</v>
      </c>
      <c r="AP3" s="90"/>
      <c r="AQ3" s="90"/>
      <c r="AR3" s="90"/>
      <c r="AS3" s="90"/>
      <c r="AT3" s="90"/>
      <c r="AU3" s="90"/>
      <c r="AV3" s="90"/>
      <c r="AW3" s="90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43" t="s">
        <v>4450</v>
      </c>
      <c r="C5" s="44" t="s">
        <v>4451</v>
      </c>
      <c r="D5" s="42" t="s">
        <v>21</v>
      </c>
      <c r="E5" s="55">
        <v>46125</v>
      </c>
      <c r="F5" s="26" t="s">
        <v>55</v>
      </c>
      <c r="G5" s="26" t="s">
        <v>4401</v>
      </c>
      <c r="H5" s="26" t="s">
        <v>56</v>
      </c>
      <c r="I5" s="26" t="s">
        <v>4401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24" t="s">
        <v>4500</v>
      </c>
      <c r="C6" s="25" t="s">
        <v>4501</v>
      </c>
      <c r="D6" s="23" t="s">
        <v>21</v>
      </c>
      <c r="E6" s="55">
        <v>46125</v>
      </c>
      <c r="F6" s="26" t="s">
        <v>55</v>
      </c>
      <c r="G6" s="26" t="s">
        <v>4401</v>
      </c>
      <c r="H6" s="26" t="s">
        <v>56</v>
      </c>
      <c r="I6" s="26" t="s">
        <v>4401</v>
      </c>
      <c r="J6" s="26" t="s">
        <v>58</v>
      </c>
      <c r="K6" s="27"/>
      <c r="L6" s="28" t="s">
        <v>56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43" t="s">
        <v>4534</v>
      </c>
      <c r="C7" s="44" t="s">
        <v>4535</v>
      </c>
      <c r="D7" s="42" t="s">
        <v>21</v>
      </c>
      <c r="E7" s="55">
        <v>46125</v>
      </c>
      <c r="F7" s="26" t="s">
        <v>55</v>
      </c>
      <c r="G7" s="26" t="s">
        <v>58</v>
      </c>
      <c r="H7" s="26" t="s">
        <v>56</v>
      </c>
      <c r="I7" s="26" t="s">
        <v>70</v>
      </c>
      <c r="J7" s="26" t="s">
        <v>58</v>
      </c>
      <c r="K7" s="27"/>
      <c r="L7" s="28" t="s">
        <v>56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24" t="s">
        <v>4399</v>
      </c>
      <c r="C8" s="25" t="s">
        <v>4400</v>
      </c>
      <c r="D8" s="23" t="s">
        <v>21</v>
      </c>
      <c r="E8" s="55">
        <v>46125</v>
      </c>
      <c r="F8" s="26" t="s">
        <v>55</v>
      </c>
      <c r="G8" s="26" t="s">
        <v>4401</v>
      </c>
      <c r="H8" s="26" t="s">
        <v>56</v>
      </c>
      <c r="I8" s="26" t="s">
        <v>4401</v>
      </c>
      <c r="J8" s="26" t="s">
        <v>58</v>
      </c>
      <c r="K8" s="27"/>
      <c r="L8" s="28" t="s">
        <v>56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4408</v>
      </c>
      <c r="C9" s="25" t="s">
        <v>4409</v>
      </c>
      <c r="D9" s="23" t="s">
        <v>21</v>
      </c>
      <c r="E9" s="55">
        <v>46125</v>
      </c>
      <c r="F9" s="26" t="s">
        <v>55</v>
      </c>
      <c r="G9" s="26" t="s">
        <v>4401</v>
      </c>
      <c r="H9" s="26" t="s">
        <v>56</v>
      </c>
      <c r="I9" s="26" t="s">
        <v>4401</v>
      </c>
      <c r="J9" s="26" t="s">
        <v>58</v>
      </c>
      <c r="K9" s="27"/>
      <c r="L9" s="28" t="s">
        <v>56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4426</v>
      </c>
      <c r="C10" s="44" t="s">
        <v>4427</v>
      </c>
      <c r="D10" s="42" t="s">
        <v>21</v>
      </c>
      <c r="E10" s="55">
        <v>46125</v>
      </c>
      <c r="F10" s="26" t="s">
        <v>55</v>
      </c>
      <c r="G10" s="26" t="s">
        <v>58</v>
      </c>
      <c r="H10" s="26" t="s">
        <v>56</v>
      </c>
      <c r="I10" s="26" t="s">
        <v>70</v>
      </c>
      <c r="J10" s="26" t="s">
        <v>58</v>
      </c>
      <c r="K10" s="27"/>
      <c r="L10" s="28" t="s">
        <v>56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43" t="s">
        <v>4434</v>
      </c>
      <c r="C11" s="44" t="s">
        <v>4435</v>
      </c>
      <c r="D11" s="42" t="s">
        <v>21</v>
      </c>
      <c r="E11" s="55">
        <v>46125</v>
      </c>
      <c r="F11" s="26" t="s">
        <v>55</v>
      </c>
      <c r="G11" s="26" t="s">
        <v>4401</v>
      </c>
      <c r="H11" s="26" t="s">
        <v>56</v>
      </c>
      <c r="I11" s="26" t="s">
        <v>4401</v>
      </c>
      <c r="J11" s="26" t="s">
        <v>58</v>
      </c>
      <c r="K11" s="27"/>
      <c r="L11" s="28" t="s">
        <v>56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24" t="s">
        <v>4452</v>
      </c>
      <c r="C12" s="25" t="s">
        <v>4453</v>
      </c>
      <c r="D12" s="23" t="s">
        <v>21</v>
      </c>
      <c r="E12" s="55">
        <v>46125</v>
      </c>
      <c r="F12" s="26" t="s">
        <v>55</v>
      </c>
      <c r="G12" s="26" t="s">
        <v>4401</v>
      </c>
      <c r="H12" s="26" t="s">
        <v>56</v>
      </c>
      <c r="I12" s="26" t="s">
        <v>4401</v>
      </c>
      <c r="J12" s="26" t="s">
        <v>58</v>
      </c>
      <c r="K12" s="27"/>
      <c r="L12" s="28" t="s">
        <v>56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43" t="s">
        <v>4502</v>
      </c>
      <c r="C13" s="44" t="s">
        <v>4503</v>
      </c>
      <c r="D13" s="42" t="s">
        <v>21</v>
      </c>
      <c r="E13" s="55">
        <v>46125</v>
      </c>
      <c r="F13" s="26" t="s">
        <v>55</v>
      </c>
      <c r="G13" s="26" t="s">
        <v>4401</v>
      </c>
      <c r="H13" s="26" t="s">
        <v>56</v>
      </c>
      <c r="I13" s="26" t="s">
        <v>4401</v>
      </c>
      <c r="J13" s="26" t="s">
        <v>58</v>
      </c>
      <c r="K13" s="27"/>
      <c r="L13" s="28" t="s">
        <v>56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24" t="s">
        <v>4536</v>
      </c>
      <c r="C14" s="25" t="s">
        <v>4537</v>
      </c>
      <c r="D14" s="23" t="s">
        <v>21</v>
      </c>
      <c r="E14" s="55">
        <v>46125</v>
      </c>
      <c r="F14" s="26" t="s">
        <v>55</v>
      </c>
      <c r="G14" s="26" t="s">
        <v>4401</v>
      </c>
      <c r="H14" s="26" t="s">
        <v>56</v>
      </c>
      <c r="I14" s="26" t="s">
        <v>4401</v>
      </c>
      <c r="J14" s="26" t="s">
        <v>58</v>
      </c>
      <c r="K14" s="27"/>
      <c r="L14" s="28" t="s">
        <v>56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43" t="s">
        <v>4402</v>
      </c>
      <c r="C15" s="44" t="s">
        <v>4403</v>
      </c>
      <c r="D15" s="42" t="s">
        <v>21</v>
      </c>
      <c r="E15" s="55">
        <v>46125</v>
      </c>
      <c r="F15" s="26" t="s">
        <v>55</v>
      </c>
      <c r="G15" s="26" t="s">
        <v>4401</v>
      </c>
      <c r="H15" s="26" t="s">
        <v>56</v>
      </c>
      <c r="I15" s="26" t="s">
        <v>4401</v>
      </c>
      <c r="J15" s="26" t="s">
        <v>58</v>
      </c>
      <c r="K15" s="27"/>
      <c r="L15" s="28" t="s">
        <v>56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4410</v>
      </c>
      <c r="C16" s="44" t="s">
        <v>4411</v>
      </c>
      <c r="D16" s="42" t="s">
        <v>21</v>
      </c>
      <c r="E16" s="55">
        <v>46125</v>
      </c>
      <c r="F16" s="26" t="s">
        <v>55</v>
      </c>
      <c r="G16" s="26" t="s">
        <v>4401</v>
      </c>
      <c r="H16" s="26" t="s">
        <v>56</v>
      </c>
      <c r="I16" s="26" t="s">
        <v>4401</v>
      </c>
      <c r="J16" s="26" t="s">
        <v>58</v>
      </c>
      <c r="K16" s="27"/>
      <c r="L16" s="28" t="s">
        <v>56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4428</v>
      </c>
      <c r="C17" s="25" t="s">
        <v>4429</v>
      </c>
      <c r="D17" s="23" t="s">
        <v>21</v>
      </c>
      <c r="E17" s="55">
        <v>46125</v>
      </c>
      <c r="F17" s="26" t="s">
        <v>55</v>
      </c>
      <c r="G17" s="26" t="s">
        <v>4401</v>
      </c>
      <c r="H17" s="26" t="s">
        <v>56</v>
      </c>
      <c r="I17" s="26" t="s">
        <v>4401</v>
      </c>
      <c r="J17" s="26" t="s">
        <v>58</v>
      </c>
      <c r="K17" s="27"/>
      <c r="L17" s="28" t="s">
        <v>56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24" t="s">
        <v>4436</v>
      </c>
      <c r="C18" s="25" t="s">
        <v>4437</v>
      </c>
      <c r="D18" s="23" t="s">
        <v>21</v>
      </c>
      <c r="E18" s="55">
        <v>46125</v>
      </c>
      <c r="F18" s="26" t="s">
        <v>55</v>
      </c>
      <c r="G18" s="26" t="s">
        <v>58</v>
      </c>
      <c r="H18" s="26" t="s">
        <v>56</v>
      </c>
      <c r="I18" s="26" t="s">
        <v>70</v>
      </c>
      <c r="J18" s="26" t="s">
        <v>58</v>
      </c>
      <c r="K18" s="27"/>
      <c r="L18" s="28" t="s">
        <v>56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43" t="s">
        <v>4454</v>
      </c>
      <c r="C19" s="44" t="s">
        <v>4455</v>
      </c>
      <c r="D19" s="42" t="s">
        <v>21</v>
      </c>
      <c r="E19" s="55">
        <v>46125</v>
      </c>
      <c r="F19" s="26" t="s">
        <v>55</v>
      </c>
      <c r="G19" s="26" t="s">
        <v>4401</v>
      </c>
      <c r="H19" s="26" t="s">
        <v>56</v>
      </c>
      <c r="I19" s="26" t="s">
        <v>4401</v>
      </c>
      <c r="J19" s="26" t="s">
        <v>58</v>
      </c>
      <c r="K19" s="27"/>
      <c r="L19" s="28" t="s">
        <v>56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24" t="s">
        <v>4504</v>
      </c>
      <c r="C20" s="25" t="s">
        <v>4505</v>
      </c>
      <c r="D20" s="23" t="s">
        <v>21</v>
      </c>
      <c r="E20" s="55">
        <v>46125</v>
      </c>
      <c r="F20" s="26" t="s">
        <v>55</v>
      </c>
      <c r="G20" s="26" t="s">
        <v>4401</v>
      </c>
      <c r="H20" s="26" t="s">
        <v>56</v>
      </c>
      <c r="I20" s="26" t="s">
        <v>4401</v>
      </c>
      <c r="J20" s="26" t="s">
        <v>58</v>
      </c>
      <c r="K20" s="27"/>
      <c r="L20" s="28" t="s">
        <v>56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43" t="s">
        <v>4538</v>
      </c>
      <c r="C21" s="44" t="s">
        <v>4539</v>
      </c>
      <c r="D21" s="42" t="s">
        <v>21</v>
      </c>
      <c r="E21" s="55">
        <v>46125</v>
      </c>
      <c r="F21" s="26" t="s">
        <v>55</v>
      </c>
      <c r="G21" s="26" t="s">
        <v>4401</v>
      </c>
      <c r="H21" s="26" t="s">
        <v>56</v>
      </c>
      <c r="I21" s="26" t="s">
        <v>4401</v>
      </c>
      <c r="J21" s="26" t="s">
        <v>58</v>
      </c>
      <c r="K21" s="27"/>
      <c r="L21" s="28" t="s">
        <v>56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24" t="s">
        <v>4404</v>
      </c>
      <c r="C22" s="25" t="s">
        <v>4405</v>
      </c>
      <c r="D22" s="23" t="s">
        <v>21</v>
      </c>
      <c r="E22" s="55">
        <v>46125</v>
      </c>
      <c r="F22" s="26" t="s">
        <v>55</v>
      </c>
      <c r="G22" s="26" t="s">
        <v>4401</v>
      </c>
      <c r="H22" s="26" t="s">
        <v>56</v>
      </c>
      <c r="I22" s="26" t="s">
        <v>4401</v>
      </c>
      <c r="J22" s="26" t="s">
        <v>58</v>
      </c>
      <c r="K22" s="27"/>
      <c r="L22" s="28" t="s">
        <v>56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4412</v>
      </c>
      <c r="C23" s="25" t="s">
        <v>4413</v>
      </c>
      <c r="D23" s="23" t="s">
        <v>21</v>
      </c>
      <c r="E23" s="55">
        <v>46125</v>
      </c>
      <c r="F23" s="26" t="s">
        <v>55</v>
      </c>
      <c r="G23" s="26" t="s">
        <v>4401</v>
      </c>
      <c r="H23" s="26" t="s">
        <v>56</v>
      </c>
      <c r="I23" s="26" t="s">
        <v>4401</v>
      </c>
      <c r="J23" s="26" t="s">
        <v>58</v>
      </c>
      <c r="K23" s="27"/>
      <c r="L23" s="28" t="s">
        <v>56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4430</v>
      </c>
      <c r="C24" s="44" t="s">
        <v>4431</v>
      </c>
      <c r="D24" s="42" t="s">
        <v>21</v>
      </c>
      <c r="E24" s="55">
        <v>46125</v>
      </c>
      <c r="F24" s="26" t="s">
        <v>55</v>
      </c>
      <c r="G24" s="26" t="s">
        <v>4401</v>
      </c>
      <c r="H24" s="26" t="s">
        <v>56</v>
      </c>
      <c r="I24" s="26" t="s">
        <v>4401</v>
      </c>
      <c r="J24" s="26" t="s">
        <v>58</v>
      </c>
      <c r="K24" s="27"/>
      <c r="L24" s="28" t="s">
        <v>56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43" t="s">
        <v>4438</v>
      </c>
      <c r="C25" s="44" t="s">
        <v>4439</v>
      </c>
      <c r="D25" s="42" t="s">
        <v>21</v>
      </c>
      <c r="E25" s="55">
        <v>46125</v>
      </c>
      <c r="F25" s="26" t="s">
        <v>55</v>
      </c>
      <c r="G25" s="26" t="s">
        <v>4401</v>
      </c>
      <c r="H25" s="26" t="s">
        <v>56</v>
      </c>
      <c r="I25" s="26" t="s">
        <v>4401</v>
      </c>
      <c r="J25" s="26" t="s">
        <v>58</v>
      </c>
      <c r="K25" s="27"/>
      <c r="L25" s="28" t="s">
        <v>56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4482</v>
      </c>
      <c r="C26" s="44" t="s">
        <v>4483</v>
      </c>
      <c r="D26" s="42" t="s">
        <v>21</v>
      </c>
      <c r="E26" s="55">
        <v>46125</v>
      </c>
      <c r="F26" s="26" t="s">
        <v>55</v>
      </c>
      <c r="G26" s="26" t="s">
        <v>4401</v>
      </c>
      <c r="H26" s="26" t="s">
        <v>56</v>
      </c>
      <c r="I26" s="26" t="s">
        <v>4401</v>
      </c>
      <c r="J26" s="26" t="s">
        <v>58</v>
      </c>
      <c r="K26" s="27"/>
      <c r="L26" s="28" t="s">
        <v>56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43" t="s">
        <v>4522</v>
      </c>
      <c r="C27" s="44" t="s">
        <v>4523</v>
      </c>
      <c r="D27" s="42" t="s">
        <v>21</v>
      </c>
      <c r="E27" s="55">
        <v>46125</v>
      </c>
      <c r="F27" s="26" t="s">
        <v>55</v>
      </c>
      <c r="G27" s="26" t="s">
        <v>4401</v>
      </c>
      <c r="H27" s="26" t="s">
        <v>56</v>
      </c>
      <c r="I27" s="26" t="s">
        <v>4401</v>
      </c>
      <c r="J27" s="26" t="s">
        <v>58</v>
      </c>
      <c r="K27" s="27"/>
      <c r="L27" s="28" t="s">
        <v>56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24" t="s">
        <v>4548</v>
      </c>
      <c r="C28" s="25" t="s">
        <v>4549</v>
      </c>
      <c r="D28" s="23" t="s">
        <v>21</v>
      </c>
      <c r="E28" s="55">
        <v>46125</v>
      </c>
      <c r="F28" s="26" t="s">
        <v>55</v>
      </c>
      <c r="G28" s="26" t="s">
        <v>4401</v>
      </c>
      <c r="H28" s="26" t="s">
        <v>56</v>
      </c>
      <c r="I28" s="26" t="s">
        <v>4401</v>
      </c>
      <c r="J28" s="26" t="s">
        <v>58</v>
      </c>
      <c r="K28" s="27"/>
      <c r="L28" s="28" t="s">
        <v>56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43" t="s">
        <v>4422</v>
      </c>
      <c r="C29" s="44" t="s">
        <v>4423</v>
      </c>
      <c r="D29" s="42" t="s">
        <v>21</v>
      </c>
      <c r="E29" s="55">
        <v>46125</v>
      </c>
      <c r="F29" s="26" t="s">
        <v>55</v>
      </c>
      <c r="G29" s="26" t="s">
        <v>4401</v>
      </c>
      <c r="H29" s="26" t="s">
        <v>56</v>
      </c>
      <c r="I29" s="26" t="s">
        <v>4401</v>
      </c>
      <c r="J29" s="26" t="s">
        <v>58</v>
      </c>
      <c r="K29" s="27"/>
      <c r="L29" s="28" t="s">
        <v>56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24" t="s">
        <v>4480</v>
      </c>
      <c r="C30" s="25" t="s">
        <v>4481</v>
      </c>
      <c r="D30" s="23" t="s">
        <v>21</v>
      </c>
      <c r="E30" s="55">
        <v>46125</v>
      </c>
      <c r="F30" s="26" t="s">
        <v>55</v>
      </c>
      <c r="G30" s="26" t="s">
        <v>4401</v>
      </c>
      <c r="H30" s="26" t="s">
        <v>56</v>
      </c>
      <c r="I30" s="26" t="s">
        <v>4401</v>
      </c>
      <c r="J30" s="26" t="s">
        <v>58</v>
      </c>
      <c r="K30" s="27"/>
      <c r="L30" s="28" t="s">
        <v>56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4520</v>
      </c>
      <c r="C31" s="25" t="s">
        <v>4521</v>
      </c>
      <c r="D31" s="23" t="s">
        <v>21</v>
      </c>
      <c r="E31" s="55">
        <v>46125</v>
      </c>
      <c r="F31" s="26" t="s">
        <v>55</v>
      </c>
      <c r="G31" s="26" t="s">
        <v>4401</v>
      </c>
      <c r="H31" s="26" t="s">
        <v>56</v>
      </c>
      <c r="I31" s="26" t="s">
        <v>4401</v>
      </c>
      <c r="J31" s="26" t="s">
        <v>58</v>
      </c>
      <c r="K31" s="27"/>
      <c r="L31" s="28" t="s">
        <v>56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4546</v>
      </c>
      <c r="C32" s="44" t="s">
        <v>4547</v>
      </c>
      <c r="D32" s="42" t="s">
        <v>21</v>
      </c>
      <c r="E32" s="55">
        <v>46125</v>
      </c>
      <c r="F32" s="26" t="s">
        <v>55</v>
      </c>
      <c r="G32" s="26" t="s">
        <v>4401</v>
      </c>
      <c r="H32" s="26" t="s">
        <v>56</v>
      </c>
      <c r="I32" s="26" t="s">
        <v>4401</v>
      </c>
      <c r="J32" s="26" t="s">
        <v>58</v>
      </c>
      <c r="K32" s="27"/>
      <c r="L32" s="28" t="s">
        <v>56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4420</v>
      </c>
      <c r="C33" s="25" t="s">
        <v>4421</v>
      </c>
      <c r="D33" s="23" t="s">
        <v>21</v>
      </c>
      <c r="E33" s="55">
        <v>46125</v>
      </c>
      <c r="F33" s="26" t="s">
        <v>55</v>
      </c>
      <c r="G33" s="26" t="s">
        <v>58</v>
      </c>
      <c r="H33" s="26" t="s">
        <v>56</v>
      </c>
      <c r="I33" s="26" t="s">
        <v>70</v>
      </c>
      <c r="J33" s="26" t="s">
        <v>58</v>
      </c>
      <c r="K33" s="27"/>
      <c r="L33" s="28" t="s">
        <v>56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24" t="s">
        <v>4484</v>
      </c>
      <c r="C34" s="25" t="s">
        <v>4485</v>
      </c>
      <c r="D34" s="23" t="s">
        <v>21</v>
      </c>
      <c r="E34" s="55">
        <v>46125</v>
      </c>
      <c r="F34" s="26" t="s">
        <v>55</v>
      </c>
      <c r="G34" s="26" t="s">
        <v>58</v>
      </c>
      <c r="H34" s="26" t="s">
        <v>56</v>
      </c>
      <c r="I34" s="26" t="s">
        <v>70</v>
      </c>
      <c r="J34" s="26" t="s">
        <v>58</v>
      </c>
      <c r="K34" s="27"/>
      <c r="L34" s="28" t="s">
        <v>56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4524</v>
      </c>
      <c r="C35" s="25" t="s">
        <v>4525</v>
      </c>
      <c r="D35" s="23" t="s">
        <v>21</v>
      </c>
      <c r="E35" s="55">
        <v>46125</v>
      </c>
      <c r="F35" s="26" t="s">
        <v>55</v>
      </c>
      <c r="G35" s="26" t="s">
        <v>4401</v>
      </c>
      <c r="H35" s="26" t="s">
        <v>56</v>
      </c>
      <c r="I35" s="26" t="s">
        <v>4401</v>
      </c>
      <c r="J35" s="26" t="s">
        <v>58</v>
      </c>
      <c r="K35" s="27"/>
      <c r="L35" s="28" t="s">
        <v>56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4550</v>
      </c>
      <c r="C36" s="44" t="s">
        <v>4551</v>
      </c>
      <c r="D36" s="42" t="s">
        <v>21</v>
      </c>
      <c r="E36" s="55">
        <v>46125</v>
      </c>
      <c r="F36" s="26" t="s">
        <v>55</v>
      </c>
      <c r="G36" s="26" t="s">
        <v>4401</v>
      </c>
      <c r="H36" s="26" t="s">
        <v>56</v>
      </c>
      <c r="I36" s="26" t="s">
        <v>4401</v>
      </c>
      <c r="J36" s="26" t="s">
        <v>58</v>
      </c>
      <c r="K36" s="27"/>
      <c r="L36" s="28" t="s">
        <v>56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4424</v>
      </c>
      <c r="C37" s="25" t="s">
        <v>4425</v>
      </c>
      <c r="D37" s="23" t="s">
        <v>21</v>
      </c>
      <c r="E37" s="55">
        <v>46125</v>
      </c>
      <c r="F37" s="26" t="s">
        <v>55</v>
      </c>
      <c r="G37" s="26" t="s">
        <v>4401</v>
      </c>
      <c r="H37" s="26" t="s">
        <v>56</v>
      </c>
      <c r="I37" s="26" t="s">
        <v>4401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4486</v>
      </c>
      <c r="C38" s="44" t="s">
        <v>4487</v>
      </c>
      <c r="D38" s="42" t="s">
        <v>21</v>
      </c>
      <c r="E38" s="55">
        <v>46125</v>
      </c>
      <c r="F38" s="26" t="s">
        <v>55</v>
      </c>
      <c r="G38" s="26" t="s">
        <v>58</v>
      </c>
      <c r="H38" s="26" t="s">
        <v>56</v>
      </c>
      <c r="I38" s="26" t="s">
        <v>70</v>
      </c>
      <c r="J38" s="26" t="s">
        <v>58</v>
      </c>
      <c r="K38" s="27"/>
      <c r="L38" s="28" t="s">
        <v>56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4.25" customHeight="1" x14ac:dyDescent="0.3">
      <c r="A39" s="23">
        <v>35</v>
      </c>
      <c r="B39" s="43" t="s">
        <v>4526</v>
      </c>
      <c r="C39" s="44" t="s">
        <v>4527</v>
      </c>
      <c r="D39" s="42" t="s">
        <v>21</v>
      </c>
      <c r="E39" s="55">
        <v>46125</v>
      </c>
      <c r="F39" s="26" t="s">
        <v>55</v>
      </c>
      <c r="G39" s="26" t="s">
        <v>4401</v>
      </c>
      <c r="H39" s="26" t="s">
        <v>56</v>
      </c>
      <c r="I39" s="26" t="s">
        <v>4401</v>
      </c>
      <c r="J39" s="26" t="s">
        <v>58</v>
      </c>
      <c r="K39" s="27"/>
      <c r="L39" s="28" t="s">
        <v>56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4.25" customHeight="1" x14ac:dyDescent="0.3">
      <c r="A40" s="42">
        <v>36</v>
      </c>
      <c r="B40" s="24" t="s">
        <v>4488</v>
      </c>
      <c r="C40" s="25" t="s">
        <v>4489</v>
      </c>
      <c r="D40" s="23" t="s">
        <v>21</v>
      </c>
      <c r="E40" s="55">
        <v>46125</v>
      </c>
      <c r="F40" s="26" t="s">
        <v>55</v>
      </c>
      <c r="G40" s="26" t="s">
        <v>4401</v>
      </c>
      <c r="H40" s="26" t="s">
        <v>56</v>
      </c>
      <c r="I40" s="26" t="s">
        <v>4401</v>
      </c>
      <c r="J40" s="26" t="s">
        <v>58</v>
      </c>
      <c r="K40" s="27"/>
      <c r="L40" s="28" t="s">
        <v>56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4.25" customHeight="1" x14ac:dyDescent="0.3">
      <c r="A41" s="23">
        <v>37</v>
      </c>
      <c r="B41" s="24" t="s">
        <v>4528</v>
      </c>
      <c r="C41" s="25" t="s">
        <v>4529</v>
      </c>
      <c r="D41" s="23" t="s">
        <v>21</v>
      </c>
      <c r="E41" s="55">
        <v>46125</v>
      </c>
      <c r="F41" s="26" t="s">
        <v>55</v>
      </c>
      <c r="G41" s="26" t="s">
        <v>4401</v>
      </c>
      <c r="H41" s="26" t="s">
        <v>56</v>
      </c>
      <c r="I41" s="26" t="s">
        <v>4401</v>
      </c>
      <c r="J41" s="26" t="s">
        <v>58</v>
      </c>
      <c r="K41" s="27"/>
      <c r="L41" s="28" t="s">
        <v>56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4.25" customHeight="1" x14ac:dyDescent="0.3">
      <c r="A42" s="42">
        <v>38</v>
      </c>
      <c r="B42" s="43" t="s">
        <v>4490</v>
      </c>
      <c r="C42" s="44" t="s">
        <v>4491</v>
      </c>
      <c r="D42" s="42" t="s">
        <v>21</v>
      </c>
      <c r="E42" s="55">
        <v>46125</v>
      </c>
      <c r="F42" s="26" t="s">
        <v>55</v>
      </c>
      <c r="G42" s="26" t="s">
        <v>4401</v>
      </c>
      <c r="H42" s="26" t="s">
        <v>56</v>
      </c>
      <c r="I42" s="26" t="s">
        <v>4401</v>
      </c>
      <c r="J42" s="26" t="s">
        <v>58</v>
      </c>
      <c r="K42" s="27"/>
      <c r="L42" s="28" t="s">
        <v>56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4.25" customHeight="1" x14ac:dyDescent="0.3">
      <c r="A43" s="23">
        <v>39</v>
      </c>
      <c r="B43" s="43" t="s">
        <v>4530</v>
      </c>
      <c r="C43" s="44" t="s">
        <v>4531</v>
      </c>
      <c r="D43" s="42" t="s">
        <v>21</v>
      </c>
      <c r="E43" s="55">
        <v>46125</v>
      </c>
      <c r="F43" s="26" t="s">
        <v>55</v>
      </c>
      <c r="G43" s="26" t="s">
        <v>4401</v>
      </c>
      <c r="H43" s="26" t="s">
        <v>56</v>
      </c>
      <c r="I43" s="26" t="s">
        <v>4401</v>
      </c>
      <c r="J43" s="26" t="s">
        <v>58</v>
      </c>
      <c r="K43" s="27"/>
      <c r="L43" s="28" t="s">
        <v>56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4.25" customHeight="1" x14ac:dyDescent="0.3">
      <c r="A44" s="42">
        <v>40</v>
      </c>
      <c r="B44" s="24" t="s">
        <v>4492</v>
      </c>
      <c r="C44" s="25" t="s">
        <v>4493</v>
      </c>
      <c r="D44" s="23" t="s">
        <v>21</v>
      </c>
      <c r="E44" s="55">
        <v>46125</v>
      </c>
      <c r="F44" s="26" t="s">
        <v>55</v>
      </c>
      <c r="G44" s="26" t="s">
        <v>58</v>
      </c>
      <c r="H44" s="26" t="s">
        <v>56</v>
      </c>
      <c r="I44" s="26" t="s">
        <v>70</v>
      </c>
      <c r="J44" s="26" t="s">
        <v>58</v>
      </c>
      <c r="K44" s="27"/>
      <c r="L44" s="28" t="s">
        <v>56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4.25" customHeight="1" x14ac:dyDescent="0.3">
      <c r="A45" s="23">
        <v>41</v>
      </c>
      <c r="B45" s="24" t="s">
        <v>4496</v>
      </c>
      <c r="C45" s="25" t="s">
        <v>4497</v>
      </c>
      <c r="D45" s="23" t="s">
        <v>21</v>
      </c>
      <c r="E45" s="55">
        <v>46125</v>
      </c>
      <c r="F45" s="26" t="s">
        <v>55</v>
      </c>
      <c r="G45" s="26" t="s">
        <v>58</v>
      </c>
      <c r="H45" s="26" t="s">
        <v>56</v>
      </c>
      <c r="I45" s="26" t="s">
        <v>70</v>
      </c>
      <c r="J45" s="26" t="s">
        <v>58</v>
      </c>
      <c r="K45" s="27"/>
      <c r="L45" s="28" t="s">
        <v>56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4.25" customHeight="1" x14ac:dyDescent="0.3">
      <c r="A46" s="42">
        <v>42</v>
      </c>
      <c r="B46" s="43" t="s">
        <v>4494</v>
      </c>
      <c r="C46" s="44" t="s">
        <v>4495</v>
      </c>
      <c r="D46" s="42" t="s">
        <v>21</v>
      </c>
      <c r="E46" s="55">
        <v>46125</v>
      </c>
      <c r="F46" s="26" t="s">
        <v>55</v>
      </c>
      <c r="G46" s="26" t="s">
        <v>58</v>
      </c>
      <c r="H46" s="26" t="s">
        <v>56</v>
      </c>
      <c r="I46" s="26" t="s">
        <v>70</v>
      </c>
      <c r="J46" s="26" t="s">
        <v>58</v>
      </c>
      <c r="K46" s="27"/>
      <c r="L46" s="28" t="s">
        <v>56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4.25" customHeight="1" x14ac:dyDescent="0.3">
      <c r="A47" s="23">
        <v>43</v>
      </c>
      <c r="B47" s="43" t="s">
        <v>4474</v>
      </c>
      <c r="C47" s="44" t="s">
        <v>4475</v>
      </c>
      <c r="D47" s="42" t="s">
        <v>21</v>
      </c>
      <c r="E47" s="55">
        <v>46125</v>
      </c>
      <c r="F47" s="26" t="s">
        <v>55</v>
      </c>
      <c r="G47" s="26" t="s">
        <v>4401</v>
      </c>
      <c r="H47" s="26" t="s">
        <v>56</v>
      </c>
      <c r="I47" s="26" t="s">
        <v>4401</v>
      </c>
      <c r="J47" s="26" t="s">
        <v>58</v>
      </c>
      <c r="K47" s="27"/>
      <c r="L47" s="28" t="s">
        <v>56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4.25" customHeight="1" x14ac:dyDescent="0.3">
      <c r="A48" s="42">
        <v>44</v>
      </c>
      <c r="B48" s="43" t="s">
        <v>4514</v>
      </c>
      <c r="C48" s="44" t="s">
        <v>4515</v>
      </c>
      <c r="D48" s="42" t="s">
        <v>21</v>
      </c>
      <c r="E48" s="55">
        <v>46125</v>
      </c>
      <c r="F48" s="26" t="s">
        <v>55</v>
      </c>
      <c r="G48" s="26" t="s">
        <v>4401</v>
      </c>
      <c r="H48" s="26" t="s">
        <v>56</v>
      </c>
      <c r="I48" s="26" t="s">
        <v>4401</v>
      </c>
      <c r="J48" s="26" t="s">
        <v>58</v>
      </c>
      <c r="K48" s="27"/>
      <c r="L48" s="28" t="s">
        <v>56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4.25" customHeight="1" x14ac:dyDescent="0.3">
      <c r="A49" s="23">
        <v>45</v>
      </c>
      <c r="B49" s="24" t="s">
        <v>4540</v>
      </c>
      <c r="C49" s="25" t="s">
        <v>4541</v>
      </c>
      <c r="D49" s="23" t="s">
        <v>21</v>
      </c>
      <c r="E49" s="55">
        <v>46125</v>
      </c>
      <c r="F49" s="26" t="s">
        <v>55</v>
      </c>
      <c r="G49" s="26" t="s">
        <v>4401</v>
      </c>
      <c r="H49" s="26" t="s">
        <v>56</v>
      </c>
      <c r="I49" s="26" t="s">
        <v>4401</v>
      </c>
      <c r="J49" s="26" t="s">
        <v>58</v>
      </c>
      <c r="K49" s="27"/>
      <c r="L49" s="28" t="s">
        <v>56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4.25" customHeight="1" x14ac:dyDescent="0.3">
      <c r="A50" s="42">
        <v>46</v>
      </c>
      <c r="B50" s="43" t="s">
        <v>4414</v>
      </c>
      <c r="C50" s="44" t="s">
        <v>4415</v>
      </c>
      <c r="D50" s="42" t="s">
        <v>21</v>
      </c>
      <c r="E50" s="55">
        <v>46125</v>
      </c>
      <c r="F50" s="26" t="s">
        <v>55</v>
      </c>
      <c r="G50" s="26" t="s">
        <v>4401</v>
      </c>
      <c r="H50" s="26" t="s">
        <v>56</v>
      </c>
      <c r="I50" s="26" t="s">
        <v>4401</v>
      </c>
      <c r="J50" s="26" t="s">
        <v>58</v>
      </c>
      <c r="K50" s="27"/>
      <c r="L50" s="28" t="s">
        <v>56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4.25" customHeight="1" x14ac:dyDescent="0.3">
      <c r="A51" s="23">
        <v>47</v>
      </c>
      <c r="B51" s="24" t="s">
        <v>4476</v>
      </c>
      <c r="C51" s="25" t="s">
        <v>4477</v>
      </c>
      <c r="D51" s="23" t="s">
        <v>21</v>
      </c>
      <c r="E51" s="55">
        <v>46125</v>
      </c>
      <c r="F51" s="26" t="s">
        <v>55</v>
      </c>
      <c r="G51" s="26" t="s">
        <v>58</v>
      </c>
      <c r="H51" s="26" t="s">
        <v>56</v>
      </c>
      <c r="I51" s="26" t="s">
        <v>70</v>
      </c>
      <c r="J51" s="26" t="s">
        <v>58</v>
      </c>
      <c r="K51" s="27"/>
      <c r="L51" s="28" t="s">
        <v>56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4.25" customHeight="1" x14ac:dyDescent="0.3">
      <c r="A52" s="42">
        <v>48</v>
      </c>
      <c r="B52" s="24" t="s">
        <v>4516</v>
      </c>
      <c r="C52" s="25" t="s">
        <v>4517</v>
      </c>
      <c r="D52" s="23" t="s">
        <v>21</v>
      </c>
      <c r="E52" s="55">
        <v>46125</v>
      </c>
      <c r="F52" s="26" t="s">
        <v>55</v>
      </c>
      <c r="G52" s="26" t="s">
        <v>4401</v>
      </c>
      <c r="H52" s="26" t="s">
        <v>56</v>
      </c>
      <c r="I52" s="26" t="s">
        <v>4401</v>
      </c>
      <c r="J52" s="26" t="s">
        <v>58</v>
      </c>
      <c r="K52" s="27"/>
      <c r="L52" s="28" t="s">
        <v>56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4.25" customHeight="1" x14ac:dyDescent="0.3">
      <c r="A53" s="23">
        <v>49</v>
      </c>
      <c r="B53" s="43" t="s">
        <v>4542</v>
      </c>
      <c r="C53" s="44" t="s">
        <v>4543</v>
      </c>
      <c r="D53" s="42" t="s">
        <v>21</v>
      </c>
      <c r="E53" s="55">
        <v>46125</v>
      </c>
      <c r="F53" s="26" t="s">
        <v>55</v>
      </c>
      <c r="G53" s="26" t="s">
        <v>4401</v>
      </c>
      <c r="H53" s="26" t="s">
        <v>56</v>
      </c>
      <c r="I53" s="26" t="s">
        <v>4401</v>
      </c>
      <c r="J53" s="26" t="s">
        <v>58</v>
      </c>
      <c r="K53" s="27"/>
      <c r="L53" s="28" t="s">
        <v>56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4.25" customHeight="1" x14ac:dyDescent="0.3">
      <c r="A54" s="42">
        <v>50</v>
      </c>
      <c r="B54" s="24" t="s">
        <v>4416</v>
      </c>
      <c r="C54" s="25" t="s">
        <v>4417</v>
      </c>
      <c r="D54" s="23" t="s">
        <v>21</v>
      </c>
      <c r="E54" s="55">
        <v>46125</v>
      </c>
      <c r="F54" s="26" t="s">
        <v>55</v>
      </c>
      <c r="G54" s="26" t="s">
        <v>4401</v>
      </c>
      <c r="H54" s="26" t="s">
        <v>56</v>
      </c>
      <c r="I54" s="26" t="s">
        <v>4401</v>
      </c>
      <c r="J54" s="26" t="s">
        <v>58</v>
      </c>
      <c r="K54" s="27"/>
      <c r="L54" s="28" t="s">
        <v>56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4.25" customHeight="1" x14ac:dyDescent="0.3">
      <c r="A55" s="23">
        <v>51</v>
      </c>
      <c r="B55" s="43" t="s">
        <v>4478</v>
      </c>
      <c r="C55" s="44" t="s">
        <v>4479</v>
      </c>
      <c r="D55" s="42" t="s">
        <v>21</v>
      </c>
      <c r="E55" s="55">
        <v>46125</v>
      </c>
      <c r="F55" s="26" t="s">
        <v>55</v>
      </c>
      <c r="G55" s="26" t="s">
        <v>4401</v>
      </c>
      <c r="H55" s="26" t="s">
        <v>56</v>
      </c>
      <c r="I55" s="26" t="s">
        <v>4401</v>
      </c>
      <c r="J55" s="26" t="s">
        <v>58</v>
      </c>
      <c r="K55" s="27"/>
      <c r="L55" s="28" t="s">
        <v>56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4.25" customHeight="1" x14ac:dyDescent="0.3">
      <c r="A56" s="42">
        <v>52</v>
      </c>
      <c r="B56" s="43" t="s">
        <v>4518</v>
      </c>
      <c r="C56" s="44" t="s">
        <v>4519</v>
      </c>
      <c r="D56" s="42" t="s">
        <v>21</v>
      </c>
      <c r="E56" s="55">
        <v>46125</v>
      </c>
      <c r="F56" s="26" t="s">
        <v>55</v>
      </c>
      <c r="G56" s="26" t="s">
        <v>4401</v>
      </c>
      <c r="H56" s="26" t="s">
        <v>56</v>
      </c>
      <c r="I56" s="26" t="s">
        <v>4401</v>
      </c>
      <c r="J56" s="26" t="s">
        <v>58</v>
      </c>
      <c r="K56" s="27"/>
      <c r="L56" s="28" t="s">
        <v>56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4.25" customHeight="1" x14ac:dyDescent="0.3">
      <c r="A57" s="23">
        <v>53</v>
      </c>
      <c r="B57" s="24" t="s">
        <v>4544</v>
      </c>
      <c r="C57" s="25" t="s">
        <v>4545</v>
      </c>
      <c r="D57" s="23" t="s">
        <v>21</v>
      </c>
      <c r="E57" s="55">
        <v>46125</v>
      </c>
      <c r="F57" s="26" t="s">
        <v>55</v>
      </c>
      <c r="G57" s="26" t="s">
        <v>4401</v>
      </c>
      <c r="H57" s="26" t="s">
        <v>56</v>
      </c>
      <c r="I57" s="26" t="s">
        <v>4401</v>
      </c>
      <c r="J57" s="26" t="s">
        <v>58</v>
      </c>
      <c r="K57" s="27"/>
      <c r="L57" s="28" t="s">
        <v>56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4.25" customHeight="1" x14ac:dyDescent="0.3">
      <c r="A58" s="42">
        <v>54</v>
      </c>
      <c r="B58" s="43" t="s">
        <v>4418</v>
      </c>
      <c r="C58" s="44" t="s">
        <v>4419</v>
      </c>
      <c r="D58" s="42" t="s">
        <v>21</v>
      </c>
      <c r="E58" s="55">
        <v>46125</v>
      </c>
      <c r="F58" s="26" t="s">
        <v>55</v>
      </c>
      <c r="G58" s="26" t="s">
        <v>4401</v>
      </c>
      <c r="H58" s="26" t="s">
        <v>56</v>
      </c>
      <c r="I58" s="26" t="s">
        <v>4401</v>
      </c>
      <c r="J58" s="26" t="s">
        <v>58</v>
      </c>
      <c r="K58" s="27"/>
      <c r="L58" s="28" t="s">
        <v>56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4.25" customHeight="1" x14ac:dyDescent="0.3">
      <c r="A59" s="23">
        <v>55</v>
      </c>
      <c r="B59" s="43" t="s">
        <v>4466</v>
      </c>
      <c r="C59" s="44" t="s">
        <v>4467</v>
      </c>
      <c r="D59" s="42" t="s">
        <v>21</v>
      </c>
      <c r="E59" s="55">
        <v>46125</v>
      </c>
      <c r="F59" s="26" t="s">
        <v>55</v>
      </c>
      <c r="G59" s="26" t="s">
        <v>58</v>
      </c>
      <c r="H59" s="26" t="s">
        <v>56</v>
      </c>
      <c r="I59" s="26" t="s">
        <v>70</v>
      </c>
      <c r="J59" s="26" t="s">
        <v>58</v>
      </c>
      <c r="K59" s="27"/>
      <c r="L59" s="28" t="s">
        <v>56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4.25" customHeight="1" x14ac:dyDescent="0.3">
      <c r="A60" s="42">
        <v>56</v>
      </c>
      <c r="B60" s="43" t="s">
        <v>4470</v>
      </c>
      <c r="C60" s="44" t="s">
        <v>4471</v>
      </c>
      <c r="D60" s="42" t="s">
        <v>21</v>
      </c>
      <c r="E60" s="55">
        <v>46125</v>
      </c>
      <c r="F60" s="26" t="s">
        <v>55</v>
      </c>
      <c r="G60" s="26" t="s">
        <v>4401</v>
      </c>
      <c r="H60" s="26" t="s">
        <v>56</v>
      </c>
      <c r="I60" s="26" t="s">
        <v>4401</v>
      </c>
      <c r="J60" s="26" t="s">
        <v>58</v>
      </c>
      <c r="K60" s="27"/>
      <c r="L60" s="28" t="s">
        <v>56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4.25" customHeight="1" x14ac:dyDescent="0.3">
      <c r="A61" s="23">
        <v>57</v>
      </c>
      <c r="B61" s="24" t="s">
        <v>4464</v>
      </c>
      <c r="C61" s="25" t="s">
        <v>4465</v>
      </c>
      <c r="D61" s="23" t="s">
        <v>21</v>
      </c>
      <c r="E61" s="55">
        <v>46125</v>
      </c>
      <c r="F61" s="26" t="s">
        <v>55</v>
      </c>
      <c r="G61" s="26" t="s">
        <v>4401</v>
      </c>
      <c r="H61" s="26" t="s">
        <v>56</v>
      </c>
      <c r="I61" s="26" t="s">
        <v>4401</v>
      </c>
      <c r="J61" s="26" t="s">
        <v>58</v>
      </c>
      <c r="K61" s="27"/>
      <c r="L61" s="28" t="s">
        <v>56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4.25" customHeight="1" x14ac:dyDescent="0.3">
      <c r="A62" s="42">
        <v>58</v>
      </c>
      <c r="B62" s="43" t="s">
        <v>4462</v>
      </c>
      <c r="C62" s="44" t="s">
        <v>4463</v>
      </c>
      <c r="D62" s="42" t="s">
        <v>21</v>
      </c>
      <c r="E62" s="55">
        <v>46125</v>
      </c>
      <c r="F62" s="26" t="s">
        <v>55</v>
      </c>
      <c r="G62" s="26" t="s">
        <v>4401</v>
      </c>
      <c r="H62" s="26" t="s">
        <v>56</v>
      </c>
      <c r="I62" s="26" t="s">
        <v>4401</v>
      </c>
      <c r="J62" s="26" t="s">
        <v>58</v>
      </c>
      <c r="K62" s="27"/>
      <c r="L62" s="28" t="s">
        <v>56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4.25" customHeight="1" x14ac:dyDescent="0.3">
      <c r="A63" s="23">
        <v>59</v>
      </c>
      <c r="B63" s="24" t="s">
        <v>4468</v>
      </c>
      <c r="C63" s="25" t="s">
        <v>4469</v>
      </c>
      <c r="D63" s="23" t="s">
        <v>21</v>
      </c>
      <c r="E63" s="55">
        <v>46125</v>
      </c>
      <c r="F63" s="26" t="s">
        <v>55</v>
      </c>
      <c r="G63" s="26" t="s">
        <v>4401</v>
      </c>
      <c r="H63" s="26" t="s">
        <v>56</v>
      </c>
      <c r="I63" s="26" t="s">
        <v>4401</v>
      </c>
      <c r="J63" s="26" t="s">
        <v>58</v>
      </c>
      <c r="K63" s="27"/>
      <c r="L63" s="28" t="s">
        <v>56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4.25" customHeight="1" x14ac:dyDescent="0.3">
      <c r="A64" s="42">
        <v>60</v>
      </c>
      <c r="B64" s="24" t="s">
        <v>4444</v>
      </c>
      <c r="C64" s="25" t="s">
        <v>4445</v>
      </c>
      <c r="D64" s="23" t="s">
        <v>21</v>
      </c>
      <c r="E64" s="55">
        <v>46125</v>
      </c>
      <c r="F64" s="26" t="s">
        <v>55</v>
      </c>
      <c r="G64" s="26" t="s">
        <v>58</v>
      </c>
      <c r="H64" s="26" t="s">
        <v>56</v>
      </c>
      <c r="I64" s="26" t="s">
        <v>70</v>
      </c>
      <c r="J64" s="26" t="s">
        <v>58</v>
      </c>
      <c r="K64" s="27"/>
      <c r="L64" s="28" t="s">
        <v>56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4.25" customHeight="1" x14ac:dyDescent="0.3">
      <c r="A65" s="23">
        <v>61</v>
      </c>
      <c r="B65" s="24" t="s">
        <v>4460</v>
      </c>
      <c r="C65" s="25" t="s">
        <v>4461</v>
      </c>
      <c r="D65" s="23" t="s">
        <v>21</v>
      </c>
      <c r="E65" s="55">
        <v>46125</v>
      </c>
      <c r="F65" s="26" t="s">
        <v>55</v>
      </c>
      <c r="G65" s="26" t="s">
        <v>4401</v>
      </c>
      <c r="H65" s="26" t="s">
        <v>56</v>
      </c>
      <c r="I65" s="26" t="s">
        <v>4401</v>
      </c>
      <c r="J65" s="26" t="s">
        <v>58</v>
      </c>
      <c r="K65" s="27"/>
      <c r="L65" s="28" t="s">
        <v>56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4.25" customHeight="1" x14ac:dyDescent="0.3">
      <c r="A66" s="42">
        <v>62</v>
      </c>
      <c r="B66" s="43" t="s">
        <v>4510</v>
      </c>
      <c r="C66" s="44" t="s">
        <v>4511</v>
      </c>
      <c r="D66" s="42" t="s">
        <v>21</v>
      </c>
      <c r="E66" s="55">
        <v>46125</v>
      </c>
      <c r="F66" s="26" t="s">
        <v>55</v>
      </c>
      <c r="G66" s="26" t="s">
        <v>4401</v>
      </c>
      <c r="H66" s="26" t="s">
        <v>56</v>
      </c>
      <c r="I66" s="26" t="s">
        <v>4401</v>
      </c>
      <c r="J66" s="26" t="s">
        <v>58</v>
      </c>
      <c r="K66" s="27"/>
      <c r="L66" s="28" t="s">
        <v>56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4.25" customHeight="1" x14ac:dyDescent="0.3">
      <c r="A67" s="23">
        <v>63</v>
      </c>
      <c r="B67" s="43" t="s">
        <v>4442</v>
      </c>
      <c r="C67" s="44" t="s">
        <v>4443</v>
      </c>
      <c r="D67" s="42" t="s">
        <v>21</v>
      </c>
      <c r="E67" s="55">
        <v>46125</v>
      </c>
      <c r="F67" s="26" t="s">
        <v>55</v>
      </c>
      <c r="G67" s="26" t="s">
        <v>4401</v>
      </c>
      <c r="H67" s="26" t="s">
        <v>56</v>
      </c>
      <c r="I67" s="26" t="s">
        <v>4401</v>
      </c>
      <c r="J67" s="26" t="s">
        <v>58</v>
      </c>
      <c r="K67" s="27"/>
      <c r="L67" s="28" t="s">
        <v>56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4.25" customHeight="1" x14ac:dyDescent="0.3">
      <c r="A68" s="42">
        <v>64</v>
      </c>
      <c r="B68" s="43" t="s">
        <v>4458</v>
      </c>
      <c r="C68" s="44" t="s">
        <v>4459</v>
      </c>
      <c r="D68" s="42" t="s">
        <v>21</v>
      </c>
      <c r="E68" s="55">
        <v>46125</v>
      </c>
      <c r="F68" s="26" t="s">
        <v>55</v>
      </c>
      <c r="G68" s="26" t="s">
        <v>4401</v>
      </c>
      <c r="H68" s="26" t="s">
        <v>56</v>
      </c>
      <c r="I68" s="26" t="s">
        <v>4401</v>
      </c>
      <c r="J68" s="26" t="s">
        <v>58</v>
      </c>
      <c r="K68" s="27"/>
      <c r="L68" s="28" t="s">
        <v>56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4.25" customHeight="1" x14ac:dyDescent="0.3">
      <c r="A69" s="23">
        <v>65</v>
      </c>
      <c r="B69" s="24" t="s">
        <v>4508</v>
      </c>
      <c r="C69" s="25" t="s">
        <v>4509</v>
      </c>
      <c r="D69" s="23" t="s">
        <v>21</v>
      </c>
      <c r="E69" s="55">
        <v>46125</v>
      </c>
      <c r="F69" s="26" t="s">
        <v>55</v>
      </c>
      <c r="G69" s="26" t="s">
        <v>58</v>
      </c>
      <c r="H69" s="26" t="s">
        <v>56</v>
      </c>
      <c r="I69" s="26" t="s">
        <v>70</v>
      </c>
      <c r="J69" s="26" t="s">
        <v>58</v>
      </c>
      <c r="K69" s="27"/>
      <c r="L69" s="28" t="s">
        <v>56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4406</v>
      </c>
      <c r="C70" s="44" t="s">
        <v>4407</v>
      </c>
      <c r="D70" s="42" t="s">
        <v>21</v>
      </c>
      <c r="E70" s="55">
        <v>46125</v>
      </c>
      <c r="F70" s="26" t="s">
        <v>55</v>
      </c>
      <c r="G70" s="26" t="s">
        <v>4401</v>
      </c>
      <c r="H70" s="26" t="s">
        <v>56</v>
      </c>
      <c r="I70" s="26" t="s">
        <v>4401</v>
      </c>
      <c r="J70" s="26" t="s">
        <v>58</v>
      </c>
      <c r="K70" s="27"/>
      <c r="L70" s="28" t="s">
        <v>56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4.25" customHeight="1" x14ac:dyDescent="0.3">
      <c r="A71" s="23">
        <v>67</v>
      </c>
      <c r="B71" s="24" t="s">
        <v>4432</v>
      </c>
      <c r="C71" s="25" t="s">
        <v>4433</v>
      </c>
      <c r="D71" s="23" t="s">
        <v>21</v>
      </c>
      <c r="E71" s="55">
        <v>46125</v>
      </c>
      <c r="F71" s="26" t="s">
        <v>55</v>
      </c>
      <c r="G71" s="26" t="s">
        <v>58</v>
      </c>
      <c r="H71" s="26" t="s">
        <v>56</v>
      </c>
      <c r="I71" s="26" t="s">
        <v>70</v>
      </c>
      <c r="J71" s="26" t="s">
        <v>58</v>
      </c>
      <c r="K71" s="27"/>
      <c r="L71" s="28" t="s">
        <v>56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4.25" customHeight="1" x14ac:dyDescent="0.3">
      <c r="A72" s="42">
        <v>68</v>
      </c>
      <c r="B72" s="24" t="s">
        <v>4448</v>
      </c>
      <c r="C72" s="25" t="s">
        <v>4449</v>
      </c>
      <c r="D72" s="23" t="s">
        <v>21</v>
      </c>
      <c r="E72" s="55">
        <v>46125</v>
      </c>
      <c r="F72" s="26" t="s">
        <v>55</v>
      </c>
      <c r="G72" s="26" t="s">
        <v>58</v>
      </c>
      <c r="H72" s="26" t="s">
        <v>56</v>
      </c>
      <c r="I72" s="26" t="s">
        <v>70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4.25" customHeight="1" x14ac:dyDescent="0.3">
      <c r="A73" s="23">
        <v>69</v>
      </c>
      <c r="B73" s="43" t="s">
        <v>4498</v>
      </c>
      <c r="C73" s="44" t="s">
        <v>4499</v>
      </c>
      <c r="D73" s="42" t="s">
        <v>21</v>
      </c>
      <c r="E73" s="55">
        <v>46125</v>
      </c>
      <c r="F73" s="26" t="s">
        <v>55</v>
      </c>
      <c r="G73" s="26" t="s">
        <v>4401</v>
      </c>
      <c r="H73" s="26" t="s">
        <v>56</v>
      </c>
      <c r="I73" s="26" t="s">
        <v>4401</v>
      </c>
      <c r="J73" s="26" t="s">
        <v>58</v>
      </c>
      <c r="K73" s="27"/>
      <c r="L73" s="28" t="s">
        <v>56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4.25" customHeight="1" x14ac:dyDescent="0.3">
      <c r="A74" s="42">
        <v>70</v>
      </c>
      <c r="B74" s="24" t="s">
        <v>4532</v>
      </c>
      <c r="C74" s="25" t="s">
        <v>4533</v>
      </c>
      <c r="D74" s="23" t="s">
        <v>21</v>
      </c>
      <c r="E74" s="55">
        <v>46125</v>
      </c>
      <c r="F74" s="26" t="s">
        <v>55</v>
      </c>
      <c r="G74" s="26" t="s">
        <v>4401</v>
      </c>
      <c r="H74" s="26" t="s">
        <v>56</v>
      </c>
      <c r="I74" s="26" t="s">
        <v>4401</v>
      </c>
      <c r="J74" s="26" t="s">
        <v>58</v>
      </c>
      <c r="K74" s="27"/>
      <c r="L74" s="28" t="s">
        <v>56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4.25" customHeight="1" x14ac:dyDescent="0.3">
      <c r="A75" s="23">
        <v>71</v>
      </c>
      <c r="B75" s="43" t="s">
        <v>4446</v>
      </c>
      <c r="C75" s="44" t="s">
        <v>4447</v>
      </c>
      <c r="D75" s="42" t="s">
        <v>21</v>
      </c>
      <c r="E75" s="55">
        <v>46125</v>
      </c>
      <c r="F75" s="26" t="s">
        <v>55</v>
      </c>
      <c r="G75" s="26" t="s">
        <v>58</v>
      </c>
      <c r="H75" s="26" t="s">
        <v>56</v>
      </c>
      <c r="I75" s="26" t="s">
        <v>70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4.25" customHeight="1" x14ac:dyDescent="0.3">
      <c r="A76" s="42">
        <v>72</v>
      </c>
      <c r="B76" s="24" t="s">
        <v>4472</v>
      </c>
      <c r="C76" s="25" t="s">
        <v>4473</v>
      </c>
      <c r="D76" s="23" t="s">
        <v>21</v>
      </c>
      <c r="E76" s="55">
        <v>46125</v>
      </c>
      <c r="F76" s="26" t="s">
        <v>55</v>
      </c>
      <c r="G76" s="26" t="s">
        <v>4401</v>
      </c>
      <c r="H76" s="26" t="s">
        <v>56</v>
      </c>
      <c r="I76" s="26" t="s">
        <v>4401</v>
      </c>
      <c r="J76" s="26" t="s">
        <v>58</v>
      </c>
      <c r="K76" s="27"/>
      <c r="L76" s="28" t="s">
        <v>56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4.25" customHeight="1" x14ac:dyDescent="0.3">
      <c r="A77" s="23">
        <v>73</v>
      </c>
      <c r="B77" s="24" t="s">
        <v>4512</v>
      </c>
      <c r="C77" s="25" t="s">
        <v>4513</v>
      </c>
      <c r="D77" s="23" t="s">
        <v>21</v>
      </c>
      <c r="E77" s="55">
        <v>46125</v>
      </c>
      <c r="F77" s="26" t="s">
        <v>55</v>
      </c>
      <c r="G77" s="26" t="s">
        <v>4401</v>
      </c>
      <c r="H77" s="26" t="s">
        <v>56</v>
      </c>
      <c r="I77" s="26" t="s">
        <v>4401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4.25" customHeight="1" x14ac:dyDescent="0.3">
      <c r="A78" s="42">
        <v>74</v>
      </c>
      <c r="B78" s="24" t="s">
        <v>4440</v>
      </c>
      <c r="C78" s="25" t="s">
        <v>4441</v>
      </c>
      <c r="D78" s="23" t="s">
        <v>21</v>
      </c>
      <c r="E78" s="55">
        <v>46125</v>
      </c>
      <c r="F78" s="26" t="s">
        <v>55</v>
      </c>
      <c r="G78" s="26" t="s">
        <v>58</v>
      </c>
      <c r="H78" s="26" t="s">
        <v>56</v>
      </c>
      <c r="I78" s="26" t="s">
        <v>70</v>
      </c>
      <c r="J78" s="26" t="s">
        <v>58</v>
      </c>
      <c r="K78" s="27"/>
      <c r="L78" s="28" t="s">
        <v>56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4.25" customHeight="1" x14ac:dyDescent="0.3">
      <c r="A79" s="23">
        <v>75</v>
      </c>
      <c r="B79" s="24" t="s">
        <v>4456</v>
      </c>
      <c r="C79" s="25" t="s">
        <v>4457</v>
      </c>
      <c r="D79" s="23" t="s">
        <v>21</v>
      </c>
      <c r="E79" s="55">
        <v>46125</v>
      </c>
      <c r="F79" s="26" t="s">
        <v>55</v>
      </c>
      <c r="G79" s="26" t="s">
        <v>4401</v>
      </c>
      <c r="H79" s="26" t="s">
        <v>56</v>
      </c>
      <c r="I79" s="26" t="s">
        <v>4401</v>
      </c>
      <c r="J79" s="26" t="s">
        <v>58</v>
      </c>
      <c r="K79" s="27"/>
      <c r="L79" s="28" t="s">
        <v>56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4.25" customHeight="1" x14ac:dyDescent="0.3">
      <c r="A80" s="42">
        <v>76</v>
      </c>
      <c r="B80" s="43" t="s">
        <v>4506</v>
      </c>
      <c r="C80" s="44" t="s">
        <v>4507</v>
      </c>
      <c r="D80" s="42" t="s">
        <v>21</v>
      </c>
      <c r="E80" s="55">
        <v>46125</v>
      </c>
      <c r="F80" s="26" t="s">
        <v>55</v>
      </c>
      <c r="G80" s="26" t="s">
        <v>4401</v>
      </c>
      <c r="H80" s="26" t="s">
        <v>56</v>
      </c>
      <c r="I80" s="26" t="s">
        <v>4401</v>
      </c>
      <c r="J80" s="26" t="s">
        <v>58</v>
      </c>
      <c r="K80" s="27"/>
      <c r="L80" s="28" t="s">
        <v>56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sortState xmlns:xlrd2="http://schemas.microsoft.com/office/spreadsheetml/2017/richdata2" ref="B5:L80">
    <sortCondition ref="B5:B80"/>
  </sortState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80">
    <cfRule type="expression" dxfId="251" priority="47">
      <formula>MOD(ROW(),2)=0</formula>
    </cfRule>
  </conditionalFormatting>
  <conditionalFormatting sqref="G5:G80">
    <cfRule type="expression" dxfId="250" priority="7">
      <formula>G5="No"</formula>
    </cfRule>
    <cfRule type="expression" dxfId="249" priority="6">
      <formula>G5="Yes"</formula>
    </cfRule>
  </conditionalFormatting>
  <conditionalFormatting sqref="H5:H80">
    <cfRule type="expression" dxfId="248" priority="8">
      <formula>H5="Yes"</formula>
    </cfRule>
  </conditionalFormatting>
  <conditionalFormatting sqref="J5:J80">
    <cfRule type="expression" dxfId="247" priority="9">
      <formula>J5="Yes"</formula>
    </cfRule>
    <cfRule type="expression" dxfId="246" priority="10">
      <formula>J5="No"</formula>
    </cfRule>
  </conditionalFormatting>
  <conditionalFormatting sqref="M5:M80">
    <cfRule type="expression" dxfId="245" priority="3">
      <formula>M5="❌ Disc"</formula>
    </cfRule>
    <cfRule type="expression" dxfId="244" priority="4">
      <formula>M5="⚠ Missing"</formula>
    </cfRule>
    <cfRule type="expression" dxfId="243" priority="5">
      <formula>M5="⚠ Check"</formula>
    </cfRule>
    <cfRule type="expression" dxfId="242" priority="2">
      <formula>M5="✓ OK"</formula>
    </cfRule>
  </conditionalFormatting>
  <conditionalFormatting sqref="P5:P80">
    <cfRule type="expression" dxfId="241" priority="15">
      <formula>P5="Yes"</formula>
    </cfRule>
    <cfRule type="expression" dxfId="240" priority="16">
      <formula>P5="No"</formula>
    </cfRule>
  </conditionalFormatting>
  <conditionalFormatting sqref="Q5:Q80">
    <cfRule type="expression" dxfId="239" priority="17">
      <formula>Q5="Yes"</formula>
    </cfRule>
  </conditionalFormatting>
  <conditionalFormatting sqref="S5:S80">
    <cfRule type="expression" dxfId="238" priority="18">
      <formula>S5="Yes"</formula>
    </cfRule>
    <cfRule type="expression" dxfId="237" priority="19">
      <formula>S5="No"</formula>
    </cfRule>
  </conditionalFormatting>
  <conditionalFormatting sqref="V5:V80">
    <cfRule type="expression" dxfId="236" priority="11">
      <formula>V5="✓ OK"</formula>
    </cfRule>
    <cfRule type="expression" dxfId="235" priority="12">
      <formula>V5="❌ Disc"</formula>
    </cfRule>
    <cfRule type="expression" dxfId="234" priority="13">
      <formula>V5="⚠ Missing"</formula>
    </cfRule>
    <cfRule type="expression" dxfId="233" priority="14">
      <formula>V5="⚠ Check"</formula>
    </cfRule>
  </conditionalFormatting>
  <conditionalFormatting sqref="Y5:Y80">
    <cfRule type="expression" dxfId="232" priority="25">
      <formula>Y5="No"</formula>
    </cfRule>
    <cfRule type="expression" dxfId="231" priority="24">
      <formula>Y5="Yes"</formula>
    </cfRule>
  </conditionalFormatting>
  <conditionalFormatting sqref="Z5:Z80">
    <cfRule type="expression" dxfId="230" priority="26">
      <formula>Z5="Yes"</formula>
    </cfRule>
  </conditionalFormatting>
  <conditionalFormatting sqref="AB5:AB80">
    <cfRule type="expression" dxfId="229" priority="27">
      <formula>AB5="Yes"</formula>
    </cfRule>
    <cfRule type="expression" dxfId="228" priority="28">
      <formula>AB5="No"</formula>
    </cfRule>
  </conditionalFormatting>
  <conditionalFormatting sqref="AE5:AE80">
    <cfRule type="expression" dxfId="227" priority="21">
      <formula>AE5="❌ Disc"</formula>
    </cfRule>
    <cfRule type="expression" dxfId="226" priority="22">
      <formula>AE5="⚠ Missing"</formula>
    </cfRule>
    <cfRule type="expression" dxfId="225" priority="23">
      <formula>AE5="⚠ Check"</formula>
    </cfRule>
    <cfRule type="expression" dxfId="224" priority="20">
      <formula>AE5="✓ OK"</formula>
    </cfRule>
  </conditionalFormatting>
  <conditionalFormatting sqref="AH5:AH80">
    <cfRule type="expression" dxfId="223" priority="33">
      <formula>AH5="Yes"</formula>
    </cfRule>
    <cfRule type="expression" dxfId="222" priority="34">
      <formula>AH5="No"</formula>
    </cfRule>
  </conditionalFormatting>
  <conditionalFormatting sqref="AI5:AI80">
    <cfRule type="expression" dxfId="221" priority="35">
      <formula>AI5="Yes"</formula>
    </cfRule>
  </conditionalFormatting>
  <conditionalFormatting sqref="AK5:AK80">
    <cfRule type="expression" dxfId="220" priority="36">
      <formula>AK5="Yes"</formula>
    </cfRule>
    <cfRule type="expression" dxfId="219" priority="37">
      <formula>AK5="No"</formula>
    </cfRule>
  </conditionalFormatting>
  <conditionalFormatting sqref="AN5:AN80">
    <cfRule type="expression" dxfId="218" priority="30">
      <formula>AN5="❌ Disc"</formula>
    </cfRule>
    <cfRule type="expression" dxfId="217" priority="31">
      <formula>AN5="⚠ Missing"</formula>
    </cfRule>
    <cfRule type="expression" dxfId="216" priority="32">
      <formula>AN5="⚠ Check"</formula>
    </cfRule>
    <cfRule type="expression" dxfId="215" priority="29">
      <formula>AN5="✓ OK"</formula>
    </cfRule>
  </conditionalFormatting>
  <conditionalFormatting sqref="AQ5:AQ80">
    <cfRule type="expression" dxfId="214" priority="43">
      <formula>AQ5="No"</formula>
    </cfRule>
    <cfRule type="expression" dxfId="213" priority="42">
      <formula>AQ5="Yes"</formula>
    </cfRule>
  </conditionalFormatting>
  <conditionalFormatting sqref="AR5:AR80">
    <cfRule type="expression" dxfId="212" priority="44">
      <formula>AR5="Yes"</formula>
    </cfRule>
  </conditionalFormatting>
  <conditionalFormatting sqref="AT5:AT80">
    <cfRule type="expression" dxfId="211" priority="45">
      <formula>AT5="Yes"</formula>
    </cfRule>
    <cfRule type="expression" dxfId="210" priority="46">
      <formula>AT5="No"</formula>
    </cfRule>
  </conditionalFormatting>
  <conditionalFormatting sqref="AW5:AW80">
    <cfRule type="expression" dxfId="209" priority="38">
      <formula>AW5="✓ OK"</formula>
    </cfRule>
    <cfRule type="expression" dxfId="208" priority="39">
      <formula>AW5="❌ Disc"</formula>
    </cfRule>
    <cfRule type="expression" dxfId="207" priority="40">
      <formula>AW5="⚠ Missing"</formula>
    </cfRule>
    <cfRule type="expression" dxfId="206" priority="41">
      <formula>AW5="⚠ Check"</formula>
    </cfRule>
  </conditionalFormatting>
  <dataValidations count="4">
    <dataValidation type="list" allowBlank="1" sqref="AS5:AS80 R5:R80 AA5:AA80 AJ5:AJ80 I15 I18 I21 I23 I25 I27:I29 I38 I43 I49 I51:I53 I59 I72" xr:uid="{00000000-0002-0000-0A00-000000000000}">
      <formula1>"Good finish,Minor defect,Major defect,Discontinued,Not Available"</formula1>
      <formula2>0</formula2>
    </dataValidation>
    <dataValidation type="list" allowBlank="1" sqref="AT5:AT80 H5:H80 P5:Q80 S5:S80 Y5:Z80 AB5:AB80 AH5:AI80 AK5:AK80 AQ5:AR80 J5:J80" xr:uid="{00000000-0002-0000-0A00-000001000000}">
      <formula1>"Yes,No"</formula1>
      <formula2>0</formula2>
    </dataValidation>
    <dataValidation type="list" allowBlank="1" sqref="G5:G80" xr:uid="{25A9097B-3473-4EA8-BD9F-697D6DBCC195}">
      <formula1>"Yes,No,Represented by Sample"</formula1>
    </dataValidation>
    <dataValidation type="list" allowBlank="1" sqref="I5:I14 I16:I17 I19:I20 I22 I24 I26 I30:I37 I39:I42 I44:I48 I50 I54:I58 I60:I71 I73:I80" xr:uid="{AEF387F9-A278-436A-9230-F70EDB98A282}">
      <formula1>"Represented by Sample,Good finish,Minor defect,Major defect,Discontinued,Not Available"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FF"/>
  </sheetPr>
  <dimension ref="A1:AW516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4" t="s">
        <v>4552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</row>
    <row r="2" spans="1:49" ht="15" customHeight="1" x14ac:dyDescent="0.3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85"/>
      <c r="AT2" s="85"/>
      <c r="AU2" s="85"/>
      <c r="AV2" s="85"/>
      <c r="AW2" s="85"/>
    </row>
    <row r="3" spans="1:49" ht="19.5" customHeight="1" x14ac:dyDescent="0.3">
      <c r="A3" s="22"/>
      <c r="B3" s="22"/>
      <c r="C3" s="22"/>
      <c r="D3" s="22"/>
      <c r="E3" s="86" t="s">
        <v>34</v>
      </c>
      <c r="F3" s="86"/>
      <c r="G3" s="86"/>
      <c r="H3" s="86"/>
      <c r="I3" s="86"/>
      <c r="J3" s="86"/>
      <c r="K3" s="86"/>
      <c r="L3" s="86"/>
      <c r="M3" s="86"/>
      <c r="N3" s="87" t="s">
        <v>35</v>
      </c>
      <c r="O3" s="87"/>
      <c r="P3" s="87"/>
      <c r="Q3" s="87"/>
      <c r="R3" s="87"/>
      <c r="S3" s="87"/>
      <c r="T3" s="87"/>
      <c r="U3" s="87"/>
      <c r="V3" s="87"/>
      <c r="W3" s="88" t="s">
        <v>36</v>
      </c>
      <c r="X3" s="88"/>
      <c r="Y3" s="88"/>
      <c r="Z3" s="88"/>
      <c r="AA3" s="88"/>
      <c r="AB3" s="88"/>
      <c r="AC3" s="88"/>
      <c r="AD3" s="88"/>
      <c r="AE3" s="88"/>
      <c r="AF3" s="89" t="s">
        <v>37</v>
      </c>
      <c r="AG3" s="89"/>
      <c r="AH3" s="89"/>
      <c r="AI3" s="89"/>
      <c r="AJ3" s="89"/>
      <c r="AK3" s="89"/>
      <c r="AL3" s="89"/>
      <c r="AM3" s="89"/>
      <c r="AN3" s="89"/>
      <c r="AO3" s="90" t="s">
        <v>38</v>
      </c>
      <c r="AP3" s="90"/>
      <c r="AQ3" s="90"/>
      <c r="AR3" s="90"/>
      <c r="AS3" s="90"/>
      <c r="AT3" s="90"/>
      <c r="AU3" s="90"/>
      <c r="AV3" s="90"/>
      <c r="AW3" s="90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4553</v>
      </c>
      <c r="C5" s="25" t="s">
        <v>4554</v>
      </c>
      <c r="D5" s="23" t="s">
        <v>4555</v>
      </c>
      <c r="E5" s="55">
        <v>46125</v>
      </c>
      <c r="F5" s="26" t="s">
        <v>55</v>
      </c>
      <c r="G5" s="26" t="s">
        <v>58</v>
      </c>
      <c r="H5" s="26" t="s">
        <v>56</v>
      </c>
      <c r="I5" s="26" t="s">
        <v>70</v>
      </c>
      <c r="J5" s="26" t="s">
        <v>58</v>
      </c>
      <c r="K5" s="27"/>
      <c r="L5" s="28" t="s">
        <v>56</v>
      </c>
      <c r="M5" s="29" t="str">
        <f t="shared" ref="M5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4556</v>
      </c>
      <c r="C6" s="44" t="s">
        <v>4557</v>
      </c>
      <c r="D6" s="42" t="s">
        <v>4555</v>
      </c>
      <c r="E6" s="55">
        <v>46125</v>
      </c>
      <c r="F6" s="26" t="s">
        <v>55</v>
      </c>
      <c r="G6" s="26" t="s">
        <v>4401</v>
      </c>
      <c r="H6" s="26" t="s">
        <v>56</v>
      </c>
      <c r="I6" s="26" t="s">
        <v>4401</v>
      </c>
      <c r="J6" s="26" t="s">
        <v>58</v>
      </c>
      <c r="K6" s="27"/>
      <c r="L6" s="28" t="s">
        <v>56</v>
      </c>
      <c r="M6" s="29" t="str">
        <f t="shared" ref="M6:M69" si="5">IF(E6="","",IF(H6="Yes","❌ Disc",IF(G6="No","⚠ Missing",IF(J6="Yes","✓ OK","⚠ Check"))))</f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4558</v>
      </c>
      <c r="C7" s="25" t="s">
        <v>4559</v>
      </c>
      <c r="D7" s="23" t="s">
        <v>4555</v>
      </c>
      <c r="E7" s="55">
        <v>46125</v>
      </c>
      <c r="F7" s="26" t="s">
        <v>55</v>
      </c>
      <c r="G7" s="26" t="s">
        <v>4401</v>
      </c>
      <c r="H7" s="26" t="s">
        <v>56</v>
      </c>
      <c r="I7" s="26" t="s">
        <v>4401</v>
      </c>
      <c r="J7" s="26" t="s">
        <v>58</v>
      </c>
      <c r="K7" s="27"/>
      <c r="L7" s="28" t="s">
        <v>56</v>
      </c>
      <c r="M7" s="29" t="str">
        <f t="shared" si="5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4560</v>
      </c>
      <c r="C8" s="44" t="s">
        <v>4561</v>
      </c>
      <c r="D8" s="42" t="s">
        <v>4555</v>
      </c>
      <c r="E8" s="55">
        <v>46125</v>
      </c>
      <c r="F8" s="26" t="s">
        <v>55</v>
      </c>
      <c r="G8" s="26" t="s">
        <v>58</v>
      </c>
      <c r="H8" s="26" t="s">
        <v>56</v>
      </c>
      <c r="I8" s="26" t="s">
        <v>70</v>
      </c>
      <c r="J8" s="26" t="s">
        <v>58</v>
      </c>
      <c r="K8" s="27"/>
      <c r="L8" s="28" t="s">
        <v>56</v>
      </c>
      <c r="M8" s="29" t="str">
        <f t="shared" si="5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4562</v>
      </c>
      <c r="C9" s="25" t="s">
        <v>4563</v>
      </c>
      <c r="D9" s="23" t="s">
        <v>4555</v>
      </c>
      <c r="E9" s="55">
        <v>46125</v>
      </c>
      <c r="F9" s="26" t="s">
        <v>55</v>
      </c>
      <c r="G9" s="26" t="s">
        <v>58</v>
      </c>
      <c r="H9" s="26" t="s">
        <v>56</v>
      </c>
      <c r="I9" s="26" t="s">
        <v>70</v>
      </c>
      <c r="J9" s="26" t="s">
        <v>58</v>
      </c>
      <c r="K9" s="27"/>
      <c r="L9" s="28" t="s">
        <v>56</v>
      </c>
      <c r="M9" s="29" t="str">
        <f t="shared" si="5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4564</v>
      </c>
      <c r="C10" s="44" t="s">
        <v>4565</v>
      </c>
      <c r="D10" s="42" t="s">
        <v>4555</v>
      </c>
      <c r="E10" s="55">
        <v>46125</v>
      </c>
      <c r="F10" s="26" t="s">
        <v>55</v>
      </c>
      <c r="G10" s="26" t="s">
        <v>4401</v>
      </c>
      <c r="H10" s="26" t="s">
        <v>56</v>
      </c>
      <c r="I10" s="26" t="s">
        <v>4401</v>
      </c>
      <c r="J10" s="26" t="s">
        <v>58</v>
      </c>
      <c r="K10" s="27"/>
      <c r="L10" s="28" t="s">
        <v>56</v>
      </c>
      <c r="M10" s="29" t="str">
        <f t="shared" si="5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4566</v>
      </c>
      <c r="C11" s="25" t="s">
        <v>4567</v>
      </c>
      <c r="D11" s="23" t="s">
        <v>4555</v>
      </c>
      <c r="E11" s="55">
        <v>46125</v>
      </c>
      <c r="F11" s="26" t="s">
        <v>55</v>
      </c>
      <c r="G11" s="26" t="s">
        <v>4401</v>
      </c>
      <c r="H11" s="26" t="s">
        <v>56</v>
      </c>
      <c r="I11" s="26" t="s">
        <v>4401</v>
      </c>
      <c r="J11" s="26" t="s">
        <v>58</v>
      </c>
      <c r="K11" s="27"/>
      <c r="L11" s="28" t="s">
        <v>56</v>
      </c>
      <c r="M11" s="29" t="str">
        <f t="shared" si="5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4568</v>
      </c>
      <c r="C12" s="44" t="s">
        <v>4569</v>
      </c>
      <c r="D12" s="42" t="s">
        <v>4555</v>
      </c>
      <c r="E12" s="55">
        <v>46125</v>
      </c>
      <c r="F12" s="26" t="s">
        <v>55</v>
      </c>
      <c r="G12" s="26" t="s">
        <v>4401</v>
      </c>
      <c r="H12" s="26" t="s">
        <v>56</v>
      </c>
      <c r="I12" s="26" t="s">
        <v>4401</v>
      </c>
      <c r="J12" s="26" t="s">
        <v>58</v>
      </c>
      <c r="K12" s="27"/>
      <c r="L12" s="28" t="s">
        <v>56</v>
      </c>
      <c r="M12" s="29" t="str">
        <f t="shared" si="5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4570</v>
      </c>
      <c r="C13" s="25" t="s">
        <v>4571</v>
      </c>
      <c r="D13" s="23" t="s">
        <v>4555</v>
      </c>
      <c r="E13" s="55">
        <v>46125</v>
      </c>
      <c r="F13" s="26" t="s">
        <v>55</v>
      </c>
      <c r="G13" s="26" t="s">
        <v>4401</v>
      </c>
      <c r="H13" s="26" t="s">
        <v>56</v>
      </c>
      <c r="I13" s="26" t="s">
        <v>4401</v>
      </c>
      <c r="J13" s="26" t="s">
        <v>58</v>
      </c>
      <c r="K13" s="27"/>
      <c r="L13" s="28" t="s">
        <v>56</v>
      </c>
      <c r="M13" s="29" t="str">
        <f t="shared" si="5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4572</v>
      </c>
      <c r="C14" s="44" t="s">
        <v>4573</v>
      </c>
      <c r="D14" s="42" t="s">
        <v>4555</v>
      </c>
      <c r="E14" s="55">
        <v>46125</v>
      </c>
      <c r="F14" s="26" t="s">
        <v>55</v>
      </c>
      <c r="G14" s="26" t="s">
        <v>4401</v>
      </c>
      <c r="H14" s="26" t="s">
        <v>56</v>
      </c>
      <c r="I14" s="26" t="s">
        <v>4401</v>
      </c>
      <c r="J14" s="26" t="s">
        <v>58</v>
      </c>
      <c r="K14" s="27"/>
      <c r="L14" s="28" t="s">
        <v>56</v>
      </c>
      <c r="M14" s="29" t="str">
        <f t="shared" si="5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4574</v>
      </c>
      <c r="C15" s="25" t="s">
        <v>4575</v>
      </c>
      <c r="D15" s="23" t="s">
        <v>4555</v>
      </c>
      <c r="E15" s="55">
        <v>46125</v>
      </c>
      <c r="F15" s="26" t="s">
        <v>55</v>
      </c>
      <c r="G15" s="26" t="s">
        <v>4401</v>
      </c>
      <c r="H15" s="26" t="s">
        <v>56</v>
      </c>
      <c r="I15" s="26" t="s">
        <v>4401</v>
      </c>
      <c r="J15" s="26" t="s">
        <v>58</v>
      </c>
      <c r="K15" s="27"/>
      <c r="L15" s="28" t="s">
        <v>56</v>
      </c>
      <c r="M15" s="29" t="str">
        <f t="shared" si="5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4576</v>
      </c>
      <c r="C16" s="44" t="s">
        <v>4577</v>
      </c>
      <c r="D16" s="42" t="s">
        <v>4555</v>
      </c>
      <c r="E16" s="55">
        <v>46125</v>
      </c>
      <c r="F16" s="26" t="s">
        <v>55</v>
      </c>
      <c r="G16" s="26" t="s">
        <v>4401</v>
      </c>
      <c r="H16" s="26" t="s">
        <v>56</v>
      </c>
      <c r="I16" s="26" t="s">
        <v>4401</v>
      </c>
      <c r="J16" s="26" t="s">
        <v>58</v>
      </c>
      <c r="K16" s="27"/>
      <c r="L16" s="28" t="s">
        <v>56</v>
      </c>
      <c r="M16" s="29" t="str">
        <f t="shared" si="5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4578</v>
      </c>
      <c r="C17" s="25" t="s">
        <v>4579</v>
      </c>
      <c r="D17" s="23" t="s">
        <v>4555</v>
      </c>
      <c r="E17" s="55">
        <v>46125</v>
      </c>
      <c r="F17" s="26" t="s">
        <v>55</v>
      </c>
      <c r="G17" s="26" t="s">
        <v>4401</v>
      </c>
      <c r="H17" s="26" t="s">
        <v>56</v>
      </c>
      <c r="I17" s="26" t="s">
        <v>4401</v>
      </c>
      <c r="J17" s="26" t="s">
        <v>58</v>
      </c>
      <c r="K17" s="27"/>
      <c r="L17" s="28" t="s">
        <v>56</v>
      </c>
      <c r="M17" s="29" t="str">
        <f t="shared" si="5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4580</v>
      </c>
      <c r="C18" s="44" t="s">
        <v>4581</v>
      </c>
      <c r="D18" s="42" t="s">
        <v>4555</v>
      </c>
      <c r="E18" s="55">
        <v>46125</v>
      </c>
      <c r="F18" s="26" t="s">
        <v>55</v>
      </c>
      <c r="G18" s="26" t="s">
        <v>4401</v>
      </c>
      <c r="H18" s="26" t="s">
        <v>56</v>
      </c>
      <c r="I18" s="26" t="s">
        <v>4401</v>
      </c>
      <c r="J18" s="26" t="s">
        <v>58</v>
      </c>
      <c r="K18" s="27"/>
      <c r="L18" s="28" t="s">
        <v>56</v>
      </c>
      <c r="M18" s="29" t="str">
        <f t="shared" si="5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4582</v>
      </c>
      <c r="C19" s="25" t="s">
        <v>4583</v>
      </c>
      <c r="D19" s="23" t="s">
        <v>4555</v>
      </c>
      <c r="E19" s="55">
        <v>46125</v>
      </c>
      <c r="F19" s="26" t="s">
        <v>55</v>
      </c>
      <c r="G19" s="26" t="s">
        <v>58</v>
      </c>
      <c r="H19" s="26" t="s">
        <v>56</v>
      </c>
      <c r="I19" s="26" t="s">
        <v>70</v>
      </c>
      <c r="J19" s="26" t="s">
        <v>58</v>
      </c>
      <c r="K19" s="27"/>
      <c r="L19" s="28" t="s">
        <v>56</v>
      </c>
      <c r="M19" s="29" t="str">
        <f t="shared" si="5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4584</v>
      </c>
      <c r="C20" s="44" t="s">
        <v>4585</v>
      </c>
      <c r="D20" s="42" t="s">
        <v>4555</v>
      </c>
      <c r="E20" s="55">
        <v>46125</v>
      </c>
      <c r="F20" s="26" t="s">
        <v>55</v>
      </c>
      <c r="G20" s="26" t="s">
        <v>4401</v>
      </c>
      <c r="H20" s="26" t="s">
        <v>56</v>
      </c>
      <c r="I20" s="26" t="s">
        <v>4401</v>
      </c>
      <c r="J20" s="26" t="s">
        <v>58</v>
      </c>
      <c r="K20" s="27"/>
      <c r="L20" s="28" t="s">
        <v>56</v>
      </c>
      <c r="M20" s="29" t="str">
        <f t="shared" si="5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4586</v>
      </c>
      <c r="C21" s="25" t="s">
        <v>4587</v>
      </c>
      <c r="D21" s="23" t="s">
        <v>4555</v>
      </c>
      <c r="E21" s="55">
        <v>46125</v>
      </c>
      <c r="F21" s="26" t="s">
        <v>55</v>
      </c>
      <c r="G21" s="26" t="s">
        <v>4401</v>
      </c>
      <c r="H21" s="26" t="s">
        <v>56</v>
      </c>
      <c r="I21" s="26" t="s">
        <v>4401</v>
      </c>
      <c r="J21" s="26" t="s">
        <v>58</v>
      </c>
      <c r="K21" s="27"/>
      <c r="L21" s="28" t="s">
        <v>56</v>
      </c>
      <c r="M21" s="29" t="str">
        <f t="shared" si="5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4588</v>
      </c>
      <c r="C22" s="44" t="s">
        <v>4589</v>
      </c>
      <c r="D22" s="42" t="s">
        <v>4555</v>
      </c>
      <c r="E22" s="55">
        <v>46125</v>
      </c>
      <c r="F22" s="26" t="s">
        <v>55</v>
      </c>
      <c r="G22" s="26" t="s">
        <v>4401</v>
      </c>
      <c r="H22" s="26" t="s">
        <v>56</v>
      </c>
      <c r="I22" s="26" t="s">
        <v>4401</v>
      </c>
      <c r="J22" s="26" t="s">
        <v>58</v>
      </c>
      <c r="K22" s="27"/>
      <c r="L22" s="28" t="s">
        <v>56</v>
      </c>
      <c r="M22" s="29" t="str">
        <f t="shared" si="5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4590</v>
      </c>
      <c r="C23" s="25" t="s">
        <v>4591</v>
      </c>
      <c r="D23" s="23" t="s">
        <v>4555</v>
      </c>
      <c r="E23" s="55">
        <v>46125</v>
      </c>
      <c r="F23" s="26" t="s">
        <v>55</v>
      </c>
      <c r="G23" s="26" t="s">
        <v>4401</v>
      </c>
      <c r="H23" s="26" t="s">
        <v>56</v>
      </c>
      <c r="I23" s="26" t="s">
        <v>4401</v>
      </c>
      <c r="J23" s="26" t="s">
        <v>58</v>
      </c>
      <c r="K23" s="27"/>
      <c r="L23" s="28" t="s">
        <v>56</v>
      </c>
      <c r="M23" s="29" t="str">
        <f t="shared" si="5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4592</v>
      </c>
      <c r="C24" s="44" t="s">
        <v>4593</v>
      </c>
      <c r="D24" s="42" t="s">
        <v>4555</v>
      </c>
      <c r="E24" s="55">
        <v>46125</v>
      </c>
      <c r="F24" s="26" t="s">
        <v>55</v>
      </c>
      <c r="G24" s="26" t="s">
        <v>4401</v>
      </c>
      <c r="H24" s="26" t="s">
        <v>56</v>
      </c>
      <c r="I24" s="26" t="s">
        <v>4401</v>
      </c>
      <c r="J24" s="26" t="s">
        <v>58</v>
      </c>
      <c r="K24" s="27"/>
      <c r="L24" s="28" t="s">
        <v>56</v>
      </c>
      <c r="M24" s="29" t="str">
        <f t="shared" si="5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4594</v>
      </c>
      <c r="C25" s="25" t="s">
        <v>4595</v>
      </c>
      <c r="D25" s="23" t="s">
        <v>4555</v>
      </c>
      <c r="E25" s="55">
        <v>46125</v>
      </c>
      <c r="F25" s="26" t="s">
        <v>55</v>
      </c>
      <c r="G25" s="26" t="s">
        <v>4401</v>
      </c>
      <c r="H25" s="26" t="s">
        <v>56</v>
      </c>
      <c r="I25" s="26" t="s">
        <v>4401</v>
      </c>
      <c r="J25" s="26" t="s">
        <v>58</v>
      </c>
      <c r="K25" s="27"/>
      <c r="L25" s="28" t="s">
        <v>56</v>
      </c>
      <c r="M25" s="29" t="str">
        <f t="shared" si="5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4596</v>
      </c>
      <c r="C26" s="44" t="s">
        <v>4597</v>
      </c>
      <c r="D26" s="42" t="s">
        <v>4555</v>
      </c>
      <c r="E26" s="55">
        <v>46125</v>
      </c>
      <c r="F26" s="26" t="s">
        <v>55</v>
      </c>
      <c r="G26" s="26" t="s">
        <v>4401</v>
      </c>
      <c r="H26" s="26" t="s">
        <v>56</v>
      </c>
      <c r="I26" s="26" t="s">
        <v>4401</v>
      </c>
      <c r="J26" s="26" t="s">
        <v>58</v>
      </c>
      <c r="K26" s="27"/>
      <c r="L26" s="28" t="s">
        <v>56</v>
      </c>
      <c r="M26" s="29" t="str">
        <f t="shared" si="5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4598</v>
      </c>
      <c r="C27" s="25" t="s">
        <v>4599</v>
      </c>
      <c r="D27" s="23" t="s">
        <v>4555</v>
      </c>
      <c r="E27" s="55">
        <v>46125</v>
      </c>
      <c r="F27" s="26" t="s">
        <v>55</v>
      </c>
      <c r="G27" s="26" t="s">
        <v>4401</v>
      </c>
      <c r="H27" s="26" t="s">
        <v>56</v>
      </c>
      <c r="I27" s="26" t="s">
        <v>4401</v>
      </c>
      <c r="J27" s="26" t="s">
        <v>58</v>
      </c>
      <c r="K27" s="27"/>
      <c r="L27" s="28" t="s">
        <v>56</v>
      </c>
      <c r="M27" s="29" t="str">
        <f t="shared" si="5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4600</v>
      </c>
      <c r="C28" s="44" t="s">
        <v>4601</v>
      </c>
      <c r="D28" s="42" t="s">
        <v>4555</v>
      </c>
      <c r="E28" s="55">
        <v>46125</v>
      </c>
      <c r="F28" s="26" t="s">
        <v>55</v>
      </c>
      <c r="G28" s="26" t="s">
        <v>4401</v>
      </c>
      <c r="H28" s="26" t="s">
        <v>56</v>
      </c>
      <c r="I28" s="26" t="s">
        <v>4401</v>
      </c>
      <c r="J28" s="26" t="s">
        <v>58</v>
      </c>
      <c r="K28" s="27"/>
      <c r="L28" s="28" t="s">
        <v>56</v>
      </c>
      <c r="M28" s="29" t="str">
        <f t="shared" si="5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4602</v>
      </c>
      <c r="C29" s="25" t="s">
        <v>4603</v>
      </c>
      <c r="D29" s="23" t="s">
        <v>4555</v>
      </c>
      <c r="E29" s="55">
        <v>46125</v>
      </c>
      <c r="F29" s="26" t="s">
        <v>55</v>
      </c>
      <c r="G29" s="26" t="s">
        <v>4401</v>
      </c>
      <c r="H29" s="26" t="s">
        <v>56</v>
      </c>
      <c r="I29" s="26" t="s">
        <v>4401</v>
      </c>
      <c r="J29" s="26" t="s">
        <v>58</v>
      </c>
      <c r="K29" s="27"/>
      <c r="L29" s="28" t="s">
        <v>56</v>
      </c>
      <c r="M29" s="29" t="str">
        <f t="shared" si="5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4604</v>
      </c>
      <c r="C30" s="44" t="s">
        <v>4605</v>
      </c>
      <c r="D30" s="42" t="s">
        <v>4555</v>
      </c>
      <c r="E30" s="55">
        <v>46125</v>
      </c>
      <c r="F30" s="26" t="s">
        <v>55</v>
      </c>
      <c r="G30" s="26" t="s">
        <v>58</v>
      </c>
      <c r="H30" s="26" t="s">
        <v>56</v>
      </c>
      <c r="I30" s="26" t="s">
        <v>70</v>
      </c>
      <c r="J30" s="26" t="s">
        <v>58</v>
      </c>
      <c r="K30" s="27"/>
      <c r="L30" s="28" t="s">
        <v>56</v>
      </c>
      <c r="M30" s="29" t="str">
        <f t="shared" si="5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4606</v>
      </c>
      <c r="C31" s="25" t="s">
        <v>4607</v>
      </c>
      <c r="D31" s="23" t="s">
        <v>4555</v>
      </c>
      <c r="E31" s="55">
        <v>46125</v>
      </c>
      <c r="F31" s="26" t="s">
        <v>55</v>
      </c>
      <c r="G31" s="26" t="s">
        <v>4401</v>
      </c>
      <c r="H31" s="26" t="s">
        <v>56</v>
      </c>
      <c r="I31" s="26" t="s">
        <v>4401</v>
      </c>
      <c r="J31" s="26" t="s">
        <v>58</v>
      </c>
      <c r="K31" s="27"/>
      <c r="L31" s="28" t="s">
        <v>56</v>
      </c>
      <c r="M31" s="29" t="str">
        <f t="shared" si="5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4608</v>
      </c>
      <c r="C32" s="44" t="s">
        <v>4609</v>
      </c>
      <c r="D32" s="42" t="s">
        <v>4555</v>
      </c>
      <c r="E32" s="55">
        <v>46125</v>
      </c>
      <c r="F32" s="26" t="s">
        <v>55</v>
      </c>
      <c r="G32" s="26" t="s">
        <v>4401</v>
      </c>
      <c r="H32" s="26" t="s">
        <v>56</v>
      </c>
      <c r="I32" s="26" t="s">
        <v>4401</v>
      </c>
      <c r="J32" s="26" t="s">
        <v>58</v>
      </c>
      <c r="K32" s="27"/>
      <c r="L32" s="28" t="s">
        <v>56</v>
      </c>
      <c r="M32" s="29" t="str">
        <f t="shared" si="5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4610</v>
      </c>
      <c r="C33" s="25" t="s">
        <v>4611</v>
      </c>
      <c r="D33" s="23" t="s">
        <v>4555</v>
      </c>
      <c r="E33" s="55">
        <v>46125</v>
      </c>
      <c r="F33" s="26" t="s">
        <v>55</v>
      </c>
      <c r="G33" s="26" t="s">
        <v>4401</v>
      </c>
      <c r="H33" s="26" t="s">
        <v>56</v>
      </c>
      <c r="I33" s="26" t="s">
        <v>4401</v>
      </c>
      <c r="J33" s="26" t="s">
        <v>58</v>
      </c>
      <c r="K33" s="27"/>
      <c r="L33" s="28" t="s">
        <v>56</v>
      </c>
      <c r="M33" s="29" t="str">
        <f t="shared" si="5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4612</v>
      </c>
      <c r="C34" s="44" t="s">
        <v>4613</v>
      </c>
      <c r="D34" s="42" t="s">
        <v>4555</v>
      </c>
      <c r="E34" s="55">
        <v>46125</v>
      </c>
      <c r="F34" s="26" t="s">
        <v>55</v>
      </c>
      <c r="G34" s="26" t="s">
        <v>4401</v>
      </c>
      <c r="H34" s="26" t="s">
        <v>56</v>
      </c>
      <c r="I34" s="26" t="s">
        <v>4401</v>
      </c>
      <c r="J34" s="26" t="s">
        <v>58</v>
      </c>
      <c r="K34" s="27"/>
      <c r="L34" s="28" t="s">
        <v>56</v>
      </c>
      <c r="M34" s="29" t="str">
        <f t="shared" si="5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4614</v>
      </c>
      <c r="C35" s="25" t="s">
        <v>4615</v>
      </c>
      <c r="D35" s="23" t="s">
        <v>4555</v>
      </c>
      <c r="E35" s="55">
        <v>46125</v>
      </c>
      <c r="F35" s="26" t="s">
        <v>55</v>
      </c>
      <c r="G35" s="26" t="s">
        <v>4401</v>
      </c>
      <c r="H35" s="26" t="s">
        <v>56</v>
      </c>
      <c r="I35" s="26" t="s">
        <v>4401</v>
      </c>
      <c r="J35" s="26" t="s">
        <v>58</v>
      </c>
      <c r="K35" s="27"/>
      <c r="L35" s="28" t="s">
        <v>56</v>
      </c>
      <c r="M35" s="29" t="str">
        <f t="shared" si="5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4616</v>
      </c>
      <c r="C36" s="44" t="s">
        <v>4617</v>
      </c>
      <c r="D36" s="42" t="s">
        <v>4555</v>
      </c>
      <c r="E36" s="55">
        <v>46125</v>
      </c>
      <c r="F36" s="26" t="s">
        <v>55</v>
      </c>
      <c r="G36" s="26" t="s">
        <v>4401</v>
      </c>
      <c r="H36" s="26" t="s">
        <v>56</v>
      </c>
      <c r="I36" s="26" t="s">
        <v>4401</v>
      </c>
      <c r="J36" s="26" t="s">
        <v>58</v>
      </c>
      <c r="K36" s="27"/>
      <c r="L36" s="28" t="s">
        <v>56</v>
      </c>
      <c r="M36" s="29" t="str">
        <f t="shared" si="5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4618</v>
      </c>
      <c r="C37" s="25" t="s">
        <v>4619</v>
      </c>
      <c r="D37" s="23" t="s">
        <v>4555</v>
      </c>
      <c r="E37" s="55">
        <v>46125</v>
      </c>
      <c r="F37" s="26" t="s">
        <v>55</v>
      </c>
      <c r="G37" s="26" t="s">
        <v>4401</v>
      </c>
      <c r="H37" s="26" t="s">
        <v>56</v>
      </c>
      <c r="I37" s="26" t="s">
        <v>4401</v>
      </c>
      <c r="J37" s="26" t="s">
        <v>58</v>
      </c>
      <c r="K37" s="27"/>
      <c r="L37" s="28" t="s">
        <v>56</v>
      </c>
      <c r="M37" s="29" t="str">
        <f t="shared" si="5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4620</v>
      </c>
      <c r="C38" s="44" t="s">
        <v>4621</v>
      </c>
      <c r="D38" s="42" t="s">
        <v>4555</v>
      </c>
      <c r="E38" s="55">
        <v>46125</v>
      </c>
      <c r="F38" s="26" t="s">
        <v>55</v>
      </c>
      <c r="G38" s="26" t="s">
        <v>4401</v>
      </c>
      <c r="H38" s="26" t="s">
        <v>56</v>
      </c>
      <c r="I38" s="26" t="s">
        <v>4401</v>
      </c>
      <c r="J38" s="26" t="s">
        <v>58</v>
      </c>
      <c r="K38" s="27"/>
      <c r="L38" s="28" t="s">
        <v>56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4622</v>
      </c>
      <c r="C39" s="25" t="s">
        <v>4623</v>
      </c>
      <c r="D39" s="23" t="s">
        <v>4555</v>
      </c>
      <c r="E39" s="55">
        <v>46125</v>
      </c>
      <c r="F39" s="26" t="s">
        <v>55</v>
      </c>
      <c r="G39" s="26" t="s">
        <v>4401</v>
      </c>
      <c r="H39" s="26" t="s">
        <v>56</v>
      </c>
      <c r="I39" s="26" t="s">
        <v>4401</v>
      </c>
      <c r="J39" s="26" t="s">
        <v>58</v>
      </c>
      <c r="K39" s="27"/>
      <c r="L39" s="28" t="s">
        <v>56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4.25" customHeight="1" x14ac:dyDescent="0.3">
      <c r="A40" s="42">
        <v>36</v>
      </c>
      <c r="B40" s="43" t="s">
        <v>4624</v>
      </c>
      <c r="C40" s="44" t="s">
        <v>4625</v>
      </c>
      <c r="D40" s="42" t="s">
        <v>4555</v>
      </c>
      <c r="E40" s="55">
        <v>46125</v>
      </c>
      <c r="F40" s="26" t="s">
        <v>55</v>
      </c>
      <c r="G40" s="26" t="s">
        <v>4401</v>
      </c>
      <c r="H40" s="26" t="s">
        <v>56</v>
      </c>
      <c r="I40" s="26" t="s">
        <v>4401</v>
      </c>
      <c r="J40" s="26" t="s">
        <v>58</v>
      </c>
      <c r="K40" s="27"/>
      <c r="L40" s="28" t="s">
        <v>56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4.25" customHeight="1" x14ac:dyDescent="0.3">
      <c r="A41" s="23">
        <v>37</v>
      </c>
      <c r="B41" s="24" t="s">
        <v>4626</v>
      </c>
      <c r="C41" s="25" t="s">
        <v>4627</v>
      </c>
      <c r="D41" s="23" t="s">
        <v>4555</v>
      </c>
      <c r="E41" s="55">
        <v>46125</v>
      </c>
      <c r="F41" s="26" t="s">
        <v>55</v>
      </c>
      <c r="G41" s="26" t="s">
        <v>4401</v>
      </c>
      <c r="H41" s="26" t="s">
        <v>56</v>
      </c>
      <c r="I41" s="26" t="s">
        <v>4401</v>
      </c>
      <c r="J41" s="26" t="s">
        <v>58</v>
      </c>
      <c r="K41" s="27"/>
      <c r="L41" s="28" t="s">
        <v>56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4.25" customHeight="1" x14ac:dyDescent="0.3">
      <c r="A42" s="42">
        <v>38</v>
      </c>
      <c r="B42" s="43" t="s">
        <v>4628</v>
      </c>
      <c r="C42" s="44" t="s">
        <v>4629</v>
      </c>
      <c r="D42" s="42" t="s">
        <v>4555</v>
      </c>
      <c r="E42" s="55">
        <v>46125</v>
      </c>
      <c r="F42" s="26" t="s">
        <v>55</v>
      </c>
      <c r="G42" s="26" t="s">
        <v>4401</v>
      </c>
      <c r="H42" s="26" t="s">
        <v>56</v>
      </c>
      <c r="I42" s="26" t="s">
        <v>4401</v>
      </c>
      <c r="J42" s="26" t="s">
        <v>58</v>
      </c>
      <c r="K42" s="27"/>
      <c r="L42" s="28" t="s">
        <v>56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4.25" customHeight="1" x14ac:dyDescent="0.3">
      <c r="A43" s="23">
        <v>39</v>
      </c>
      <c r="B43" s="24" t="s">
        <v>4630</v>
      </c>
      <c r="C43" s="25" t="s">
        <v>4631</v>
      </c>
      <c r="D43" s="23" t="s">
        <v>4555</v>
      </c>
      <c r="E43" s="55">
        <v>46125</v>
      </c>
      <c r="F43" s="26" t="s">
        <v>55</v>
      </c>
      <c r="G43" s="26" t="s">
        <v>58</v>
      </c>
      <c r="H43" s="26" t="s">
        <v>56</v>
      </c>
      <c r="I43" s="26" t="s">
        <v>70</v>
      </c>
      <c r="J43" s="26" t="s">
        <v>58</v>
      </c>
      <c r="K43" s="27"/>
      <c r="L43" s="28" t="s">
        <v>56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4.25" customHeight="1" x14ac:dyDescent="0.3">
      <c r="A44" s="42">
        <v>40</v>
      </c>
      <c r="B44" s="43" t="s">
        <v>4632</v>
      </c>
      <c r="C44" s="44" t="s">
        <v>4633</v>
      </c>
      <c r="D44" s="42" t="s">
        <v>4555</v>
      </c>
      <c r="E44" s="55">
        <v>46125</v>
      </c>
      <c r="F44" s="26" t="s">
        <v>55</v>
      </c>
      <c r="G44" s="26" t="s">
        <v>4401</v>
      </c>
      <c r="H44" s="26" t="s">
        <v>56</v>
      </c>
      <c r="I44" s="26" t="s">
        <v>4401</v>
      </c>
      <c r="J44" s="26" t="s">
        <v>58</v>
      </c>
      <c r="K44" s="27"/>
      <c r="L44" s="28" t="s">
        <v>56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4.25" customHeight="1" x14ac:dyDescent="0.3">
      <c r="A45" s="23">
        <v>41</v>
      </c>
      <c r="B45" s="24" t="s">
        <v>4634</v>
      </c>
      <c r="C45" s="25" t="s">
        <v>4635</v>
      </c>
      <c r="D45" s="23" t="s">
        <v>4555</v>
      </c>
      <c r="E45" s="55">
        <v>46125</v>
      </c>
      <c r="F45" s="26" t="s">
        <v>55</v>
      </c>
      <c r="G45" s="26" t="s">
        <v>4401</v>
      </c>
      <c r="H45" s="26" t="s">
        <v>56</v>
      </c>
      <c r="I45" s="26" t="s">
        <v>4401</v>
      </c>
      <c r="J45" s="26" t="s">
        <v>58</v>
      </c>
      <c r="K45" s="27"/>
      <c r="L45" s="28" t="s">
        <v>56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4.25" customHeight="1" x14ac:dyDescent="0.3">
      <c r="A46" s="42">
        <v>42</v>
      </c>
      <c r="B46" s="43" t="s">
        <v>4636</v>
      </c>
      <c r="C46" s="44" t="s">
        <v>4637</v>
      </c>
      <c r="D46" s="42" t="s">
        <v>4555</v>
      </c>
      <c r="E46" s="55">
        <v>46125</v>
      </c>
      <c r="F46" s="26" t="s">
        <v>55</v>
      </c>
      <c r="G46" s="26" t="s">
        <v>4401</v>
      </c>
      <c r="H46" s="26" t="s">
        <v>56</v>
      </c>
      <c r="I46" s="26" t="s">
        <v>4401</v>
      </c>
      <c r="J46" s="26" t="s">
        <v>58</v>
      </c>
      <c r="K46" s="27"/>
      <c r="L46" s="28" t="s">
        <v>56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4.25" customHeight="1" x14ac:dyDescent="0.3">
      <c r="A47" s="23">
        <v>43</v>
      </c>
      <c r="B47" s="24" t="s">
        <v>4638</v>
      </c>
      <c r="C47" s="25" t="s">
        <v>4639</v>
      </c>
      <c r="D47" s="23" t="s">
        <v>4555</v>
      </c>
      <c r="E47" s="55">
        <v>46125</v>
      </c>
      <c r="F47" s="26" t="s">
        <v>55</v>
      </c>
      <c r="G47" s="26" t="s">
        <v>4401</v>
      </c>
      <c r="H47" s="26" t="s">
        <v>56</v>
      </c>
      <c r="I47" s="26" t="s">
        <v>4401</v>
      </c>
      <c r="J47" s="26" t="s">
        <v>58</v>
      </c>
      <c r="K47" s="27"/>
      <c r="L47" s="28" t="s">
        <v>56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4.25" customHeight="1" x14ac:dyDescent="0.3">
      <c r="A48" s="42">
        <v>44</v>
      </c>
      <c r="B48" s="43" t="s">
        <v>4640</v>
      </c>
      <c r="C48" s="44" t="s">
        <v>4641</v>
      </c>
      <c r="D48" s="42" t="s">
        <v>4555</v>
      </c>
      <c r="E48" s="55">
        <v>46125</v>
      </c>
      <c r="F48" s="26" t="s">
        <v>55</v>
      </c>
      <c r="G48" s="26" t="s">
        <v>4401</v>
      </c>
      <c r="H48" s="26" t="s">
        <v>56</v>
      </c>
      <c r="I48" s="26" t="s">
        <v>4401</v>
      </c>
      <c r="J48" s="26" t="s">
        <v>58</v>
      </c>
      <c r="K48" s="27"/>
      <c r="L48" s="28" t="s">
        <v>56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4.25" customHeight="1" x14ac:dyDescent="0.3">
      <c r="A49" s="23">
        <v>45</v>
      </c>
      <c r="B49" s="24" t="s">
        <v>4642</v>
      </c>
      <c r="C49" s="25" t="s">
        <v>4643</v>
      </c>
      <c r="D49" s="23" t="s">
        <v>4555</v>
      </c>
      <c r="E49" s="55">
        <v>46125</v>
      </c>
      <c r="F49" s="26" t="s">
        <v>55</v>
      </c>
      <c r="G49" s="26" t="s">
        <v>4401</v>
      </c>
      <c r="H49" s="26" t="s">
        <v>56</v>
      </c>
      <c r="I49" s="26" t="s">
        <v>4401</v>
      </c>
      <c r="J49" s="26" t="s">
        <v>58</v>
      </c>
      <c r="K49" s="27"/>
      <c r="L49" s="28" t="s">
        <v>56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4.25" customHeight="1" x14ac:dyDescent="0.3">
      <c r="A50" s="42">
        <v>46</v>
      </c>
      <c r="B50" s="43" t="s">
        <v>4644</v>
      </c>
      <c r="C50" s="44" t="s">
        <v>4645</v>
      </c>
      <c r="D50" s="42" t="s">
        <v>4555</v>
      </c>
      <c r="E50" s="55">
        <v>46125</v>
      </c>
      <c r="F50" s="26" t="s">
        <v>55</v>
      </c>
      <c r="G50" s="26" t="s">
        <v>4401</v>
      </c>
      <c r="H50" s="26" t="s">
        <v>56</v>
      </c>
      <c r="I50" s="26" t="s">
        <v>4401</v>
      </c>
      <c r="J50" s="26" t="s">
        <v>58</v>
      </c>
      <c r="K50" s="27"/>
      <c r="L50" s="28" t="s">
        <v>56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4.25" customHeight="1" x14ac:dyDescent="0.3">
      <c r="A51" s="23">
        <v>47</v>
      </c>
      <c r="B51" s="24" t="s">
        <v>4646</v>
      </c>
      <c r="C51" s="25" t="s">
        <v>4647</v>
      </c>
      <c r="D51" s="23" t="s">
        <v>4555</v>
      </c>
      <c r="E51" s="55">
        <v>46125</v>
      </c>
      <c r="F51" s="26" t="s">
        <v>55</v>
      </c>
      <c r="G51" s="26" t="s">
        <v>58</v>
      </c>
      <c r="H51" s="26" t="s">
        <v>56</v>
      </c>
      <c r="I51" s="26" t="s">
        <v>70</v>
      </c>
      <c r="J51" s="26" t="s">
        <v>58</v>
      </c>
      <c r="K51" s="27"/>
      <c r="L51" s="28" t="s">
        <v>56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4.25" customHeight="1" x14ac:dyDescent="0.3">
      <c r="A52" s="42">
        <v>48</v>
      </c>
      <c r="B52" s="43" t="s">
        <v>4648</v>
      </c>
      <c r="C52" s="44" t="s">
        <v>4649</v>
      </c>
      <c r="D52" s="42" t="s">
        <v>4555</v>
      </c>
      <c r="E52" s="55">
        <v>46125</v>
      </c>
      <c r="F52" s="26" t="s">
        <v>55</v>
      </c>
      <c r="G52" s="26" t="s">
        <v>4401</v>
      </c>
      <c r="H52" s="26" t="s">
        <v>56</v>
      </c>
      <c r="I52" s="26" t="s">
        <v>4401</v>
      </c>
      <c r="J52" s="26" t="s">
        <v>58</v>
      </c>
      <c r="K52" s="27"/>
      <c r="L52" s="28" t="s">
        <v>56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4.25" customHeight="1" x14ac:dyDescent="0.3">
      <c r="A53" s="23">
        <v>49</v>
      </c>
      <c r="B53" s="24" t="s">
        <v>4650</v>
      </c>
      <c r="C53" s="25" t="s">
        <v>4651</v>
      </c>
      <c r="D53" s="23" t="s">
        <v>4555</v>
      </c>
      <c r="E53" s="55">
        <v>46125</v>
      </c>
      <c r="F53" s="26" t="s">
        <v>55</v>
      </c>
      <c r="G53" s="26" t="s">
        <v>56</v>
      </c>
      <c r="H53" s="26" t="s">
        <v>56</v>
      </c>
      <c r="I53" s="26" t="s">
        <v>57</v>
      </c>
      <c r="J53" s="26" t="s">
        <v>56</v>
      </c>
      <c r="K53" s="27"/>
      <c r="L53" s="28" t="s">
        <v>58</v>
      </c>
      <c r="M53" s="29" t="str">
        <f t="shared" si="5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4.25" customHeight="1" x14ac:dyDescent="0.3">
      <c r="A54" s="42">
        <v>50</v>
      </c>
      <c r="B54" s="43" t="s">
        <v>4652</v>
      </c>
      <c r="C54" s="44" t="s">
        <v>4653</v>
      </c>
      <c r="D54" s="42" t="s">
        <v>4555</v>
      </c>
      <c r="E54" s="55">
        <v>46125</v>
      </c>
      <c r="F54" s="26" t="s">
        <v>55</v>
      </c>
      <c r="G54" s="26" t="s">
        <v>56</v>
      </c>
      <c r="H54" s="26" t="s">
        <v>56</v>
      </c>
      <c r="I54" s="26" t="s">
        <v>57</v>
      </c>
      <c r="J54" s="26" t="s">
        <v>56</v>
      </c>
      <c r="K54" s="27"/>
      <c r="L54" s="28" t="s">
        <v>58</v>
      </c>
      <c r="M54" s="29" t="str">
        <f t="shared" si="5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4.25" customHeight="1" x14ac:dyDescent="0.3">
      <c r="A55" s="23">
        <v>51</v>
      </c>
      <c r="B55" s="24" t="s">
        <v>4654</v>
      </c>
      <c r="C55" s="25" t="s">
        <v>4655</v>
      </c>
      <c r="D55" s="23" t="s">
        <v>4555</v>
      </c>
      <c r="E55" s="55">
        <v>46125</v>
      </c>
      <c r="F55" s="26" t="s">
        <v>55</v>
      </c>
      <c r="G55" s="26" t="s">
        <v>56</v>
      </c>
      <c r="H55" s="26" t="s">
        <v>56</v>
      </c>
      <c r="I55" s="26" t="s">
        <v>57</v>
      </c>
      <c r="J55" s="26" t="s">
        <v>56</v>
      </c>
      <c r="K55" s="27"/>
      <c r="L55" s="28" t="s">
        <v>58</v>
      </c>
      <c r="M55" s="29" t="str">
        <f t="shared" si="5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4.25" customHeight="1" x14ac:dyDescent="0.3">
      <c r="A56" s="42">
        <v>52</v>
      </c>
      <c r="B56" s="43" t="s">
        <v>4656</v>
      </c>
      <c r="C56" s="44" t="s">
        <v>4657</v>
      </c>
      <c r="D56" s="42" t="s">
        <v>4555</v>
      </c>
      <c r="E56" s="55">
        <v>46125</v>
      </c>
      <c r="F56" s="26" t="s">
        <v>55</v>
      </c>
      <c r="G56" s="26" t="s">
        <v>56</v>
      </c>
      <c r="H56" s="26" t="s">
        <v>56</v>
      </c>
      <c r="I56" s="26" t="s">
        <v>57</v>
      </c>
      <c r="J56" s="26" t="s">
        <v>56</v>
      </c>
      <c r="K56" s="27"/>
      <c r="L56" s="28" t="s">
        <v>58</v>
      </c>
      <c r="M56" s="29" t="str">
        <f t="shared" si="5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4.25" customHeight="1" x14ac:dyDescent="0.3">
      <c r="A57" s="23">
        <v>53</v>
      </c>
      <c r="B57" s="24" t="s">
        <v>4658</v>
      </c>
      <c r="C57" s="25" t="s">
        <v>4659</v>
      </c>
      <c r="D57" s="23" t="s">
        <v>4555</v>
      </c>
      <c r="E57" s="55">
        <v>46125</v>
      </c>
      <c r="F57" s="26" t="s">
        <v>55</v>
      </c>
      <c r="G57" s="26" t="s">
        <v>56</v>
      </c>
      <c r="H57" s="26" t="s">
        <v>56</v>
      </c>
      <c r="I57" s="26" t="s">
        <v>57</v>
      </c>
      <c r="J57" s="26" t="s">
        <v>56</v>
      </c>
      <c r="K57" s="27"/>
      <c r="L57" s="28" t="s">
        <v>58</v>
      </c>
      <c r="M57" s="29" t="str">
        <f t="shared" si="5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4.25" customHeight="1" x14ac:dyDescent="0.3">
      <c r="A58" s="42">
        <v>54</v>
      </c>
      <c r="B58" s="43" t="s">
        <v>4660</v>
      </c>
      <c r="C58" s="44" t="s">
        <v>4661</v>
      </c>
      <c r="D58" s="42" t="s">
        <v>4555</v>
      </c>
      <c r="E58" s="55">
        <v>46125</v>
      </c>
      <c r="F58" s="26" t="s">
        <v>55</v>
      </c>
      <c r="G58" s="26" t="s">
        <v>56</v>
      </c>
      <c r="H58" s="26" t="s">
        <v>56</v>
      </c>
      <c r="I58" s="26" t="s">
        <v>57</v>
      </c>
      <c r="J58" s="26" t="s">
        <v>56</v>
      </c>
      <c r="K58" s="27"/>
      <c r="L58" s="28" t="s">
        <v>58</v>
      </c>
      <c r="M58" s="29" t="str">
        <f t="shared" si="5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4.25" customHeight="1" x14ac:dyDescent="0.3">
      <c r="A59" s="23">
        <v>55</v>
      </c>
      <c r="B59" s="24" t="s">
        <v>4662</v>
      </c>
      <c r="C59" s="25" t="s">
        <v>4663</v>
      </c>
      <c r="D59" s="23" t="s">
        <v>4555</v>
      </c>
      <c r="E59" s="55">
        <v>46125</v>
      </c>
      <c r="F59" s="26" t="s">
        <v>55</v>
      </c>
      <c r="G59" s="26" t="s">
        <v>56</v>
      </c>
      <c r="H59" s="26" t="s">
        <v>56</v>
      </c>
      <c r="I59" s="26" t="s">
        <v>57</v>
      </c>
      <c r="J59" s="26" t="s">
        <v>56</v>
      </c>
      <c r="K59" s="27"/>
      <c r="L59" s="28" t="s">
        <v>58</v>
      </c>
      <c r="M59" s="29" t="str">
        <f t="shared" si="5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4.25" customHeight="1" x14ac:dyDescent="0.3">
      <c r="A60" s="42">
        <v>56</v>
      </c>
      <c r="B60" s="43" t="s">
        <v>4664</v>
      </c>
      <c r="C60" s="44" t="s">
        <v>4665</v>
      </c>
      <c r="D60" s="42" t="s">
        <v>4555</v>
      </c>
      <c r="E60" s="55">
        <v>46125</v>
      </c>
      <c r="F60" s="26" t="s">
        <v>55</v>
      </c>
      <c r="G60" s="26" t="s">
        <v>56</v>
      </c>
      <c r="H60" s="26" t="s">
        <v>56</v>
      </c>
      <c r="I60" s="26" t="s">
        <v>57</v>
      </c>
      <c r="J60" s="26" t="s">
        <v>56</v>
      </c>
      <c r="K60" s="27"/>
      <c r="L60" s="28" t="s">
        <v>58</v>
      </c>
      <c r="M60" s="29" t="str">
        <f t="shared" si="5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4.25" customHeight="1" x14ac:dyDescent="0.3">
      <c r="A61" s="23">
        <v>57</v>
      </c>
      <c r="B61" s="24" t="s">
        <v>4666</v>
      </c>
      <c r="C61" s="25" t="s">
        <v>4667</v>
      </c>
      <c r="D61" s="23" t="s">
        <v>4555</v>
      </c>
      <c r="E61" s="55">
        <v>46125</v>
      </c>
      <c r="F61" s="26" t="s">
        <v>55</v>
      </c>
      <c r="G61" s="26" t="s">
        <v>56</v>
      </c>
      <c r="H61" s="26" t="s">
        <v>56</v>
      </c>
      <c r="I61" s="26" t="s">
        <v>57</v>
      </c>
      <c r="J61" s="26" t="s">
        <v>56</v>
      </c>
      <c r="K61" s="27"/>
      <c r="L61" s="28" t="s">
        <v>58</v>
      </c>
      <c r="M61" s="29" t="str">
        <f t="shared" si="5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4.25" customHeight="1" x14ac:dyDescent="0.3">
      <c r="A62" s="42">
        <v>58</v>
      </c>
      <c r="B62" s="43" t="s">
        <v>4668</v>
      </c>
      <c r="C62" s="44" t="s">
        <v>4669</v>
      </c>
      <c r="D62" s="42" t="s">
        <v>4555</v>
      </c>
      <c r="E62" s="55">
        <v>46125</v>
      </c>
      <c r="F62" s="26" t="s">
        <v>55</v>
      </c>
      <c r="G62" s="26" t="s">
        <v>56</v>
      </c>
      <c r="H62" s="26" t="s">
        <v>56</v>
      </c>
      <c r="I62" s="26" t="s">
        <v>57</v>
      </c>
      <c r="J62" s="26" t="s">
        <v>56</v>
      </c>
      <c r="K62" s="27"/>
      <c r="L62" s="28" t="s">
        <v>58</v>
      </c>
      <c r="M62" s="29" t="str">
        <f t="shared" si="5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4.25" customHeight="1" x14ac:dyDescent="0.3">
      <c r="A63" s="23">
        <v>59</v>
      </c>
      <c r="B63" s="24" t="s">
        <v>4670</v>
      </c>
      <c r="C63" s="25" t="s">
        <v>4671</v>
      </c>
      <c r="D63" s="23" t="s">
        <v>4555</v>
      </c>
      <c r="E63" s="55">
        <v>46125</v>
      </c>
      <c r="F63" s="26" t="s">
        <v>55</v>
      </c>
      <c r="G63" s="26" t="s">
        <v>56</v>
      </c>
      <c r="H63" s="26" t="s">
        <v>56</v>
      </c>
      <c r="I63" s="26" t="s">
        <v>57</v>
      </c>
      <c r="J63" s="26" t="s">
        <v>56</v>
      </c>
      <c r="K63" s="27"/>
      <c r="L63" s="28" t="s">
        <v>58</v>
      </c>
      <c r="M63" s="29" t="str">
        <f t="shared" si="5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4.25" customHeight="1" x14ac:dyDescent="0.3">
      <c r="A64" s="42">
        <v>60</v>
      </c>
      <c r="B64" s="43" t="s">
        <v>4672</v>
      </c>
      <c r="C64" s="44" t="s">
        <v>4673</v>
      </c>
      <c r="D64" s="42" t="s">
        <v>4555</v>
      </c>
      <c r="E64" s="55">
        <v>46125</v>
      </c>
      <c r="F64" s="26" t="s">
        <v>55</v>
      </c>
      <c r="G64" s="26" t="s">
        <v>56</v>
      </c>
      <c r="H64" s="26" t="s">
        <v>56</v>
      </c>
      <c r="I64" s="26" t="s">
        <v>57</v>
      </c>
      <c r="J64" s="26" t="s">
        <v>56</v>
      </c>
      <c r="K64" s="27"/>
      <c r="L64" s="28" t="s">
        <v>58</v>
      </c>
      <c r="M64" s="29" t="str">
        <f t="shared" si="5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4.25" customHeight="1" x14ac:dyDescent="0.3">
      <c r="A65" s="23">
        <v>61</v>
      </c>
      <c r="B65" s="24" t="s">
        <v>4674</v>
      </c>
      <c r="C65" s="25" t="s">
        <v>4675</v>
      </c>
      <c r="D65" s="23" t="s">
        <v>4555</v>
      </c>
      <c r="E65" s="55">
        <v>46125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5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4.25" customHeight="1" x14ac:dyDescent="0.3">
      <c r="A66" s="42">
        <v>62</v>
      </c>
      <c r="B66" s="43" t="s">
        <v>4676</v>
      </c>
      <c r="C66" s="44" t="s">
        <v>4677</v>
      </c>
      <c r="D66" s="42" t="s">
        <v>4555</v>
      </c>
      <c r="E66" s="55">
        <v>46125</v>
      </c>
      <c r="F66" s="26" t="s">
        <v>55</v>
      </c>
      <c r="G66" s="26" t="s">
        <v>56</v>
      </c>
      <c r="H66" s="26" t="s">
        <v>56</v>
      </c>
      <c r="I66" s="26" t="s">
        <v>57</v>
      </c>
      <c r="J66" s="26" t="s">
        <v>56</v>
      </c>
      <c r="K66" s="27"/>
      <c r="L66" s="28" t="s">
        <v>58</v>
      </c>
      <c r="M66" s="29" t="str">
        <f t="shared" si="5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4.25" customHeight="1" x14ac:dyDescent="0.3">
      <c r="A67" s="23">
        <v>63</v>
      </c>
      <c r="B67" s="24" t="s">
        <v>4678</v>
      </c>
      <c r="C67" s="25" t="s">
        <v>4679</v>
      </c>
      <c r="D67" s="23" t="s">
        <v>4555</v>
      </c>
      <c r="E67" s="55">
        <v>46125</v>
      </c>
      <c r="F67" s="26" t="s">
        <v>55</v>
      </c>
      <c r="G67" s="26" t="s">
        <v>56</v>
      </c>
      <c r="H67" s="26" t="s">
        <v>56</v>
      </c>
      <c r="I67" s="26" t="s">
        <v>57</v>
      </c>
      <c r="J67" s="26" t="s">
        <v>56</v>
      </c>
      <c r="K67" s="27"/>
      <c r="L67" s="28" t="s">
        <v>58</v>
      </c>
      <c r="M67" s="29" t="str">
        <f t="shared" si="5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4.25" customHeight="1" x14ac:dyDescent="0.3">
      <c r="A68" s="42">
        <v>64</v>
      </c>
      <c r="B68" s="43" t="s">
        <v>4680</v>
      </c>
      <c r="C68" s="44" t="s">
        <v>4681</v>
      </c>
      <c r="D68" s="42" t="s">
        <v>4555</v>
      </c>
      <c r="E68" s="55">
        <v>46125</v>
      </c>
      <c r="F68" s="26" t="s">
        <v>55</v>
      </c>
      <c r="G68" s="26" t="s">
        <v>56</v>
      </c>
      <c r="H68" s="26" t="s">
        <v>56</v>
      </c>
      <c r="I68" s="26" t="s">
        <v>57</v>
      </c>
      <c r="J68" s="26" t="s">
        <v>56</v>
      </c>
      <c r="K68" s="27"/>
      <c r="L68" s="28" t="s">
        <v>58</v>
      </c>
      <c r="M68" s="29" t="str">
        <f t="shared" si="5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4.25" customHeight="1" x14ac:dyDescent="0.3">
      <c r="A69" s="23">
        <v>65</v>
      </c>
      <c r="B69" s="24" t="s">
        <v>4682</v>
      </c>
      <c r="C69" s="25" t="s">
        <v>4683</v>
      </c>
      <c r="D69" s="23" t="s">
        <v>4555</v>
      </c>
      <c r="E69" s="55">
        <v>46125</v>
      </c>
      <c r="F69" s="26" t="s">
        <v>55</v>
      </c>
      <c r="G69" s="26" t="s">
        <v>56</v>
      </c>
      <c r="H69" s="26" t="s">
        <v>56</v>
      </c>
      <c r="I69" s="26" t="s">
        <v>57</v>
      </c>
      <c r="J69" s="26" t="s">
        <v>56</v>
      </c>
      <c r="K69" s="27"/>
      <c r="L69" s="28" t="s">
        <v>58</v>
      </c>
      <c r="M69" s="29" t="str">
        <f t="shared" si="5"/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4684</v>
      </c>
      <c r="C70" s="44" t="s">
        <v>4685</v>
      </c>
      <c r="D70" s="42" t="s">
        <v>4555</v>
      </c>
      <c r="E70" s="55">
        <v>46125</v>
      </c>
      <c r="F70" s="26" t="s">
        <v>55</v>
      </c>
      <c r="G70" s="26" t="s">
        <v>56</v>
      </c>
      <c r="H70" s="26" t="s">
        <v>56</v>
      </c>
      <c r="I70" s="26" t="s">
        <v>57</v>
      </c>
      <c r="J70" s="26" t="s">
        <v>56</v>
      </c>
      <c r="K70" s="27"/>
      <c r="L70" s="28" t="s">
        <v>58</v>
      </c>
      <c r="M70" s="29" t="str">
        <f t="shared" ref="M70:M133" si="10">IF(E70="","",IF(H70="Yes","❌ Disc",IF(G70="No","⚠ Missing",IF(J70="Yes","✓ OK","⚠ Check"))))</f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4.25" customHeight="1" x14ac:dyDescent="0.3">
      <c r="A71" s="23">
        <v>67</v>
      </c>
      <c r="B71" s="24" t="s">
        <v>4686</v>
      </c>
      <c r="C71" s="25" t="s">
        <v>4687</v>
      </c>
      <c r="D71" s="23" t="s">
        <v>4555</v>
      </c>
      <c r="E71" s="55">
        <v>46125</v>
      </c>
      <c r="F71" s="26" t="s">
        <v>55</v>
      </c>
      <c r="G71" s="26" t="s">
        <v>56</v>
      </c>
      <c r="H71" s="26" t="s">
        <v>56</v>
      </c>
      <c r="I71" s="26" t="s">
        <v>57</v>
      </c>
      <c r="J71" s="26" t="s">
        <v>56</v>
      </c>
      <c r="K71" s="27"/>
      <c r="L71" s="28" t="s">
        <v>58</v>
      </c>
      <c r="M71" s="29" t="str">
        <f t="shared" si="10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4.25" customHeight="1" x14ac:dyDescent="0.3">
      <c r="A72" s="42">
        <v>68</v>
      </c>
      <c r="B72" s="43" t="s">
        <v>4688</v>
      </c>
      <c r="C72" s="44" t="s">
        <v>4689</v>
      </c>
      <c r="D72" s="42" t="s">
        <v>4555</v>
      </c>
      <c r="E72" s="55">
        <v>46125</v>
      </c>
      <c r="F72" s="26" t="s">
        <v>55</v>
      </c>
      <c r="G72" s="26" t="s">
        <v>56</v>
      </c>
      <c r="H72" s="26" t="s">
        <v>56</v>
      </c>
      <c r="I72" s="26" t="s">
        <v>57</v>
      </c>
      <c r="J72" s="26" t="s">
        <v>56</v>
      </c>
      <c r="K72" s="27"/>
      <c r="L72" s="28" t="s">
        <v>58</v>
      </c>
      <c r="M72" s="29" t="str">
        <f t="shared" si="10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4.25" customHeight="1" x14ac:dyDescent="0.3">
      <c r="A73" s="23">
        <v>69</v>
      </c>
      <c r="B73" s="24" t="s">
        <v>4690</v>
      </c>
      <c r="C73" s="25" t="s">
        <v>4691</v>
      </c>
      <c r="D73" s="23" t="s">
        <v>4555</v>
      </c>
      <c r="E73" s="55">
        <v>46125</v>
      </c>
      <c r="F73" s="26" t="s">
        <v>55</v>
      </c>
      <c r="G73" s="26" t="s">
        <v>56</v>
      </c>
      <c r="H73" s="26" t="s">
        <v>56</v>
      </c>
      <c r="I73" s="26" t="s">
        <v>57</v>
      </c>
      <c r="J73" s="26" t="s">
        <v>56</v>
      </c>
      <c r="K73" s="27"/>
      <c r="L73" s="28" t="s">
        <v>58</v>
      </c>
      <c r="M73" s="29" t="str">
        <f t="shared" si="10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4.25" customHeight="1" x14ac:dyDescent="0.3">
      <c r="A74" s="42">
        <v>70</v>
      </c>
      <c r="B74" s="43" t="s">
        <v>4692</v>
      </c>
      <c r="C74" s="44" t="s">
        <v>4693</v>
      </c>
      <c r="D74" s="42" t="s">
        <v>4555</v>
      </c>
      <c r="E74" s="55">
        <v>46125</v>
      </c>
      <c r="F74" s="26" t="s">
        <v>55</v>
      </c>
      <c r="G74" s="26" t="s">
        <v>56</v>
      </c>
      <c r="H74" s="26" t="s">
        <v>56</v>
      </c>
      <c r="I74" s="26" t="s">
        <v>57</v>
      </c>
      <c r="J74" s="26" t="s">
        <v>56</v>
      </c>
      <c r="K74" s="27"/>
      <c r="L74" s="28" t="s">
        <v>58</v>
      </c>
      <c r="M74" s="29" t="str">
        <f t="shared" si="10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4.25" customHeight="1" x14ac:dyDescent="0.3">
      <c r="A75" s="23">
        <v>71</v>
      </c>
      <c r="B75" s="24" t="s">
        <v>4694</v>
      </c>
      <c r="C75" s="25" t="s">
        <v>4695</v>
      </c>
      <c r="D75" s="23" t="s">
        <v>4555</v>
      </c>
      <c r="E75" s="55">
        <v>46125</v>
      </c>
      <c r="F75" s="26" t="s">
        <v>55</v>
      </c>
      <c r="G75" s="26" t="s">
        <v>56</v>
      </c>
      <c r="H75" s="26" t="s">
        <v>56</v>
      </c>
      <c r="I75" s="26" t="s">
        <v>57</v>
      </c>
      <c r="J75" s="26" t="s">
        <v>56</v>
      </c>
      <c r="K75" s="27"/>
      <c r="L75" s="28" t="s">
        <v>58</v>
      </c>
      <c r="M75" s="29" t="str">
        <f t="shared" si="10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4.25" customHeight="1" x14ac:dyDescent="0.3">
      <c r="A76" s="42">
        <v>72</v>
      </c>
      <c r="B76" s="43" t="s">
        <v>4696</v>
      </c>
      <c r="C76" s="44" t="s">
        <v>4697</v>
      </c>
      <c r="D76" s="42" t="s">
        <v>4555</v>
      </c>
      <c r="E76" s="55">
        <v>46125</v>
      </c>
      <c r="F76" s="26" t="s">
        <v>55</v>
      </c>
      <c r="G76" s="26" t="s">
        <v>56</v>
      </c>
      <c r="H76" s="26" t="s">
        <v>56</v>
      </c>
      <c r="I76" s="26" t="s">
        <v>57</v>
      </c>
      <c r="J76" s="26" t="s">
        <v>56</v>
      </c>
      <c r="K76" s="27"/>
      <c r="L76" s="28" t="s">
        <v>58</v>
      </c>
      <c r="M76" s="29" t="str">
        <f t="shared" si="10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4.25" customHeight="1" x14ac:dyDescent="0.3">
      <c r="A77" s="23">
        <v>73</v>
      </c>
      <c r="B77" s="24" t="s">
        <v>4698</v>
      </c>
      <c r="C77" s="25" t="s">
        <v>4699</v>
      </c>
      <c r="D77" s="23" t="s">
        <v>4555</v>
      </c>
      <c r="E77" s="55">
        <v>46125</v>
      </c>
      <c r="F77" s="26" t="s">
        <v>55</v>
      </c>
      <c r="G77" s="26" t="s">
        <v>56</v>
      </c>
      <c r="H77" s="26" t="s">
        <v>56</v>
      </c>
      <c r="I77" s="26" t="s">
        <v>57</v>
      </c>
      <c r="J77" s="26" t="s">
        <v>56</v>
      </c>
      <c r="K77" s="27"/>
      <c r="L77" s="28" t="s">
        <v>58</v>
      </c>
      <c r="M77" s="29" t="str">
        <f t="shared" si="10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4.25" customHeight="1" x14ac:dyDescent="0.3">
      <c r="A78" s="42">
        <v>74</v>
      </c>
      <c r="B78" s="43" t="s">
        <v>4700</v>
      </c>
      <c r="C78" s="44" t="s">
        <v>4701</v>
      </c>
      <c r="D78" s="42" t="s">
        <v>4555</v>
      </c>
      <c r="E78" s="55">
        <v>46125</v>
      </c>
      <c r="F78" s="26" t="s">
        <v>55</v>
      </c>
      <c r="G78" s="26" t="s">
        <v>56</v>
      </c>
      <c r="H78" s="26" t="s">
        <v>56</v>
      </c>
      <c r="I78" s="26" t="s">
        <v>57</v>
      </c>
      <c r="J78" s="26" t="s">
        <v>56</v>
      </c>
      <c r="K78" s="27"/>
      <c r="L78" s="28" t="s">
        <v>58</v>
      </c>
      <c r="M78" s="29" t="str">
        <f t="shared" si="10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4.25" customHeight="1" x14ac:dyDescent="0.3">
      <c r="A79" s="23">
        <v>75</v>
      </c>
      <c r="B79" s="24" t="s">
        <v>4702</v>
      </c>
      <c r="C79" s="25" t="s">
        <v>4703</v>
      </c>
      <c r="D79" s="23" t="s">
        <v>4555</v>
      </c>
      <c r="E79" s="55">
        <v>46125</v>
      </c>
      <c r="F79" s="26" t="s">
        <v>55</v>
      </c>
      <c r="G79" s="26" t="s">
        <v>56</v>
      </c>
      <c r="H79" s="26" t="s">
        <v>56</v>
      </c>
      <c r="I79" s="26" t="s">
        <v>57</v>
      </c>
      <c r="J79" s="26" t="s">
        <v>56</v>
      </c>
      <c r="K79" s="27"/>
      <c r="L79" s="28" t="s">
        <v>58</v>
      </c>
      <c r="M79" s="29" t="str">
        <f t="shared" si="10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4.25" customHeight="1" x14ac:dyDescent="0.3">
      <c r="A80" s="42">
        <v>76</v>
      </c>
      <c r="B80" s="43" t="s">
        <v>4704</v>
      </c>
      <c r="C80" s="44" t="s">
        <v>4705</v>
      </c>
      <c r="D80" s="42" t="s">
        <v>4555</v>
      </c>
      <c r="E80" s="55">
        <v>46125</v>
      </c>
      <c r="F80" s="26" t="s">
        <v>55</v>
      </c>
      <c r="G80" s="26" t="s">
        <v>56</v>
      </c>
      <c r="H80" s="26" t="s">
        <v>56</v>
      </c>
      <c r="I80" s="26" t="s">
        <v>57</v>
      </c>
      <c r="J80" s="26" t="s">
        <v>56</v>
      </c>
      <c r="K80" s="27"/>
      <c r="L80" s="28" t="s">
        <v>58</v>
      </c>
      <c r="M80" s="29" t="str">
        <f t="shared" si="10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4.25" customHeight="1" x14ac:dyDescent="0.3">
      <c r="A81" s="23">
        <v>77</v>
      </c>
      <c r="B81" s="24" t="s">
        <v>4706</v>
      </c>
      <c r="C81" s="25" t="s">
        <v>4707</v>
      </c>
      <c r="D81" s="23" t="s">
        <v>4555</v>
      </c>
      <c r="E81" s="55">
        <v>46125</v>
      </c>
      <c r="F81" s="26" t="s">
        <v>55</v>
      </c>
      <c r="G81" s="26" t="s">
        <v>56</v>
      </c>
      <c r="H81" s="26" t="s">
        <v>56</v>
      </c>
      <c r="I81" s="26" t="s">
        <v>57</v>
      </c>
      <c r="J81" s="26" t="s">
        <v>56</v>
      </c>
      <c r="K81" s="27"/>
      <c r="L81" s="28" t="s">
        <v>58</v>
      </c>
      <c r="M81" s="29" t="str">
        <f t="shared" si="10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4.25" customHeight="1" x14ac:dyDescent="0.3">
      <c r="A82" s="42">
        <v>78</v>
      </c>
      <c r="B82" s="43" t="s">
        <v>4708</v>
      </c>
      <c r="C82" s="44" t="s">
        <v>4709</v>
      </c>
      <c r="D82" s="42" t="s">
        <v>4555</v>
      </c>
      <c r="E82" s="55">
        <v>46125</v>
      </c>
      <c r="F82" s="26" t="s">
        <v>55</v>
      </c>
      <c r="G82" s="26" t="s">
        <v>56</v>
      </c>
      <c r="H82" s="26" t="s">
        <v>56</v>
      </c>
      <c r="I82" s="26" t="s">
        <v>57</v>
      </c>
      <c r="J82" s="26" t="s">
        <v>56</v>
      </c>
      <c r="K82" s="27"/>
      <c r="L82" s="28" t="s">
        <v>58</v>
      </c>
      <c r="M82" s="29" t="str">
        <f t="shared" si="10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4.25" customHeight="1" x14ac:dyDescent="0.3">
      <c r="A83" s="23">
        <v>79</v>
      </c>
      <c r="B83" s="24" t="s">
        <v>4710</v>
      </c>
      <c r="C83" s="25" t="s">
        <v>4711</v>
      </c>
      <c r="D83" s="23" t="s">
        <v>4555</v>
      </c>
      <c r="E83" s="55">
        <v>46125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10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4.25" customHeight="1" x14ac:dyDescent="0.3">
      <c r="A84" s="42">
        <v>80</v>
      </c>
      <c r="B84" s="43" t="s">
        <v>4712</v>
      </c>
      <c r="C84" s="44" t="s">
        <v>4713</v>
      </c>
      <c r="D84" s="42" t="s">
        <v>4555</v>
      </c>
      <c r="E84" s="55">
        <v>46125</v>
      </c>
      <c r="F84" s="26" t="s">
        <v>55</v>
      </c>
      <c r="G84" s="26" t="s">
        <v>56</v>
      </c>
      <c r="H84" s="26" t="s">
        <v>56</v>
      </c>
      <c r="I84" s="26" t="s">
        <v>57</v>
      </c>
      <c r="J84" s="26" t="s">
        <v>56</v>
      </c>
      <c r="K84" s="27"/>
      <c r="L84" s="28" t="s">
        <v>58</v>
      </c>
      <c r="M84" s="29" t="str">
        <f t="shared" si="10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4.25" customHeight="1" x14ac:dyDescent="0.3">
      <c r="A85" s="23">
        <v>81</v>
      </c>
      <c r="B85" s="24" t="s">
        <v>4714</v>
      </c>
      <c r="C85" s="25" t="s">
        <v>4715</v>
      </c>
      <c r="D85" s="23" t="s">
        <v>4555</v>
      </c>
      <c r="E85" s="55">
        <v>46125</v>
      </c>
      <c r="F85" s="26" t="s">
        <v>55</v>
      </c>
      <c r="G85" s="26" t="s">
        <v>56</v>
      </c>
      <c r="H85" s="26" t="s">
        <v>56</v>
      </c>
      <c r="I85" s="26" t="s">
        <v>57</v>
      </c>
      <c r="J85" s="26" t="s">
        <v>56</v>
      </c>
      <c r="K85" s="27"/>
      <c r="L85" s="28" t="s">
        <v>58</v>
      </c>
      <c r="M85" s="29" t="str">
        <f t="shared" si="10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4.25" customHeight="1" x14ac:dyDescent="0.3">
      <c r="A86" s="42">
        <v>82</v>
      </c>
      <c r="B86" s="43" t="s">
        <v>4716</v>
      </c>
      <c r="C86" s="44" t="s">
        <v>4717</v>
      </c>
      <c r="D86" s="42" t="s">
        <v>4555</v>
      </c>
      <c r="E86" s="55">
        <v>46125</v>
      </c>
      <c r="F86" s="26" t="s">
        <v>55</v>
      </c>
      <c r="G86" s="26" t="s">
        <v>56</v>
      </c>
      <c r="H86" s="26" t="s">
        <v>56</v>
      </c>
      <c r="I86" s="26" t="s">
        <v>57</v>
      </c>
      <c r="J86" s="26" t="s">
        <v>56</v>
      </c>
      <c r="K86" s="27"/>
      <c r="L86" s="28" t="s">
        <v>58</v>
      </c>
      <c r="M86" s="29" t="str">
        <f t="shared" si="10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4.25" customHeight="1" x14ac:dyDescent="0.3">
      <c r="A87" s="23">
        <v>83</v>
      </c>
      <c r="B87" s="24" t="s">
        <v>4718</v>
      </c>
      <c r="C87" s="25" t="s">
        <v>4719</v>
      </c>
      <c r="D87" s="23" t="s">
        <v>4555</v>
      </c>
      <c r="E87" s="55">
        <v>46125</v>
      </c>
      <c r="F87" s="26" t="s">
        <v>55</v>
      </c>
      <c r="G87" s="26" t="s">
        <v>56</v>
      </c>
      <c r="H87" s="26" t="s">
        <v>56</v>
      </c>
      <c r="I87" s="26" t="s">
        <v>57</v>
      </c>
      <c r="J87" s="26" t="s">
        <v>56</v>
      </c>
      <c r="K87" s="27"/>
      <c r="L87" s="28" t="s">
        <v>58</v>
      </c>
      <c r="M87" s="29" t="str">
        <f t="shared" si="10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4.25" customHeight="1" x14ac:dyDescent="0.3">
      <c r="A88" s="42">
        <v>84</v>
      </c>
      <c r="B88" s="43" t="s">
        <v>4720</v>
      </c>
      <c r="C88" s="44" t="s">
        <v>4721</v>
      </c>
      <c r="D88" s="42" t="s">
        <v>4555</v>
      </c>
      <c r="E88" s="55">
        <v>46125</v>
      </c>
      <c r="F88" s="26" t="s">
        <v>55</v>
      </c>
      <c r="G88" s="26" t="s">
        <v>56</v>
      </c>
      <c r="H88" s="26" t="s">
        <v>56</v>
      </c>
      <c r="I88" s="26" t="s">
        <v>57</v>
      </c>
      <c r="J88" s="26" t="s">
        <v>56</v>
      </c>
      <c r="K88" s="27"/>
      <c r="L88" s="28" t="s">
        <v>58</v>
      </c>
      <c r="M88" s="29" t="str">
        <f t="shared" si="10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4.25" customHeight="1" x14ac:dyDescent="0.3">
      <c r="A89" s="23">
        <v>85</v>
      </c>
      <c r="B89" s="24" t="s">
        <v>4722</v>
      </c>
      <c r="C89" s="25" t="s">
        <v>4723</v>
      </c>
      <c r="D89" s="23" t="s">
        <v>4555</v>
      </c>
      <c r="E89" s="55">
        <v>46125</v>
      </c>
      <c r="F89" s="26" t="s">
        <v>55</v>
      </c>
      <c r="G89" s="26" t="s">
        <v>56</v>
      </c>
      <c r="H89" s="26" t="s">
        <v>56</v>
      </c>
      <c r="I89" s="26" t="s">
        <v>57</v>
      </c>
      <c r="J89" s="26" t="s">
        <v>56</v>
      </c>
      <c r="K89" s="27"/>
      <c r="L89" s="28" t="s">
        <v>58</v>
      </c>
      <c r="M89" s="29" t="str">
        <f t="shared" si="10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4.25" customHeight="1" x14ac:dyDescent="0.3">
      <c r="A90" s="42">
        <v>86</v>
      </c>
      <c r="B90" s="43" t="s">
        <v>4724</v>
      </c>
      <c r="C90" s="44" t="s">
        <v>4725</v>
      </c>
      <c r="D90" s="42" t="s">
        <v>4555</v>
      </c>
      <c r="E90" s="55">
        <v>46125</v>
      </c>
      <c r="F90" s="26" t="s">
        <v>55</v>
      </c>
      <c r="G90" s="26" t="s">
        <v>4401</v>
      </c>
      <c r="H90" s="26" t="s">
        <v>56</v>
      </c>
      <c r="I90" s="26" t="s">
        <v>4401</v>
      </c>
      <c r="J90" s="26" t="s">
        <v>58</v>
      </c>
      <c r="K90" s="27"/>
      <c r="L90" s="28" t="s">
        <v>56</v>
      </c>
      <c r="M90" s="29" t="str">
        <f t="shared" si="10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4.25" customHeight="1" x14ac:dyDescent="0.3">
      <c r="A91" s="23">
        <v>87</v>
      </c>
      <c r="B91" s="24" t="s">
        <v>4726</v>
      </c>
      <c r="C91" s="25" t="s">
        <v>4727</v>
      </c>
      <c r="D91" s="23" t="s">
        <v>4555</v>
      </c>
      <c r="E91" s="55">
        <v>46125</v>
      </c>
      <c r="F91" s="26" t="s">
        <v>55</v>
      </c>
      <c r="G91" s="26" t="s">
        <v>4401</v>
      </c>
      <c r="H91" s="26" t="s">
        <v>56</v>
      </c>
      <c r="I91" s="26" t="s">
        <v>4401</v>
      </c>
      <c r="J91" s="26" t="s">
        <v>58</v>
      </c>
      <c r="K91" s="27"/>
      <c r="L91" s="28" t="s">
        <v>56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4.25" customHeight="1" x14ac:dyDescent="0.3">
      <c r="A92" s="42">
        <v>88</v>
      </c>
      <c r="B92" s="43" t="s">
        <v>4728</v>
      </c>
      <c r="C92" s="44" t="s">
        <v>4729</v>
      </c>
      <c r="D92" s="42" t="s">
        <v>4555</v>
      </c>
      <c r="E92" s="55">
        <v>46125</v>
      </c>
      <c r="F92" s="26" t="s">
        <v>55</v>
      </c>
      <c r="G92" s="26" t="s">
        <v>4401</v>
      </c>
      <c r="H92" s="26" t="s">
        <v>56</v>
      </c>
      <c r="I92" s="26" t="s">
        <v>4401</v>
      </c>
      <c r="J92" s="26" t="s">
        <v>58</v>
      </c>
      <c r="K92" s="27"/>
      <c r="L92" s="28" t="s">
        <v>56</v>
      </c>
      <c r="M92" s="29" t="str">
        <f t="shared" si="10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4.25" customHeight="1" x14ac:dyDescent="0.3">
      <c r="A93" s="23">
        <v>89</v>
      </c>
      <c r="B93" s="24" t="s">
        <v>4730</v>
      </c>
      <c r="C93" s="25" t="s">
        <v>4731</v>
      </c>
      <c r="D93" s="23" t="s">
        <v>4555</v>
      </c>
      <c r="E93" s="55">
        <v>46125</v>
      </c>
      <c r="F93" s="26" t="s">
        <v>55</v>
      </c>
      <c r="G93" s="26" t="s">
        <v>4401</v>
      </c>
      <c r="H93" s="26" t="s">
        <v>56</v>
      </c>
      <c r="I93" s="26" t="s">
        <v>4401</v>
      </c>
      <c r="J93" s="26" t="s">
        <v>58</v>
      </c>
      <c r="K93" s="27"/>
      <c r="L93" s="28" t="s">
        <v>56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4.25" customHeight="1" x14ac:dyDescent="0.3">
      <c r="A94" s="42">
        <v>90</v>
      </c>
      <c r="B94" s="43" t="s">
        <v>4732</v>
      </c>
      <c r="C94" s="44" t="s">
        <v>4733</v>
      </c>
      <c r="D94" s="42" t="s">
        <v>4555</v>
      </c>
      <c r="E94" s="55">
        <v>46125</v>
      </c>
      <c r="F94" s="26" t="s">
        <v>55</v>
      </c>
      <c r="G94" s="26" t="s">
        <v>4401</v>
      </c>
      <c r="H94" s="26" t="s">
        <v>56</v>
      </c>
      <c r="I94" s="26" t="s">
        <v>4401</v>
      </c>
      <c r="J94" s="26" t="s">
        <v>58</v>
      </c>
      <c r="K94" s="27"/>
      <c r="L94" s="28" t="s">
        <v>56</v>
      </c>
      <c r="M94" s="29" t="str">
        <f t="shared" si="10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4.25" customHeight="1" x14ac:dyDescent="0.3">
      <c r="A95" s="23">
        <v>91</v>
      </c>
      <c r="B95" s="24" t="s">
        <v>4734</v>
      </c>
      <c r="C95" s="25" t="s">
        <v>4735</v>
      </c>
      <c r="D95" s="23" t="s">
        <v>4555</v>
      </c>
      <c r="E95" s="55">
        <v>46125</v>
      </c>
      <c r="F95" s="26" t="s">
        <v>55</v>
      </c>
      <c r="G95" s="26" t="s">
        <v>4401</v>
      </c>
      <c r="H95" s="26" t="s">
        <v>56</v>
      </c>
      <c r="I95" s="26" t="s">
        <v>4401</v>
      </c>
      <c r="J95" s="26" t="s">
        <v>58</v>
      </c>
      <c r="K95" s="27"/>
      <c r="L95" s="28" t="s">
        <v>56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4.25" customHeight="1" x14ac:dyDescent="0.3">
      <c r="A96" s="42">
        <v>92</v>
      </c>
      <c r="B96" s="43" t="s">
        <v>4736</v>
      </c>
      <c r="C96" s="44" t="s">
        <v>4737</v>
      </c>
      <c r="D96" s="42" t="s">
        <v>4555</v>
      </c>
      <c r="E96" s="55">
        <v>46125</v>
      </c>
      <c r="F96" s="26" t="s">
        <v>55</v>
      </c>
      <c r="G96" s="26" t="s">
        <v>4401</v>
      </c>
      <c r="H96" s="26" t="s">
        <v>56</v>
      </c>
      <c r="I96" s="26" t="s">
        <v>4401</v>
      </c>
      <c r="J96" s="26" t="s">
        <v>58</v>
      </c>
      <c r="K96" s="27"/>
      <c r="L96" s="28" t="s">
        <v>56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4.25" customHeight="1" x14ac:dyDescent="0.3">
      <c r="A97" s="23">
        <v>93</v>
      </c>
      <c r="B97" s="24" t="s">
        <v>4738</v>
      </c>
      <c r="C97" s="25" t="s">
        <v>4739</v>
      </c>
      <c r="D97" s="23" t="s">
        <v>4555</v>
      </c>
      <c r="E97" s="55">
        <v>46125</v>
      </c>
      <c r="F97" s="26" t="s">
        <v>55</v>
      </c>
      <c r="G97" s="26" t="s">
        <v>4401</v>
      </c>
      <c r="H97" s="26" t="s">
        <v>56</v>
      </c>
      <c r="I97" s="26" t="s">
        <v>4401</v>
      </c>
      <c r="J97" s="26" t="s">
        <v>58</v>
      </c>
      <c r="K97" s="27"/>
      <c r="L97" s="28" t="s">
        <v>56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4.25" customHeight="1" x14ac:dyDescent="0.3">
      <c r="A98" s="42">
        <v>94</v>
      </c>
      <c r="B98" s="43" t="s">
        <v>4740</v>
      </c>
      <c r="C98" s="44" t="s">
        <v>4741</v>
      </c>
      <c r="D98" s="42" t="s">
        <v>4555</v>
      </c>
      <c r="E98" s="55">
        <v>46125</v>
      </c>
      <c r="F98" s="26" t="s">
        <v>55</v>
      </c>
      <c r="G98" s="26" t="s">
        <v>58</v>
      </c>
      <c r="H98" s="26" t="s">
        <v>56</v>
      </c>
      <c r="I98" s="26" t="s">
        <v>70</v>
      </c>
      <c r="J98" s="26" t="s">
        <v>58</v>
      </c>
      <c r="K98" s="27"/>
      <c r="L98" s="28" t="s">
        <v>56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4.25" customHeight="1" x14ac:dyDescent="0.3">
      <c r="A99" s="23">
        <v>95</v>
      </c>
      <c r="B99" s="24" t="s">
        <v>4742</v>
      </c>
      <c r="C99" s="25" t="s">
        <v>4743</v>
      </c>
      <c r="D99" s="23" t="s">
        <v>4555</v>
      </c>
      <c r="E99" s="55">
        <v>46125</v>
      </c>
      <c r="F99" s="26" t="s">
        <v>55</v>
      </c>
      <c r="G99" s="26" t="s">
        <v>4401</v>
      </c>
      <c r="H99" s="26" t="s">
        <v>56</v>
      </c>
      <c r="I99" s="26" t="s">
        <v>4401</v>
      </c>
      <c r="J99" s="26" t="s">
        <v>58</v>
      </c>
      <c r="K99" s="27"/>
      <c r="L99" s="28" t="s">
        <v>56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4.25" customHeight="1" x14ac:dyDescent="0.3">
      <c r="A100" s="42">
        <v>96</v>
      </c>
      <c r="B100" s="43" t="s">
        <v>4744</v>
      </c>
      <c r="C100" s="44" t="s">
        <v>4745</v>
      </c>
      <c r="D100" s="42" t="s">
        <v>4555</v>
      </c>
      <c r="E100" s="55">
        <v>46125</v>
      </c>
      <c r="F100" s="26" t="s">
        <v>55</v>
      </c>
      <c r="G100" s="26" t="s">
        <v>58</v>
      </c>
      <c r="H100" s="26" t="s">
        <v>56</v>
      </c>
      <c r="I100" s="26" t="s">
        <v>70</v>
      </c>
      <c r="J100" s="26" t="s">
        <v>58</v>
      </c>
      <c r="K100" s="27"/>
      <c r="L100" s="28" t="s">
        <v>56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4.25" customHeight="1" x14ac:dyDescent="0.3">
      <c r="A101" s="23">
        <v>97</v>
      </c>
      <c r="B101" s="24" t="s">
        <v>4746</v>
      </c>
      <c r="C101" s="25" t="s">
        <v>4747</v>
      </c>
      <c r="D101" s="23" t="s">
        <v>4555</v>
      </c>
      <c r="E101" s="55">
        <v>46125</v>
      </c>
      <c r="F101" s="26" t="s">
        <v>55</v>
      </c>
      <c r="G101" s="26" t="s">
        <v>4401</v>
      </c>
      <c r="H101" s="26" t="s">
        <v>56</v>
      </c>
      <c r="I101" s="26" t="s">
        <v>4401</v>
      </c>
      <c r="J101" s="26" t="s">
        <v>58</v>
      </c>
      <c r="K101" s="27"/>
      <c r="L101" s="28" t="s">
        <v>56</v>
      </c>
      <c r="M101" s="29" t="str">
        <f t="shared" si="10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4.25" customHeight="1" x14ac:dyDescent="0.3">
      <c r="A102" s="42">
        <v>98</v>
      </c>
      <c r="B102" s="43" t="s">
        <v>4748</v>
      </c>
      <c r="C102" s="44" t="s">
        <v>4749</v>
      </c>
      <c r="D102" s="42" t="s">
        <v>4555</v>
      </c>
      <c r="E102" s="55">
        <v>46125</v>
      </c>
      <c r="F102" s="26" t="s">
        <v>55</v>
      </c>
      <c r="G102" s="26" t="s">
        <v>4401</v>
      </c>
      <c r="H102" s="26" t="s">
        <v>56</v>
      </c>
      <c r="I102" s="26" t="s">
        <v>4401</v>
      </c>
      <c r="J102" s="26" t="s">
        <v>58</v>
      </c>
      <c r="K102" s="27"/>
      <c r="L102" s="28" t="s">
        <v>56</v>
      </c>
      <c r="M102" s="29" t="str">
        <f t="shared" si="10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4.25" customHeight="1" x14ac:dyDescent="0.3">
      <c r="A103" s="23">
        <v>99</v>
      </c>
      <c r="B103" s="24" t="s">
        <v>4750</v>
      </c>
      <c r="C103" s="25" t="s">
        <v>4751</v>
      </c>
      <c r="D103" s="23" t="s">
        <v>4555</v>
      </c>
      <c r="E103" s="55">
        <v>46125</v>
      </c>
      <c r="F103" s="26" t="s">
        <v>55</v>
      </c>
      <c r="G103" s="26" t="s">
        <v>4401</v>
      </c>
      <c r="H103" s="26" t="s">
        <v>56</v>
      </c>
      <c r="I103" s="26" t="s">
        <v>4401</v>
      </c>
      <c r="J103" s="26" t="s">
        <v>58</v>
      </c>
      <c r="K103" s="27"/>
      <c r="L103" s="28" t="s">
        <v>56</v>
      </c>
      <c r="M103" s="29" t="str">
        <f t="shared" si="10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4.25" customHeight="1" x14ac:dyDescent="0.3">
      <c r="A104" s="42">
        <v>100</v>
      </c>
      <c r="B104" s="43" t="s">
        <v>4752</v>
      </c>
      <c r="C104" s="44" t="s">
        <v>4753</v>
      </c>
      <c r="D104" s="42" t="s">
        <v>4555</v>
      </c>
      <c r="E104" s="55">
        <v>46125</v>
      </c>
      <c r="F104" s="26" t="s">
        <v>55</v>
      </c>
      <c r="G104" s="26" t="s">
        <v>4401</v>
      </c>
      <c r="H104" s="26" t="s">
        <v>56</v>
      </c>
      <c r="I104" s="26" t="s">
        <v>4401</v>
      </c>
      <c r="J104" s="26" t="s">
        <v>58</v>
      </c>
      <c r="K104" s="27"/>
      <c r="L104" s="28" t="s">
        <v>56</v>
      </c>
      <c r="M104" s="29" t="str">
        <f t="shared" si="10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4.25" customHeight="1" x14ac:dyDescent="0.3">
      <c r="A105" s="23">
        <v>101</v>
      </c>
      <c r="B105" s="24" t="s">
        <v>4754</v>
      </c>
      <c r="C105" s="25" t="s">
        <v>4755</v>
      </c>
      <c r="D105" s="23" t="s">
        <v>4555</v>
      </c>
      <c r="E105" s="55">
        <v>46125</v>
      </c>
      <c r="F105" s="26" t="s">
        <v>55</v>
      </c>
      <c r="G105" s="26" t="s">
        <v>4401</v>
      </c>
      <c r="H105" s="26" t="s">
        <v>56</v>
      </c>
      <c r="I105" s="26" t="s">
        <v>4401</v>
      </c>
      <c r="J105" s="26" t="s">
        <v>58</v>
      </c>
      <c r="K105" s="27"/>
      <c r="L105" s="28" t="s">
        <v>56</v>
      </c>
      <c r="M105" s="29" t="str">
        <f t="shared" si="10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4.25" customHeight="1" x14ac:dyDescent="0.3">
      <c r="A106" s="42">
        <v>102</v>
      </c>
      <c r="B106" s="43" t="s">
        <v>4756</v>
      </c>
      <c r="C106" s="44" t="s">
        <v>4757</v>
      </c>
      <c r="D106" s="42" t="s">
        <v>4555</v>
      </c>
      <c r="E106" s="55">
        <v>46125</v>
      </c>
      <c r="F106" s="26" t="s">
        <v>55</v>
      </c>
      <c r="G106" s="26" t="s">
        <v>58</v>
      </c>
      <c r="H106" s="26" t="s">
        <v>56</v>
      </c>
      <c r="I106" s="26" t="s">
        <v>70</v>
      </c>
      <c r="J106" s="26" t="s">
        <v>58</v>
      </c>
      <c r="K106" s="27"/>
      <c r="L106" s="28" t="s">
        <v>56</v>
      </c>
      <c r="M106" s="29" t="str">
        <f t="shared" si="10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4.25" customHeight="1" x14ac:dyDescent="0.3">
      <c r="A107" s="23">
        <v>103</v>
      </c>
      <c r="B107" s="24" t="s">
        <v>4758</v>
      </c>
      <c r="C107" s="25" t="s">
        <v>4759</v>
      </c>
      <c r="D107" s="23" t="s">
        <v>4555</v>
      </c>
      <c r="E107" s="55">
        <v>46125</v>
      </c>
      <c r="F107" s="26" t="s">
        <v>55</v>
      </c>
      <c r="G107" s="26" t="s">
        <v>4401</v>
      </c>
      <c r="H107" s="26" t="s">
        <v>56</v>
      </c>
      <c r="I107" s="26" t="s">
        <v>4401</v>
      </c>
      <c r="J107" s="26" t="s">
        <v>58</v>
      </c>
      <c r="K107" s="27"/>
      <c r="L107" s="28" t="s">
        <v>56</v>
      </c>
      <c r="M107" s="29" t="str">
        <f t="shared" si="10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4.25" customHeight="1" x14ac:dyDescent="0.3">
      <c r="A108" s="42">
        <v>104</v>
      </c>
      <c r="B108" s="43" t="s">
        <v>4760</v>
      </c>
      <c r="C108" s="44" t="s">
        <v>4761</v>
      </c>
      <c r="D108" s="42" t="s">
        <v>4555</v>
      </c>
      <c r="E108" s="55">
        <v>46125</v>
      </c>
      <c r="F108" s="26" t="s">
        <v>55</v>
      </c>
      <c r="G108" s="26" t="s">
        <v>4401</v>
      </c>
      <c r="H108" s="26" t="s">
        <v>56</v>
      </c>
      <c r="I108" s="26" t="s">
        <v>4401</v>
      </c>
      <c r="J108" s="26" t="s">
        <v>58</v>
      </c>
      <c r="K108" s="27"/>
      <c r="L108" s="28" t="s">
        <v>56</v>
      </c>
      <c r="M108" s="29" t="str">
        <f t="shared" si="10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4.25" customHeight="1" x14ac:dyDescent="0.3">
      <c r="A109" s="23">
        <v>105</v>
      </c>
      <c r="B109" s="24" t="s">
        <v>4762</v>
      </c>
      <c r="C109" s="25" t="s">
        <v>4763</v>
      </c>
      <c r="D109" s="23" t="s">
        <v>4555</v>
      </c>
      <c r="E109" s="55">
        <v>46125</v>
      </c>
      <c r="F109" s="26" t="s">
        <v>55</v>
      </c>
      <c r="G109" s="26" t="s">
        <v>58</v>
      </c>
      <c r="H109" s="26" t="s">
        <v>56</v>
      </c>
      <c r="I109" s="26" t="s">
        <v>70</v>
      </c>
      <c r="J109" s="26" t="s">
        <v>58</v>
      </c>
      <c r="K109" s="27"/>
      <c r="L109" s="28" t="s">
        <v>56</v>
      </c>
      <c r="M109" s="29" t="str">
        <f t="shared" si="10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4.25" customHeight="1" x14ac:dyDescent="0.3">
      <c r="A110" s="42">
        <v>106</v>
      </c>
      <c r="B110" s="43" t="s">
        <v>4764</v>
      </c>
      <c r="C110" s="44" t="s">
        <v>4765</v>
      </c>
      <c r="D110" s="42" t="s">
        <v>4555</v>
      </c>
      <c r="E110" s="55">
        <v>46125</v>
      </c>
      <c r="F110" s="26" t="s">
        <v>55</v>
      </c>
      <c r="G110" s="26" t="s">
        <v>4401</v>
      </c>
      <c r="H110" s="26" t="s">
        <v>56</v>
      </c>
      <c r="I110" s="26" t="s">
        <v>4401</v>
      </c>
      <c r="J110" s="26" t="s">
        <v>58</v>
      </c>
      <c r="K110" s="27"/>
      <c r="L110" s="28" t="s">
        <v>56</v>
      </c>
      <c r="M110" s="29" t="str">
        <f t="shared" si="10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4.25" customHeight="1" x14ac:dyDescent="0.3">
      <c r="A111" s="23">
        <v>107</v>
      </c>
      <c r="B111" s="24" t="s">
        <v>4766</v>
      </c>
      <c r="C111" s="25" t="s">
        <v>4767</v>
      </c>
      <c r="D111" s="23" t="s">
        <v>4555</v>
      </c>
      <c r="E111" s="55">
        <v>46125</v>
      </c>
      <c r="F111" s="26" t="s">
        <v>55</v>
      </c>
      <c r="G111" s="26" t="s">
        <v>4401</v>
      </c>
      <c r="H111" s="26" t="s">
        <v>56</v>
      </c>
      <c r="I111" s="26" t="s">
        <v>4401</v>
      </c>
      <c r="J111" s="26" t="s">
        <v>58</v>
      </c>
      <c r="K111" s="27"/>
      <c r="L111" s="28" t="s">
        <v>56</v>
      </c>
      <c r="M111" s="29" t="str">
        <f t="shared" si="10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4.25" customHeight="1" x14ac:dyDescent="0.3">
      <c r="A112" s="42">
        <v>108</v>
      </c>
      <c r="B112" s="43" t="s">
        <v>4768</v>
      </c>
      <c r="C112" s="44" t="s">
        <v>4769</v>
      </c>
      <c r="D112" s="42" t="s">
        <v>4555</v>
      </c>
      <c r="E112" s="55">
        <v>46125</v>
      </c>
      <c r="F112" s="26" t="s">
        <v>55</v>
      </c>
      <c r="G112" s="26" t="s">
        <v>58</v>
      </c>
      <c r="H112" s="26" t="s">
        <v>56</v>
      </c>
      <c r="I112" s="26" t="s">
        <v>70</v>
      </c>
      <c r="J112" s="26" t="s">
        <v>58</v>
      </c>
      <c r="K112" s="27"/>
      <c r="L112" s="28" t="s">
        <v>56</v>
      </c>
      <c r="M112" s="29" t="str">
        <f t="shared" si="10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4.25" customHeight="1" x14ac:dyDescent="0.3">
      <c r="A113" s="23">
        <v>109</v>
      </c>
      <c r="B113" s="24" t="s">
        <v>4770</v>
      </c>
      <c r="C113" s="25" t="s">
        <v>4771</v>
      </c>
      <c r="D113" s="23" t="s">
        <v>4555</v>
      </c>
      <c r="E113" s="55">
        <v>46125</v>
      </c>
      <c r="F113" s="26" t="s">
        <v>55</v>
      </c>
      <c r="G113" s="26" t="s">
        <v>4401</v>
      </c>
      <c r="H113" s="26" t="s">
        <v>56</v>
      </c>
      <c r="I113" s="26" t="s">
        <v>4401</v>
      </c>
      <c r="J113" s="26" t="s">
        <v>58</v>
      </c>
      <c r="K113" s="27"/>
      <c r="L113" s="28" t="s">
        <v>56</v>
      </c>
      <c r="M113" s="29" t="str">
        <f t="shared" si="10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4.25" customHeight="1" x14ac:dyDescent="0.3">
      <c r="A114" s="42">
        <v>110</v>
      </c>
      <c r="B114" s="43" t="s">
        <v>4772</v>
      </c>
      <c r="C114" s="44" t="s">
        <v>4773</v>
      </c>
      <c r="D114" s="42" t="s">
        <v>4555</v>
      </c>
      <c r="E114" s="55">
        <v>46125</v>
      </c>
      <c r="F114" s="26" t="s">
        <v>55</v>
      </c>
      <c r="G114" s="26" t="s">
        <v>4401</v>
      </c>
      <c r="H114" s="26" t="s">
        <v>56</v>
      </c>
      <c r="I114" s="26" t="s">
        <v>4401</v>
      </c>
      <c r="J114" s="26" t="s">
        <v>58</v>
      </c>
      <c r="K114" s="27"/>
      <c r="L114" s="28" t="s">
        <v>56</v>
      </c>
      <c r="M114" s="29" t="str">
        <f t="shared" si="10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4.25" customHeight="1" x14ac:dyDescent="0.3">
      <c r="A115" s="23">
        <v>111</v>
      </c>
      <c r="B115" s="24" t="s">
        <v>4774</v>
      </c>
      <c r="C115" s="25" t="s">
        <v>4775</v>
      </c>
      <c r="D115" s="23" t="s">
        <v>4555</v>
      </c>
      <c r="E115" s="55">
        <v>46125</v>
      </c>
      <c r="F115" s="26" t="s">
        <v>55</v>
      </c>
      <c r="G115" s="26" t="s">
        <v>4401</v>
      </c>
      <c r="H115" s="26" t="s">
        <v>56</v>
      </c>
      <c r="I115" s="26" t="s">
        <v>4401</v>
      </c>
      <c r="J115" s="26" t="s">
        <v>58</v>
      </c>
      <c r="K115" s="27"/>
      <c r="L115" s="28" t="s">
        <v>56</v>
      </c>
      <c r="M115" s="29" t="str">
        <f t="shared" si="10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4.25" customHeight="1" x14ac:dyDescent="0.3">
      <c r="A116" s="42">
        <v>112</v>
      </c>
      <c r="B116" s="43" t="s">
        <v>4776</v>
      </c>
      <c r="C116" s="44" t="s">
        <v>4777</v>
      </c>
      <c r="D116" s="42" t="s">
        <v>4555</v>
      </c>
      <c r="E116" s="55">
        <v>46125</v>
      </c>
      <c r="F116" s="26" t="s">
        <v>55</v>
      </c>
      <c r="G116" s="26" t="s">
        <v>4401</v>
      </c>
      <c r="H116" s="26" t="s">
        <v>56</v>
      </c>
      <c r="I116" s="26" t="s">
        <v>4401</v>
      </c>
      <c r="J116" s="26" t="s">
        <v>58</v>
      </c>
      <c r="K116" s="27"/>
      <c r="L116" s="28" t="s">
        <v>56</v>
      </c>
      <c r="M116" s="29" t="str">
        <f t="shared" si="10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4.25" customHeight="1" x14ac:dyDescent="0.3">
      <c r="A117" s="23">
        <v>113</v>
      </c>
      <c r="B117" s="24" t="s">
        <v>4778</v>
      </c>
      <c r="C117" s="25" t="s">
        <v>4779</v>
      </c>
      <c r="D117" s="23" t="s">
        <v>4555</v>
      </c>
      <c r="E117" s="55">
        <v>46125</v>
      </c>
      <c r="F117" s="26" t="s">
        <v>55</v>
      </c>
      <c r="G117" s="26" t="s">
        <v>4401</v>
      </c>
      <c r="H117" s="26" t="s">
        <v>56</v>
      </c>
      <c r="I117" s="26" t="s">
        <v>4401</v>
      </c>
      <c r="J117" s="26" t="s">
        <v>58</v>
      </c>
      <c r="K117" s="27"/>
      <c r="L117" s="28" t="s">
        <v>56</v>
      </c>
      <c r="M117" s="29" t="str">
        <f t="shared" si="10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4.25" customHeight="1" x14ac:dyDescent="0.3">
      <c r="A118" s="42">
        <v>114</v>
      </c>
      <c r="B118" s="43" t="s">
        <v>4780</v>
      </c>
      <c r="C118" s="44" t="s">
        <v>4781</v>
      </c>
      <c r="D118" s="42" t="s">
        <v>4555</v>
      </c>
      <c r="E118" s="55">
        <v>46125</v>
      </c>
      <c r="F118" s="26" t="s">
        <v>55</v>
      </c>
      <c r="G118" s="26" t="s">
        <v>4401</v>
      </c>
      <c r="H118" s="26" t="s">
        <v>56</v>
      </c>
      <c r="I118" s="26" t="s">
        <v>4401</v>
      </c>
      <c r="J118" s="26" t="s">
        <v>58</v>
      </c>
      <c r="K118" s="27"/>
      <c r="L118" s="28" t="s">
        <v>56</v>
      </c>
      <c r="M118" s="29" t="str">
        <f t="shared" si="10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4.25" customHeight="1" x14ac:dyDescent="0.3">
      <c r="A119" s="23">
        <v>115</v>
      </c>
      <c r="B119" s="24" t="s">
        <v>4782</v>
      </c>
      <c r="C119" s="25" t="s">
        <v>4783</v>
      </c>
      <c r="D119" s="23" t="s">
        <v>4555</v>
      </c>
      <c r="E119" s="55">
        <v>46125</v>
      </c>
      <c r="F119" s="26" t="s">
        <v>55</v>
      </c>
      <c r="G119" s="26" t="s">
        <v>4401</v>
      </c>
      <c r="H119" s="26" t="s">
        <v>56</v>
      </c>
      <c r="I119" s="26" t="s">
        <v>4401</v>
      </c>
      <c r="J119" s="26" t="s">
        <v>58</v>
      </c>
      <c r="K119" s="27"/>
      <c r="L119" s="28" t="s">
        <v>56</v>
      </c>
      <c r="M119" s="29" t="str">
        <f t="shared" si="10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4.25" customHeight="1" x14ac:dyDescent="0.3">
      <c r="A120" s="42">
        <v>116</v>
      </c>
      <c r="B120" s="43" t="s">
        <v>4784</v>
      </c>
      <c r="C120" s="44" t="s">
        <v>4785</v>
      </c>
      <c r="D120" s="42" t="s">
        <v>4555</v>
      </c>
      <c r="E120" s="55">
        <v>46125</v>
      </c>
      <c r="F120" s="26" t="s">
        <v>55</v>
      </c>
      <c r="G120" s="26" t="s">
        <v>4401</v>
      </c>
      <c r="H120" s="26" t="s">
        <v>56</v>
      </c>
      <c r="I120" s="26" t="s">
        <v>4401</v>
      </c>
      <c r="J120" s="26" t="s">
        <v>58</v>
      </c>
      <c r="K120" s="27"/>
      <c r="L120" s="28" t="s">
        <v>56</v>
      </c>
      <c r="M120" s="29" t="str">
        <f t="shared" si="10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4.25" customHeight="1" x14ac:dyDescent="0.3">
      <c r="A121" s="23">
        <v>117</v>
      </c>
      <c r="B121" s="24" t="s">
        <v>4786</v>
      </c>
      <c r="C121" s="25" t="s">
        <v>4787</v>
      </c>
      <c r="D121" s="23" t="s">
        <v>4555</v>
      </c>
      <c r="E121" s="55">
        <v>46125</v>
      </c>
      <c r="F121" s="26" t="s">
        <v>55</v>
      </c>
      <c r="G121" s="26" t="s">
        <v>4401</v>
      </c>
      <c r="H121" s="26" t="s">
        <v>56</v>
      </c>
      <c r="I121" s="26" t="s">
        <v>4401</v>
      </c>
      <c r="J121" s="26" t="s">
        <v>58</v>
      </c>
      <c r="K121" s="27"/>
      <c r="L121" s="28" t="s">
        <v>56</v>
      </c>
      <c r="M121" s="29" t="str">
        <f t="shared" si="10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4.25" customHeight="1" x14ac:dyDescent="0.3">
      <c r="A122" s="42">
        <v>118</v>
      </c>
      <c r="B122" s="43" t="s">
        <v>4788</v>
      </c>
      <c r="C122" s="44" t="s">
        <v>4789</v>
      </c>
      <c r="D122" s="42" t="s">
        <v>4555</v>
      </c>
      <c r="E122" s="55">
        <v>46125</v>
      </c>
      <c r="F122" s="26" t="s">
        <v>55</v>
      </c>
      <c r="G122" s="26" t="s">
        <v>4401</v>
      </c>
      <c r="H122" s="26" t="s">
        <v>56</v>
      </c>
      <c r="I122" s="26" t="s">
        <v>4401</v>
      </c>
      <c r="J122" s="26" t="s">
        <v>58</v>
      </c>
      <c r="K122" s="27"/>
      <c r="L122" s="28" t="s">
        <v>56</v>
      </c>
      <c r="M122" s="29" t="str">
        <f t="shared" si="10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4.25" customHeight="1" x14ac:dyDescent="0.3">
      <c r="A123" s="23">
        <v>119</v>
      </c>
      <c r="B123" s="24" t="s">
        <v>4790</v>
      </c>
      <c r="C123" s="25" t="s">
        <v>4791</v>
      </c>
      <c r="D123" s="23" t="s">
        <v>4555</v>
      </c>
      <c r="E123" s="55">
        <v>46125</v>
      </c>
      <c r="F123" s="26" t="s">
        <v>55</v>
      </c>
      <c r="G123" s="26" t="s">
        <v>4401</v>
      </c>
      <c r="H123" s="26" t="s">
        <v>56</v>
      </c>
      <c r="I123" s="26" t="s">
        <v>4401</v>
      </c>
      <c r="J123" s="26" t="s">
        <v>58</v>
      </c>
      <c r="K123" s="27"/>
      <c r="L123" s="28" t="s">
        <v>56</v>
      </c>
      <c r="M123" s="29" t="str">
        <f t="shared" si="10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4.25" customHeight="1" x14ac:dyDescent="0.3">
      <c r="A124" s="42">
        <v>120</v>
      </c>
      <c r="B124" s="43" t="s">
        <v>4792</v>
      </c>
      <c r="C124" s="44" t="s">
        <v>4793</v>
      </c>
      <c r="D124" s="42" t="s">
        <v>4555</v>
      </c>
      <c r="E124" s="55">
        <v>46125</v>
      </c>
      <c r="F124" s="26" t="s">
        <v>55</v>
      </c>
      <c r="G124" s="26" t="s">
        <v>4401</v>
      </c>
      <c r="H124" s="26" t="s">
        <v>56</v>
      </c>
      <c r="I124" s="26" t="s">
        <v>4401</v>
      </c>
      <c r="J124" s="26" t="s">
        <v>58</v>
      </c>
      <c r="K124" s="27"/>
      <c r="L124" s="28" t="s">
        <v>56</v>
      </c>
      <c r="M124" s="29" t="str">
        <f t="shared" si="10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4.25" customHeight="1" x14ac:dyDescent="0.3">
      <c r="A125" s="23">
        <v>121</v>
      </c>
      <c r="B125" s="24" t="s">
        <v>4794</v>
      </c>
      <c r="C125" s="25" t="s">
        <v>4795</v>
      </c>
      <c r="D125" s="23" t="s">
        <v>4555</v>
      </c>
      <c r="E125" s="55">
        <v>46125</v>
      </c>
      <c r="F125" s="26" t="s">
        <v>55</v>
      </c>
      <c r="G125" s="26" t="s">
        <v>4401</v>
      </c>
      <c r="H125" s="26" t="s">
        <v>56</v>
      </c>
      <c r="I125" s="26" t="s">
        <v>4401</v>
      </c>
      <c r="J125" s="26" t="s">
        <v>58</v>
      </c>
      <c r="K125" s="27"/>
      <c r="L125" s="28" t="s">
        <v>56</v>
      </c>
      <c r="M125" s="29" t="str">
        <f t="shared" si="10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4.25" customHeight="1" x14ac:dyDescent="0.3">
      <c r="A126" s="42">
        <v>122</v>
      </c>
      <c r="B126" s="43" t="s">
        <v>4796</v>
      </c>
      <c r="C126" s="44" t="s">
        <v>4797</v>
      </c>
      <c r="D126" s="42" t="s">
        <v>4555</v>
      </c>
      <c r="E126" s="55">
        <v>46125</v>
      </c>
      <c r="F126" s="26" t="s">
        <v>55</v>
      </c>
      <c r="G126" s="26" t="s">
        <v>58</v>
      </c>
      <c r="H126" s="26" t="s">
        <v>56</v>
      </c>
      <c r="I126" s="26" t="s">
        <v>70</v>
      </c>
      <c r="J126" s="26" t="s">
        <v>58</v>
      </c>
      <c r="K126" s="27"/>
      <c r="L126" s="28" t="s">
        <v>56</v>
      </c>
      <c r="M126" s="29" t="str">
        <f t="shared" si="10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4.25" customHeight="1" x14ac:dyDescent="0.3">
      <c r="A127" s="23">
        <v>123</v>
      </c>
      <c r="B127" s="24" t="s">
        <v>4798</v>
      </c>
      <c r="C127" s="25" t="s">
        <v>4799</v>
      </c>
      <c r="D127" s="23" t="s">
        <v>4555</v>
      </c>
      <c r="E127" s="55">
        <v>46125</v>
      </c>
      <c r="F127" s="26" t="s">
        <v>55</v>
      </c>
      <c r="G127" s="26" t="s">
        <v>4401</v>
      </c>
      <c r="H127" s="26" t="s">
        <v>56</v>
      </c>
      <c r="I127" s="26" t="s">
        <v>4401</v>
      </c>
      <c r="J127" s="26" t="s">
        <v>58</v>
      </c>
      <c r="K127" s="27"/>
      <c r="L127" s="28" t="s">
        <v>56</v>
      </c>
      <c r="M127" s="29" t="str">
        <f t="shared" si="10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4.25" customHeight="1" x14ac:dyDescent="0.3">
      <c r="A128" s="42">
        <v>124</v>
      </c>
      <c r="B128" s="43" t="s">
        <v>4800</v>
      </c>
      <c r="C128" s="44" t="s">
        <v>4801</v>
      </c>
      <c r="D128" s="42" t="s">
        <v>4555</v>
      </c>
      <c r="E128" s="55">
        <v>46125</v>
      </c>
      <c r="F128" s="26" t="s">
        <v>55</v>
      </c>
      <c r="G128" s="26" t="s">
        <v>58</v>
      </c>
      <c r="H128" s="26" t="s">
        <v>56</v>
      </c>
      <c r="I128" s="26" t="s">
        <v>70</v>
      </c>
      <c r="J128" s="26" t="s">
        <v>58</v>
      </c>
      <c r="K128" s="27"/>
      <c r="L128" s="28" t="s">
        <v>56</v>
      </c>
      <c r="M128" s="29" t="str">
        <f t="shared" si="10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4.25" customHeight="1" x14ac:dyDescent="0.3">
      <c r="A129" s="23">
        <v>125</v>
      </c>
      <c r="B129" s="24" t="s">
        <v>4802</v>
      </c>
      <c r="C129" s="25" t="s">
        <v>4803</v>
      </c>
      <c r="D129" s="23" t="s">
        <v>4555</v>
      </c>
      <c r="E129" s="55">
        <v>46125</v>
      </c>
      <c r="F129" s="26" t="s">
        <v>55</v>
      </c>
      <c r="G129" s="26" t="s">
        <v>4401</v>
      </c>
      <c r="H129" s="26" t="s">
        <v>56</v>
      </c>
      <c r="I129" s="26" t="s">
        <v>4401</v>
      </c>
      <c r="J129" s="26" t="s">
        <v>58</v>
      </c>
      <c r="K129" s="27"/>
      <c r="L129" s="28" t="s">
        <v>56</v>
      </c>
      <c r="M129" s="29" t="str">
        <f t="shared" si="10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4.25" customHeight="1" x14ac:dyDescent="0.3">
      <c r="A130" s="42">
        <v>126</v>
      </c>
      <c r="B130" s="43" t="s">
        <v>4804</v>
      </c>
      <c r="C130" s="44" t="s">
        <v>4805</v>
      </c>
      <c r="D130" s="42" t="s">
        <v>4555</v>
      </c>
      <c r="E130" s="55">
        <v>46125</v>
      </c>
      <c r="F130" s="26" t="s">
        <v>55</v>
      </c>
      <c r="G130" s="26" t="s">
        <v>58</v>
      </c>
      <c r="H130" s="26" t="s">
        <v>56</v>
      </c>
      <c r="I130" s="26" t="s">
        <v>70</v>
      </c>
      <c r="J130" s="26" t="s">
        <v>58</v>
      </c>
      <c r="K130" s="27"/>
      <c r="L130" s="28" t="s">
        <v>56</v>
      </c>
      <c r="M130" s="29" t="str">
        <f t="shared" si="10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4.25" customHeight="1" x14ac:dyDescent="0.3">
      <c r="A131" s="23">
        <v>127</v>
      </c>
      <c r="B131" s="24" t="s">
        <v>4806</v>
      </c>
      <c r="C131" s="25" t="s">
        <v>4807</v>
      </c>
      <c r="D131" s="23" t="s">
        <v>4555</v>
      </c>
      <c r="E131" s="55">
        <v>46125</v>
      </c>
      <c r="F131" s="26" t="s">
        <v>55</v>
      </c>
      <c r="G131" s="26" t="s">
        <v>4401</v>
      </c>
      <c r="H131" s="26" t="s">
        <v>56</v>
      </c>
      <c r="I131" s="26" t="s">
        <v>4401</v>
      </c>
      <c r="J131" s="26" t="s">
        <v>58</v>
      </c>
      <c r="K131" s="27"/>
      <c r="L131" s="28" t="s">
        <v>56</v>
      </c>
      <c r="M131" s="29" t="str">
        <f t="shared" si="10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4.25" customHeight="1" x14ac:dyDescent="0.3">
      <c r="A132" s="42">
        <v>128</v>
      </c>
      <c r="B132" s="43" t="s">
        <v>4808</v>
      </c>
      <c r="C132" s="44" t="s">
        <v>4809</v>
      </c>
      <c r="D132" s="42" t="s">
        <v>4555</v>
      </c>
      <c r="E132" s="55">
        <v>46125</v>
      </c>
      <c r="F132" s="26" t="s">
        <v>55</v>
      </c>
      <c r="G132" s="26" t="s">
        <v>4401</v>
      </c>
      <c r="H132" s="26" t="s">
        <v>56</v>
      </c>
      <c r="I132" s="26" t="s">
        <v>4401</v>
      </c>
      <c r="J132" s="26" t="s">
        <v>58</v>
      </c>
      <c r="K132" s="27"/>
      <c r="L132" s="28" t="s">
        <v>56</v>
      </c>
      <c r="M132" s="29" t="str">
        <f t="shared" si="10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4.25" customHeight="1" x14ac:dyDescent="0.3">
      <c r="A133" s="23">
        <v>129</v>
      </c>
      <c r="B133" s="24" t="s">
        <v>4810</v>
      </c>
      <c r="C133" s="25" t="s">
        <v>4811</v>
      </c>
      <c r="D133" s="23" t="s">
        <v>4555</v>
      </c>
      <c r="E133" s="55">
        <v>46125</v>
      </c>
      <c r="F133" s="26" t="s">
        <v>55</v>
      </c>
      <c r="G133" s="26" t="s">
        <v>4401</v>
      </c>
      <c r="H133" s="26" t="s">
        <v>56</v>
      </c>
      <c r="I133" s="26" t="s">
        <v>4401</v>
      </c>
      <c r="J133" s="26" t="s">
        <v>58</v>
      </c>
      <c r="K133" s="27"/>
      <c r="L133" s="28" t="s">
        <v>56</v>
      </c>
      <c r="M133" s="29" t="str">
        <f t="shared" si="10"/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42">
        <v>130</v>
      </c>
      <c r="B134" s="43" t="s">
        <v>4812</v>
      </c>
      <c r="C134" s="44" t="s">
        <v>4813</v>
      </c>
      <c r="D134" s="42" t="s">
        <v>4555</v>
      </c>
      <c r="E134" s="55">
        <v>46125</v>
      </c>
      <c r="F134" s="26" t="s">
        <v>55</v>
      </c>
      <c r="G134" s="26" t="s">
        <v>4401</v>
      </c>
      <c r="H134" s="26" t="s">
        <v>56</v>
      </c>
      <c r="I134" s="26" t="s">
        <v>4401</v>
      </c>
      <c r="J134" s="26" t="s">
        <v>58</v>
      </c>
      <c r="K134" s="27"/>
      <c r="L134" s="28" t="s">
        <v>56</v>
      </c>
      <c r="M134" s="29" t="str">
        <f t="shared" ref="M134:M197" si="15">IF(E134="","",IF(H134="Yes","❌ Disc",IF(G134="No","⚠ Missing",IF(J134="Yes","✓ OK","⚠ Check"))))</f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4.25" customHeight="1" x14ac:dyDescent="0.3">
      <c r="A135" s="23">
        <v>131</v>
      </c>
      <c r="B135" s="24" t="s">
        <v>4814</v>
      </c>
      <c r="C135" s="25" t="s">
        <v>4815</v>
      </c>
      <c r="D135" s="23" t="s">
        <v>4555</v>
      </c>
      <c r="E135" s="55">
        <v>46125</v>
      </c>
      <c r="F135" s="26" t="s">
        <v>55</v>
      </c>
      <c r="G135" s="26" t="s">
        <v>58</v>
      </c>
      <c r="H135" s="26" t="s">
        <v>56</v>
      </c>
      <c r="I135" s="26" t="s">
        <v>70</v>
      </c>
      <c r="J135" s="26" t="s">
        <v>58</v>
      </c>
      <c r="K135" s="27"/>
      <c r="L135" s="28" t="s">
        <v>56</v>
      </c>
      <c r="M135" s="29" t="str">
        <f t="shared" si="15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4.25" customHeight="1" x14ac:dyDescent="0.3">
      <c r="A136" s="42">
        <v>132</v>
      </c>
      <c r="B136" s="43" t="s">
        <v>4816</v>
      </c>
      <c r="C136" s="44" t="s">
        <v>4817</v>
      </c>
      <c r="D136" s="42" t="s">
        <v>4555</v>
      </c>
      <c r="E136" s="55">
        <v>46125</v>
      </c>
      <c r="F136" s="26" t="s">
        <v>55</v>
      </c>
      <c r="G136" s="26" t="s">
        <v>4401</v>
      </c>
      <c r="H136" s="26" t="s">
        <v>56</v>
      </c>
      <c r="I136" s="26" t="s">
        <v>4401</v>
      </c>
      <c r="J136" s="26" t="s">
        <v>58</v>
      </c>
      <c r="K136" s="27"/>
      <c r="L136" s="28" t="s">
        <v>56</v>
      </c>
      <c r="M136" s="29" t="str">
        <f t="shared" si="15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4.25" customHeight="1" x14ac:dyDescent="0.3">
      <c r="A137" s="23">
        <v>133</v>
      </c>
      <c r="B137" s="24" t="s">
        <v>4818</v>
      </c>
      <c r="C137" s="25" t="s">
        <v>4819</v>
      </c>
      <c r="D137" s="23" t="s">
        <v>4555</v>
      </c>
      <c r="E137" s="55">
        <v>46125</v>
      </c>
      <c r="F137" s="26" t="s">
        <v>55</v>
      </c>
      <c r="G137" s="26" t="s">
        <v>4401</v>
      </c>
      <c r="H137" s="26" t="s">
        <v>56</v>
      </c>
      <c r="I137" s="26" t="s">
        <v>4401</v>
      </c>
      <c r="J137" s="26" t="s">
        <v>58</v>
      </c>
      <c r="K137" s="27"/>
      <c r="L137" s="28" t="s">
        <v>56</v>
      </c>
      <c r="M137" s="29" t="str">
        <f t="shared" si="15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4.25" customHeight="1" x14ac:dyDescent="0.3">
      <c r="A138" s="42">
        <v>134</v>
      </c>
      <c r="B138" s="43" t="s">
        <v>4820</v>
      </c>
      <c r="C138" s="44" t="s">
        <v>4821</v>
      </c>
      <c r="D138" s="42" t="s">
        <v>4555</v>
      </c>
      <c r="E138" s="55">
        <v>46125</v>
      </c>
      <c r="F138" s="26" t="s">
        <v>55</v>
      </c>
      <c r="G138" s="26" t="s">
        <v>4401</v>
      </c>
      <c r="H138" s="26" t="s">
        <v>56</v>
      </c>
      <c r="I138" s="26" t="s">
        <v>4401</v>
      </c>
      <c r="J138" s="26" t="s">
        <v>58</v>
      </c>
      <c r="K138" s="27"/>
      <c r="L138" s="28" t="s">
        <v>56</v>
      </c>
      <c r="M138" s="29" t="str">
        <f t="shared" si="15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4.25" customHeight="1" x14ac:dyDescent="0.3">
      <c r="A139" s="23">
        <v>135</v>
      </c>
      <c r="B139" s="24" t="s">
        <v>4822</v>
      </c>
      <c r="C139" s="25" t="s">
        <v>4823</v>
      </c>
      <c r="D139" s="23" t="s">
        <v>4555</v>
      </c>
      <c r="E139" s="55">
        <v>46125</v>
      </c>
      <c r="F139" s="26" t="s">
        <v>55</v>
      </c>
      <c r="G139" s="26" t="s">
        <v>4401</v>
      </c>
      <c r="H139" s="26" t="s">
        <v>56</v>
      </c>
      <c r="I139" s="26" t="s">
        <v>4401</v>
      </c>
      <c r="J139" s="26" t="s">
        <v>58</v>
      </c>
      <c r="K139" s="27"/>
      <c r="L139" s="28" t="s">
        <v>56</v>
      </c>
      <c r="M139" s="29" t="str">
        <f t="shared" si="15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4.25" customHeight="1" x14ac:dyDescent="0.3">
      <c r="A140" s="42">
        <v>136</v>
      </c>
      <c r="B140" s="43" t="s">
        <v>4824</v>
      </c>
      <c r="C140" s="44" t="s">
        <v>4825</v>
      </c>
      <c r="D140" s="42" t="s">
        <v>4555</v>
      </c>
      <c r="E140" s="55">
        <v>46125</v>
      </c>
      <c r="F140" s="26" t="s">
        <v>55</v>
      </c>
      <c r="G140" s="26" t="s">
        <v>4401</v>
      </c>
      <c r="H140" s="26" t="s">
        <v>56</v>
      </c>
      <c r="I140" s="26" t="s">
        <v>4401</v>
      </c>
      <c r="J140" s="26" t="s">
        <v>58</v>
      </c>
      <c r="K140" s="27"/>
      <c r="L140" s="28" t="s">
        <v>56</v>
      </c>
      <c r="M140" s="29" t="str">
        <f t="shared" si="15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4.25" customHeight="1" x14ac:dyDescent="0.3">
      <c r="A141" s="23">
        <v>137</v>
      </c>
      <c r="B141" s="24" t="s">
        <v>4826</v>
      </c>
      <c r="C141" s="25" t="s">
        <v>4827</v>
      </c>
      <c r="D141" s="23" t="s">
        <v>4555</v>
      </c>
      <c r="E141" s="55">
        <v>46125</v>
      </c>
      <c r="F141" s="26" t="s">
        <v>55</v>
      </c>
      <c r="G141" s="26" t="s">
        <v>4401</v>
      </c>
      <c r="H141" s="26" t="s">
        <v>56</v>
      </c>
      <c r="I141" s="26" t="s">
        <v>4401</v>
      </c>
      <c r="J141" s="26" t="s">
        <v>58</v>
      </c>
      <c r="K141" s="27"/>
      <c r="L141" s="28" t="s">
        <v>56</v>
      </c>
      <c r="M141" s="29" t="str">
        <f t="shared" si="15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4.25" customHeight="1" x14ac:dyDescent="0.3">
      <c r="A142" s="42">
        <v>138</v>
      </c>
      <c r="B142" s="43" t="s">
        <v>4828</v>
      </c>
      <c r="C142" s="44" t="s">
        <v>4829</v>
      </c>
      <c r="D142" s="42" t="s">
        <v>4555</v>
      </c>
      <c r="E142" s="55">
        <v>46125</v>
      </c>
      <c r="F142" s="26" t="s">
        <v>55</v>
      </c>
      <c r="G142" s="26" t="s">
        <v>4401</v>
      </c>
      <c r="H142" s="26" t="s">
        <v>56</v>
      </c>
      <c r="I142" s="26" t="s">
        <v>4401</v>
      </c>
      <c r="J142" s="26" t="s">
        <v>58</v>
      </c>
      <c r="K142" s="27"/>
      <c r="L142" s="28" t="s">
        <v>56</v>
      </c>
      <c r="M142" s="29" t="str">
        <f t="shared" si="15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4.25" customHeight="1" x14ac:dyDescent="0.3">
      <c r="A143" s="23">
        <v>139</v>
      </c>
      <c r="B143" s="24" t="s">
        <v>4830</v>
      </c>
      <c r="C143" s="25" t="s">
        <v>4831</v>
      </c>
      <c r="D143" s="23" t="s">
        <v>4555</v>
      </c>
      <c r="E143" s="55">
        <v>46125</v>
      </c>
      <c r="F143" s="26" t="s">
        <v>55</v>
      </c>
      <c r="G143" s="26" t="s">
        <v>4401</v>
      </c>
      <c r="H143" s="26" t="s">
        <v>56</v>
      </c>
      <c r="I143" s="26" t="s">
        <v>4401</v>
      </c>
      <c r="J143" s="26" t="s">
        <v>58</v>
      </c>
      <c r="K143" s="27"/>
      <c r="L143" s="28" t="s">
        <v>56</v>
      </c>
      <c r="M143" s="29" t="str">
        <f t="shared" si="15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4.25" customHeight="1" x14ac:dyDescent="0.3">
      <c r="A144" s="42">
        <v>140</v>
      </c>
      <c r="B144" s="43" t="s">
        <v>4832</v>
      </c>
      <c r="C144" s="44" t="s">
        <v>4833</v>
      </c>
      <c r="D144" s="42" t="s">
        <v>4555</v>
      </c>
      <c r="E144" s="55">
        <v>46125</v>
      </c>
      <c r="F144" s="26" t="s">
        <v>55</v>
      </c>
      <c r="G144" s="26" t="s">
        <v>4401</v>
      </c>
      <c r="H144" s="26" t="s">
        <v>56</v>
      </c>
      <c r="I144" s="26" t="s">
        <v>4401</v>
      </c>
      <c r="J144" s="26" t="s">
        <v>58</v>
      </c>
      <c r="K144" s="27"/>
      <c r="L144" s="28" t="s">
        <v>56</v>
      </c>
      <c r="M144" s="29" t="str">
        <f t="shared" si="15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4.25" customHeight="1" x14ac:dyDescent="0.3">
      <c r="A145" s="23">
        <v>141</v>
      </c>
      <c r="B145" s="24" t="s">
        <v>4834</v>
      </c>
      <c r="C145" s="25" t="s">
        <v>4835</v>
      </c>
      <c r="D145" s="23" t="s">
        <v>4555</v>
      </c>
      <c r="E145" s="55">
        <v>46125</v>
      </c>
      <c r="F145" s="26" t="s">
        <v>55</v>
      </c>
      <c r="G145" s="26" t="s">
        <v>4401</v>
      </c>
      <c r="H145" s="26" t="s">
        <v>56</v>
      </c>
      <c r="I145" s="26" t="s">
        <v>4401</v>
      </c>
      <c r="J145" s="26" t="s">
        <v>58</v>
      </c>
      <c r="K145" s="27"/>
      <c r="L145" s="28" t="s">
        <v>56</v>
      </c>
      <c r="M145" s="29" t="str">
        <f t="shared" si="15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4.25" customHeight="1" x14ac:dyDescent="0.3">
      <c r="A146" s="42">
        <v>142</v>
      </c>
      <c r="B146" s="43" t="s">
        <v>4836</v>
      </c>
      <c r="C146" s="44" t="s">
        <v>4837</v>
      </c>
      <c r="D146" s="42" t="s">
        <v>4555</v>
      </c>
      <c r="E146" s="55">
        <v>46125</v>
      </c>
      <c r="F146" s="26" t="s">
        <v>55</v>
      </c>
      <c r="G146" s="26" t="s">
        <v>58</v>
      </c>
      <c r="H146" s="26" t="s">
        <v>56</v>
      </c>
      <c r="I146" s="26" t="s">
        <v>70</v>
      </c>
      <c r="J146" s="26" t="s">
        <v>58</v>
      </c>
      <c r="K146" s="27"/>
      <c r="L146" s="28" t="s">
        <v>56</v>
      </c>
      <c r="M146" s="29" t="str">
        <f t="shared" si="15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4.25" customHeight="1" x14ac:dyDescent="0.3">
      <c r="A147" s="23">
        <v>143</v>
      </c>
      <c r="B147" s="24" t="s">
        <v>4838</v>
      </c>
      <c r="C147" s="25" t="s">
        <v>4839</v>
      </c>
      <c r="D147" s="23" t="s">
        <v>4555</v>
      </c>
      <c r="E147" s="55">
        <v>46125</v>
      </c>
      <c r="F147" s="26" t="s">
        <v>55</v>
      </c>
      <c r="G147" s="26" t="s">
        <v>4401</v>
      </c>
      <c r="H147" s="26" t="s">
        <v>56</v>
      </c>
      <c r="I147" s="26" t="s">
        <v>4401</v>
      </c>
      <c r="J147" s="26" t="s">
        <v>58</v>
      </c>
      <c r="K147" s="27"/>
      <c r="L147" s="28" t="s">
        <v>56</v>
      </c>
      <c r="M147" s="29" t="str">
        <f t="shared" si="15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4.25" customHeight="1" x14ac:dyDescent="0.3">
      <c r="A148" s="42">
        <v>144</v>
      </c>
      <c r="B148" s="43" t="s">
        <v>4840</v>
      </c>
      <c r="C148" s="44" t="s">
        <v>4841</v>
      </c>
      <c r="D148" s="42" t="s">
        <v>4555</v>
      </c>
      <c r="E148" s="55">
        <v>46125</v>
      </c>
      <c r="F148" s="26" t="s">
        <v>55</v>
      </c>
      <c r="G148" s="26" t="s">
        <v>4401</v>
      </c>
      <c r="H148" s="26" t="s">
        <v>56</v>
      </c>
      <c r="I148" s="26" t="s">
        <v>4401</v>
      </c>
      <c r="J148" s="26" t="s">
        <v>58</v>
      </c>
      <c r="K148" s="27"/>
      <c r="L148" s="28" t="s">
        <v>56</v>
      </c>
      <c r="M148" s="29" t="str">
        <f t="shared" si="15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4.25" customHeight="1" x14ac:dyDescent="0.3">
      <c r="A149" s="23">
        <v>145</v>
      </c>
      <c r="B149" s="24" t="s">
        <v>4842</v>
      </c>
      <c r="C149" s="25" t="s">
        <v>4843</v>
      </c>
      <c r="D149" s="23" t="s">
        <v>4555</v>
      </c>
      <c r="E149" s="55">
        <v>46125</v>
      </c>
      <c r="F149" s="26" t="s">
        <v>55</v>
      </c>
      <c r="G149" s="26" t="s">
        <v>4401</v>
      </c>
      <c r="H149" s="26" t="s">
        <v>56</v>
      </c>
      <c r="I149" s="26" t="s">
        <v>4401</v>
      </c>
      <c r="J149" s="26" t="s">
        <v>58</v>
      </c>
      <c r="K149" s="27"/>
      <c r="L149" s="28" t="s">
        <v>56</v>
      </c>
      <c r="M149" s="29" t="str">
        <f t="shared" si="15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4.25" customHeight="1" x14ac:dyDescent="0.3">
      <c r="A150" s="42">
        <v>146</v>
      </c>
      <c r="B150" s="43" t="s">
        <v>4844</v>
      </c>
      <c r="C150" s="44" t="s">
        <v>4845</v>
      </c>
      <c r="D150" s="42" t="s">
        <v>4555</v>
      </c>
      <c r="E150" s="55">
        <v>46125</v>
      </c>
      <c r="F150" s="26" t="s">
        <v>55</v>
      </c>
      <c r="G150" s="26" t="s">
        <v>4401</v>
      </c>
      <c r="H150" s="26" t="s">
        <v>56</v>
      </c>
      <c r="I150" s="26" t="s">
        <v>4401</v>
      </c>
      <c r="J150" s="26" t="s">
        <v>58</v>
      </c>
      <c r="K150" s="27"/>
      <c r="L150" s="28" t="s">
        <v>56</v>
      </c>
      <c r="M150" s="29" t="str">
        <f t="shared" si="15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4.25" customHeight="1" x14ac:dyDescent="0.3">
      <c r="A151" s="23">
        <v>147</v>
      </c>
      <c r="B151" s="24" t="s">
        <v>4846</v>
      </c>
      <c r="C151" s="25" t="s">
        <v>4847</v>
      </c>
      <c r="D151" s="23" t="s">
        <v>4555</v>
      </c>
      <c r="E151" s="55">
        <v>46125</v>
      </c>
      <c r="F151" s="26" t="s">
        <v>55</v>
      </c>
      <c r="G151" s="26" t="s">
        <v>4401</v>
      </c>
      <c r="H151" s="26" t="s">
        <v>56</v>
      </c>
      <c r="I151" s="26" t="s">
        <v>4401</v>
      </c>
      <c r="J151" s="26" t="s">
        <v>58</v>
      </c>
      <c r="K151" s="27"/>
      <c r="L151" s="28" t="s">
        <v>56</v>
      </c>
      <c r="M151" s="29" t="str">
        <f t="shared" si="15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4.25" customHeight="1" x14ac:dyDescent="0.3">
      <c r="A152" s="42">
        <v>148</v>
      </c>
      <c r="B152" s="43" t="s">
        <v>4848</v>
      </c>
      <c r="C152" s="44" t="s">
        <v>4849</v>
      </c>
      <c r="D152" s="42" t="s">
        <v>4555</v>
      </c>
      <c r="E152" s="55">
        <v>46125</v>
      </c>
      <c r="F152" s="26" t="s">
        <v>55</v>
      </c>
      <c r="G152" s="26" t="s">
        <v>58</v>
      </c>
      <c r="H152" s="26" t="s">
        <v>56</v>
      </c>
      <c r="I152" s="26" t="s">
        <v>70</v>
      </c>
      <c r="J152" s="26" t="s">
        <v>58</v>
      </c>
      <c r="K152" s="27"/>
      <c r="L152" s="28" t="s">
        <v>56</v>
      </c>
      <c r="M152" s="29" t="str">
        <f t="shared" si="15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4.25" customHeight="1" x14ac:dyDescent="0.3">
      <c r="A153" s="23">
        <v>149</v>
      </c>
      <c r="B153" s="24" t="s">
        <v>4850</v>
      </c>
      <c r="C153" s="25" t="s">
        <v>4851</v>
      </c>
      <c r="D153" s="23" t="s">
        <v>4555</v>
      </c>
      <c r="E153" s="55">
        <v>46125</v>
      </c>
      <c r="F153" s="26" t="s">
        <v>55</v>
      </c>
      <c r="G153" s="26" t="s">
        <v>4401</v>
      </c>
      <c r="H153" s="26" t="s">
        <v>56</v>
      </c>
      <c r="I153" s="26" t="s">
        <v>4401</v>
      </c>
      <c r="J153" s="26" t="s">
        <v>58</v>
      </c>
      <c r="K153" s="27"/>
      <c r="L153" s="28" t="s">
        <v>56</v>
      </c>
      <c r="M153" s="29" t="str">
        <f t="shared" si="15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4.25" customHeight="1" x14ac:dyDescent="0.3">
      <c r="A154" s="42">
        <v>150</v>
      </c>
      <c r="B154" s="43" t="s">
        <v>4852</v>
      </c>
      <c r="C154" s="44" t="s">
        <v>4853</v>
      </c>
      <c r="D154" s="42" t="s">
        <v>4555</v>
      </c>
      <c r="E154" s="55">
        <v>46125</v>
      </c>
      <c r="F154" s="26" t="s">
        <v>55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/>
      <c r="L154" s="28" t="s">
        <v>58</v>
      </c>
      <c r="M154" s="29" t="str">
        <f t="shared" si="15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4.25" customHeight="1" x14ac:dyDescent="0.3">
      <c r="A155" s="23">
        <v>151</v>
      </c>
      <c r="B155" s="24" t="s">
        <v>4854</v>
      </c>
      <c r="C155" s="25" t="s">
        <v>4855</v>
      </c>
      <c r="D155" s="23" t="s">
        <v>4555</v>
      </c>
      <c r="E155" s="55">
        <v>46125</v>
      </c>
      <c r="F155" s="26" t="s">
        <v>55</v>
      </c>
      <c r="G155" s="26" t="s">
        <v>56</v>
      </c>
      <c r="H155" s="26" t="s">
        <v>56</v>
      </c>
      <c r="I155" s="26" t="s">
        <v>57</v>
      </c>
      <c r="J155" s="26" t="s">
        <v>56</v>
      </c>
      <c r="K155" s="27"/>
      <c r="L155" s="28" t="s">
        <v>58</v>
      </c>
      <c r="M155" s="29" t="str">
        <f t="shared" si="15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4.25" customHeight="1" x14ac:dyDescent="0.3">
      <c r="A156" s="42">
        <v>152</v>
      </c>
      <c r="B156" s="43" t="s">
        <v>4856</v>
      </c>
      <c r="C156" s="44" t="s">
        <v>4857</v>
      </c>
      <c r="D156" s="42" t="s">
        <v>4555</v>
      </c>
      <c r="E156" s="55">
        <v>46125</v>
      </c>
      <c r="F156" s="26" t="s">
        <v>55</v>
      </c>
      <c r="G156" s="26" t="s">
        <v>56</v>
      </c>
      <c r="H156" s="26" t="s">
        <v>56</v>
      </c>
      <c r="I156" s="26" t="s">
        <v>57</v>
      </c>
      <c r="J156" s="26" t="s">
        <v>56</v>
      </c>
      <c r="K156" s="27"/>
      <c r="L156" s="28" t="s">
        <v>58</v>
      </c>
      <c r="M156" s="29" t="str">
        <f t="shared" si="15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4.25" customHeight="1" x14ac:dyDescent="0.3">
      <c r="A157" s="23">
        <v>153</v>
      </c>
      <c r="B157" s="24" t="s">
        <v>4858</v>
      </c>
      <c r="C157" s="25" t="s">
        <v>4859</v>
      </c>
      <c r="D157" s="23" t="s">
        <v>4555</v>
      </c>
      <c r="E157" s="55">
        <v>46125</v>
      </c>
      <c r="F157" s="26" t="s">
        <v>55</v>
      </c>
      <c r="G157" s="26" t="s">
        <v>56</v>
      </c>
      <c r="H157" s="26" t="s">
        <v>56</v>
      </c>
      <c r="I157" s="26" t="s">
        <v>57</v>
      </c>
      <c r="J157" s="26" t="s">
        <v>56</v>
      </c>
      <c r="K157" s="27"/>
      <c r="L157" s="28" t="s">
        <v>58</v>
      </c>
      <c r="M157" s="29" t="str">
        <f t="shared" si="15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4.25" customHeight="1" x14ac:dyDescent="0.3">
      <c r="A158" s="42">
        <v>154</v>
      </c>
      <c r="B158" s="43" t="s">
        <v>4860</v>
      </c>
      <c r="C158" s="44" t="s">
        <v>4861</v>
      </c>
      <c r="D158" s="42" t="s">
        <v>4555</v>
      </c>
      <c r="E158" s="55">
        <v>46125</v>
      </c>
      <c r="F158" s="26" t="s">
        <v>55</v>
      </c>
      <c r="G158" s="26" t="s">
        <v>56</v>
      </c>
      <c r="H158" s="26" t="s">
        <v>56</v>
      </c>
      <c r="I158" s="26" t="s">
        <v>57</v>
      </c>
      <c r="J158" s="26" t="s">
        <v>56</v>
      </c>
      <c r="K158" s="27"/>
      <c r="L158" s="28" t="s">
        <v>58</v>
      </c>
      <c r="M158" s="29" t="str">
        <f t="shared" si="15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4.25" customHeight="1" x14ac:dyDescent="0.3">
      <c r="A159" s="23">
        <v>155</v>
      </c>
      <c r="B159" s="24" t="s">
        <v>4862</v>
      </c>
      <c r="C159" s="25" t="s">
        <v>4863</v>
      </c>
      <c r="D159" s="23" t="s">
        <v>4555</v>
      </c>
      <c r="E159" s="55">
        <v>46125</v>
      </c>
      <c r="F159" s="26" t="s">
        <v>55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/>
      <c r="L159" s="28" t="s">
        <v>58</v>
      </c>
      <c r="M159" s="29" t="str">
        <f t="shared" si="15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4.25" customHeight="1" x14ac:dyDescent="0.3">
      <c r="A160" s="42">
        <v>156</v>
      </c>
      <c r="B160" s="43" t="s">
        <v>4864</v>
      </c>
      <c r="C160" s="44" t="s">
        <v>4865</v>
      </c>
      <c r="D160" s="42" t="s">
        <v>4555</v>
      </c>
      <c r="E160" s="55">
        <v>46125</v>
      </c>
      <c r="F160" s="26" t="s">
        <v>55</v>
      </c>
      <c r="G160" s="26" t="s">
        <v>4401</v>
      </c>
      <c r="H160" s="26" t="s">
        <v>56</v>
      </c>
      <c r="I160" s="26" t="s">
        <v>4401</v>
      </c>
      <c r="J160" s="26" t="s">
        <v>58</v>
      </c>
      <c r="K160" s="27"/>
      <c r="L160" s="28" t="s">
        <v>56</v>
      </c>
      <c r="M160" s="29" t="str">
        <f t="shared" si="15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4.25" customHeight="1" x14ac:dyDescent="0.3">
      <c r="A161" s="23">
        <v>157</v>
      </c>
      <c r="B161" s="24" t="s">
        <v>4866</v>
      </c>
      <c r="C161" s="25" t="s">
        <v>4867</v>
      </c>
      <c r="D161" s="23" t="s">
        <v>4555</v>
      </c>
      <c r="E161" s="55">
        <v>46125</v>
      </c>
      <c r="F161" s="26" t="s">
        <v>55</v>
      </c>
      <c r="G161" s="26" t="s">
        <v>4401</v>
      </c>
      <c r="H161" s="26" t="s">
        <v>56</v>
      </c>
      <c r="I161" s="26" t="s">
        <v>4401</v>
      </c>
      <c r="J161" s="26" t="s">
        <v>58</v>
      </c>
      <c r="K161" s="27"/>
      <c r="L161" s="28" t="s">
        <v>56</v>
      </c>
      <c r="M161" s="29" t="str">
        <f t="shared" si="15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4.25" customHeight="1" x14ac:dyDescent="0.3">
      <c r="A162" s="42">
        <v>158</v>
      </c>
      <c r="B162" s="43" t="s">
        <v>4868</v>
      </c>
      <c r="C162" s="44" t="s">
        <v>4869</v>
      </c>
      <c r="D162" s="42" t="s">
        <v>4555</v>
      </c>
      <c r="E162" s="55">
        <v>46125</v>
      </c>
      <c r="F162" s="26" t="s">
        <v>55</v>
      </c>
      <c r="G162" s="26" t="s">
        <v>4401</v>
      </c>
      <c r="H162" s="26" t="s">
        <v>56</v>
      </c>
      <c r="I162" s="26" t="s">
        <v>4401</v>
      </c>
      <c r="J162" s="26" t="s">
        <v>58</v>
      </c>
      <c r="K162" s="27"/>
      <c r="L162" s="28" t="s">
        <v>56</v>
      </c>
      <c r="M162" s="29" t="str">
        <f t="shared" si="15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4.25" customHeight="1" x14ac:dyDescent="0.3">
      <c r="A163" s="23">
        <v>159</v>
      </c>
      <c r="B163" s="24" t="s">
        <v>4870</v>
      </c>
      <c r="C163" s="25" t="s">
        <v>4871</v>
      </c>
      <c r="D163" s="23" t="s">
        <v>4555</v>
      </c>
      <c r="E163" s="55">
        <v>46125</v>
      </c>
      <c r="F163" s="26" t="s">
        <v>55</v>
      </c>
      <c r="G163" s="26" t="s">
        <v>58</v>
      </c>
      <c r="H163" s="26" t="s">
        <v>56</v>
      </c>
      <c r="I163" s="26" t="s">
        <v>70</v>
      </c>
      <c r="J163" s="26" t="s">
        <v>58</v>
      </c>
      <c r="K163" s="27"/>
      <c r="L163" s="28" t="s">
        <v>56</v>
      </c>
      <c r="M163" s="29" t="str">
        <f t="shared" si="15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4.25" customHeight="1" x14ac:dyDescent="0.3">
      <c r="A164" s="42">
        <v>160</v>
      </c>
      <c r="B164" s="43" t="s">
        <v>4872</v>
      </c>
      <c r="C164" s="44" t="s">
        <v>4873</v>
      </c>
      <c r="D164" s="42" t="s">
        <v>4555</v>
      </c>
      <c r="E164" s="55">
        <v>46125</v>
      </c>
      <c r="F164" s="26" t="s">
        <v>55</v>
      </c>
      <c r="G164" s="26" t="s">
        <v>4401</v>
      </c>
      <c r="H164" s="26" t="s">
        <v>56</v>
      </c>
      <c r="I164" s="26" t="s">
        <v>4401</v>
      </c>
      <c r="J164" s="26" t="s">
        <v>58</v>
      </c>
      <c r="K164" s="27"/>
      <c r="L164" s="28" t="s">
        <v>56</v>
      </c>
      <c r="M164" s="29" t="str">
        <f t="shared" si="15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4.25" customHeight="1" x14ac:dyDescent="0.3">
      <c r="A165" s="23">
        <v>161</v>
      </c>
      <c r="B165" s="24" t="s">
        <v>4874</v>
      </c>
      <c r="C165" s="25" t="s">
        <v>4875</v>
      </c>
      <c r="D165" s="23" t="s">
        <v>4555</v>
      </c>
      <c r="E165" s="55">
        <v>46125</v>
      </c>
      <c r="F165" s="26" t="s">
        <v>55</v>
      </c>
      <c r="G165" s="26" t="s">
        <v>4401</v>
      </c>
      <c r="H165" s="26" t="s">
        <v>56</v>
      </c>
      <c r="I165" s="26" t="s">
        <v>4401</v>
      </c>
      <c r="J165" s="26" t="s">
        <v>58</v>
      </c>
      <c r="K165" s="27"/>
      <c r="L165" s="28" t="s">
        <v>56</v>
      </c>
      <c r="M165" s="29" t="str">
        <f t="shared" si="15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4.25" customHeight="1" x14ac:dyDescent="0.3">
      <c r="A166" s="42">
        <v>162</v>
      </c>
      <c r="B166" s="43" t="s">
        <v>4876</v>
      </c>
      <c r="C166" s="44" t="s">
        <v>4877</v>
      </c>
      <c r="D166" s="42" t="s">
        <v>4555</v>
      </c>
      <c r="E166" s="55">
        <v>46125</v>
      </c>
      <c r="F166" s="26" t="s">
        <v>55</v>
      </c>
      <c r="G166" s="26" t="s">
        <v>4401</v>
      </c>
      <c r="H166" s="26" t="s">
        <v>56</v>
      </c>
      <c r="I166" s="26" t="s">
        <v>4401</v>
      </c>
      <c r="J166" s="26" t="s">
        <v>58</v>
      </c>
      <c r="K166" s="27"/>
      <c r="L166" s="28" t="s">
        <v>56</v>
      </c>
      <c r="M166" s="29" t="str">
        <f t="shared" si="15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4.25" customHeight="1" x14ac:dyDescent="0.3">
      <c r="A167" s="23">
        <v>163</v>
      </c>
      <c r="B167" s="24" t="s">
        <v>4878</v>
      </c>
      <c r="C167" s="25" t="s">
        <v>4879</v>
      </c>
      <c r="D167" s="23" t="s">
        <v>4555</v>
      </c>
      <c r="E167" s="55">
        <v>46125</v>
      </c>
      <c r="F167" s="26" t="s">
        <v>55</v>
      </c>
      <c r="G167" s="26" t="s">
        <v>4401</v>
      </c>
      <c r="H167" s="26" t="s">
        <v>56</v>
      </c>
      <c r="I167" s="26" t="s">
        <v>4401</v>
      </c>
      <c r="J167" s="26" t="s">
        <v>58</v>
      </c>
      <c r="K167" s="27"/>
      <c r="L167" s="28" t="s">
        <v>56</v>
      </c>
      <c r="M167" s="29" t="str">
        <f t="shared" si="15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4.25" customHeight="1" x14ac:dyDescent="0.3">
      <c r="A168" s="42">
        <v>164</v>
      </c>
      <c r="B168" s="43" t="s">
        <v>4880</v>
      </c>
      <c r="C168" s="44" t="s">
        <v>4881</v>
      </c>
      <c r="D168" s="42" t="s">
        <v>4555</v>
      </c>
      <c r="E168" s="55">
        <v>46125</v>
      </c>
      <c r="F168" s="26" t="s">
        <v>55</v>
      </c>
      <c r="G168" s="26" t="s">
        <v>58</v>
      </c>
      <c r="H168" s="26" t="s">
        <v>56</v>
      </c>
      <c r="I168" s="26" t="s">
        <v>70</v>
      </c>
      <c r="J168" s="26" t="s">
        <v>58</v>
      </c>
      <c r="K168" s="27"/>
      <c r="L168" s="28" t="s">
        <v>56</v>
      </c>
      <c r="M168" s="29" t="str">
        <f t="shared" si="15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4.25" customHeight="1" x14ac:dyDescent="0.3">
      <c r="A169" s="23">
        <v>165</v>
      </c>
      <c r="B169" s="24" t="s">
        <v>4882</v>
      </c>
      <c r="C169" s="25" t="s">
        <v>4883</v>
      </c>
      <c r="D169" s="23" t="s">
        <v>4555</v>
      </c>
      <c r="E169" s="55">
        <v>46125</v>
      </c>
      <c r="F169" s="26" t="s">
        <v>55</v>
      </c>
      <c r="G169" s="26" t="s">
        <v>4401</v>
      </c>
      <c r="H169" s="26" t="s">
        <v>56</v>
      </c>
      <c r="I169" s="26" t="s">
        <v>4401</v>
      </c>
      <c r="J169" s="26" t="s">
        <v>58</v>
      </c>
      <c r="K169" s="27"/>
      <c r="L169" s="28" t="s">
        <v>56</v>
      </c>
      <c r="M169" s="29" t="str">
        <f t="shared" si="15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4.25" customHeight="1" x14ac:dyDescent="0.3">
      <c r="A170" s="42">
        <v>166</v>
      </c>
      <c r="B170" s="43" t="s">
        <v>4884</v>
      </c>
      <c r="C170" s="44" t="s">
        <v>4885</v>
      </c>
      <c r="D170" s="42" t="s">
        <v>4555</v>
      </c>
      <c r="E170" s="55">
        <v>46125</v>
      </c>
      <c r="F170" s="26" t="s">
        <v>55</v>
      </c>
      <c r="G170" s="26" t="s">
        <v>4401</v>
      </c>
      <c r="H170" s="26" t="s">
        <v>56</v>
      </c>
      <c r="I170" s="26" t="s">
        <v>4401</v>
      </c>
      <c r="J170" s="26" t="s">
        <v>58</v>
      </c>
      <c r="K170" s="27"/>
      <c r="L170" s="28" t="s">
        <v>56</v>
      </c>
      <c r="M170" s="29" t="str">
        <f t="shared" si="15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4.25" customHeight="1" x14ac:dyDescent="0.3">
      <c r="A171" s="23">
        <v>167</v>
      </c>
      <c r="B171" s="24" t="s">
        <v>4886</v>
      </c>
      <c r="C171" s="25" t="s">
        <v>4887</v>
      </c>
      <c r="D171" s="23" t="s">
        <v>4555</v>
      </c>
      <c r="E171" s="55">
        <v>46125</v>
      </c>
      <c r="F171" s="26" t="s">
        <v>55</v>
      </c>
      <c r="G171" s="26" t="s">
        <v>4401</v>
      </c>
      <c r="H171" s="26" t="s">
        <v>56</v>
      </c>
      <c r="I171" s="26" t="s">
        <v>4401</v>
      </c>
      <c r="J171" s="26" t="s">
        <v>58</v>
      </c>
      <c r="K171" s="27"/>
      <c r="L171" s="28" t="s">
        <v>56</v>
      </c>
      <c r="M171" s="29" t="str">
        <f t="shared" si="15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4.25" customHeight="1" x14ac:dyDescent="0.3">
      <c r="A172" s="42">
        <v>168</v>
      </c>
      <c r="B172" s="43" t="s">
        <v>4888</v>
      </c>
      <c r="C172" s="44" t="s">
        <v>4889</v>
      </c>
      <c r="D172" s="42" t="s">
        <v>4555</v>
      </c>
      <c r="E172" s="55">
        <v>46125</v>
      </c>
      <c r="F172" s="26" t="s">
        <v>55</v>
      </c>
      <c r="G172" s="26" t="s">
        <v>4401</v>
      </c>
      <c r="H172" s="26" t="s">
        <v>56</v>
      </c>
      <c r="I172" s="26" t="s">
        <v>4401</v>
      </c>
      <c r="J172" s="26" t="s">
        <v>58</v>
      </c>
      <c r="K172" s="27"/>
      <c r="L172" s="28" t="s">
        <v>56</v>
      </c>
      <c r="M172" s="29" t="str">
        <f t="shared" si="15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4.25" customHeight="1" x14ac:dyDescent="0.3">
      <c r="A173" s="23">
        <v>169</v>
      </c>
      <c r="B173" s="24" t="s">
        <v>4890</v>
      </c>
      <c r="C173" s="25" t="s">
        <v>4891</v>
      </c>
      <c r="D173" s="23" t="s">
        <v>4555</v>
      </c>
      <c r="E173" s="55">
        <v>46125</v>
      </c>
      <c r="F173" s="26" t="s">
        <v>55</v>
      </c>
      <c r="G173" s="26" t="s">
        <v>4401</v>
      </c>
      <c r="H173" s="26" t="s">
        <v>56</v>
      </c>
      <c r="I173" s="26" t="s">
        <v>4401</v>
      </c>
      <c r="J173" s="26" t="s">
        <v>58</v>
      </c>
      <c r="K173" s="27"/>
      <c r="L173" s="28" t="s">
        <v>56</v>
      </c>
      <c r="M173" s="29" t="str">
        <f t="shared" si="15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4.25" customHeight="1" x14ac:dyDescent="0.3">
      <c r="A174" s="42">
        <v>170</v>
      </c>
      <c r="B174" s="43" t="s">
        <v>4892</v>
      </c>
      <c r="C174" s="44" t="s">
        <v>4893</v>
      </c>
      <c r="D174" s="42" t="s">
        <v>4555</v>
      </c>
      <c r="E174" s="55">
        <v>46125</v>
      </c>
      <c r="F174" s="26" t="s">
        <v>55</v>
      </c>
      <c r="G174" s="26" t="s">
        <v>4401</v>
      </c>
      <c r="H174" s="26" t="s">
        <v>56</v>
      </c>
      <c r="I174" s="26" t="s">
        <v>4401</v>
      </c>
      <c r="J174" s="26" t="s">
        <v>58</v>
      </c>
      <c r="K174" s="27"/>
      <c r="L174" s="28" t="s">
        <v>56</v>
      </c>
      <c r="M174" s="29" t="str">
        <f t="shared" si="15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4.25" customHeight="1" x14ac:dyDescent="0.3">
      <c r="A175" s="23">
        <v>171</v>
      </c>
      <c r="B175" s="24" t="s">
        <v>4894</v>
      </c>
      <c r="C175" s="25" t="s">
        <v>4895</v>
      </c>
      <c r="D175" s="23" t="s">
        <v>4555</v>
      </c>
      <c r="E175" s="55">
        <v>46125</v>
      </c>
      <c r="F175" s="26" t="s">
        <v>55</v>
      </c>
      <c r="G175" s="26" t="s">
        <v>4401</v>
      </c>
      <c r="H175" s="26" t="s">
        <v>56</v>
      </c>
      <c r="I175" s="26" t="s">
        <v>4401</v>
      </c>
      <c r="J175" s="26" t="s">
        <v>58</v>
      </c>
      <c r="K175" s="27"/>
      <c r="L175" s="28" t="s">
        <v>56</v>
      </c>
      <c r="M175" s="29" t="str">
        <f t="shared" si="15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4.25" customHeight="1" x14ac:dyDescent="0.3">
      <c r="A176" s="42">
        <v>172</v>
      </c>
      <c r="B176" s="43" t="s">
        <v>4896</v>
      </c>
      <c r="C176" s="44" t="s">
        <v>4897</v>
      </c>
      <c r="D176" s="42" t="s">
        <v>4555</v>
      </c>
      <c r="E176" s="55">
        <v>46125</v>
      </c>
      <c r="F176" s="26" t="s">
        <v>55</v>
      </c>
      <c r="G176" s="26" t="s">
        <v>58</v>
      </c>
      <c r="H176" s="26" t="s">
        <v>56</v>
      </c>
      <c r="I176" s="26" t="s">
        <v>70</v>
      </c>
      <c r="J176" s="26" t="s">
        <v>58</v>
      </c>
      <c r="K176" s="27"/>
      <c r="L176" s="28" t="s">
        <v>56</v>
      </c>
      <c r="M176" s="29" t="str">
        <f t="shared" si="15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4.25" customHeight="1" x14ac:dyDescent="0.3">
      <c r="A177" s="23">
        <v>173</v>
      </c>
      <c r="B177" s="24" t="s">
        <v>4898</v>
      </c>
      <c r="C177" s="25" t="s">
        <v>4899</v>
      </c>
      <c r="D177" s="23" t="s">
        <v>4555</v>
      </c>
      <c r="E177" s="55">
        <v>46125</v>
      </c>
      <c r="F177" s="26" t="s">
        <v>55</v>
      </c>
      <c r="G177" s="26" t="s">
        <v>58</v>
      </c>
      <c r="H177" s="26" t="s">
        <v>56</v>
      </c>
      <c r="I177" s="26" t="s">
        <v>70</v>
      </c>
      <c r="J177" s="26" t="s">
        <v>58</v>
      </c>
      <c r="K177" s="27"/>
      <c r="L177" s="28" t="s">
        <v>56</v>
      </c>
      <c r="M177" s="29" t="str">
        <f t="shared" si="15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4.25" customHeight="1" x14ac:dyDescent="0.3">
      <c r="A178" s="42">
        <v>174</v>
      </c>
      <c r="B178" s="43" t="s">
        <v>4900</v>
      </c>
      <c r="C178" s="44" t="s">
        <v>4901</v>
      </c>
      <c r="D178" s="42" t="s">
        <v>4555</v>
      </c>
      <c r="E178" s="55">
        <v>46125</v>
      </c>
      <c r="F178" s="26" t="s">
        <v>55</v>
      </c>
      <c r="G178" s="26" t="s">
        <v>4401</v>
      </c>
      <c r="H178" s="26" t="s">
        <v>56</v>
      </c>
      <c r="I178" s="26" t="s">
        <v>4401</v>
      </c>
      <c r="J178" s="26" t="s">
        <v>58</v>
      </c>
      <c r="K178" s="27"/>
      <c r="L178" s="28" t="s">
        <v>56</v>
      </c>
      <c r="M178" s="29" t="str">
        <f t="shared" si="15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4.25" customHeight="1" x14ac:dyDescent="0.3">
      <c r="A179" s="23">
        <v>175</v>
      </c>
      <c r="B179" s="24" t="s">
        <v>4902</v>
      </c>
      <c r="C179" s="25" t="s">
        <v>4903</v>
      </c>
      <c r="D179" s="23" t="s">
        <v>4555</v>
      </c>
      <c r="E179" s="55">
        <v>46125</v>
      </c>
      <c r="F179" s="26" t="s">
        <v>55</v>
      </c>
      <c r="G179" s="26" t="s">
        <v>4401</v>
      </c>
      <c r="H179" s="26" t="s">
        <v>56</v>
      </c>
      <c r="I179" s="26" t="s">
        <v>4401</v>
      </c>
      <c r="J179" s="26" t="s">
        <v>58</v>
      </c>
      <c r="K179" s="27"/>
      <c r="L179" s="28" t="s">
        <v>56</v>
      </c>
      <c r="M179" s="29" t="str">
        <f t="shared" si="15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4.25" customHeight="1" x14ac:dyDescent="0.3">
      <c r="A180" s="42">
        <v>176</v>
      </c>
      <c r="B180" s="43" t="s">
        <v>4904</v>
      </c>
      <c r="C180" s="44" t="s">
        <v>4905</v>
      </c>
      <c r="D180" s="42" t="s">
        <v>4555</v>
      </c>
      <c r="E180" s="55">
        <v>46125</v>
      </c>
      <c r="F180" s="26" t="s">
        <v>55</v>
      </c>
      <c r="G180" s="26" t="s">
        <v>4401</v>
      </c>
      <c r="H180" s="26" t="s">
        <v>56</v>
      </c>
      <c r="I180" s="26" t="s">
        <v>4401</v>
      </c>
      <c r="J180" s="26" t="s">
        <v>58</v>
      </c>
      <c r="K180" s="27"/>
      <c r="L180" s="28" t="s">
        <v>56</v>
      </c>
      <c r="M180" s="29" t="str">
        <f t="shared" si="15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4.25" customHeight="1" x14ac:dyDescent="0.3">
      <c r="A181" s="23">
        <v>177</v>
      </c>
      <c r="B181" s="24" t="s">
        <v>4906</v>
      </c>
      <c r="C181" s="25" t="s">
        <v>4907</v>
      </c>
      <c r="D181" s="23" t="s">
        <v>4555</v>
      </c>
      <c r="E181" s="55">
        <v>46125</v>
      </c>
      <c r="F181" s="26" t="s">
        <v>55</v>
      </c>
      <c r="G181" s="26" t="s">
        <v>4401</v>
      </c>
      <c r="H181" s="26" t="s">
        <v>56</v>
      </c>
      <c r="I181" s="26" t="s">
        <v>4401</v>
      </c>
      <c r="J181" s="26" t="s">
        <v>58</v>
      </c>
      <c r="K181" s="27"/>
      <c r="L181" s="28" t="s">
        <v>56</v>
      </c>
      <c r="M181" s="29" t="str">
        <f t="shared" si="15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4.25" customHeight="1" x14ac:dyDescent="0.3">
      <c r="A182" s="42">
        <v>178</v>
      </c>
      <c r="B182" s="43" t="s">
        <v>4908</v>
      </c>
      <c r="C182" s="44" t="s">
        <v>4909</v>
      </c>
      <c r="D182" s="42" t="s">
        <v>4555</v>
      </c>
      <c r="E182" s="55">
        <v>46125</v>
      </c>
      <c r="F182" s="26" t="s">
        <v>55</v>
      </c>
      <c r="G182" s="26" t="s">
        <v>4401</v>
      </c>
      <c r="H182" s="26" t="s">
        <v>56</v>
      </c>
      <c r="I182" s="26" t="s">
        <v>4401</v>
      </c>
      <c r="J182" s="26" t="s">
        <v>58</v>
      </c>
      <c r="K182" s="27"/>
      <c r="L182" s="28" t="s">
        <v>56</v>
      </c>
      <c r="M182" s="29" t="str">
        <f t="shared" si="15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4.25" customHeight="1" x14ac:dyDescent="0.3">
      <c r="A183" s="23">
        <v>179</v>
      </c>
      <c r="B183" s="24" t="s">
        <v>4910</v>
      </c>
      <c r="C183" s="25" t="s">
        <v>4911</v>
      </c>
      <c r="D183" s="23" t="s">
        <v>4555</v>
      </c>
      <c r="E183" s="55">
        <v>46125</v>
      </c>
      <c r="F183" s="26" t="s">
        <v>55</v>
      </c>
      <c r="G183" s="26" t="s">
        <v>4401</v>
      </c>
      <c r="H183" s="26" t="s">
        <v>56</v>
      </c>
      <c r="I183" s="26" t="s">
        <v>4401</v>
      </c>
      <c r="J183" s="26" t="s">
        <v>58</v>
      </c>
      <c r="K183" s="27"/>
      <c r="L183" s="28" t="s">
        <v>56</v>
      </c>
      <c r="M183" s="29" t="str">
        <f t="shared" si="15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4.25" customHeight="1" x14ac:dyDescent="0.3">
      <c r="A184" s="42">
        <v>180</v>
      </c>
      <c r="B184" s="43" t="s">
        <v>4912</v>
      </c>
      <c r="C184" s="44" t="s">
        <v>4913</v>
      </c>
      <c r="D184" s="42" t="s">
        <v>4555</v>
      </c>
      <c r="E184" s="55">
        <v>46125</v>
      </c>
      <c r="F184" s="26" t="s">
        <v>55</v>
      </c>
      <c r="G184" s="26" t="s">
        <v>4401</v>
      </c>
      <c r="H184" s="26" t="s">
        <v>56</v>
      </c>
      <c r="I184" s="26" t="s">
        <v>4401</v>
      </c>
      <c r="J184" s="26" t="s">
        <v>58</v>
      </c>
      <c r="K184" s="27"/>
      <c r="L184" s="28" t="s">
        <v>56</v>
      </c>
      <c r="M184" s="29" t="str">
        <f t="shared" si="15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4.25" customHeight="1" x14ac:dyDescent="0.3">
      <c r="A185" s="23">
        <v>181</v>
      </c>
      <c r="B185" s="24" t="s">
        <v>4914</v>
      </c>
      <c r="C185" s="25" t="s">
        <v>4915</v>
      </c>
      <c r="D185" s="23" t="s">
        <v>4555</v>
      </c>
      <c r="E185" s="55">
        <v>46125</v>
      </c>
      <c r="F185" s="26" t="s">
        <v>55</v>
      </c>
      <c r="G185" s="26" t="s">
        <v>4401</v>
      </c>
      <c r="H185" s="26" t="s">
        <v>56</v>
      </c>
      <c r="I185" s="26" t="s">
        <v>4401</v>
      </c>
      <c r="J185" s="26" t="s">
        <v>58</v>
      </c>
      <c r="K185" s="27"/>
      <c r="L185" s="28" t="s">
        <v>56</v>
      </c>
      <c r="M185" s="29" t="str">
        <f t="shared" si="15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4.25" customHeight="1" x14ac:dyDescent="0.3">
      <c r="A186" s="42">
        <v>182</v>
      </c>
      <c r="B186" s="43" t="s">
        <v>4916</v>
      </c>
      <c r="C186" s="44" t="s">
        <v>4917</v>
      </c>
      <c r="D186" s="42" t="s">
        <v>4555</v>
      </c>
      <c r="E186" s="55">
        <v>46125</v>
      </c>
      <c r="F186" s="26" t="s">
        <v>55</v>
      </c>
      <c r="G186" s="26" t="s">
        <v>4401</v>
      </c>
      <c r="H186" s="26" t="s">
        <v>56</v>
      </c>
      <c r="I186" s="26" t="s">
        <v>4401</v>
      </c>
      <c r="J186" s="26" t="s">
        <v>58</v>
      </c>
      <c r="K186" s="27"/>
      <c r="L186" s="28" t="s">
        <v>56</v>
      </c>
      <c r="M186" s="29" t="str">
        <f t="shared" si="15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4.25" customHeight="1" x14ac:dyDescent="0.3">
      <c r="A187" s="23">
        <v>183</v>
      </c>
      <c r="B187" s="24" t="s">
        <v>4918</v>
      </c>
      <c r="C187" s="25" t="s">
        <v>4919</v>
      </c>
      <c r="D187" s="23" t="s">
        <v>4555</v>
      </c>
      <c r="E187" s="55">
        <v>46125</v>
      </c>
      <c r="F187" s="26" t="s">
        <v>55</v>
      </c>
      <c r="G187" s="26" t="s">
        <v>4401</v>
      </c>
      <c r="H187" s="26" t="s">
        <v>56</v>
      </c>
      <c r="I187" s="26" t="s">
        <v>4401</v>
      </c>
      <c r="J187" s="26" t="s">
        <v>58</v>
      </c>
      <c r="K187" s="27"/>
      <c r="L187" s="28" t="s">
        <v>56</v>
      </c>
      <c r="M187" s="29" t="str">
        <f t="shared" si="15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4.25" customHeight="1" x14ac:dyDescent="0.3">
      <c r="A188" s="42">
        <v>184</v>
      </c>
      <c r="B188" s="43" t="s">
        <v>4920</v>
      </c>
      <c r="C188" s="44" t="s">
        <v>4921</v>
      </c>
      <c r="D188" s="42" t="s">
        <v>4555</v>
      </c>
      <c r="E188" s="55">
        <v>46125</v>
      </c>
      <c r="F188" s="26" t="s">
        <v>55</v>
      </c>
      <c r="G188" s="26" t="s">
        <v>4401</v>
      </c>
      <c r="H188" s="26" t="s">
        <v>56</v>
      </c>
      <c r="I188" s="26" t="s">
        <v>4401</v>
      </c>
      <c r="J188" s="26" t="s">
        <v>58</v>
      </c>
      <c r="K188" s="27"/>
      <c r="L188" s="28" t="s">
        <v>56</v>
      </c>
      <c r="M188" s="29" t="str">
        <f t="shared" si="15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4.25" customHeight="1" x14ac:dyDescent="0.3">
      <c r="A189" s="23">
        <v>185</v>
      </c>
      <c r="B189" s="24" t="s">
        <v>4922</v>
      </c>
      <c r="C189" s="25" t="s">
        <v>4923</v>
      </c>
      <c r="D189" s="23" t="s">
        <v>4555</v>
      </c>
      <c r="E189" s="55">
        <v>46125</v>
      </c>
      <c r="F189" s="26" t="s">
        <v>55</v>
      </c>
      <c r="G189" s="26" t="s">
        <v>4401</v>
      </c>
      <c r="H189" s="26" t="s">
        <v>56</v>
      </c>
      <c r="I189" s="26" t="s">
        <v>4401</v>
      </c>
      <c r="J189" s="26" t="s">
        <v>58</v>
      </c>
      <c r="K189" s="27"/>
      <c r="L189" s="28" t="s">
        <v>56</v>
      </c>
      <c r="M189" s="29" t="str">
        <f t="shared" si="15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4.25" customHeight="1" x14ac:dyDescent="0.3">
      <c r="A190" s="42">
        <v>186</v>
      </c>
      <c r="B190" s="43" t="s">
        <v>4924</v>
      </c>
      <c r="C190" s="44" t="s">
        <v>4925</v>
      </c>
      <c r="D190" s="42" t="s">
        <v>4555</v>
      </c>
      <c r="E190" s="55">
        <v>46125</v>
      </c>
      <c r="F190" s="26" t="s">
        <v>55</v>
      </c>
      <c r="G190" s="26" t="s">
        <v>4401</v>
      </c>
      <c r="H190" s="26" t="s">
        <v>56</v>
      </c>
      <c r="I190" s="26" t="s">
        <v>4401</v>
      </c>
      <c r="J190" s="26" t="s">
        <v>58</v>
      </c>
      <c r="K190" s="27"/>
      <c r="L190" s="28" t="s">
        <v>56</v>
      </c>
      <c r="M190" s="29" t="str">
        <f t="shared" si="15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4.25" customHeight="1" x14ac:dyDescent="0.3">
      <c r="A191" s="23">
        <v>187</v>
      </c>
      <c r="B191" s="24" t="s">
        <v>4926</v>
      </c>
      <c r="C191" s="25" t="s">
        <v>4927</v>
      </c>
      <c r="D191" s="23" t="s">
        <v>4555</v>
      </c>
      <c r="E191" s="55">
        <v>46125</v>
      </c>
      <c r="F191" s="26" t="s">
        <v>55</v>
      </c>
      <c r="G191" s="26" t="s">
        <v>4401</v>
      </c>
      <c r="H191" s="26" t="s">
        <v>56</v>
      </c>
      <c r="I191" s="26" t="s">
        <v>4401</v>
      </c>
      <c r="J191" s="26" t="s">
        <v>58</v>
      </c>
      <c r="K191" s="27"/>
      <c r="L191" s="28" t="s">
        <v>56</v>
      </c>
      <c r="M191" s="29" t="str">
        <f t="shared" si="15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4.25" customHeight="1" x14ac:dyDescent="0.3">
      <c r="A192" s="42">
        <v>188</v>
      </c>
      <c r="B192" s="43" t="s">
        <v>4928</v>
      </c>
      <c r="C192" s="44" t="s">
        <v>4929</v>
      </c>
      <c r="D192" s="42" t="s">
        <v>4555</v>
      </c>
      <c r="E192" s="55">
        <v>46125</v>
      </c>
      <c r="F192" s="26" t="s">
        <v>55</v>
      </c>
      <c r="G192" s="26" t="s">
        <v>58</v>
      </c>
      <c r="H192" s="26" t="s">
        <v>56</v>
      </c>
      <c r="I192" s="26" t="s">
        <v>70</v>
      </c>
      <c r="J192" s="26" t="s">
        <v>58</v>
      </c>
      <c r="K192" s="27"/>
      <c r="L192" s="28" t="s">
        <v>56</v>
      </c>
      <c r="M192" s="29" t="str">
        <f t="shared" si="15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4.25" customHeight="1" x14ac:dyDescent="0.3">
      <c r="A193" s="23">
        <v>189</v>
      </c>
      <c r="B193" s="24" t="s">
        <v>4930</v>
      </c>
      <c r="C193" s="25" t="s">
        <v>4931</v>
      </c>
      <c r="D193" s="23" t="s">
        <v>4555</v>
      </c>
      <c r="E193" s="55">
        <v>46125</v>
      </c>
      <c r="F193" s="26" t="s">
        <v>55</v>
      </c>
      <c r="G193" s="26" t="s">
        <v>4401</v>
      </c>
      <c r="H193" s="26" t="s">
        <v>56</v>
      </c>
      <c r="I193" s="26" t="s">
        <v>4401</v>
      </c>
      <c r="J193" s="26" t="s">
        <v>58</v>
      </c>
      <c r="K193" s="27"/>
      <c r="L193" s="28" t="s">
        <v>56</v>
      </c>
      <c r="M193" s="29" t="str">
        <f t="shared" si="15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4.25" customHeight="1" x14ac:dyDescent="0.3">
      <c r="A194" s="42">
        <v>190</v>
      </c>
      <c r="B194" s="43" t="s">
        <v>4932</v>
      </c>
      <c r="C194" s="44" t="s">
        <v>4933</v>
      </c>
      <c r="D194" s="42" t="s">
        <v>4555</v>
      </c>
      <c r="E194" s="55">
        <v>46125</v>
      </c>
      <c r="F194" s="26" t="s">
        <v>55</v>
      </c>
      <c r="G194" s="26" t="s">
        <v>4401</v>
      </c>
      <c r="H194" s="26" t="s">
        <v>56</v>
      </c>
      <c r="I194" s="26" t="s">
        <v>4401</v>
      </c>
      <c r="J194" s="26" t="s">
        <v>58</v>
      </c>
      <c r="K194" s="27"/>
      <c r="L194" s="28" t="s">
        <v>56</v>
      </c>
      <c r="M194" s="29" t="str">
        <f t="shared" si="15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4.25" customHeight="1" x14ac:dyDescent="0.3">
      <c r="A195" s="23">
        <v>191</v>
      </c>
      <c r="B195" s="24" t="s">
        <v>4934</v>
      </c>
      <c r="C195" s="25" t="s">
        <v>4935</v>
      </c>
      <c r="D195" s="23" t="s">
        <v>4555</v>
      </c>
      <c r="E195" s="55">
        <v>46125</v>
      </c>
      <c r="F195" s="26" t="s">
        <v>55</v>
      </c>
      <c r="G195" s="26" t="s">
        <v>4401</v>
      </c>
      <c r="H195" s="26" t="s">
        <v>56</v>
      </c>
      <c r="I195" s="26" t="s">
        <v>4401</v>
      </c>
      <c r="J195" s="26" t="s">
        <v>58</v>
      </c>
      <c r="K195" s="27"/>
      <c r="L195" s="28" t="s">
        <v>56</v>
      </c>
      <c r="M195" s="29" t="str">
        <f t="shared" si="15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4.25" customHeight="1" x14ac:dyDescent="0.3">
      <c r="A196" s="42">
        <v>192</v>
      </c>
      <c r="B196" s="43" t="s">
        <v>4936</v>
      </c>
      <c r="C196" s="44" t="s">
        <v>4937</v>
      </c>
      <c r="D196" s="42" t="s">
        <v>4555</v>
      </c>
      <c r="E196" s="55">
        <v>46125</v>
      </c>
      <c r="F196" s="26" t="s">
        <v>55</v>
      </c>
      <c r="G196" s="26" t="s">
        <v>4401</v>
      </c>
      <c r="H196" s="26" t="s">
        <v>56</v>
      </c>
      <c r="I196" s="26" t="s">
        <v>4401</v>
      </c>
      <c r="J196" s="26" t="s">
        <v>58</v>
      </c>
      <c r="K196" s="27"/>
      <c r="L196" s="28" t="s">
        <v>56</v>
      </c>
      <c r="M196" s="29" t="str">
        <f t="shared" si="15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4.25" customHeight="1" x14ac:dyDescent="0.3">
      <c r="A197" s="23">
        <v>193</v>
      </c>
      <c r="B197" s="24" t="s">
        <v>4938</v>
      </c>
      <c r="C197" s="25" t="s">
        <v>4939</v>
      </c>
      <c r="D197" s="23" t="s">
        <v>4555</v>
      </c>
      <c r="E197" s="55">
        <v>46125</v>
      </c>
      <c r="F197" s="26" t="s">
        <v>55</v>
      </c>
      <c r="G197" s="26" t="s">
        <v>58</v>
      </c>
      <c r="H197" s="26" t="s">
        <v>56</v>
      </c>
      <c r="I197" s="26" t="s">
        <v>70</v>
      </c>
      <c r="J197" s="26" t="s">
        <v>58</v>
      </c>
      <c r="K197" s="27"/>
      <c r="L197" s="28" t="s">
        <v>56</v>
      </c>
      <c r="M197" s="29" t="str">
        <f t="shared" si="15"/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42">
        <v>194</v>
      </c>
      <c r="B198" s="43" t="s">
        <v>4940</v>
      </c>
      <c r="C198" s="44" t="s">
        <v>4941</v>
      </c>
      <c r="D198" s="42" t="s">
        <v>4555</v>
      </c>
      <c r="E198" s="55">
        <v>46125</v>
      </c>
      <c r="F198" s="26" t="s">
        <v>55</v>
      </c>
      <c r="G198" s="26" t="s">
        <v>4401</v>
      </c>
      <c r="H198" s="26" t="s">
        <v>56</v>
      </c>
      <c r="I198" s="26" t="s">
        <v>4401</v>
      </c>
      <c r="J198" s="26" t="s">
        <v>58</v>
      </c>
      <c r="K198" s="27"/>
      <c r="L198" s="28" t="s">
        <v>56</v>
      </c>
      <c r="M198" s="29" t="str">
        <f t="shared" ref="M198:M261" si="20">IF(E198="","",IF(H198="Yes","❌ Disc",IF(G198="No","⚠ Missing",IF(J198="Yes","✓ OK","⚠ Check"))))</f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4.25" customHeight="1" x14ac:dyDescent="0.3">
      <c r="A199" s="23">
        <v>195</v>
      </c>
      <c r="B199" s="24" t="s">
        <v>4942</v>
      </c>
      <c r="C199" s="25" t="s">
        <v>4943</v>
      </c>
      <c r="D199" s="23" t="s">
        <v>4555</v>
      </c>
      <c r="E199" s="55">
        <v>46125</v>
      </c>
      <c r="F199" s="26" t="s">
        <v>55</v>
      </c>
      <c r="G199" s="26" t="s">
        <v>4401</v>
      </c>
      <c r="H199" s="26" t="s">
        <v>56</v>
      </c>
      <c r="I199" s="26" t="s">
        <v>4401</v>
      </c>
      <c r="J199" s="26" t="s">
        <v>58</v>
      </c>
      <c r="K199" s="27"/>
      <c r="L199" s="28" t="s">
        <v>56</v>
      </c>
      <c r="M199" s="29" t="str">
        <f t="shared" si="20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4.25" customHeight="1" x14ac:dyDescent="0.3">
      <c r="A200" s="42">
        <v>196</v>
      </c>
      <c r="B200" s="43" t="s">
        <v>4944</v>
      </c>
      <c r="C200" s="44" t="s">
        <v>4945</v>
      </c>
      <c r="D200" s="42" t="s">
        <v>4555</v>
      </c>
      <c r="E200" s="55">
        <v>46125</v>
      </c>
      <c r="F200" s="26" t="s">
        <v>55</v>
      </c>
      <c r="G200" s="26" t="s">
        <v>4401</v>
      </c>
      <c r="H200" s="26" t="s">
        <v>56</v>
      </c>
      <c r="I200" s="26" t="s">
        <v>4401</v>
      </c>
      <c r="J200" s="26" t="s">
        <v>58</v>
      </c>
      <c r="K200" s="27"/>
      <c r="L200" s="28" t="s">
        <v>56</v>
      </c>
      <c r="M200" s="29" t="str">
        <f t="shared" si="20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4.25" customHeight="1" x14ac:dyDescent="0.3">
      <c r="A201" s="23">
        <v>197</v>
      </c>
      <c r="B201" s="24" t="s">
        <v>4946</v>
      </c>
      <c r="C201" s="25" t="s">
        <v>4947</v>
      </c>
      <c r="D201" s="23" t="s">
        <v>4555</v>
      </c>
      <c r="E201" s="55">
        <v>46125</v>
      </c>
      <c r="F201" s="26" t="s">
        <v>55</v>
      </c>
      <c r="G201" s="26" t="s">
        <v>58</v>
      </c>
      <c r="H201" s="26" t="s">
        <v>56</v>
      </c>
      <c r="I201" s="26" t="s">
        <v>70</v>
      </c>
      <c r="J201" s="26" t="s">
        <v>58</v>
      </c>
      <c r="K201" s="27"/>
      <c r="L201" s="28" t="s">
        <v>56</v>
      </c>
      <c r="M201" s="29" t="str">
        <f t="shared" si="20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4.25" customHeight="1" x14ac:dyDescent="0.3">
      <c r="A202" s="42">
        <v>198</v>
      </c>
      <c r="B202" s="43" t="s">
        <v>4948</v>
      </c>
      <c r="C202" s="44" t="s">
        <v>4949</v>
      </c>
      <c r="D202" s="42" t="s">
        <v>4555</v>
      </c>
      <c r="E202" s="55">
        <v>46125</v>
      </c>
      <c r="F202" s="26" t="s">
        <v>55</v>
      </c>
      <c r="G202" s="26" t="s">
        <v>4401</v>
      </c>
      <c r="H202" s="26" t="s">
        <v>56</v>
      </c>
      <c r="I202" s="26" t="s">
        <v>4401</v>
      </c>
      <c r="J202" s="26" t="s">
        <v>58</v>
      </c>
      <c r="K202" s="27"/>
      <c r="L202" s="28" t="s">
        <v>56</v>
      </c>
      <c r="M202" s="29" t="str">
        <f t="shared" si="20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4.25" customHeight="1" x14ac:dyDescent="0.3">
      <c r="A203" s="23">
        <v>199</v>
      </c>
      <c r="B203" s="24" t="s">
        <v>4950</v>
      </c>
      <c r="C203" s="25" t="s">
        <v>4951</v>
      </c>
      <c r="D203" s="23" t="s">
        <v>4555</v>
      </c>
      <c r="E203" s="55">
        <v>46125</v>
      </c>
      <c r="F203" s="26" t="s">
        <v>55</v>
      </c>
      <c r="G203" s="26" t="s">
        <v>4401</v>
      </c>
      <c r="H203" s="26" t="s">
        <v>56</v>
      </c>
      <c r="I203" s="26" t="s">
        <v>4401</v>
      </c>
      <c r="J203" s="26" t="s">
        <v>58</v>
      </c>
      <c r="K203" s="27"/>
      <c r="L203" s="28" t="s">
        <v>56</v>
      </c>
      <c r="M203" s="29" t="str">
        <f t="shared" si="20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4.25" customHeight="1" x14ac:dyDescent="0.3">
      <c r="A204" s="42">
        <v>200</v>
      </c>
      <c r="B204" s="43" t="s">
        <v>4952</v>
      </c>
      <c r="C204" s="44" t="s">
        <v>4953</v>
      </c>
      <c r="D204" s="42" t="s">
        <v>4555</v>
      </c>
      <c r="E204" s="55">
        <v>46125</v>
      </c>
      <c r="F204" s="26" t="s">
        <v>55</v>
      </c>
      <c r="G204" s="26" t="s">
        <v>58</v>
      </c>
      <c r="H204" s="26" t="s">
        <v>56</v>
      </c>
      <c r="I204" s="26" t="s">
        <v>70</v>
      </c>
      <c r="J204" s="26" t="s">
        <v>58</v>
      </c>
      <c r="K204" s="27"/>
      <c r="L204" s="28" t="s">
        <v>56</v>
      </c>
      <c r="M204" s="29" t="str">
        <f t="shared" si="20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4.25" customHeight="1" x14ac:dyDescent="0.3">
      <c r="A205" s="23">
        <v>201</v>
      </c>
      <c r="B205" s="24" t="s">
        <v>4954</v>
      </c>
      <c r="C205" s="25" t="s">
        <v>4955</v>
      </c>
      <c r="D205" s="23" t="s">
        <v>4555</v>
      </c>
      <c r="E205" s="55">
        <v>46125</v>
      </c>
      <c r="F205" s="26" t="s">
        <v>55</v>
      </c>
      <c r="G205" s="26" t="s">
        <v>4401</v>
      </c>
      <c r="H205" s="26" t="s">
        <v>56</v>
      </c>
      <c r="I205" s="26" t="s">
        <v>4401</v>
      </c>
      <c r="J205" s="26" t="s">
        <v>58</v>
      </c>
      <c r="K205" s="27"/>
      <c r="L205" s="28" t="s">
        <v>56</v>
      </c>
      <c r="M205" s="29" t="str">
        <f t="shared" si="20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4.25" customHeight="1" x14ac:dyDescent="0.3">
      <c r="A206" s="42">
        <v>202</v>
      </c>
      <c r="B206" s="43" t="s">
        <v>4956</v>
      </c>
      <c r="C206" s="44" t="s">
        <v>4957</v>
      </c>
      <c r="D206" s="42" t="s">
        <v>4555</v>
      </c>
      <c r="E206" s="55">
        <v>46125</v>
      </c>
      <c r="F206" s="26" t="s">
        <v>55</v>
      </c>
      <c r="G206" s="26" t="s">
        <v>4401</v>
      </c>
      <c r="H206" s="26" t="s">
        <v>56</v>
      </c>
      <c r="I206" s="26" t="s">
        <v>4401</v>
      </c>
      <c r="J206" s="26" t="s">
        <v>58</v>
      </c>
      <c r="K206" s="27"/>
      <c r="L206" s="28" t="s">
        <v>56</v>
      </c>
      <c r="M206" s="29" t="str">
        <f t="shared" si="20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4.25" customHeight="1" x14ac:dyDescent="0.3">
      <c r="A207" s="23">
        <v>203</v>
      </c>
      <c r="B207" s="24" t="s">
        <v>4958</v>
      </c>
      <c r="C207" s="25" t="s">
        <v>4959</v>
      </c>
      <c r="D207" s="23" t="s">
        <v>4555</v>
      </c>
      <c r="E207" s="55">
        <v>46125</v>
      </c>
      <c r="F207" s="26" t="s">
        <v>55</v>
      </c>
      <c r="G207" s="26" t="s">
        <v>4401</v>
      </c>
      <c r="H207" s="26" t="s">
        <v>56</v>
      </c>
      <c r="I207" s="26" t="s">
        <v>4401</v>
      </c>
      <c r="J207" s="26" t="s">
        <v>58</v>
      </c>
      <c r="K207" s="27"/>
      <c r="L207" s="28" t="s">
        <v>56</v>
      </c>
      <c r="M207" s="29" t="str">
        <f t="shared" si="20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4.25" customHeight="1" x14ac:dyDescent="0.3">
      <c r="A208" s="42">
        <v>204</v>
      </c>
      <c r="B208" s="43" t="s">
        <v>4960</v>
      </c>
      <c r="C208" s="44" t="s">
        <v>4961</v>
      </c>
      <c r="D208" s="42" t="s">
        <v>4555</v>
      </c>
      <c r="E208" s="55">
        <v>46125</v>
      </c>
      <c r="F208" s="26" t="s">
        <v>55</v>
      </c>
      <c r="G208" s="26" t="s">
        <v>4401</v>
      </c>
      <c r="H208" s="26" t="s">
        <v>56</v>
      </c>
      <c r="I208" s="26" t="s">
        <v>4401</v>
      </c>
      <c r="J208" s="26" t="s">
        <v>58</v>
      </c>
      <c r="K208" s="27"/>
      <c r="L208" s="28" t="s">
        <v>56</v>
      </c>
      <c r="M208" s="29" t="str">
        <f t="shared" si="20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4.25" customHeight="1" x14ac:dyDescent="0.3">
      <c r="A209" s="23">
        <v>205</v>
      </c>
      <c r="B209" s="24" t="s">
        <v>4962</v>
      </c>
      <c r="C209" s="25" t="s">
        <v>4963</v>
      </c>
      <c r="D209" s="23" t="s">
        <v>4555</v>
      </c>
      <c r="E209" s="55">
        <v>46125</v>
      </c>
      <c r="F209" s="26" t="s">
        <v>55</v>
      </c>
      <c r="G209" s="26" t="s">
        <v>4401</v>
      </c>
      <c r="H209" s="26" t="s">
        <v>56</v>
      </c>
      <c r="I209" s="26" t="s">
        <v>4401</v>
      </c>
      <c r="J209" s="26" t="s">
        <v>58</v>
      </c>
      <c r="K209" s="27"/>
      <c r="L209" s="28" t="s">
        <v>56</v>
      </c>
      <c r="M209" s="29" t="str">
        <f t="shared" si="20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4.25" customHeight="1" x14ac:dyDescent="0.3">
      <c r="A210" s="42">
        <v>206</v>
      </c>
      <c r="B210" s="43" t="s">
        <v>4964</v>
      </c>
      <c r="C210" s="44" t="s">
        <v>4965</v>
      </c>
      <c r="D210" s="42" t="s">
        <v>4555</v>
      </c>
      <c r="E210" s="55">
        <v>46125</v>
      </c>
      <c r="F210" s="26" t="s">
        <v>55</v>
      </c>
      <c r="G210" s="26" t="s">
        <v>4401</v>
      </c>
      <c r="H210" s="26" t="s">
        <v>56</v>
      </c>
      <c r="I210" s="26" t="s">
        <v>4401</v>
      </c>
      <c r="J210" s="26" t="s">
        <v>58</v>
      </c>
      <c r="K210" s="27"/>
      <c r="L210" s="28" t="s">
        <v>56</v>
      </c>
      <c r="M210" s="29" t="str">
        <f t="shared" si="20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4.25" customHeight="1" x14ac:dyDescent="0.3">
      <c r="A211" s="23">
        <v>207</v>
      </c>
      <c r="B211" s="24" t="s">
        <v>4966</v>
      </c>
      <c r="C211" s="25" t="s">
        <v>4967</v>
      </c>
      <c r="D211" s="23" t="s">
        <v>4555</v>
      </c>
      <c r="E211" s="55">
        <v>46125</v>
      </c>
      <c r="F211" s="26" t="s">
        <v>55</v>
      </c>
      <c r="G211" s="26" t="s">
        <v>58</v>
      </c>
      <c r="H211" s="26" t="s">
        <v>56</v>
      </c>
      <c r="I211" s="26" t="s">
        <v>70</v>
      </c>
      <c r="J211" s="26" t="s">
        <v>58</v>
      </c>
      <c r="K211" s="27"/>
      <c r="L211" s="28" t="s">
        <v>56</v>
      </c>
      <c r="M211" s="29" t="str">
        <f t="shared" si="20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4.25" customHeight="1" x14ac:dyDescent="0.3">
      <c r="A212" s="42">
        <v>208</v>
      </c>
      <c r="B212" s="43" t="s">
        <v>4968</v>
      </c>
      <c r="C212" s="44" t="s">
        <v>4969</v>
      </c>
      <c r="D212" s="42" t="s">
        <v>4555</v>
      </c>
      <c r="E212" s="55">
        <v>46125</v>
      </c>
      <c r="F212" s="26" t="s">
        <v>55</v>
      </c>
      <c r="G212" s="26" t="s">
        <v>58</v>
      </c>
      <c r="H212" s="26" t="s">
        <v>56</v>
      </c>
      <c r="I212" s="26" t="s">
        <v>4970</v>
      </c>
      <c r="J212" s="26" t="s">
        <v>56</v>
      </c>
      <c r="K212" s="27" t="s">
        <v>4971</v>
      </c>
      <c r="L212" s="28" t="s">
        <v>58</v>
      </c>
      <c r="M212" s="29" t="str">
        <f t="shared" si="20"/>
        <v>⚠ Check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4.25" customHeight="1" x14ac:dyDescent="0.3">
      <c r="A213" s="23">
        <v>209</v>
      </c>
      <c r="B213" s="24" t="s">
        <v>4972</v>
      </c>
      <c r="C213" s="25" t="s">
        <v>4973</v>
      </c>
      <c r="D213" s="23" t="s">
        <v>4555</v>
      </c>
      <c r="E213" s="55">
        <v>46125</v>
      </c>
      <c r="F213" s="26" t="s">
        <v>55</v>
      </c>
      <c r="G213" s="26" t="s">
        <v>4401</v>
      </c>
      <c r="H213" s="26" t="s">
        <v>56</v>
      </c>
      <c r="I213" s="26" t="s">
        <v>4401</v>
      </c>
      <c r="J213" s="26" t="s">
        <v>58</v>
      </c>
      <c r="K213" s="27"/>
      <c r="L213" s="28" t="s">
        <v>56</v>
      </c>
      <c r="M213" s="29" t="str">
        <f t="shared" si="20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4.25" customHeight="1" x14ac:dyDescent="0.3">
      <c r="A214" s="42">
        <v>210</v>
      </c>
      <c r="B214" s="43" t="s">
        <v>4974</v>
      </c>
      <c r="C214" s="44" t="s">
        <v>4975</v>
      </c>
      <c r="D214" s="42" t="s">
        <v>4555</v>
      </c>
      <c r="E214" s="55">
        <v>46125</v>
      </c>
      <c r="F214" s="26" t="s">
        <v>55</v>
      </c>
      <c r="G214" s="26" t="s">
        <v>4401</v>
      </c>
      <c r="H214" s="26" t="s">
        <v>56</v>
      </c>
      <c r="I214" s="26" t="s">
        <v>4401</v>
      </c>
      <c r="J214" s="26" t="s">
        <v>58</v>
      </c>
      <c r="K214" s="27"/>
      <c r="L214" s="28" t="s">
        <v>56</v>
      </c>
      <c r="M214" s="29" t="str">
        <f t="shared" si="20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4.25" customHeight="1" x14ac:dyDescent="0.3">
      <c r="A215" s="23">
        <v>211</v>
      </c>
      <c r="B215" s="24" t="s">
        <v>4976</v>
      </c>
      <c r="C215" s="25" t="s">
        <v>4977</v>
      </c>
      <c r="D215" s="23" t="s">
        <v>4555</v>
      </c>
      <c r="E215" s="55">
        <v>46125</v>
      </c>
      <c r="F215" s="26" t="s">
        <v>55</v>
      </c>
      <c r="G215" s="26" t="s">
        <v>4401</v>
      </c>
      <c r="H215" s="26" t="s">
        <v>56</v>
      </c>
      <c r="I215" s="26" t="s">
        <v>4401</v>
      </c>
      <c r="J215" s="26" t="s">
        <v>58</v>
      </c>
      <c r="K215" s="27"/>
      <c r="L215" s="28" t="s">
        <v>56</v>
      </c>
      <c r="M215" s="29" t="str">
        <f t="shared" si="20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4.25" customHeight="1" x14ac:dyDescent="0.3">
      <c r="A216" s="42">
        <v>212</v>
      </c>
      <c r="B216" s="43" t="s">
        <v>4978</v>
      </c>
      <c r="C216" s="44" t="s">
        <v>4979</v>
      </c>
      <c r="D216" s="42" t="s">
        <v>4555</v>
      </c>
      <c r="E216" s="55">
        <v>46125</v>
      </c>
      <c r="F216" s="26" t="s">
        <v>55</v>
      </c>
      <c r="G216" s="26" t="s">
        <v>58</v>
      </c>
      <c r="H216" s="26" t="s">
        <v>56</v>
      </c>
      <c r="I216" s="26" t="s">
        <v>70</v>
      </c>
      <c r="J216" s="26" t="s">
        <v>58</v>
      </c>
      <c r="K216" s="27"/>
      <c r="L216" s="28" t="s">
        <v>56</v>
      </c>
      <c r="M216" s="29" t="str">
        <f t="shared" si="20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4.25" customHeight="1" x14ac:dyDescent="0.3">
      <c r="A217" s="23">
        <v>213</v>
      </c>
      <c r="B217" s="24" t="s">
        <v>4980</v>
      </c>
      <c r="C217" s="25" t="s">
        <v>4981</v>
      </c>
      <c r="D217" s="23" t="s">
        <v>4555</v>
      </c>
      <c r="E217" s="55">
        <v>46125</v>
      </c>
      <c r="F217" s="26" t="s">
        <v>55</v>
      </c>
      <c r="G217" s="26" t="s">
        <v>4401</v>
      </c>
      <c r="H217" s="26" t="s">
        <v>56</v>
      </c>
      <c r="I217" s="26" t="s">
        <v>4401</v>
      </c>
      <c r="J217" s="26" t="s">
        <v>58</v>
      </c>
      <c r="K217" s="27"/>
      <c r="L217" s="28" t="s">
        <v>56</v>
      </c>
      <c r="M217" s="29" t="str">
        <f t="shared" si="20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4.25" customHeight="1" x14ac:dyDescent="0.3">
      <c r="A218" s="42">
        <v>214</v>
      </c>
      <c r="B218" s="43" t="s">
        <v>4982</v>
      </c>
      <c r="C218" s="44" t="s">
        <v>4983</v>
      </c>
      <c r="D218" s="42" t="s">
        <v>4555</v>
      </c>
      <c r="E218" s="55">
        <v>46125</v>
      </c>
      <c r="F218" s="26" t="s">
        <v>55</v>
      </c>
      <c r="G218" s="26" t="s">
        <v>4401</v>
      </c>
      <c r="H218" s="26" t="s">
        <v>56</v>
      </c>
      <c r="I218" s="26" t="s">
        <v>4401</v>
      </c>
      <c r="J218" s="26" t="s">
        <v>58</v>
      </c>
      <c r="K218" s="27"/>
      <c r="L218" s="28" t="s">
        <v>56</v>
      </c>
      <c r="M218" s="29" t="str">
        <f t="shared" si="20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4.25" customHeight="1" x14ac:dyDescent="0.3">
      <c r="A219" s="23">
        <v>215</v>
      </c>
      <c r="B219" s="24" t="s">
        <v>4984</v>
      </c>
      <c r="C219" s="25" t="s">
        <v>4985</v>
      </c>
      <c r="D219" s="23" t="s">
        <v>4555</v>
      </c>
      <c r="E219" s="55">
        <v>46125</v>
      </c>
      <c r="F219" s="26" t="s">
        <v>55</v>
      </c>
      <c r="G219" s="26" t="s">
        <v>4401</v>
      </c>
      <c r="H219" s="26" t="s">
        <v>56</v>
      </c>
      <c r="I219" s="26" t="s">
        <v>4401</v>
      </c>
      <c r="J219" s="26" t="s">
        <v>58</v>
      </c>
      <c r="K219" s="27"/>
      <c r="L219" s="28" t="s">
        <v>56</v>
      </c>
      <c r="M219" s="29" t="str">
        <f t="shared" si="20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4.25" customHeight="1" x14ac:dyDescent="0.3">
      <c r="A220" s="42">
        <v>216</v>
      </c>
      <c r="B220" s="43" t="s">
        <v>4986</v>
      </c>
      <c r="C220" s="44" t="s">
        <v>4987</v>
      </c>
      <c r="D220" s="42" t="s">
        <v>4555</v>
      </c>
      <c r="E220" s="55">
        <v>46125</v>
      </c>
      <c r="F220" s="26" t="s">
        <v>55</v>
      </c>
      <c r="G220" s="26" t="s">
        <v>4401</v>
      </c>
      <c r="H220" s="26" t="s">
        <v>56</v>
      </c>
      <c r="I220" s="26" t="s">
        <v>4401</v>
      </c>
      <c r="J220" s="26" t="s">
        <v>58</v>
      </c>
      <c r="K220" s="27"/>
      <c r="L220" s="28" t="s">
        <v>56</v>
      </c>
      <c r="M220" s="29" t="str">
        <f t="shared" si="20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4.25" customHeight="1" x14ac:dyDescent="0.3">
      <c r="A221" s="23">
        <v>217</v>
      </c>
      <c r="B221" s="24" t="s">
        <v>4988</v>
      </c>
      <c r="C221" s="25" t="s">
        <v>4989</v>
      </c>
      <c r="D221" s="23" t="s">
        <v>4555</v>
      </c>
      <c r="E221" s="55">
        <v>46125</v>
      </c>
      <c r="F221" s="26" t="s">
        <v>55</v>
      </c>
      <c r="G221" s="26" t="s">
        <v>4401</v>
      </c>
      <c r="H221" s="26" t="s">
        <v>56</v>
      </c>
      <c r="I221" s="26" t="s">
        <v>4401</v>
      </c>
      <c r="J221" s="26" t="s">
        <v>58</v>
      </c>
      <c r="K221" s="27"/>
      <c r="L221" s="28" t="s">
        <v>56</v>
      </c>
      <c r="M221" s="29" t="str">
        <f t="shared" si="20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4.25" customHeight="1" x14ac:dyDescent="0.3">
      <c r="A222" s="42">
        <v>218</v>
      </c>
      <c r="B222" s="43" t="s">
        <v>4990</v>
      </c>
      <c r="C222" s="44" t="s">
        <v>4991</v>
      </c>
      <c r="D222" s="42" t="s">
        <v>4555</v>
      </c>
      <c r="E222" s="55">
        <v>46125</v>
      </c>
      <c r="F222" s="26" t="s">
        <v>55</v>
      </c>
      <c r="G222" s="26" t="s">
        <v>4401</v>
      </c>
      <c r="H222" s="26" t="s">
        <v>56</v>
      </c>
      <c r="I222" s="26" t="s">
        <v>4401</v>
      </c>
      <c r="J222" s="26" t="s">
        <v>58</v>
      </c>
      <c r="K222" s="27"/>
      <c r="L222" s="28" t="s">
        <v>56</v>
      </c>
      <c r="M222" s="29" t="str">
        <f t="shared" si="20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4.25" customHeight="1" x14ac:dyDescent="0.3">
      <c r="A223" s="23">
        <v>219</v>
      </c>
      <c r="B223" s="24" t="s">
        <v>4992</v>
      </c>
      <c r="C223" s="25" t="s">
        <v>4993</v>
      </c>
      <c r="D223" s="23" t="s">
        <v>4555</v>
      </c>
      <c r="E223" s="55">
        <v>46125</v>
      </c>
      <c r="F223" s="26" t="s">
        <v>55</v>
      </c>
      <c r="G223" s="26" t="s">
        <v>4401</v>
      </c>
      <c r="H223" s="26" t="s">
        <v>56</v>
      </c>
      <c r="I223" s="26" t="s">
        <v>4401</v>
      </c>
      <c r="J223" s="26" t="s">
        <v>58</v>
      </c>
      <c r="K223" s="27"/>
      <c r="L223" s="28" t="s">
        <v>56</v>
      </c>
      <c r="M223" s="29" t="str">
        <f t="shared" si="20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4.25" customHeight="1" x14ac:dyDescent="0.3">
      <c r="A224" s="42">
        <v>220</v>
      </c>
      <c r="B224" s="43" t="s">
        <v>4994</v>
      </c>
      <c r="C224" s="44" t="s">
        <v>4995</v>
      </c>
      <c r="D224" s="42" t="s">
        <v>4555</v>
      </c>
      <c r="E224" s="55">
        <v>46125</v>
      </c>
      <c r="F224" s="26" t="s">
        <v>55</v>
      </c>
      <c r="G224" s="26" t="s">
        <v>58</v>
      </c>
      <c r="H224" s="26" t="s">
        <v>56</v>
      </c>
      <c r="I224" s="26" t="s">
        <v>70</v>
      </c>
      <c r="J224" s="26" t="s">
        <v>58</v>
      </c>
      <c r="K224" s="27"/>
      <c r="L224" s="28" t="s">
        <v>56</v>
      </c>
      <c r="M224" s="29" t="str">
        <f t="shared" si="20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4.25" customHeight="1" x14ac:dyDescent="0.3">
      <c r="A225" s="23">
        <v>221</v>
      </c>
      <c r="B225" s="24" t="s">
        <v>4996</v>
      </c>
      <c r="C225" s="25" t="s">
        <v>4997</v>
      </c>
      <c r="D225" s="23" t="s">
        <v>4555</v>
      </c>
      <c r="E225" s="55">
        <v>46125</v>
      </c>
      <c r="F225" s="26" t="s">
        <v>55</v>
      </c>
      <c r="G225" s="26" t="s">
        <v>4401</v>
      </c>
      <c r="H225" s="26" t="s">
        <v>56</v>
      </c>
      <c r="I225" s="26" t="s">
        <v>4401</v>
      </c>
      <c r="J225" s="26" t="s">
        <v>58</v>
      </c>
      <c r="K225" s="27"/>
      <c r="L225" s="28" t="s">
        <v>56</v>
      </c>
      <c r="M225" s="29" t="str">
        <f t="shared" si="20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4.25" customHeight="1" x14ac:dyDescent="0.3">
      <c r="A226" s="42">
        <v>222</v>
      </c>
      <c r="B226" s="43" t="s">
        <v>4998</v>
      </c>
      <c r="C226" s="44" t="s">
        <v>4999</v>
      </c>
      <c r="D226" s="42" t="s">
        <v>4555</v>
      </c>
      <c r="E226" s="55">
        <v>46125</v>
      </c>
      <c r="F226" s="26" t="s">
        <v>55</v>
      </c>
      <c r="G226" s="26" t="s">
        <v>4401</v>
      </c>
      <c r="H226" s="26" t="s">
        <v>56</v>
      </c>
      <c r="I226" s="26" t="s">
        <v>4401</v>
      </c>
      <c r="J226" s="26" t="s">
        <v>58</v>
      </c>
      <c r="K226" s="27"/>
      <c r="L226" s="28" t="s">
        <v>56</v>
      </c>
      <c r="M226" s="29" t="str">
        <f t="shared" si="20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4.25" customHeight="1" x14ac:dyDescent="0.3">
      <c r="A227" s="23">
        <v>223</v>
      </c>
      <c r="B227" s="24" t="s">
        <v>5000</v>
      </c>
      <c r="C227" s="25" t="s">
        <v>5001</v>
      </c>
      <c r="D227" s="23" t="s">
        <v>4555</v>
      </c>
      <c r="E227" s="55">
        <v>46125</v>
      </c>
      <c r="F227" s="26" t="s">
        <v>55</v>
      </c>
      <c r="G227" s="26" t="s">
        <v>4401</v>
      </c>
      <c r="H227" s="26" t="s">
        <v>56</v>
      </c>
      <c r="I227" s="26" t="s">
        <v>4401</v>
      </c>
      <c r="J227" s="26" t="s">
        <v>58</v>
      </c>
      <c r="K227" s="27"/>
      <c r="L227" s="28" t="s">
        <v>56</v>
      </c>
      <c r="M227" s="29" t="str">
        <f t="shared" si="20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4.25" customHeight="1" x14ac:dyDescent="0.3">
      <c r="A228" s="42">
        <v>224</v>
      </c>
      <c r="B228" s="43" t="s">
        <v>5002</v>
      </c>
      <c r="C228" s="44" t="s">
        <v>5003</v>
      </c>
      <c r="D228" s="42" t="s">
        <v>4555</v>
      </c>
      <c r="E228" s="55">
        <v>46125</v>
      </c>
      <c r="F228" s="26" t="s">
        <v>55</v>
      </c>
      <c r="G228" s="26" t="s">
        <v>58</v>
      </c>
      <c r="H228" s="26" t="s">
        <v>56</v>
      </c>
      <c r="I228" s="26" t="s">
        <v>70</v>
      </c>
      <c r="J228" s="26" t="s">
        <v>58</v>
      </c>
      <c r="K228" s="27"/>
      <c r="L228" s="28" t="s">
        <v>56</v>
      </c>
      <c r="M228" s="29" t="str">
        <f t="shared" si="20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4.25" customHeight="1" x14ac:dyDescent="0.3">
      <c r="A229" s="23">
        <v>225</v>
      </c>
      <c r="B229" s="24" t="s">
        <v>5004</v>
      </c>
      <c r="C229" s="25" t="s">
        <v>5005</v>
      </c>
      <c r="D229" s="23" t="s">
        <v>4555</v>
      </c>
      <c r="E229" s="55">
        <v>46125</v>
      </c>
      <c r="F229" s="26" t="s">
        <v>55</v>
      </c>
      <c r="G229" s="26" t="s">
        <v>4401</v>
      </c>
      <c r="H229" s="26" t="s">
        <v>56</v>
      </c>
      <c r="I229" s="26" t="s">
        <v>4401</v>
      </c>
      <c r="J229" s="26" t="s">
        <v>58</v>
      </c>
      <c r="K229" s="27"/>
      <c r="L229" s="28" t="s">
        <v>56</v>
      </c>
      <c r="M229" s="29" t="str">
        <f t="shared" si="20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4.25" customHeight="1" x14ac:dyDescent="0.3">
      <c r="A230" s="42">
        <v>226</v>
      </c>
      <c r="B230" s="43" t="s">
        <v>5006</v>
      </c>
      <c r="C230" s="44" t="s">
        <v>5007</v>
      </c>
      <c r="D230" s="42" t="s">
        <v>4555</v>
      </c>
      <c r="E230" s="55">
        <v>46125</v>
      </c>
      <c r="F230" s="26" t="s">
        <v>55</v>
      </c>
      <c r="G230" s="26" t="s">
        <v>4401</v>
      </c>
      <c r="H230" s="26" t="s">
        <v>56</v>
      </c>
      <c r="I230" s="26" t="s">
        <v>4401</v>
      </c>
      <c r="J230" s="26" t="s">
        <v>58</v>
      </c>
      <c r="K230" s="27"/>
      <c r="L230" s="28" t="s">
        <v>56</v>
      </c>
      <c r="M230" s="29" t="str">
        <f t="shared" si="20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4.25" customHeight="1" x14ac:dyDescent="0.3">
      <c r="A231" s="23">
        <v>227</v>
      </c>
      <c r="B231" s="24" t="s">
        <v>5008</v>
      </c>
      <c r="C231" s="25" t="s">
        <v>5009</v>
      </c>
      <c r="D231" s="23" t="s">
        <v>4555</v>
      </c>
      <c r="E231" s="55">
        <v>46125</v>
      </c>
      <c r="F231" s="26" t="s">
        <v>55</v>
      </c>
      <c r="G231" s="26" t="s">
        <v>4401</v>
      </c>
      <c r="H231" s="26" t="s">
        <v>56</v>
      </c>
      <c r="I231" s="26" t="s">
        <v>4401</v>
      </c>
      <c r="J231" s="26" t="s">
        <v>58</v>
      </c>
      <c r="K231" s="27"/>
      <c r="L231" s="28" t="s">
        <v>56</v>
      </c>
      <c r="M231" s="29" t="str">
        <f t="shared" si="20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4.25" customHeight="1" x14ac:dyDescent="0.3">
      <c r="A232" s="42">
        <v>228</v>
      </c>
      <c r="B232" s="43" t="s">
        <v>5010</v>
      </c>
      <c r="C232" s="44" t="s">
        <v>5011</v>
      </c>
      <c r="D232" s="42" t="s">
        <v>4555</v>
      </c>
      <c r="E232" s="55">
        <v>46125</v>
      </c>
      <c r="F232" s="26" t="s">
        <v>55</v>
      </c>
      <c r="G232" s="26" t="s">
        <v>58</v>
      </c>
      <c r="H232" s="26" t="s">
        <v>56</v>
      </c>
      <c r="I232" s="26" t="s">
        <v>70</v>
      </c>
      <c r="J232" s="26" t="s">
        <v>58</v>
      </c>
      <c r="K232" s="27"/>
      <c r="L232" s="28" t="s">
        <v>56</v>
      </c>
      <c r="M232" s="29" t="str">
        <f t="shared" si="20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4.25" customHeight="1" x14ac:dyDescent="0.3">
      <c r="A233" s="23">
        <v>229</v>
      </c>
      <c r="B233" s="24" t="s">
        <v>5012</v>
      </c>
      <c r="C233" s="25" t="s">
        <v>5013</v>
      </c>
      <c r="D233" s="23" t="s">
        <v>4555</v>
      </c>
      <c r="E233" s="55">
        <v>46125</v>
      </c>
      <c r="F233" s="26" t="s">
        <v>55</v>
      </c>
      <c r="G233" s="26" t="s">
        <v>4401</v>
      </c>
      <c r="H233" s="26" t="s">
        <v>56</v>
      </c>
      <c r="I233" s="26" t="s">
        <v>4401</v>
      </c>
      <c r="J233" s="26" t="s">
        <v>58</v>
      </c>
      <c r="K233" s="27"/>
      <c r="L233" s="28" t="s">
        <v>56</v>
      </c>
      <c r="M233" s="29" t="str">
        <f t="shared" si="20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4.25" customHeight="1" x14ac:dyDescent="0.3">
      <c r="A234" s="42">
        <v>230</v>
      </c>
      <c r="B234" s="43" t="s">
        <v>5014</v>
      </c>
      <c r="C234" s="44" t="s">
        <v>5015</v>
      </c>
      <c r="D234" s="42" t="s">
        <v>4555</v>
      </c>
      <c r="E234" s="55">
        <v>46125</v>
      </c>
      <c r="F234" s="26" t="s">
        <v>55</v>
      </c>
      <c r="G234" s="26" t="s">
        <v>4401</v>
      </c>
      <c r="H234" s="26" t="s">
        <v>56</v>
      </c>
      <c r="I234" s="26" t="s">
        <v>4401</v>
      </c>
      <c r="J234" s="26" t="s">
        <v>58</v>
      </c>
      <c r="K234" s="27"/>
      <c r="L234" s="28" t="s">
        <v>56</v>
      </c>
      <c r="M234" s="29" t="str">
        <f t="shared" si="20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4.25" customHeight="1" x14ac:dyDescent="0.3">
      <c r="A235" s="23">
        <v>231</v>
      </c>
      <c r="B235" s="24" t="s">
        <v>5016</v>
      </c>
      <c r="C235" s="25" t="s">
        <v>5017</v>
      </c>
      <c r="D235" s="23" t="s">
        <v>4555</v>
      </c>
      <c r="E235" s="55">
        <v>46125</v>
      </c>
      <c r="F235" s="26" t="s">
        <v>55</v>
      </c>
      <c r="G235" s="26" t="s">
        <v>4401</v>
      </c>
      <c r="H235" s="26" t="s">
        <v>56</v>
      </c>
      <c r="I235" s="26" t="s">
        <v>4401</v>
      </c>
      <c r="J235" s="26" t="s">
        <v>58</v>
      </c>
      <c r="K235" s="27"/>
      <c r="L235" s="28" t="s">
        <v>56</v>
      </c>
      <c r="M235" s="29" t="str">
        <f t="shared" si="20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4.25" customHeight="1" x14ac:dyDescent="0.3">
      <c r="A236" s="42">
        <v>232</v>
      </c>
      <c r="B236" s="43" t="s">
        <v>5018</v>
      </c>
      <c r="C236" s="44" t="s">
        <v>5019</v>
      </c>
      <c r="D236" s="42" t="s">
        <v>4555</v>
      </c>
      <c r="E236" s="55">
        <v>46125</v>
      </c>
      <c r="F236" s="26" t="s">
        <v>55</v>
      </c>
      <c r="G236" s="26" t="s">
        <v>4401</v>
      </c>
      <c r="H236" s="26" t="s">
        <v>56</v>
      </c>
      <c r="I236" s="26" t="s">
        <v>4401</v>
      </c>
      <c r="J236" s="26" t="s">
        <v>58</v>
      </c>
      <c r="K236" s="27"/>
      <c r="L236" s="28" t="s">
        <v>56</v>
      </c>
      <c r="M236" s="29" t="str">
        <f t="shared" si="20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4.25" customHeight="1" x14ac:dyDescent="0.3">
      <c r="A237" s="23">
        <v>233</v>
      </c>
      <c r="B237" s="24" t="s">
        <v>5020</v>
      </c>
      <c r="C237" s="25" t="s">
        <v>5021</v>
      </c>
      <c r="D237" s="23" t="s">
        <v>4555</v>
      </c>
      <c r="E237" s="55">
        <v>46125</v>
      </c>
      <c r="F237" s="26" t="s">
        <v>55</v>
      </c>
      <c r="G237" s="26" t="s">
        <v>4401</v>
      </c>
      <c r="H237" s="26" t="s">
        <v>56</v>
      </c>
      <c r="I237" s="26" t="s">
        <v>4401</v>
      </c>
      <c r="J237" s="26" t="s">
        <v>58</v>
      </c>
      <c r="K237" s="27"/>
      <c r="L237" s="28" t="s">
        <v>56</v>
      </c>
      <c r="M237" s="29" t="str">
        <f t="shared" si="20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4.25" customHeight="1" x14ac:dyDescent="0.3">
      <c r="A238" s="42">
        <v>234</v>
      </c>
      <c r="B238" s="43" t="s">
        <v>5022</v>
      </c>
      <c r="C238" s="44" t="s">
        <v>5023</v>
      </c>
      <c r="D238" s="42" t="s">
        <v>4555</v>
      </c>
      <c r="E238" s="55">
        <v>46125</v>
      </c>
      <c r="F238" s="26" t="s">
        <v>55</v>
      </c>
      <c r="G238" s="26" t="s">
        <v>4401</v>
      </c>
      <c r="H238" s="26" t="s">
        <v>56</v>
      </c>
      <c r="I238" s="26" t="s">
        <v>4401</v>
      </c>
      <c r="J238" s="26" t="s">
        <v>58</v>
      </c>
      <c r="K238" s="27"/>
      <c r="L238" s="28" t="s">
        <v>56</v>
      </c>
      <c r="M238" s="29" t="str">
        <f t="shared" si="20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4.25" customHeight="1" x14ac:dyDescent="0.3">
      <c r="A239" s="23">
        <v>235</v>
      </c>
      <c r="B239" s="24" t="s">
        <v>5024</v>
      </c>
      <c r="C239" s="25" t="s">
        <v>5025</v>
      </c>
      <c r="D239" s="23" t="s">
        <v>4555</v>
      </c>
      <c r="E239" s="55">
        <v>46125</v>
      </c>
      <c r="F239" s="26" t="s">
        <v>55</v>
      </c>
      <c r="G239" s="26" t="s">
        <v>4401</v>
      </c>
      <c r="H239" s="26" t="s">
        <v>56</v>
      </c>
      <c r="I239" s="26" t="s">
        <v>4401</v>
      </c>
      <c r="J239" s="26" t="s">
        <v>58</v>
      </c>
      <c r="K239" s="27"/>
      <c r="L239" s="28" t="s">
        <v>56</v>
      </c>
      <c r="M239" s="29" t="str">
        <f t="shared" si="20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4.25" customHeight="1" x14ac:dyDescent="0.3">
      <c r="A240" s="42">
        <v>236</v>
      </c>
      <c r="B240" s="43" t="s">
        <v>5026</v>
      </c>
      <c r="C240" s="44" t="s">
        <v>5027</v>
      </c>
      <c r="D240" s="42" t="s">
        <v>4555</v>
      </c>
      <c r="E240" s="55">
        <v>46125</v>
      </c>
      <c r="F240" s="26" t="s">
        <v>55</v>
      </c>
      <c r="G240" s="26" t="s">
        <v>4401</v>
      </c>
      <c r="H240" s="26" t="s">
        <v>56</v>
      </c>
      <c r="I240" s="26" t="s">
        <v>4401</v>
      </c>
      <c r="J240" s="26" t="s">
        <v>58</v>
      </c>
      <c r="K240" s="27"/>
      <c r="L240" s="28" t="s">
        <v>56</v>
      </c>
      <c r="M240" s="29" t="str">
        <f t="shared" si="20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4.25" customHeight="1" x14ac:dyDescent="0.3">
      <c r="A241" s="23">
        <v>237</v>
      </c>
      <c r="B241" s="24" t="s">
        <v>5028</v>
      </c>
      <c r="C241" s="25" t="s">
        <v>5029</v>
      </c>
      <c r="D241" s="23" t="s">
        <v>4555</v>
      </c>
      <c r="E241" s="55">
        <v>46125</v>
      </c>
      <c r="F241" s="26" t="s">
        <v>55</v>
      </c>
      <c r="G241" s="26" t="s">
        <v>4401</v>
      </c>
      <c r="H241" s="26" t="s">
        <v>56</v>
      </c>
      <c r="I241" s="26" t="s">
        <v>4401</v>
      </c>
      <c r="J241" s="26" t="s">
        <v>58</v>
      </c>
      <c r="K241" s="27"/>
      <c r="L241" s="28" t="s">
        <v>56</v>
      </c>
      <c r="M241" s="29" t="str">
        <f t="shared" si="20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4.25" customHeight="1" x14ac:dyDescent="0.3">
      <c r="A242" s="42">
        <v>238</v>
      </c>
      <c r="B242" s="43" t="s">
        <v>5030</v>
      </c>
      <c r="C242" s="44" t="s">
        <v>5031</v>
      </c>
      <c r="D242" s="42" t="s">
        <v>4555</v>
      </c>
      <c r="E242" s="55">
        <v>46125</v>
      </c>
      <c r="F242" s="26" t="s">
        <v>55</v>
      </c>
      <c r="G242" s="26" t="s">
        <v>4401</v>
      </c>
      <c r="H242" s="26" t="s">
        <v>56</v>
      </c>
      <c r="I242" s="26" t="s">
        <v>4401</v>
      </c>
      <c r="J242" s="26" t="s">
        <v>58</v>
      </c>
      <c r="K242" s="27"/>
      <c r="L242" s="28" t="s">
        <v>56</v>
      </c>
      <c r="M242" s="29" t="str">
        <f t="shared" si="20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4.25" customHeight="1" x14ac:dyDescent="0.3">
      <c r="A243" s="23">
        <v>239</v>
      </c>
      <c r="B243" s="24" t="s">
        <v>5032</v>
      </c>
      <c r="C243" s="25" t="s">
        <v>5033</v>
      </c>
      <c r="D243" s="23" t="s">
        <v>4555</v>
      </c>
      <c r="E243" s="55">
        <v>46125</v>
      </c>
      <c r="F243" s="26" t="s">
        <v>55</v>
      </c>
      <c r="G243" s="26" t="s">
        <v>4401</v>
      </c>
      <c r="H243" s="26" t="s">
        <v>56</v>
      </c>
      <c r="I243" s="26" t="s">
        <v>4401</v>
      </c>
      <c r="J243" s="26" t="s">
        <v>58</v>
      </c>
      <c r="K243" s="27"/>
      <c r="L243" s="28" t="s">
        <v>56</v>
      </c>
      <c r="M243" s="29" t="str">
        <f t="shared" si="20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4.25" customHeight="1" x14ac:dyDescent="0.3">
      <c r="A244" s="42">
        <v>240</v>
      </c>
      <c r="B244" s="43" t="s">
        <v>5034</v>
      </c>
      <c r="C244" s="44" t="s">
        <v>5035</v>
      </c>
      <c r="D244" s="42" t="s">
        <v>4555</v>
      </c>
      <c r="E244" s="55">
        <v>46125</v>
      </c>
      <c r="F244" s="26" t="s">
        <v>55</v>
      </c>
      <c r="G244" s="26" t="s">
        <v>58</v>
      </c>
      <c r="H244" s="26" t="s">
        <v>56</v>
      </c>
      <c r="I244" s="26" t="s">
        <v>70</v>
      </c>
      <c r="J244" s="26" t="s">
        <v>58</v>
      </c>
      <c r="K244" s="27"/>
      <c r="L244" s="28" t="s">
        <v>56</v>
      </c>
      <c r="M244" s="29" t="str">
        <f t="shared" si="20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4.25" customHeight="1" x14ac:dyDescent="0.3">
      <c r="A245" s="23">
        <v>241</v>
      </c>
      <c r="B245" s="24" t="s">
        <v>5036</v>
      </c>
      <c r="C245" s="25" t="s">
        <v>5037</v>
      </c>
      <c r="D245" s="23" t="s">
        <v>4555</v>
      </c>
      <c r="E245" s="55">
        <v>46125</v>
      </c>
      <c r="F245" s="26" t="s">
        <v>55</v>
      </c>
      <c r="G245" s="26" t="s">
        <v>4401</v>
      </c>
      <c r="H245" s="26" t="s">
        <v>56</v>
      </c>
      <c r="I245" s="26" t="s">
        <v>4401</v>
      </c>
      <c r="J245" s="26" t="s">
        <v>58</v>
      </c>
      <c r="K245" s="27"/>
      <c r="L245" s="28" t="s">
        <v>56</v>
      </c>
      <c r="M245" s="29" t="str">
        <f t="shared" si="20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4.25" customHeight="1" x14ac:dyDescent="0.3">
      <c r="A246" s="42">
        <v>242</v>
      </c>
      <c r="B246" s="43" t="s">
        <v>5038</v>
      </c>
      <c r="C246" s="44" t="s">
        <v>5039</v>
      </c>
      <c r="D246" s="42" t="s">
        <v>4555</v>
      </c>
      <c r="E246" s="55">
        <v>46125</v>
      </c>
      <c r="F246" s="26" t="s">
        <v>55</v>
      </c>
      <c r="G246" s="26" t="s">
        <v>4401</v>
      </c>
      <c r="H246" s="26" t="s">
        <v>56</v>
      </c>
      <c r="I246" s="26" t="s">
        <v>4401</v>
      </c>
      <c r="J246" s="26" t="s">
        <v>58</v>
      </c>
      <c r="K246" s="27"/>
      <c r="L246" s="28" t="s">
        <v>56</v>
      </c>
      <c r="M246" s="29" t="str">
        <f t="shared" si="20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4.25" customHeight="1" x14ac:dyDescent="0.3">
      <c r="A247" s="23">
        <v>243</v>
      </c>
      <c r="B247" s="24" t="s">
        <v>5040</v>
      </c>
      <c r="C247" s="25" t="s">
        <v>5041</v>
      </c>
      <c r="D247" s="23" t="s">
        <v>4555</v>
      </c>
      <c r="E247" s="55">
        <v>46125</v>
      </c>
      <c r="F247" s="26" t="s">
        <v>55</v>
      </c>
      <c r="G247" s="26" t="s">
        <v>4401</v>
      </c>
      <c r="H247" s="26" t="s">
        <v>56</v>
      </c>
      <c r="I247" s="26" t="s">
        <v>4401</v>
      </c>
      <c r="J247" s="26" t="s">
        <v>58</v>
      </c>
      <c r="K247" s="27"/>
      <c r="L247" s="28" t="s">
        <v>56</v>
      </c>
      <c r="M247" s="29" t="str">
        <f t="shared" si="20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4.25" customHeight="1" x14ac:dyDescent="0.3">
      <c r="A248" s="42">
        <v>244</v>
      </c>
      <c r="B248" s="43" t="s">
        <v>5042</v>
      </c>
      <c r="C248" s="44" t="s">
        <v>5043</v>
      </c>
      <c r="D248" s="42" t="s">
        <v>4555</v>
      </c>
      <c r="E248" s="55">
        <v>46125</v>
      </c>
      <c r="F248" s="26" t="s">
        <v>55</v>
      </c>
      <c r="G248" s="26" t="s">
        <v>4401</v>
      </c>
      <c r="H248" s="26" t="s">
        <v>56</v>
      </c>
      <c r="I248" s="26" t="s">
        <v>4401</v>
      </c>
      <c r="J248" s="26" t="s">
        <v>58</v>
      </c>
      <c r="K248" s="27"/>
      <c r="L248" s="28" t="s">
        <v>56</v>
      </c>
      <c r="M248" s="29" t="str">
        <f t="shared" si="20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4.25" customHeight="1" x14ac:dyDescent="0.3">
      <c r="A249" s="23">
        <v>245</v>
      </c>
      <c r="B249" s="24" t="s">
        <v>5044</v>
      </c>
      <c r="C249" s="25" t="s">
        <v>5045</v>
      </c>
      <c r="D249" s="23" t="s">
        <v>4555</v>
      </c>
      <c r="E249" s="55">
        <v>46125</v>
      </c>
      <c r="F249" s="26" t="s">
        <v>55</v>
      </c>
      <c r="G249" s="26" t="s">
        <v>4401</v>
      </c>
      <c r="H249" s="26" t="s">
        <v>56</v>
      </c>
      <c r="I249" s="26" t="s">
        <v>4401</v>
      </c>
      <c r="J249" s="26" t="s">
        <v>58</v>
      </c>
      <c r="K249" s="27"/>
      <c r="L249" s="28" t="s">
        <v>56</v>
      </c>
      <c r="M249" s="29" t="str">
        <f t="shared" si="20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4.25" customHeight="1" x14ac:dyDescent="0.3">
      <c r="A250" s="42">
        <v>246</v>
      </c>
      <c r="B250" s="43" t="s">
        <v>5046</v>
      </c>
      <c r="C250" s="44" t="s">
        <v>5047</v>
      </c>
      <c r="D250" s="42" t="s">
        <v>4555</v>
      </c>
      <c r="E250" s="55">
        <v>46125</v>
      </c>
      <c r="F250" s="26" t="s">
        <v>55</v>
      </c>
      <c r="G250" s="26" t="s">
        <v>4401</v>
      </c>
      <c r="H250" s="26" t="s">
        <v>56</v>
      </c>
      <c r="I250" s="26" t="s">
        <v>4401</v>
      </c>
      <c r="J250" s="26" t="s">
        <v>58</v>
      </c>
      <c r="K250" s="27"/>
      <c r="L250" s="28" t="s">
        <v>56</v>
      </c>
      <c r="M250" s="29" t="str">
        <f t="shared" si="20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4.25" customHeight="1" x14ac:dyDescent="0.3">
      <c r="A251" s="23">
        <v>247</v>
      </c>
      <c r="B251" s="24" t="s">
        <v>5048</v>
      </c>
      <c r="C251" s="25" t="s">
        <v>5049</v>
      </c>
      <c r="D251" s="23" t="s">
        <v>4555</v>
      </c>
      <c r="E251" s="55">
        <v>46125</v>
      </c>
      <c r="F251" s="26" t="s">
        <v>55</v>
      </c>
      <c r="G251" s="26" t="s">
        <v>58</v>
      </c>
      <c r="H251" s="26" t="s">
        <v>56</v>
      </c>
      <c r="I251" s="26" t="s">
        <v>70</v>
      </c>
      <c r="J251" s="26" t="s">
        <v>58</v>
      </c>
      <c r="K251" s="27"/>
      <c r="L251" s="28" t="s">
        <v>56</v>
      </c>
      <c r="M251" s="29" t="str">
        <f t="shared" si="20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4.25" customHeight="1" x14ac:dyDescent="0.3">
      <c r="A252" s="42">
        <v>248</v>
      </c>
      <c r="B252" s="43" t="s">
        <v>5050</v>
      </c>
      <c r="C252" s="44" t="s">
        <v>5051</v>
      </c>
      <c r="D252" s="42" t="s">
        <v>4555</v>
      </c>
      <c r="E252" s="55">
        <v>46125</v>
      </c>
      <c r="F252" s="26" t="s">
        <v>55</v>
      </c>
      <c r="G252" s="26" t="s">
        <v>4401</v>
      </c>
      <c r="H252" s="26" t="s">
        <v>56</v>
      </c>
      <c r="I252" s="26" t="s">
        <v>4401</v>
      </c>
      <c r="J252" s="26" t="s">
        <v>58</v>
      </c>
      <c r="K252" s="27"/>
      <c r="L252" s="28" t="s">
        <v>56</v>
      </c>
      <c r="M252" s="29" t="str">
        <f t="shared" si="20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4.25" customHeight="1" x14ac:dyDescent="0.3">
      <c r="A253" s="23">
        <v>249</v>
      </c>
      <c r="B253" s="24" t="s">
        <v>5052</v>
      </c>
      <c r="C253" s="25" t="s">
        <v>5053</v>
      </c>
      <c r="D253" s="23" t="s">
        <v>4555</v>
      </c>
      <c r="E253" s="55">
        <v>46125</v>
      </c>
      <c r="F253" s="26" t="s">
        <v>55</v>
      </c>
      <c r="G253" s="26" t="s">
        <v>4401</v>
      </c>
      <c r="H253" s="26" t="s">
        <v>56</v>
      </c>
      <c r="I253" s="26" t="s">
        <v>4401</v>
      </c>
      <c r="J253" s="26" t="s">
        <v>58</v>
      </c>
      <c r="K253" s="27"/>
      <c r="L253" s="28" t="s">
        <v>56</v>
      </c>
      <c r="M253" s="29" t="str">
        <f t="shared" si="20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4.25" customHeight="1" x14ac:dyDescent="0.3">
      <c r="A254" s="42">
        <v>250</v>
      </c>
      <c r="B254" s="43" t="s">
        <v>5054</v>
      </c>
      <c r="C254" s="44" t="s">
        <v>5055</v>
      </c>
      <c r="D254" s="42" t="s">
        <v>4555</v>
      </c>
      <c r="E254" s="55">
        <v>46125</v>
      </c>
      <c r="F254" s="26" t="s">
        <v>55</v>
      </c>
      <c r="G254" s="26" t="s">
        <v>4401</v>
      </c>
      <c r="H254" s="26" t="s">
        <v>56</v>
      </c>
      <c r="I254" s="26" t="s">
        <v>4401</v>
      </c>
      <c r="J254" s="26" t="s">
        <v>58</v>
      </c>
      <c r="K254" s="27"/>
      <c r="L254" s="28" t="s">
        <v>56</v>
      </c>
      <c r="M254" s="29" t="str">
        <f t="shared" si="20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4.25" customHeight="1" x14ac:dyDescent="0.3">
      <c r="A255" s="23">
        <v>251</v>
      </c>
      <c r="B255" s="24" t="s">
        <v>5056</v>
      </c>
      <c r="C255" s="25" t="s">
        <v>5057</v>
      </c>
      <c r="D255" s="23" t="s">
        <v>4555</v>
      </c>
      <c r="E255" s="55">
        <v>46125</v>
      </c>
      <c r="F255" s="26" t="s">
        <v>55</v>
      </c>
      <c r="G255" s="26" t="s">
        <v>4401</v>
      </c>
      <c r="H255" s="26" t="s">
        <v>56</v>
      </c>
      <c r="I255" s="26" t="s">
        <v>4401</v>
      </c>
      <c r="J255" s="26" t="s">
        <v>58</v>
      </c>
      <c r="K255" s="27"/>
      <c r="L255" s="28" t="s">
        <v>56</v>
      </c>
      <c r="M255" s="29" t="str">
        <f t="shared" si="20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4.25" customHeight="1" x14ac:dyDescent="0.3">
      <c r="A256" s="42">
        <v>252</v>
      </c>
      <c r="B256" s="43" t="s">
        <v>5058</v>
      </c>
      <c r="C256" s="44" t="s">
        <v>5059</v>
      </c>
      <c r="D256" s="42" t="s">
        <v>4555</v>
      </c>
      <c r="E256" s="55">
        <v>46125</v>
      </c>
      <c r="F256" s="26" t="s">
        <v>55</v>
      </c>
      <c r="G256" s="26" t="s">
        <v>4401</v>
      </c>
      <c r="H256" s="26" t="s">
        <v>56</v>
      </c>
      <c r="I256" s="26" t="s">
        <v>4401</v>
      </c>
      <c r="J256" s="26" t="s">
        <v>58</v>
      </c>
      <c r="K256" s="27"/>
      <c r="L256" s="28" t="s">
        <v>56</v>
      </c>
      <c r="M256" s="29" t="str">
        <f t="shared" si="20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4.25" customHeight="1" x14ac:dyDescent="0.3">
      <c r="A257" s="23">
        <v>253</v>
      </c>
      <c r="B257" s="24" t="s">
        <v>5060</v>
      </c>
      <c r="C257" s="25" t="s">
        <v>5061</v>
      </c>
      <c r="D257" s="23" t="s">
        <v>4555</v>
      </c>
      <c r="E257" s="55">
        <v>46125</v>
      </c>
      <c r="F257" s="26" t="s">
        <v>55</v>
      </c>
      <c r="G257" s="26" t="s">
        <v>4401</v>
      </c>
      <c r="H257" s="26" t="s">
        <v>56</v>
      </c>
      <c r="I257" s="26" t="s">
        <v>4401</v>
      </c>
      <c r="J257" s="26" t="s">
        <v>58</v>
      </c>
      <c r="K257" s="27"/>
      <c r="L257" s="28" t="s">
        <v>56</v>
      </c>
      <c r="M257" s="29" t="str">
        <f t="shared" si="20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4.25" customHeight="1" x14ac:dyDescent="0.3">
      <c r="A258" s="42">
        <v>254</v>
      </c>
      <c r="B258" s="43" t="s">
        <v>5062</v>
      </c>
      <c r="C258" s="44" t="s">
        <v>5063</v>
      </c>
      <c r="D258" s="42" t="s">
        <v>4555</v>
      </c>
      <c r="E258" s="55">
        <v>46125</v>
      </c>
      <c r="F258" s="26" t="s">
        <v>55</v>
      </c>
      <c r="G258" s="26" t="s">
        <v>4401</v>
      </c>
      <c r="H258" s="26" t="s">
        <v>56</v>
      </c>
      <c r="I258" s="26" t="s">
        <v>4401</v>
      </c>
      <c r="J258" s="26" t="s">
        <v>58</v>
      </c>
      <c r="K258" s="27"/>
      <c r="L258" s="28" t="s">
        <v>56</v>
      </c>
      <c r="M258" s="29" t="str">
        <f t="shared" si="20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4.25" customHeight="1" x14ac:dyDescent="0.3">
      <c r="A259" s="23">
        <v>255</v>
      </c>
      <c r="B259" s="24" t="s">
        <v>5064</v>
      </c>
      <c r="C259" s="25" t="s">
        <v>5065</v>
      </c>
      <c r="D259" s="23" t="s">
        <v>4555</v>
      </c>
      <c r="E259" s="55">
        <v>46125</v>
      </c>
      <c r="F259" s="26" t="s">
        <v>55</v>
      </c>
      <c r="G259" s="26" t="s">
        <v>4401</v>
      </c>
      <c r="H259" s="26" t="s">
        <v>56</v>
      </c>
      <c r="I259" s="26" t="s">
        <v>4401</v>
      </c>
      <c r="J259" s="26" t="s">
        <v>58</v>
      </c>
      <c r="K259" s="27"/>
      <c r="L259" s="28" t="s">
        <v>56</v>
      </c>
      <c r="M259" s="29" t="str">
        <f t="shared" si="20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4.25" customHeight="1" x14ac:dyDescent="0.3">
      <c r="A260" s="42">
        <v>256</v>
      </c>
      <c r="B260" s="43" t="s">
        <v>5066</v>
      </c>
      <c r="C260" s="44" t="s">
        <v>5067</v>
      </c>
      <c r="D260" s="42" t="s">
        <v>4555</v>
      </c>
      <c r="E260" s="55">
        <v>46125</v>
      </c>
      <c r="F260" s="26" t="s">
        <v>55</v>
      </c>
      <c r="G260" s="26" t="s">
        <v>4401</v>
      </c>
      <c r="H260" s="26" t="s">
        <v>56</v>
      </c>
      <c r="I260" s="26" t="s">
        <v>4401</v>
      </c>
      <c r="J260" s="26" t="s">
        <v>58</v>
      </c>
      <c r="K260" s="27"/>
      <c r="L260" s="28" t="s">
        <v>56</v>
      </c>
      <c r="M260" s="29" t="str">
        <f t="shared" si="20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4.25" customHeight="1" x14ac:dyDescent="0.3">
      <c r="A261" s="23">
        <v>257</v>
      </c>
      <c r="B261" s="24" t="s">
        <v>5068</v>
      </c>
      <c r="C261" s="25" t="s">
        <v>5069</v>
      </c>
      <c r="D261" s="23" t="s">
        <v>4555</v>
      </c>
      <c r="E261" s="55">
        <v>46125</v>
      </c>
      <c r="F261" s="26" t="s">
        <v>55</v>
      </c>
      <c r="G261" s="26" t="s">
        <v>4401</v>
      </c>
      <c r="H261" s="26" t="s">
        <v>56</v>
      </c>
      <c r="I261" s="26" t="s">
        <v>4401</v>
      </c>
      <c r="J261" s="26" t="s">
        <v>58</v>
      </c>
      <c r="K261" s="27"/>
      <c r="L261" s="28" t="s">
        <v>56</v>
      </c>
      <c r="M261" s="29" t="str">
        <f t="shared" si="20"/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42">
        <v>258</v>
      </c>
      <c r="B262" s="43" t="s">
        <v>5070</v>
      </c>
      <c r="C262" s="44" t="s">
        <v>5071</v>
      </c>
      <c r="D262" s="42" t="s">
        <v>4555</v>
      </c>
      <c r="E262" s="55">
        <v>46125</v>
      </c>
      <c r="F262" s="26" t="s">
        <v>55</v>
      </c>
      <c r="G262" s="26" t="s">
        <v>4401</v>
      </c>
      <c r="H262" s="26" t="s">
        <v>56</v>
      </c>
      <c r="I262" s="26" t="s">
        <v>4401</v>
      </c>
      <c r="J262" s="26" t="s">
        <v>58</v>
      </c>
      <c r="K262" s="27"/>
      <c r="L262" s="28" t="s">
        <v>56</v>
      </c>
      <c r="M262" s="29" t="str">
        <f t="shared" ref="M262:M325" si="25">IF(E262="","",IF(H262="Yes","❌ Disc",IF(G262="No","⚠ Missing",IF(J262="Yes","✓ OK","⚠ Check"))))</f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4.25" customHeight="1" x14ac:dyDescent="0.3">
      <c r="A263" s="23">
        <v>259</v>
      </c>
      <c r="B263" s="24" t="s">
        <v>5072</v>
      </c>
      <c r="C263" s="25" t="s">
        <v>5073</v>
      </c>
      <c r="D263" s="23" t="s">
        <v>4555</v>
      </c>
      <c r="E263" s="55">
        <v>46125</v>
      </c>
      <c r="F263" s="26" t="s">
        <v>55</v>
      </c>
      <c r="G263" s="26" t="s">
        <v>4401</v>
      </c>
      <c r="H263" s="26" t="s">
        <v>56</v>
      </c>
      <c r="I263" s="26" t="s">
        <v>4401</v>
      </c>
      <c r="J263" s="26" t="s">
        <v>58</v>
      </c>
      <c r="K263" s="27"/>
      <c r="L263" s="28" t="s">
        <v>56</v>
      </c>
      <c r="M263" s="29" t="str">
        <f t="shared" si="25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4.25" customHeight="1" x14ac:dyDescent="0.3">
      <c r="A264" s="42">
        <v>260</v>
      </c>
      <c r="B264" s="43" t="s">
        <v>5074</v>
      </c>
      <c r="C264" s="44" t="s">
        <v>5075</v>
      </c>
      <c r="D264" s="42" t="s">
        <v>4555</v>
      </c>
      <c r="E264" s="55">
        <v>46125</v>
      </c>
      <c r="F264" s="26" t="s">
        <v>55</v>
      </c>
      <c r="G264" s="26" t="s">
        <v>4401</v>
      </c>
      <c r="H264" s="26" t="s">
        <v>56</v>
      </c>
      <c r="I264" s="26" t="s">
        <v>4401</v>
      </c>
      <c r="J264" s="26" t="s">
        <v>58</v>
      </c>
      <c r="K264" s="27"/>
      <c r="L264" s="28" t="s">
        <v>56</v>
      </c>
      <c r="M264" s="29" t="str">
        <f t="shared" si="25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4.25" customHeight="1" x14ac:dyDescent="0.3">
      <c r="A265" s="23">
        <v>261</v>
      </c>
      <c r="B265" s="24" t="s">
        <v>5076</v>
      </c>
      <c r="C265" s="25" t="s">
        <v>5077</v>
      </c>
      <c r="D265" s="23" t="s">
        <v>4555</v>
      </c>
      <c r="E265" s="55">
        <v>46125</v>
      </c>
      <c r="F265" s="26" t="s">
        <v>55</v>
      </c>
      <c r="G265" s="26" t="s">
        <v>4401</v>
      </c>
      <c r="H265" s="26" t="s">
        <v>56</v>
      </c>
      <c r="I265" s="26" t="s">
        <v>4401</v>
      </c>
      <c r="J265" s="26" t="s">
        <v>58</v>
      </c>
      <c r="K265" s="27"/>
      <c r="L265" s="28" t="s">
        <v>56</v>
      </c>
      <c r="M265" s="29" t="str">
        <f t="shared" si="25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4.25" customHeight="1" x14ac:dyDescent="0.3">
      <c r="A266" s="42">
        <v>262</v>
      </c>
      <c r="B266" s="43" t="s">
        <v>5078</v>
      </c>
      <c r="C266" s="44" t="s">
        <v>5079</v>
      </c>
      <c r="D266" s="42" t="s">
        <v>4555</v>
      </c>
      <c r="E266" s="55">
        <v>46125</v>
      </c>
      <c r="F266" s="26" t="s">
        <v>55</v>
      </c>
      <c r="G266" s="26" t="s">
        <v>4401</v>
      </c>
      <c r="H266" s="26" t="s">
        <v>56</v>
      </c>
      <c r="I266" s="26" t="s">
        <v>4401</v>
      </c>
      <c r="J266" s="26" t="s">
        <v>58</v>
      </c>
      <c r="K266" s="27"/>
      <c r="L266" s="28" t="s">
        <v>56</v>
      </c>
      <c r="M266" s="29" t="str">
        <f t="shared" si="25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4.25" customHeight="1" x14ac:dyDescent="0.3">
      <c r="A267" s="23">
        <v>263</v>
      </c>
      <c r="B267" s="24" t="s">
        <v>5080</v>
      </c>
      <c r="C267" s="25" t="s">
        <v>5081</v>
      </c>
      <c r="D267" s="23" t="s">
        <v>4555</v>
      </c>
      <c r="E267" s="55">
        <v>46125</v>
      </c>
      <c r="F267" s="26" t="s">
        <v>55</v>
      </c>
      <c r="G267" s="26" t="s">
        <v>4401</v>
      </c>
      <c r="H267" s="26" t="s">
        <v>56</v>
      </c>
      <c r="I267" s="26" t="s">
        <v>4401</v>
      </c>
      <c r="J267" s="26" t="s">
        <v>58</v>
      </c>
      <c r="K267" s="27"/>
      <c r="L267" s="28" t="s">
        <v>56</v>
      </c>
      <c r="M267" s="29" t="str">
        <f t="shared" si="25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4.25" customHeight="1" x14ac:dyDescent="0.3">
      <c r="A268" s="42">
        <v>264</v>
      </c>
      <c r="B268" s="43" t="s">
        <v>5082</v>
      </c>
      <c r="C268" s="44" t="s">
        <v>5083</v>
      </c>
      <c r="D268" s="42" t="s">
        <v>4555</v>
      </c>
      <c r="E268" s="55">
        <v>46125</v>
      </c>
      <c r="F268" s="26" t="s">
        <v>55</v>
      </c>
      <c r="G268" s="26" t="s">
        <v>58</v>
      </c>
      <c r="H268" s="26" t="s">
        <v>56</v>
      </c>
      <c r="I268" s="26" t="s">
        <v>70</v>
      </c>
      <c r="J268" s="26" t="s">
        <v>58</v>
      </c>
      <c r="K268" s="27"/>
      <c r="L268" s="28" t="s">
        <v>56</v>
      </c>
      <c r="M268" s="29" t="str">
        <f t="shared" si="25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4.25" customHeight="1" x14ac:dyDescent="0.3">
      <c r="A269" s="23">
        <v>265</v>
      </c>
      <c r="B269" s="24" t="s">
        <v>5084</v>
      </c>
      <c r="C269" s="25" t="s">
        <v>5085</v>
      </c>
      <c r="D269" s="23" t="s">
        <v>4555</v>
      </c>
      <c r="E269" s="55">
        <v>46125</v>
      </c>
      <c r="F269" s="26" t="s">
        <v>55</v>
      </c>
      <c r="G269" s="26" t="s">
        <v>4401</v>
      </c>
      <c r="H269" s="26" t="s">
        <v>56</v>
      </c>
      <c r="I269" s="26" t="s">
        <v>4401</v>
      </c>
      <c r="J269" s="26" t="s">
        <v>58</v>
      </c>
      <c r="K269" s="27"/>
      <c r="L269" s="28" t="s">
        <v>56</v>
      </c>
      <c r="M269" s="29" t="str">
        <f t="shared" si="25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4.25" customHeight="1" x14ac:dyDescent="0.3">
      <c r="A270" s="42">
        <v>266</v>
      </c>
      <c r="B270" s="43" t="s">
        <v>5086</v>
      </c>
      <c r="C270" s="44" t="s">
        <v>5087</v>
      </c>
      <c r="D270" s="42" t="s">
        <v>4555</v>
      </c>
      <c r="E270" s="55">
        <v>46125</v>
      </c>
      <c r="F270" s="26" t="s">
        <v>55</v>
      </c>
      <c r="G270" s="26" t="s">
        <v>4401</v>
      </c>
      <c r="H270" s="26" t="s">
        <v>56</v>
      </c>
      <c r="I270" s="26" t="s">
        <v>4401</v>
      </c>
      <c r="J270" s="26" t="s">
        <v>58</v>
      </c>
      <c r="K270" s="27"/>
      <c r="L270" s="28" t="s">
        <v>56</v>
      </c>
      <c r="M270" s="29" t="str">
        <f t="shared" si="25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4.25" customHeight="1" x14ac:dyDescent="0.3">
      <c r="A271" s="23">
        <v>267</v>
      </c>
      <c r="B271" s="24" t="s">
        <v>5088</v>
      </c>
      <c r="C271" s="25" t="s">
        <v>5089</v>
      </c>
      <c r="D271" s="23" t="s">
        <v>4555</v>
      </c>
      <c r="E271" s="55">
        <v>46125</v>
      </c>
      <c r="F271" s="26" t="s">
        <v>55</v>
      </c>
      <c r="G271" s="26" t="s">
        <v>4401</v>
      </c>
      <c r="H271" s="26" t="s">
        <v>56</v>
      </c>
      <c r="I271" s="26" t="s">
        <v>4401</v>
      </c>
      <c r="J271" s="26" t="s">
        <v>58</v>
      </c>
      <c r="K271" s="27"/>
      <c r="L271" s="28" t="s">
        <v>56</v>
      </c>
      <c r="M271" s="29" t="str">
        <f t="shared" si="25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4.25" customHeight="1" x14ac:dyDescent="0.3">
      <c r="A272" s="42">
        <v>268</v>
      </c>
      <c r="B272" s="43" t="s">
        <v>5090</v>
      </c>
      <c r="C272" s="44" t="s">
        <v>5091</v>
      </c>
      <c r="D272" s="42" t="s">
        <v>4555</v>
      </c>
      <c r="E272" s="55">
        <v>46125</v>
      </c>
      <c r="F272" s="26" t="s">
        <v>55</v>
      </c>
      <c r="G272" s="26" t="s">
        <v>4401</v>
      </c>
      <c r="H272" s="26" t="s">
        <v>56</v>
      </c>
      <c r="I272" s="26" t="s">
        <v>4401</v>
      </c>
      <c r="J272" s="26" t="s">
        <v>58</v>
      </c>
      <c r="K272" s="27"/>
      <c r="L272" s="28" t="s">
        <v>56</v>
      </c>
      <c r="M272" s="29" t="str">
        <f t="shared" si="25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4.25" customHeight="1" x14ac:dyDescent="0.3">
      <c r="A273" s="23">
        <v>269</v>
      </c>
      <c r="B273" s="24" t="s">
        <v>5092</v>
      </c>
      <c r="C273" s="25" t="s">
        <v>5093</v>
      </c>
      <c r="D273" s="23" t="s">
        <v>4555</v>
      </c>
      <c r="E273" s="55">
        <v>46125</v>
      </c>
      <c r="F273" s="26" t="s">
        <v>55</v>
      </c>
      <c r="G273" s="26" t="s">
        <v>4401</v>
      </c>
      <c r="H273" s="26" t="s">
        <v>56</v>
      </c>
      <c r="I273" s="26" t="s">
        <v>4401</v>
      </c>
      <c r="J273" s="26" t="s">
        <v>58</v>
      </c>
      <c r="K273" s="27"/>
      <c r="L273" s="28" t="s">
        <v>56</v>
      </c>
      <c r="M273" s="29" t="str">
        <f t="shared" si="25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4.25" customHeight="1" x14ac:dyDescent="0.3">
      <c r="A274" s="42">
        <v>270</v>
      </c>
      <c r="B274" s="43" t="s">
        <v>5094</v>
      </c>
      <c r="C274" s="44" t="s">
        <v>5095</v>
      </c>
      <c r="D274" s="42" t="s">
        <v>4555</v>
      </c>
      <c r="E274" s="55">
        <v>46125</v>
      </c>
      <c r="F274" s="26" t="s">
        <v>55</v>
      </c>
      <c r="G274" s="26" t="s">
        <v>4401</v>
      </c>
      <c r="H274" s="26" t="s">
        <v>56</v>
      </c>
      <c r="I274" s="26" t="s">
        <v>4401</v>
      </c>
      <c r="J274" s="26" t="s">
        <v>58</v>
      </c>
      <c r="K274" s="27"/>
      <c r="L274" s="28" t="s">
        <v>56</v>
      </c>
      <c r="M274" s="29" t="str">
        <f t="shared" si="25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4.25" customHeight="1" x14ac:dyDescent="0.3">
      <c r="A275" s="23">
        <v>271</v>
      </c>
      <c r="B275" s="24" t="s">
        <v>5096</v>
      </c>
      <c r="C275" s="25" t="s">
        <v>5097</v>
      </c>
      <c r="D275" s="23" t="s">
        <v>4555</v>
      </c>
      <c r="E275" s="55">
        <v>46125</v>
      </c>
      <c r="F275" s="26" t="s">
        <v>55</v>
      </c>
      <c r="G275" s="26" t="s">
        <v>4401</v>
      </c>
      <c r="H275" s="26" t="s">
        <v>56</v>
      </c>
      <c r="I275" s="26" t="s">
        <v>4401</v>
      </c>
      <c r="J275" s="26" t="s">
        <v>58</v>
      </c>
      <c r="K275" s="27"/>
      <c r="L275" s="28" t="s">
        <v>56</v>
      </c>
      <c r="M275" s="29" t="str">
        <f t="shared" si="25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4.25" customHeight="1" x14ac:dyDescent="0.3">
      <c r="A276" s="42">
        <v>272</v>
      </c>
      <c r="B276" s="43" t="s">
        <v>5098</v>
      </c>
      <c r="C276" s="44" t="s">
        <v>5099</v>
      </c>
      <c r="D276" s="42" t="s">
        <v>4555</v>
      </c>
      <c r="E276" s="55">
        <v>46125</v>
      </c>
      <c r="F276" s="26" t="s">
        <v>55</v>
      </c>
      <c r="G276" s="26" t="s">
        <v>58</v>
      </c>
      <c r="H276" s="26" t="s">
        <v>56</v>
      </c>
      <c r="I276" s="26" t="s">
        <v>70</v>
      </c>
      <c r="J276" s="26" t="s">
        <v>58</v>
      </c>
      <c r="K276" s="27"/>
      <c r="L276" s="28" t="s">
        <v>56</v>
      </c>
      <c r="M276" s="29" t="str">
        <f t="shared" si="25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4.25" customHeight="1" x14ac:dyDescent="0.3">
      <c r="A277" s="23">
        <v>273</v>
      </c>
      <c r="B277" s="24" t="s">
        <v>5100</v>
      </c>
      <c r="C277" s="25" t="s">
        <v>5101</v>
      </c>
      <c r="D277" s="23" t="s">
        <v>4555</v>
      </c>
      <c r="E277" s="55">
        <v>46125</v>
      </c>
      <c r="F277" s="26" t="s">
        <v>55</v>
      </c>
      <c r="G277" s="26" t="s">
        <v>4401</v>
      </c>
      <c r="H277" s="26" t="s">
        <v>56</v>
      </c>
      <c r="I277" s="26" t="s">
        <v>4401</v>
      </c>
      <c r="J277" s="26" t="s">
        <v>58</v>
      </c>
      <c r="K277" s="27"/>
      <c r="L277" s="28" t="s">
        <v>56</v>
      </c>
      <c r="M277" s="29" t="str">
        <f t="shared" si="25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4.25" customHeight="1" x14ac:dyDescent="0.3">
      <c r="A278" s="42">
        <v>274</v>
      </c>
      <c r="B278" s="43" t="s">
        <v>5102</v>
      </c>
      <c r="C278" s="44" t="s">
        <v>5103</v>
      </c>
      <c r="D278" s="42" t="s">
        <v>4555</v>
      </c>
      <c r="E278" s="55">
        <v>46125</v>
      </c>
      <c r="F278" s="26" t="s">
        <v>55</v>
      </c>
      <c r="G278" s="26" t="s">
        <v>4401</v>
      </c>
      <c r="H278" s="26" t="s">
        <v>56</v>
      </c>
      <c r="I278" s="26" t="s">
        <v>4401</v>
      </c>
      <c r="J278" s="26" t="s">
        <v>58</v>
      </c>
      <c r="K278" s="27"/>
      <c r="L278" s="28" t="s">
        <v>56</v>
      </c>
      <c r="M278" s="29" t="str">
        <f t="shared" si="25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4.25" customHeight="1" x14ac:dyDescent="0.3">
      <c r="A279" s="23">
        <v>275</v>
      </c>
      <c r="B279" s="24" t="s">
        <v>5104</v>
      </c>
      <c r="C279" s="25" t="s">
        <v>5105</v>
      </c>
      <c r="D279" s="23" t="s">
        <v>4555</v>
      </c>
      <c r="E279" s="55">
        <v>46125</v>
      </c>
      <c r="F279" s="26" t="s">
        <v>55</v>
      </c>
      <c r="G279" s="26" t="s">
        <v>4401</v>
      </c>
      <c r="H279" s="26" t="s">
        <v>56</v>
      </c>
      <c r="I279" s="26" t="s">
        <v>4401</v>
      </c>
      <c r="J279" s="26" t="s">
        <v>58</v>
      </c>
      <c r="K279" s="27"/>
      <c r="L279" s="28" t="s">
        <v>56</v>
      </c>
      <c r="M279" s="29" t="str">
        <f t="shared" si="25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4.25" customHeight="1" x14ac:dyDescent="0.3">
      <c r="A280" s="42">
        <v>276</v>
      </c>
      <c r="B280" s="43" t="s">
        <v>5106</v>
      </c>
      <c r="C280" s="44" t="s">
        <v>5107</v>
      </c>
      <c r="D280" s="42" t="s">
        <v>4555</v>
      </c>
      <c r="E280" s="55">
        <v>46125</v>
      </c>
      <c r="F280" s="26" t="s">
        <v>55</v>
      </c>
      <c r="G280" s="26" t="s">
        <v>58</v>
      </c>
      <c r="H280" s="26" t="s">
        <v>56</v>
      </c>
      <c r="I280" s="26" t="s">
        <v>70</v>
      </c>
      <c r="J280" s="26" t="s">
        <v>58</v>
      </c>
      <c r="K280" s="27"/>
      <c r="L280" s="28" t="s">
        <v>56</v>
      </c>
      <c r="M280" s="29" t="str">
        <f t="shared" si="25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4.25" customHeight="1" x14ac:dyDescent="0.3">
      <c r="A281" s="23">
        <v>277</v>
      </c>
      <c r="B281" s="24" t="s">
        <v>5108</v>
      </c>
      <c r="C281" s="25" t="s">
        <v>5109</v>
      </c>
      <c r="D281" s="23" t="s">
        <v>4555</v>
      </c>
      <c r="E281" s="55">
        <v>46125</v>
      </c>
      <c r="F281" s="26" t="s">
        <v>55</v>
      </c>
      <c r="G281" s="26" t="s">
        <v>4401</v>
      </c>
      <c r="H281" s="26" t="s">
        <v>56</v>
      </c>
      <c r="I281" s="26" t="s">
        <v>4401</v>
      </c>
      <c r="J281" s="26" t="s">
        <v>58</v>
      </c>
      <c r="K281" s="27"/>
      <c r="L281" s="28" t="s">
        <v>56</v>
      </c>
      <c r="M281" s="29" t="str">
        <f t="shared" si="25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4.25" customHeight="1" x14ac:dyDescent="0.3">
      <c r="A282" s="42">
        <v>278</v>
      </c>
      <c r="B282" s="43" t="s">
        <v>5110</v>
      </c>
      <c r="C282" s="44" t="s">
        <v>5111</v>
      </c>
      <c r="D282" s="42" t="s">
        <v>4555</v>
      </c>
      <c r="E282" s="55">
        <v>46125</v>
      </c>
      <c r="F282" s="26" t="s">
        <v>55</v>
      </c>
      <c r="G282" s="26" t="s">
        <v>4401</v>
      </c>
      <c r="H282" s="26" t="s">
        <v>56</v>
      </c>
      <c r="I282" s="26" t="s">
        <v>4401</v>
      </c>
      <c r="J282" s="26" t="s">
        <v>58</v>
      </c>
      <c r="K282" s="27"/>
      <c r="L282" s="28" t="s">
        <v>56</v>
      </c>
      <c r="M282" s="29" t="str">
        <f t="shared" si="25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4.25" customHeight="1" x14ac:dyDescent="0.3">
      <c r="A283" s="23">
        <v>279</v>
      </c>
      <c r="B283" s="24" t="s">
        <v>5112</v>
      </c>
      <c r="C283" s="25" t="s">
        <v>5113</v>
      </c>
      <c r="D283" s="23" t="s">
        <v>4555</v>
      </c>
      <c r="E283" s="55">
        <v>46125</v>
      </c>
      <c r="F283" s="26" t="s">
        <v>55</v>
      </c>
      <c r="G283" s="26" t="s">
        <v>4401</v>
      </c>
      <c r="H283" s="26" t="s">
        <v>56</v>
      </c>
      <c r="I283" s="26" t="s">
        <v>4401</v>
      </c>
      <c r="J283" s="26" t="s">
        <v>58</v>
      </c>
      <c r="K283" s="27"/>
      <c r="L283" s="28" t="s">
        <v>56</v>
      </c>
      <c r="M283" s="29" t="str">
        <f t="shared" si="25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4.25" customHeight="1" x14ac:dyDescent="0.3">
      <c r="A284" s="42">
        <v>280</v>
      </c>
      <c r="B284" s="43" t="s">
        <v>5114</v>
      </c>
      <c r="C284" s="44" t="s">
        <v>5115</v>
      </c>
      <c r="D284" s="42" t="s">
        <v>4555</v>
      </c>
      <c r="E284" s="55">
        <v>46125</v>
      </c>
      <c r="F284" s="26" t="s">
        <v>55</v>
      </c>
      <c r="G284" s="26" t="s">
        <v>4401</v>
      </c>
      <c r="H284" s="26" t="s">
        <v>56</v>
      </c>
      <c r="I284" s="26" t="s">
        <v>4401</v>
      </c>
      <c r="J284" s="26" t="s">
        <v>58</v>
      </c>
      <c r="K284" s="27"/>
      <c r="L284" s="28" t="s">
        <v>56</v>
      </c>
      <c r="M284" s="29" t="str">
        <f t="shared" si="25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4.25" customHeight="1" x14ac:dyDescent="0.3">
      <c r="A285" s="23">
        <v>281</v>
      </c>
      <c r="B285" s="24" t="s">
        <v>5116</v>
      </c>
      <c r="C285" s="25" t="s">
        <v>5117</v>
      </c>
      <c r="D285" s="23" t="s">
        <v>4555</v>
      </c>
      <c r="E285" s="55">
        <v>46125</v>
      </c>
      <c r="F285" s="26" t="s">
        <v>55</v>
      </c>
      <c r="G285" s="26" t="s">
        <v>4401</v>
      </c>
      <c r="H285" s="26" t="s">
        <v>56</v>
      </c>
      <c r="I285" s="26" t="s">
        <v>4401</v>
      </c>
      <c r="J285" s="26" t="s">
        <v>58</v>
      </c>
      <c r="K285" s="27"/>
      <c r="L285" s="28" t="s">
        <v>56</v>
      </c>
      <c r="M285" s="29" t="str">
        <f t="shared" si="25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4.25" customHeight="1" x14ac:dyDescent="0.3">
      <c r="A286" s="42">
        <v>282</v>
      </c>
      <c r="B286" s="43" t="s">
        <v>5118</v>
      </c>
      <c r="C286" s="44" t="s">
        <v>5119</v>
      </c>
      <c r="D286" s="42" t="s">
        <v>4555</v>
      </c>
      <c r="E286" s="55">
        <v>46125</v>
      </c>
      <c r="F286" s="26" t="s">
        <v>55</v>
      </c>
      <c r="G286" s="26" t="s">
        <v>58</v>
      </c>
      <c r="H286" s="26" t="s">
        <v>56</v>
      </c>
      <c r="I286" s="26" t="s">
        <v>70</v>
      </c>
      <c r="J286" s="26" t="s">
        <v>58</v>
      </c>
      <c r="K286" s="27"/>
      <c r="L286" s="28" t="s">
        <v>56</v>
      </c>
      <c r="M286" s="29" t="str">
        <f t="shared" si="25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4.25" customHeight="1" x14ac:dyDescent="0.3">
      <c r="A287" s="23">
        <v>283</v>
      </c>
      <c r="B287" s="24" t="s">
        <v>5120</v>
      </c>
      <c r="C287" s="25" t="s">
        <v>5121</v>
      </c>
      <c r="D287" s="23" t="s">
        <v>4555</v>
      </c>
      <c r="E287" s="55">
        <v>46125</v>
      </c>
      <c r="F287" s="26" t="s">
        <v>55</v>
      </c>
      <c r="G287" s="26" t="s">
        <v>4401</v>
      </c>
      <c r="H287" s="26" t="s">
        <v>56</v>
      </c>
      <c r="I287" s="26" t="s">
        <v>4401</v>
      </c>
      <c r="J287" s="26" t="s">
        <v>58</v>
      </c>
      <c r="K287" s="27"/>
      <c r="L287" s="28" t="s">
        <v>56</v>
      </c>
      <c r="M287" s="29" t="str">
        <f t="shared" si="25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4.25" customHeight="1" x14ac:dyDescent="0.3">
      <c r="A288" s="42">
        <v>284</v>
      </c>
      <c r="B288" s="43" t="s">
        <v>5122</v>
      </c>
      <c r="C288" s="44" t="s">
        <v>5123</v>
      </c>
      <c r="D288" s="42" t="s">
        <v>4555</v>
      </c>
      <c r="E288" s="55">
        <v>46125</v>
      </c>
      <c r="F288" s="26" t="s">
        <v>55</v>
      </c>
      <c r="G288" s="26" t="s">
        <v>4401</v>
      </c>
      <c r="H288" s="26" t="s">
        <v>56</v>
      </c>
      <c r="I288" s="26" t="s">
        <v>4401</v>
      </c>
      <c r="J288" s="26" t="s">
        <v>58</v>
      </c>
      <c r="K288" s="27"/>
      <c r="L288" s="28" t="s">
        <v>56</v>
      </c>
      <c r="M288" s="29" t="str">
        <f t="shared" si="25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4.25" customHeight="1" x14ac:dyDescent="0.3">
      <c r="A289" s="23">
        <v>285</v>
      </c>
      <c r="B289" s="24" t="s">
        <v>5124</v>
      </c>
      <c r="C289" s="25" t="s">
        <v>5125</v>
      </c>
      <c r="D289" s="23" t="s">
        <v>4555</v>
      </c>
      <c r="E289" s="55">
        <v>46125</v>
      </c>
      <c r="F289" s="26" t="s">
        <v>55</v>
      </c>
      <c r="G289" s="26" t="s">
        <v>58</v>
      </c>
      <c r="H289" s="26" t="s">
        <v>56</v>
      </c>
      <c r="I289" s="26" t="s">
        <v>70</v>
      </c>
      <c r="J289" s="26" t="s">
        <v>58</v>
      </c>
      <c r="K289" s="27"/>
      <c r="L289" s="28" t="s">
        <v>56</v>
      </c>
      <c r="M289" s="29" t="str">
        <f t="shared" si="25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4.25" customHeight="1" x14ac:dyDescent="0.3">
      <c r="A290" s="42">
        <v>286</v>
      </c>
      <c r="B290" s="43" t="s">
        <v>5126</v>
      </c>
      <c r="C290" s="44" t="s">
        <v>5127</v>
      </c>
      <c r="D290" s="42" t="s">
        <v>4555</v>
      </c>
      <c r="E290" s="55">
        <v>46125</v>
      </c>
      <c r="F290" s="26" t="s">
        <v>55</v>
      </c>
      <c r="G290" s="26" t="s">
        <v>4401</v>
      </c>
      <c r="H290" s="26" t="s">
        <v>56</v>
      </c>
      <c r="I290" s="26" t="s">
        <v>4401</v>
      </c>
      <c r="J290" s="26" t="s">
        <v>58</v>
      </c>
      <c r="K290" s="27"/>
      <c r="L290" s="28" t="s">
        <v>56</v>
      </c>
      <c r="M290" s="29" t="str">
        <f t="shared" si="25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4.25" customHeight="1" x14ac:dyDescent="0.3">
      <c r="A291" s="23">
        <v>287</v>
      </c>
      <c r="B291" s="24" t="s">
        <v>5128</v>
      </c>
      <c r="C291" s="25" t="s">
        <v>5129</v>
      </c>
      <c r="D291" s="23" t="s">
        <v>4555</v>
      </c>
      <c r="E291" s="55">
        <v>46125</v>
      </c>
      <c r="F291" s="26" t="s">
        <v>55</v>
      </c>
      <c r="G291" s="26" t="s">
        <v>4401</v>
      </c>
      <c r="H291" s="26" t="s">
        <v>56</v>
      </c>
      <c r="I291" s="26" t="s">
        <v>4401</v>
      </c>
      <c r="J291" s="26" t="s">
        <v>58</v>
      </c>
      <c r="K291" s="27"/>
      <c r="L291" s="28" t="s">
        <v>56</v>
      </c>
      <c r="M291" s="29" t="str">
        <f t="shared" si="25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4.25" customHeight="1" x14ac:dyDescent="0.3">
      <c r="A292" s="42">
        <v>288</v>
      </c>
      <c r="B292" s="43" t="s">
        <v>5130</v>
      </c>
      <c r="C292" s="44" t="s">
        <v>5131</v>
      </c>
      <c r="D292" s="42" t="s">
        <v>4555</v>
      </c>
      <c r="E292" s="55">
        <v>46125</v>
      </c>
      <c r="F292" s="26" t="s">
        <v>55</v>
      </c>
      <c r="G292" s="26" t="s">
        <v>4401</v>
      </c>
      <c r="H292" s="26" t="s">
        <v>56</v>
      </c>
      <c r="I292" s="26" t="s">
        <v>4401</v>
      </c>
      <c r="J292" s="26" t="s">
        <v>58</v>
      </c>
      <c r="K292" s="27"/>
      <c r="L292" s="28" t="s">
        <v>56</v>
      </c>
      <c r="M292" s="29" t="str">
        <f t="shared" si="25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4.25" customHeight="1" x14ac:dyDescent="0.3">
      <c r="A293" s="23">
        <v>289</v>
      </c>
      <c r="B293" s="24" t="s">
        <v>5132</v>
      </c>
      <c r="C293" s="25" t="s">
        <v>5133</v>
      </c>
      <c r="D293" s="23" t="s">
        <v>4555</v>
      </c>
      <c r="E293" s="55">
        <v>46125</v>
      </c>
      <c r="F293" s="26" t="s">
        <v>55</v>
      </c>
      <c r="G293" s="26" t="s">
        <v>4401</v>
      </c>
      <c r="H293" s="26" t="s">
        <v>56</v>
      </c>
      <c r="I293" s="26" t="s">
        <v>4401</v>
      </c>
      <c r="J293" s="26" t="s">
        <v>58</v>
      </c>
      <c r="K293" s="27"/>
      <c r="L293" s="28" t="s">
        <v>56</v>
      </c>
      <c r="M293" s="29" t="str">
        <f t="shared" si="25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4.25" customHeight="1" x14ac:dyDescent="0.3">
      <c r="A294" s="42">
        <v>290</v>
      </c>
      <c r="B294" s="43" t="s">
        <v>5134</v>
      </c>
      <c r="C294" s="44" t="s">
        <v>5135</v>
      </c>
      <c r="D294" s="42" t="s">
        <v>4555</v>
      </c>
      <c r="E294" s="55">
        <v>46125</v>
      </c>
      <c r="F294" s="26" t="s">
        <v>55</v>
      </c>
      <c r="G294" s="26" t="s">
        <v>58</v>
      </c>
      <c r="H294" s="26" t="s">
        <v>56</v>
      </c>
      <c r="I294" s="26" t="s">
        <v>70</v>
      </c>
      <c r="J294" s="26" t="s">
        <v>58</v>
      </c>
      <c r="K294" s="27"/>
      <c r="L294" s="28" t="s">
        <v>56</v>
      </c>
      <c r="M294" s="29" t="str">
        <f t="shared" si="25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4.25" customHeight="1" x14ac:dyDescent="0.3">
      <c r="A295" s="23">
        <v>291</v>
      </c>
      <c r="B295" s="24" t="s">
        <v>5136</v>
      </c>
      <c r="C295" s="25" t="s">
        <v>5137</v>
      </c>
      <c r="D295" s="23" t="s">
        <v>4555</v>
      </c>
      <c r="E295" s="55">
        <v>46125</v>
      </c>
      <c r="F295" s="26" t="s">
        <v>55</v>
      </c>
      <c r="G295" s="26" t="s">
        <v>4401</v>
      </c>
      <c r="H295" s="26" t="s">
        <v>56</v>
      </c>
      <c r="I295" s="26" t="s">
        <v>4401</v>
      </c>
      <c r="J295" s="26" t="s">
        <v>58</v>
      </c>
      <c r="K295" s="27"/>
      <c r="L295" s="28" t="s">
        <v>56</v>
      </c>
      <c r="M295" s="29" t="str">
        <f t="shared" si="25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4.25" customHeight="1" x14ac:dyDescent="0.3">
      <c r="A296" s="42">
        <v>292</v>
      </c>
      <c r="B296" s="43" t="s">
        <v>5138</v>
      </c>
      <c r="C296" s="44" t="s">
        <v>5139</v>
      </c>
      <c r="D296" s="42" t="s">
        <v>4555</v>
      </c>
      <c r="E296" s="55">
        <v>46125</v>
      </c>
      <c r="F296" s="26" t="s">
        <v>55</v>
      </c>
      <c r="G296" s="26" t="s">
        <v>4401</v>
      </c>
      <c r="H296" s="26" t="s">
        <v>56</v>
      </c>
      <c r="I296" s="26" t="s">
        <v>4401</v>
      </c>
      <c r="J296" s="26" t="s">
        <v>58</v>
      </c>
      <c r="K296" s="27"/>
      <c r="L296" s="28" t="s">
        <v>56</v>
      </c>
      <c r="M296" s="29" t="str">
        <f t="shared" si="25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23">
        <v>293</v>
      </c>
      <c r="B297" s="24" t="s">
        <v>5140</v>
      </c>
      <c r="C297" s="25" t="s">
        <v>5141</v>
      </c>
      <c r="D297" s="23" t="s">
        <v>4555</v>
      </c>
      <c r="E297" s="55">
        <v>46125</v>
      </c>
      <c r="F297" s="26" t="s">
        <v>55</v>
      </c>
      <c r="G297" s="26" t="s">
        <v>4401</v>
      </c>
      <c r="H297" s="26" t="s">
        <v>56</v>
      </c>
      <c r="I297" s="26" t="s">
        <v>4401</v>
      </c>
      <c r="J297" s="26" t="s">
        <v>58</v>
      </c>
      <c r="K297" s="27"/>
      <c r="L297" s="28" t="s">
        <v>56</v>
      </c>
      <c r="M297" s="29" t="str">
        <f t="shared" si="25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4.25" customHeight="1" x14ac:dyDescent="0.3">
      <c r="A298" s="42">
        <v>294</v>
      </c>
      <c r="B298" s="43" t="s">
        <v>5142</v>
      </c>
      <c r="C298" s="44" t="s">
        <v>5143</v>
      </c>
      <c r="D298" s="42" t="s">
        <v>4555</v>
      </c>
      <c r="E298" s="55">
        <v>46125</v>
      </c>
      <c r="F298" s="26" t="s">
        <v>55</v>
      </c>
      <c r="G298" s="26" t="s">
        <v>4401</v>
      </c>
      <c r="H298" s="26" t="s">
        <v>56</v>
      </c>
      <c r="I298" s="26" t="s">
        <v>4401</v>
      </c>
      <c r="J298" s="26" t="s">
        <v>58</v>
      </c>
      <c r="K298" s="27"/>
      <c r="L298" s="28" t="s">
        <v>56</v>
      </c>
      <c r="M298" s="29" t="str">
        <f t="shared" si="25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4.25" customHeight="1" x14ac:dyDescent="0.3">
      <c r="A299" s="23">
        <v>295</v>
      </c>
      <c r="B299" s="24" t="s">
        <v>5144</v>
      </c>
      <c r="C299" s="25" t="s">
        <v>5145</v>
      </c>
      <c r="D299" s="23" t="s">
        <v>4555</v>
      </c>
      <c r="E299" s="55">
        <v>46125</v>
      </c>
      <c r="F299" s="26" t="s">
        <v>55</v>
      </c>
      <c r="G299" s="26" t="s">
        <v>4401</v>
      </c>
      <c r="H299" s="26" t="s">
        <v>56</v>
      </c>
      <c r="I299" s="26" t="s">
        <v>4401</v>
      </c>
      <c r="J299" s="26" t="s">
        <v>58</v>
      </c>
      <c r="K299" s="27"/>
      <c r="L299" s="28" t="s">
        <v>56</v>
      </c>
      <c r="M299" s="29" t="str">
        <f t="shared" si="25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4.25" customHeight="1" x14ac:dyDescent="0.3">
      <c r="A300" s="42">
        <v>296</v>
      </c>
      <c r="B300" s="43" t="s">
        <v>5146</v>
      </c>
      <c r="C300" s="44" t="s">
        <v>5147</v>
      </c>
      <c r="D300" s="42" t="s">
        <v>4555</v>
      </c>
      <c r="E300" s="55">
        <v>46125</v>
      </c>
      <c r="F300" s="26" t="s">
        <v>55</v>
      </c>
      <c r="G300" s="26" t="s">
        <v>4401</v>
      </c>
      <c r="H300" s="26" t="s">
        <v>56</v>
      </c>
      <c r="I300" s="26" t="s">
        <v>4401</v>
      </c>
      <c r="J300" s="26" t="s">
        <v>58</v>
      </c>
      <c r="K300" s="27"/>
      <c r="L300" s="28" t="s">
        <v>56</v>
      </c>
      <c r="M300" s="29" t="str">
        <f t="shared" si="25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4.25" customHeight="1" x14ac:dyDescent="0.3">
      <c r="A301" s="23">
        <v>297</v>
      </c>
      <c r="B301" s="24" t="s">
        <v>5148</v>
      </c>
      <c r="C301" s="25" t="s">
        <v>5149</v>
      </c>
      <c r="D301" s="23" t="s">
        <v>4555</v>
      </c>
      <c r="E301" s="55">
        <v>46125</v>
      </c>
      <c r="F301" s="26" t="s">
        <v>55</v>
      </c>
      <c r="G301" s="26" t="s">
        <v>58</v>
      </c>
      <c r="H301" s="26" t="s">
        <v>56</v>
      </c>
      <c r="I301" s="26" t="s">
        <v>4970</v>
      </c>
      <c r="J301" s="26" t="s">
        <v>56</v>
      </c>
      <c r="K301" s="27" t="s">
        <v>4971</v>
      </c>
      <c r="L301" s="28" t="s">
        <v>58</v>
      </c>
      <c r="M301" s="29" t="str">
        <f t="shared" si="25"/>
        <v>⚠ Check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4.25" customHeight="1" x14ac:dyDescent="0.3">
      <c r="A302" s="42">
        <v>298</v>
      </c>
      <c r="B302" s="43" t="s">
        <v>5150</v>
      </c>
      <c r="C302" s="44" t="s">
        <v>5151</v>
      </c>
      <c r="D302" s="42" t="s">
        <v>4555</v>
      </c>
      <c r="E302" s="55">
        <v>46125</v>
      </c>
      <c r="F302" s="26" t="s">
        <v>55</v>
      </c>
      <c r="G302" s="26" t="s">
        <v>4401</v>
      </c>
      <c r="H302" s="26" t="s">
        <v>56</v>
      </c>
      <c r="I302" s="26" t="s">
        <v>4401</v>
      </c>
      <c r="J302" s="26" t="s">
        <v>58</v>
      </c>
      <c r="K302" s="27"/>
      <c r="L302" s="28" t="s">
        <v>56</v>
      </c>
      <c r="M302" s="29" t="str">
        <f t="shared" si="25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4.25" customHeight="1" x14ac:dyDescent="0.3">
      <c r="A303" s="23">
        <v>299</v>
      </c>
      <c r="B303" s="24" t="s">
        <v>5152</v>
      </c>
      <c r="C303" s="25" t="s">
        <v>5153</v>
      </c>
      <c r="D303" s="23" t="s">
        <v>4555</v>
      </c>
      <c r="E303" s="55">
        <v>46125</v>
      </c>
      <c r="F303" s="26" t="s">
        <v>55</v>
      </c>
      <c r="G303" s="26" t="s">
        <v>4401</v>
      </c>
      <c r="H303" s="26" t="s">
        <v>56</v>
      </c>
      <c r="I303" s="26" t="s">
        <v>4401</v>
      </c>
      <c r="J303" s="26" t="s">
        <v>58</v>
      </c>
      <c r="K303" s="27"/>
      <c r="L303" s="28" t="s">
        <v>56</v>
      </c>
      <c r="M303" s="29" t="str">
        <f t="shared" si="25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4.25" customHeight="1" x14ac:dyDescent="0.3">
      <c r="A304" s="42">
        <v>300</v>
      </c>
      <c r="B304" s="43" t="s">
        <v>5154</v>
      </c>
      <c r="C304" s="44" t="s">
        <v>5155</v>
      </c>
      <c r="D304" s="42" t="s">
        <v>4555</v>
      </c>
      <c r="E304" s="55">
        <v>46125</v>
      </c>
      <c r="F304" s="26" t="s">
        <v>55</v>
      </c>
      <c r="G304" s="26" t="s">
        <v>4401</v>
      </c>
      <c r="H304" s="26" t="s">
        <v>56</v>
      </c>
      <c r="I304" s="26" t="s">
        <v>4401</v>
      </c>
      <c r="J304" s="26" t="s">
        <v>58</v>
      </c>
      <c r="K304" s="27"/>
      <c r="L304" s="28" t="s">
        <v>56</v>
      </c>
      <c r="M304" s="29" t="str">
        <f t="shared" si="25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4.25" customHeight="1" x14ac:dyDescent="0.3">
      <c r="A305" s="23">
        <v>301</v>
      </c>
      <c r="B305" s="24" t="s">
        <v>5156</v>
      </c>
      <c r="C305" s="25" t="s">
        <v>5157</v>
      </c>
      <c r="D305" s="23" t="s">
        <v>4555</v>
      </c>
      <c r="E305" s="55">
        <v>46125</v>
      </c>
      <c r="F305" s="26" t="s">
        <v>55</v>
      </c>
      <c r="G305" s="26" t="s">
        <v>58</v>
      </c>
      <c r="H305" s="26" t="s">
        <v>56</v>
      </c>
      <c r="I305" s="26" t="s">
        <v>70</v>
      </c>
      <c r="J305" s="26" t="s">
        <v>58</v>
      </c>
      <c r="K305" s="27"/>
      <c r="L305" s="28" t="s">
        <v>56</v>
      </c>
      <c r="M305" s="29" t="str">
        <f t="shared" si="25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4.25" customHeight="1" x14ac:dyDescent="0.3">
      <c r="A306" s="42">
        <v>302</v>
      </c>
      <c r="B306" s="43" t="s">
        <v>5158</v>
      </c>
      <c r="C306" s="44" t="s">
        <v>5159</v>
      </c>
      <c r="D306" s="42" t="s">
        <v>4555</v>
      </c>
      <c r="E306" s="55">
        <v>46125</v>
      </c>
      <c r="F306" s="26" t="s">
        <v>55</v>
      </c>
      <c r="G306" s="26" t="s">
        <v>58</v>
      </c>
      <c r="H306" s="26" t="s">
        <v>56</v>
      </c>
      <c r="I306" s="26" t="s">
        <v>70</v>
      </c>
      <c r="J306" s="26" t="s">
        <v>58</v>
      </c>
      <c r="K306" s="27"/>
      <c r="L306" s="28" t="s">
        <v>56</v>
      </c>
      <c r="M306" s="29" t="str">
        <f t="shared" si="25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4.25" customHeight="1" x14ac:dyDescent="0.3">
      <c r="A307" s="23">
        <v>303</v>
      </c>
      <c r="B307" s="24" t="s">
        <v>5160</v>
      </c>
      <c r="C307" s="25" t="s">
        <v>5161</v>
      </c>
      <c r="D307" s="23" t="s">
        <v>4555</v>
      </c>
      <c r="E307" s="55">
        <v>46125</v>
      </c>
      <c r="F307" s="26" t="s">
        <v>55</v>
      </c>
      <c r="G307" s="26" t="s">
        <v>4401</v>
      </c>
      <c r="H307" s="26" t="s">
        <v>56</v>
      </c>
      <c r="I307" s="26" t="s">
        <v>4401</v>
      </c>
      <c r="J307" s="26" t="s">
        <v>58</v>
      </c>
      <c r="K307" s="27"/>
      <c r="L307" s="28" t="s">
        <v>56</v>
      </c>
      <c r="M307" s="29" t="str">
        <f t="shared" si="25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4.25" customHeight="1" x14ac:dyDescent="0.3">
      <c r="A308" s="42">
        <v>304</v>
      </c>
      <c r="B308" s="43" t="s">
        <v>5162</v>
      </c>
      <c r="C308" s="44" t="s">
        <v>5163</v>
      </c>
      <c r="D308" s="42" t="s">
        <v>4555</v>
      </c>
      <c r="E308" s="55">
        <v>46125</v>
      </c>
      <c r="F308" s="26" t="s">
        <v>55</v>
      </c>
      <c r="G308" s="26" t="s">
        <v>4401</v>
      </c>
      <c r="H308" s="26" t="s">
        <v>56</v>
      </c>
      <c r="I308" s="26" t="s">
        <v>4401</v>
      </c>
      <c r="J308" s="26" t="s">
        <v>58</v>
      </c>
      <c r="K308" s="27"/>
      <c r="L308" s="28" t="s">
        <v>56</v>
      </c>
      <c r="M308" s="29" t="str">
        <f t="shared" si="25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4.25" customHeight="1" x14ac:dyDescent="0.3">
      <c r="A309" s="23">
        <v>305</v>
      </c>
      <c r="B309" s="24" t="s">
        <v>5164</v>
      </c>
      <c r="C309" s="25" t="s">
        <v>5165</v>
      </c>
      <c r="D309" s="23" t="s">
        <v>4555</v>
      </c>
      <c r="E309" s="55">
        <v>46125</v>
      </c>
      <c r="F309" s="26" t="s">
        <v>55</v>
      </c>
      <c r="G309" s="26" t="s">
        <v>4401</v>
      </c>
      <c r="H309" s="26" t="s">
        <v>56</v>
      </c>
      <c r="I309" s="26" t="s">
        <v>4401</v>
      </c>
      <c r="J309" s="26" t="s">
        <v>58</v>
      </c>
      <c r="K309" s="27"/>
      <c r="L309" s="28" t="s">
        <v>56</v>
      </c>
      <c r="M309" s="29" t="str">
        <f t="shared" si="25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4.25" customHeight="1" x14ac:dyDescent="0.3">
      <c r="A310" s="42">
        <v>306</v>
      </c>
      <c r="B310" s="43" t="s">
        <v>5166</v>
      </c>
      <c r="C310" s="44" t="s">
        <v>5167</v>
      </c>
      <c r="D310" s="42" t="s">
        <v>4555</v>
      </c>
      <c r="E310" s="55">
        <v>46125</v>
      </c>
      <c r="F310" s="26" t="s">
        <v>55</v>
      </c>
      <c r="G310" s="26" t="s">
        <v>58</v>
      </c>
      <c r="H310" s="26" t="s">
        <v>56</v>
      </c>
      <c r="I310" s="26" t="s">
        <v>70</v>
      </c>
      <c r="J310" s="26" t="s">
        <v>58</v>
      </c>
      <c r="K310" s="27"/>
      <c r="L310" s="28" t="s">
        <v>56</v>
      </c>
      <c r="M310" s="29" t="str">
        <f t="shared" si="25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4.25" customHeight="1" x14ac:dyDescent="0.3">
      <c r="A311" s="23">
        <v>307</v>
      </c>
      <c r="B311" s="24" t="s">
        <v>5168</v>
      </c>
      <c r="C311" s="25" t="s">
        <v>5169</v>
      </c>
      <c r="D311" s="23" t="s">
        <v>4555</v>
      </c>
      <c r="E311" s="55">
        <v>46125</v>
      </c>
      <c r="F311" s="26" t="s">
        <v>55</v>
      </c>
      <c r="G311" s="26" t="s">
        <v>4401</v>
      </c>
      <c r="H311" s="26" t="s">
        <v>56</v>
      </c>
      <c r="I311" s="26" t="s">
        <v>4401</v>
      </c>
      <c r="J311" s="26" t="s">
        <v>58</v>
      </c>
      <c r="K311" s="27"/>
      <c r="L311" s="28" t="s">
        <v>56</v>
      </c>
      <c r="M311" s="29" t="str">
        <f t="shared" si="25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4.25" customHeight="1" x14ac:dyDescent="0.3">
      <c r="A312" s="42">
        <v>308</v>
      </c>
      <c r="B312" s="43" t="s">
        <v>5170</v>
      </c>
      <c r="C312" s="44" t="s">
        <v>5171</v>
      </c>
      <c r="D312" s="42" t="s">
        <v>4555</v>
      </c>
      <c r="E312" s="55">
        <v>46125</v>
      </c>
      <c r="F312" s="26" t="s">
        <v>55</v>
      </c>
      <c r="G312" s="26" t="s">
        <v>4401</v>
      </c>
      <c r="H312" s="26" t="s">
        <v>56</v>
      </c>
      <c r="I312" s="26" t="s">
        <v>4401</v>
      </c>
      <c r="J312" s="26" t="s">
        <v>58</v>
      </c>
      <c r="K312" s="27"/>
      <c r="L312" s="28" t="s">
        <v>56</v>
      </c>
      <c r="M312" s="29" t="str">
        <f t="shared" si="25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4.25" customHeight="1" x14ac:dyDescent="0.3">
      <c r="A313" s="23">
        <v>309</v>
      </c>
      <c r="B313" s="24" t="s">
        <v>5172</v>
      </c>
      <c r="C313" s="25" t="s">
        <v>5173</v>
      </c>
      <c r="D313" s="23" t="s">
        <v>4555</v>
      </c>
      <c r="E313" s="55">
        <v>46125</v>
      </c>
      <c r="F313" s="26" t="s">
        <v>55</v>
      </c>
      <c r="G313" s="26" t="s">
        <v>58</v>
      </c>
      <c r="H313" s="26" t="s">
        <v>56</v>
      </c>
      <c r="I313" s="26" t="s">
        <v>70</v>
      </c>
      <c r="J313" s="26" t="s">
        <v>58</v>
      </c>
      <c r="K313" s="27"/>
      <c r="L313" s="28" t="s">
        <v>56</v>
      </c>
      <c r="M313" s="29" t="str">
        <f t="shared" si="25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4.25" customHeight="1" x14ac:dyDescent="0.3">
      <c r="A314" s="42">
        <v>310</v>
      </c>
      <c r="B314" s="43" t="s">
        <v>5174</v>
      </c>
      <c r="C314" s="44" t="s">
        <v>5175</v>
      </c>
      <c r="D314" s="42" t="s">
        <v>4555</v>
      </c>
      <c r="E314" s="55">
        <v>46125</v>
      </c>
      <c r="F314" s="26" t="s">
        <v>55</v>
      </c>
      <c r="G314" s="26" t="s">
        <v>4401</v>
      </c>
      <c r="H314" s="26" t="s">
        <v>56</v>
      </c>
      <c r="I314" s="26" t="s">
        <v>4401</v>
      </c>
      <c r="J314" s="26" t="s">
        <v>58</v>
      </c>
      <c r="K314" s="27"/>
      <c r="L314" s="28" t="s">
        <v>56</v>
      </c>
      <c r="M314" s="29" t="str">
        <f t="shared" si="25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4.25" customHeight="1" x14ac:dyDescent="0.3">
      <c r="A315" s="23">
        <v>311</v>
      </c>
      <c r="B315" s="24" t="s">
        <v>5176</v>
      </c>
      <c r="C315" s="25" t="s">
        <v>5177</v>
      </c>
      <c r="D315" s="23" t="s">
        <v>4555</v>
      </c>
      <c r="E315" s="55">
        <v>46125</v>
      </c>
      <c r="F315" s="26" t="s">
        <v>55</v>
      </c>
      <c r="G315" s="26" t="s">
        <v>56</v>
      </c>
      <c r="H315" s="26" t="s">
        <v>56</v>
      </c>
      <c r="I315" s="26" t="s">
        <v>57</v>
      </c>
      <c r="J315" s="26" t="s">
        <v>56</v>
      </c>
      <c r="K315" s="27"/>
      <c r="L315" s="28" t="s">
        <v>58</v>
      </c>
      <c r="M315" s="29" t="str">
        <f t="shared" si="25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4.25" customHeight="1" x14ac:dyDescent="0.3">
      <c r="A316" s="42">
        <v>312</v>
      </c>
      <c r="B316" s="43" t="s">
        <v>5178</v>
      </c>
      <c r="C316" s="44" t="s">
        <v>5179</v>
      </c>
      <c r="D316" s="42" t="s">
        <v>4555</v>
      </c>
      <c r="E316" s="55">
        <v>46125</v>
      </c>
      <c r="F316" s="26" t="s">
        <v>55</v>
      </c>
      <c r="G316" s="26" t="s">
        <v>56</v>
      </c>
      <c r="H316" s="26" t="s">
        <v>56</v>
      </c>
      <c r="I316" s="26" t="s">
        <v>57</v>
      </c>
      <c r="J316" s="26" t="s">
        <v>56</v>
      </c>
      <c r="K316" s="27"/>
      <c r="L316" s="28" t="s">
        <v>58</v>
      </c>
      <c r="M316" s="29" t="str">
        <f t="shared" si="25"/>
        <v>⚠ Missing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4.25" customHeight="1" x14ac:dyDescent="0.3">
      <c r="A317" s="23">
        <v>313</v>
      </c>
      <c r="B317" s="24" t="s">
        <v>5180</v>
      </c>
      <c r="C317" s="25" t="s">
        <v>5181</v>
      </c>
      <c r="D317" s="23" t="s">
        <v>4555</v>
      </c>
      <c r="E317" s="55">
        <v>46125</v>
      </c>
      <c r="F317" s="26" t="s">
        <v>55</v>
      </c>
      <c r="G317" s="26" t="s">
        <v>56</v>
      </c>
      <c r="H317" s="26" t="s">
        <v>56</v>
      </c>
      <c r="I317" s="26" t="s">
        <v>57</v>
      </c>
      <c r="J317" s="26" t="s">
        <v>56</v>
      </c>
      <c r="K317" s="27"/>
      <c r="L317" s="28" t="s">
        <v>58</v>
      </c>
      <c r="M317" s="29" t="str">
        <f t="shared" si="25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4.25" customHeight="1" x14ac:dyDescent="0.3">
      <c r="A318" s="42">
        <v>314</v>
      </c>
      <c r="B318" s="43" t="s">
        <v>5182</v>
      </c>
      <c r="C318" s="44" t="s">
        <v>5183</v>
      </c>
      <c r="D318" s="42" t="s">
        <v>4555</v>
      </c>
      <c r="E318" s="55">
        <v>46125</v>
      </c>
      <c r="F318" s="26" t="s">
        <v>55</v>
      </c>
      <c r="G318" s="26" t="s">
        <v>58</v>
      </c>
      <c r="H318" s="26" t="s">
        <v>56</v>
      </c>
      <c r="I318" s="26" t="s">
        <v>70</v>
      </c>
      <c r="J318" s="26" t="s">
        <v>58</v>
      </c>
      <c r="K318" s="27"/>
      <c r="L318" s="28" t="s">
        <v>56</v>
      </c>
      <c r="M318" s="29" t="str">
        <f t="shared" si="25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4.25" customHeight="1" x14ac:dyDescent="0.3">
      <c r="A319" s="23">
        <v>315</v>
      </c>
      <c r="B319" s="24" t="s">
        <v>5184</v>
      </c>
      <c r="C319" s="25" t="s">
        <v>5185</v>
      </c>
      <c r="D319" s="23" t="s">
        <v>4555</v>
      </c>
      <c r="E319" s="55">
        <v>46125</v>
      </c>
      <c r="F319" s="26" t="s">
        <v>55</v>
      </c>
      <c r="G319" s="26" t="s">
        <v>4401</v>
      </c>
      <c r="H319" s="26" t="s">
        <v>56</v>
      </c>
      <c r="I319" s="26" t="s">
        <v>4401</v>
      </c>
      <c r="J319" s="26" t="s">
        <v>58</v>
      </c>
      <c r="K319" s="27"/>
      <c r="L319" s="28" t="s">
        <v>56</v>
      </c>
      <c r="M319" s="29" t="str">
        <f t="shared" si="25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4.25" customHeight="1" x14ac:dyDescent="0.3">
      <c r="A320" s="42">
        <v>316</v>
      </c>
      <c r="B320" s="43" t="s">
        <v>5186</v>
      </c>
      <c r="C320" s="44" t="s">
        <v>5187</v>
      </c>
      <c r="D320" s="42" t="s">
        <v>4555</v>
      </c>
      <c r="E320" s="55">
        <v>46125</v>
      </c>
      <c r="F320" s="26" t="s">
        <v>55</v>
      </c>
      <c r="G320" s="26" t="s">
        <v>4401</v>
      </c>
      <c r="H320" s="26" t="s">
        <v>56</v>
      </c>
      <c r="I320" s="26" t="s">
        <v>4401</v>
      </c>
      <c r="J320" s="26" t="s">
        <v>58</v>
      </c>
      <c r="K320" s="27"/>
      <c r="L320" s="28" t="s">
        <v>56</v>
      </c>
      <c r="M320" s="29" t="str">
        <f t="shared" si="25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4.25" customHeight="1" x14ac:dyDescent="0.3">
      <c r="A321" s="23">
        <v>317</v>
      </c>
      <c r="B321" s="24" t="s">
        <v>5188</v>
      </c>
      <c r="C321" s="25" t="s">
        <v>5189</v>
      </c>
      <c r="D321" s="23" t="s">
        <v>4555</v>
      </c>
      <c r="E321" s="55">
        <v>46125</v>
      </c>
      <c r="F321" s="26" t="s">
        <v>55</v>
      </c>
      <c r="G321" s="26" t="s">
        <v>4401</v>
      </c>
      <c r="H321" s="26" t="s">
        <v>56</v>
      </c>
      <c r="I321" s="26" t="s">
        <v>4401</v>
      </c>
      <c r="J321" s="26" t="s">
        <v>58</v>
      </c>
      <c r="K321" s="27"/>
      <c r="L321" s="28" t="s">
        <v>56</v>
      </c>
      <c r="M321" s="29" t="str">
        <f t="shared" si="25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4.25" customHeight="1" x14ac:dyDescent="0.3">
      <c r="A322" s="42">
        <v>318</v>
      </c>
      <c r="B322" s="43" t="s">
        <v>5190</v>
      </c>
      <c r="C322" s="44" t="s">
        <v>5191</v>
      </c>
      <c r="D322" s="42" t="s">
        <v>4555</v>
      </c>
      <c r="E322" s="55">
        <v>46125</v>
      </c>
      <c r="F322" s="26" t="s">
        <v>55</v>
      </c>
      <c r="G322" s="26" t="s">
        <v>4401</v>
      </c>
      <c r="H322" s="26" t="s">
        <v>56</v>
      </c>
      <c r="I322" s="26" t="s">
        <v>4401</v>
      </c>
      <c r="J322" s="26" t="s">
        <v>58</v>
      </c>
      <c r="K322" s="27"/>
      <c r="L322" s="28" t="s">
        <v>56</v>
      </c>
      <c r="M322" s="29" t="str">
        <f t="shared" si="25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4.25" customHeight="1" x14ac:dyDescent="0.3">
      <c r="A323" s="23">
        <v>319</v>
      </c>
      <c r="B323" s="24" t="s">
        <v>5192</v>
      </c>
      <c r="C323" s="25" t="s">
        <v>5193</v>
      </c>
      <c r="D323" s="23" t="s">
        <v>4555</v>
      </c>
      <c r="E323" s="55">
        <v>46125</v>
      </c>
      <c r="F323" s="26" t="s">
        <v>55</v>
      </c>
      <c r="G323" s="26" t="s">
        <v>4401</v>
      </c>
      <c r="H323" s="26" t="s">
        <v>56</v>
      </c>
      <c r="I323" s="26" t="s">
        <v>4401</v>
      </c>
      <c r="J323" s="26" t="s">
        <v>58</v>
      </c>
      <c r="K323" s="27"/>
      <c r="L323" s="28" t="s">
        <v>56</v>
      </c>
      <c r="M323" s="29" t="str">
        <f t="shared" si="25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4.25" customHeight="1" x14ac:dyDescent="0.3">
      <c r="A324" s="42">
        <v>320</v>
      </c>
      <c r="B324" s="43" t="s">
        <v>5194</v>
      </c>
      <c r="C324" s="44" t="s">
        <v>5195</v>
      </c>
      <c r="D324" s="42" t="s">
        <v>4555</v>
      </c>
      <c r="E324" s="55">
        <v>46125</v>
      </c>
      <c r="F324" s="26" t="s">
        <v>55</v>
      </c>
      <c r="G324" s="26" t="s">
        <v>58</v>
      </c>
      <c r="H324" s="26" t="s">
        <v>56</v>
      </c>
      <c r="I324" s="26" t="s">
        <v>70</v>
      </c>
      <c r="J324" s="26" t="s">
        <v>58</v>
      </c>
      <c r="K324" s="27"/>
      <c r="L324" s="28" t="s">
        <v>56</v>
      </c>
      <c r="M324" s="29" t="str">
        <f t="shared" si="25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4.25" customHeight="1" x14ac:dyDescent="0.3">
      <c r="A325" s="23">
        <v>321</v>
      </c>
      <c r="B325" s="24" t="s">
        <v>5196</v>
      </c>
      <c r="C325" s="25" t="s">
        <v>5197</v>
      </c>
      <c r="D325" s="23" t="s">
        <v>4555</v>
      </c>
      <c r="E325" s="55">
        <v>46125</v>
      </c>
      <c r="F325" s="26" t="s">
        <v>55</v>
      </c>
      <c r="G325" s="26" t="s">
        <v>4401</v>
      </c>
      <c r="H325" s="26" t="s">
        <v>56</v>
      </c>
      <c r="I325" s="26" t="s">
        <v>4401</v>
      </c>
      <c r="J325" s="26" t="s">
        <v>58</v>
      </c>
      <c r="K325" s="27"/>
      <c r="L325" s="28" t="s">
        <v>56</v>
      </c>
      <c r="M325" s="29" t="str">
        <f t="shared" si="25"/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42">
        <v>322</v>
      </c>
      <c r="B326" s="43" t="s">
        <v>5198</v>
      </c>
      <c r="C326" s="44" t="s">
        <v>5199</v>
      </c>
      <c r="D326" s="42" t="s">
        <v>4555</v>
      </c>
      <c r="E326" s="55">
        <v>46125</v>
      </c>
      <c r="F326" s="26" t="s">
        <v>55</v>
      </c>
      <c r="G326" s="26" t="s">
        <v>4401</v>
      </c>
      <c r="H326" s="26" t="s">
        <v>56</v>
      </c>
      <c r="I326" s="26" t="s">
        <v>4401</v>
      </c>
      <c r="J326" s="26" t="s">
        <v>58</v>
      </c>
      <c r="K326" s="27"/>
      <c r="L326" s="28" t="s">
        <v>56</v>
      </c>
      <c r="M326" s="29" t="str">
        <f t="shared" ref="M326:M389" si="30">IF(E326="","",IF(H326="Yes","❌ Disc",IF(G326="No","⚠ Missing",IF(J326="Yes","✓ OK","⚠ Check"))))</f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4.25" customHeight="1" x14ac:dyDescent="0.3">
      <c r="A327" s="23">
        <v>323</v>
      </c>
      <c r="B327" s="24" t="s">
        <v>5200</v>
      </c>
      <c r="C327" s="25" t="s">
        <v>5201</v>
      </c>
      <c r="D327" s="23" t="s">
        <v>4555</v>
      </c>
      <c r="E327" s="55">
        <v>46125</v>
      </c>
      <c r="F327" s="26" t="s">
        <v>55</v>
      </c>
      <c r="G327" s="26" t="s">
        <v>4401</v>
      </c>
      <c r="H327" s="26" t="s">
        <v>56</v>
      </c>
      <c r="I327" s="26" t="s">
        <v>4401</v>
      </c>
      <c r="J327" s="26" t="s">
        <v>58</v>
      </c>
      <c r="K327" s="27"/>
      <c r="L327" s="28" t="s">
        <v>56</v>
      </c>
      <c r="M327" s="29" t="str">
        <f t="shared" si="30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4.25" customHeight="1" x14ac:dyDescent="0.3">
      <c r="A328" s="42">
        <v>324</v>
      </c>
      <c r="B328" s="43" t="s">
        <v>5202</v>
      </c>
      <c r="C328" s="44" t="s">
        <v>5203</v>
      </c>
      <c r="D328" s="42" t="s">
        <v>4555</v>
      </c>
      <c r="E328" s="55">
        <v>46125</v>
      </c>
      <c r="F328" s="26" t="s">
        <v>55</v>
      </c>
      <c r="G328" s="26" t="s">
        <v>4401</v>
      </c>
      <c r="H328" s="26" t="s">
        <v>56</v>
      </c>
      <c r="I328" s="26" t="s">
        <v>4401</v>
      </c>
      <c r="J328" s="26" t="s">
        <v>58</v>
      </c>
      <c r="K328" s="27"/>
      <c r="L328" s="28" t="s">
        <v>56</v>
      </c>
      <c r="M328" s="29" t="str">
        <f t="shared" si="30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4.25" customHeight="1" x14ac:dyDescent="0.3">
      <c r="A329" s="23">
        <v>325</v>
      </c>
      <c r="B329" s="24" t="s">
        <v>5204</v>
      </c>
      <c r="C329" s="25" t="s">
        <v>5205</v>
      </c>
      <c r="D329" s="23" t="s">
        <v>4555</v>
      </c>
      <c r="E329" s="55">
        <v>46125</v>
      </c>
      <c r="F329" s="26" t="s">
        <v>55</v>
      </c>
      <c r="G329" s="26" t="s">
        <v>58</v>
      </c>
      <c r="H329" s="26" t="s">
        <v>56</v>
      </c>
      <c r="I329" s="26" t="s">
        <v>70</v>
      </c>
      <c r="J329" s="26" t="s">
        <v>58</v>
      </c>
      <c r="K329" s="27"/>
      <c r="L329" s="28" t="s">
        <v>56</v>
      </c>
      <c r="M329" s="29" t="str">
        <f t="shared" si="30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4.25" customHeight="1" x14ac:dyDescent="0.3">
      <c r="A330" s="42">
        <v>326</v>
      </c>
      <c r="B330" s="43" t="s">
        <v>5206</v>
      </c>
      <c r="C330" s="44" t="s">
        <v>5207</v>
      </c>
      <c r="D330" s="42" t="s">
        <v>4555</v>
      </c>
      <c r="E330" s="55">
        <v>46125</v>
      </c>
      <c r="F330" s="26" t="s">
        <v>55</v>
      </c>
      <c r="G330" s="26" t="s">
        <v>4401</v>
      </c>
      <c r="H330" s="26" t="s">
        <v>56</v>
      </c>
      <c r="I330" s="26" t="s">
        <v>4401</v>
      </c>
      <c r="J330" s="26" t="s">
        <v>58</v>
      </c>
      <c r="K330" s="27"/>
      <c r="L330" s="28" t="s">
        <v>56</v>
      </c>
      <c r="M330" s="29" t="str">
        <f t="shared" si="30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4.25" customHeight="1" x14ac:dyDescent="0.3">
      <c r="A331" s="23">
        <v>327</v>
      </c>
      <c r="B331" s="24" t="s">
        <v>5208</v>
      </c>
      <c r="C331" s="25" t="s">
        <v>5209</v>
      </c>
      <c r="D331" s="23" t="s">
        <v>4555</v>
      </c>
      <c r="E331" s="55">
        <v>46125</v>
      </c>
      <c r="F331" s="26" t="s">
        <v>55</v>
      </c>
      <c r="G331" s="26" t="s">
        <v>4401</v>
      </c>
      <c r="H331" s="26" t="s">
        <v>56</v>
      </c>
      <c r="I331" s="26" t="s">
        <v>4401</v>
      </c>
      <c r="J331" s="26" t="s">
        <v>58</v>
      </c>
      <c r="K331" s="27"/>
      <c r="L331" s="28" t="s">
        <v>56</v>
      </c>
      <c r="M331" s="29" t="str">
        <f t="shared" si="30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4.25" customHeight="1" x14ac:dyDescent="0.3">
      <c r="A332" s="42">
        <v>328</v>
      </c>
      <c r="B332" s="43" t="s">
        <v>5210</v>
      </c>
      <c r="C332" s="44" t="s">
        <v>5211</v>
      </c>
      <c r="D332" s="42" t="s">
        <v>4555</v>
      </c>
      <c r="E332" s="55">
        <v>46125</v>
      </c>
      <c r="F332" s="26" t="s">
        <v>55</v>
      </c>
      <c r="G332" s="26" t="s">
        <v>58</v>
      </c>
      <c r="H332" s="26" t="s">
        <v>56</v>
      </c>
      <c r="I332" s="26" t="s">
        <v>70</v>
      </c>
      <c r="J332" s="26" t="s">
        <v>58</v>
      </c>
      <c r="K332" s="27"/>
      <c r="L332" s="28" t="s">
        <v>56</v>
      </c>
      <c r="M332" s="29" t="str">
        <f t="shared" si="30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4.25" customHeight="1" x14ac:dyDescent="0.3">
      <c r="A333" s="23">
        <v>329</v>
      </c>
      <c r="B333" s="24" t="s">
        <v>5212</v>
      </c>
      <c r="C333" s="25" t="s">
        <v>5213</v>
      </c>
      <c r="D333" s="23" t="s">
        <v>4555</v>
      </c>
      <c r="E333" s="55">
        <v>46125</v>
      </c>
      <c r="F333" s="26" t="s">
        <v>55</v>
      </c>
      <c r="G333" s="26" t="s">
        <v>4401</v>
      </c>
      <c r="H333" s="26" t="s">
        <v>56</v>
      </c>
      <c r="I333" s="26" t="s">
        <v>4401</v>
      </c>
      <c r="J333" s="26" t="s">
        <v>58</v>
      </c>
      <c r="K333" s="27"/>
      <c r="L333" s="28" t="s">
        <v>56</v>
      </c>
      <c r="M333" s="29" t="str">
        <f t="shared" si="30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4.25" customHeight="1" x14ac:dyDescent="0.3">
      <c r="A334" s="42">
        <v>330</v>
      </c>
      <c r="B334" s="43" t="s">
        <v>5214</v>
      </c>
      <c r="C334" s="44" t="s">
        <v>5215</v>
      </c>
      <c r="D334" s="42" t="s">
        <v>4555</v>
      </c>
      <c r="E334" s="55">
        <v>46125</v>
      </c>
      <c r="F334" s="26" t="s">
        <v>55</v>
      </c>
      <c r="G334" s="26" t="s">
        <v>4401</v>
      </c>
      <c r="H334" s="26" t="s">
        <v>56</v>
      </c>
      <c r="I334" s="26" t="s">
        <v>4401</v>
      </c>
      <c r="J334" s="26" t="s">
        <v>58</v>
      </c>
      <c r="K334" s="27"/>
      <c r="L334" s="28" t="s">
        <v>56</v>
      </c>
      <c r="M334" s="29" t="str">
        <f t="shared" si="30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4.25" customHeight="1" x14ac:dyDescent="0.3">
      <c r="A335" s="23">
        <v>331</v>
      </c>
      <c r="B335" s="24" t="s">
        <v>5216</v>
      </c>
      <c r="C335" s="25" t="s">
        <v>5217</v>
      </c>
      <c r="D335" s="23" t="s">
        <v>4555</v>
      </c>
      <c r="E335" s="55">
        <v>46125</v>
      </c>
      <c r="F335" s="26" t="s">
        <v>55</v>
      </c>
      <c r="G335" s="26" t="s">
        <v>4401</v>
      </c>
      <c r="H335" s="26" t="s">
        <v>56</v>
      </c>
      <c r="I335" s="26" t="s">
        <v>4401</v>
      </c>
      <c r="J335" s="26" t="s">
        <v>58</v>
      </c>
      <c r="K335" s="27"/>
      <c r="L335" s="28" t="s">
        <v>56</v>
      </c>
      <c r="M335" s="29" t="str">
        <f t="shared" si="30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4.25" customHeight="1" x14ac:dyDescent="0.3">
      <c r="A336" s="42">
        <v>332</v>
      </c>
      <c r="B336" s="43" t="s">
        <v>5218</v>
      </c>
      <c r="C336" s="44" t="s">
        <v>5219</v>
      </c>
      <c r="D336" s="42" t="s">
        <v>4555</v>
      </c>
      <c r="E336" s="55">
        <v>46125</v>
      </c>
      <c r="F336" s="26" t="s">
        <v>55</v>
      </c>
      <c r="G336" s="26" t="s">
        <v>4401</v>
      </c>
      <c r="H336" s="26" t="s">
        <v>56</v>
      </c>
      <c r="I336" s="26" t="s">
        <v>4401</v>
      </c>
      <c r="J336" s="26" t="s">
        <v>58</v>
      </c>
      <c r="K336" s="27"/>
      <c r="L336" s="28" t="s">
        <v>56</v>
      </c>
      <c r="M336" s="29" t="str">
        <f t="shared" si="30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4.25" customHeight="1" x14ac:dyDescent="0.3">
      <c r="A337" s="23">
        <v>333</v>
      </c>
      <c r="B337" s="24" t="s">
        <v>5220</v>
      </c>
      <c r="C337" s="25" t="s">
        <v>5221</v>
      </c>
      <c r="D337" s="23" t="s">
        <v>4555</v>
      </c>
      <c r="E337" s="55">
        <v>46125</v>
      </c>
      <c r="F337" s="26" t="s">
        <v>55</v>
      </c>
      <c r="G337" s="26" t="s">
        <v>58</v>
      </c>
      <c r="H337" s="26" t="s">
        <v>56</v>
      </c>
      <c r="I337" s="26" t="s">
        <v>70</v>
      </c>
      <c r="J337" s="26" t="s">
        <v>58</v>
      </c>
      <c r="K337" s="27"/>
      <c r="L337" s="28" t="s">
        <v>56</v>
      </c>
      <c r="M337" s="29" t="str">
        <f t="shared" si="30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4.25" customHeight="1" x14ac:dyDescent="0.3">
      <c r="A338" s="42">
        <v>334</v>
      </c>
      <c r="B338" s="43" t="s">
        <v>5222</v>
      </c>
      <c r="C338" s="44" t="s">
        <v>5223</v>
      </c>
      <c r="D338" s="42" t="s">
        <v>4555</v>
      </c>
      <c r="E338" s="55">
        <v>46125</v>
      </c>
      <c r="F338" s="26" t="s">
        <v>55</v>
      </c>
      <c r="G338" s="26" t="s">
        <v>4401</v>
      </c>
      <c r="H338" s="26" t="s">
        <v>56</v>
      </c>
      <c r="I338" s="26" t="s">
        <v>4401</v>
      </c>
      <c r="J338" s="26" t="s">
        <v>58</v>
      </c>
      <c r="K338" s="27"/>
      <c r="L338" s="28" t="s">
        <v>56</v>
      </c>
      <c r="M338" s="29" t="str">
        <f t="shared" si="30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4.25" customHeight="1" x14ac:dyDescent="0.3">
      <c r="A339" s="23">
        <v>335</v>
      </c>
      <c r="B339" s="24" t="s">
        <v>5224</v>
      </c>
      <c r="C339" s="25" t="s">
        <v>5225</v>
      </c>
      <c r="D339" s="23" t="s">
        <v>4555</v>
      </c>
      <c r="E339" s="55">
        <v>46125</v>
      </c>
      <c r="F339" s="26" t="s">
        <v>55</v>
      </c>
      <c r="G339" s="26" t="s">
        <v>4401</v>
      </c>
      <c r="H339" s="26" t="s">
        <v>56</v>
      </c>
      <c r="I339" s="26" t="s">
        <v>4401</v>
      </c>
      <c r="J339" s="26" t="s">
        <v>58</v>
      </c>
      <c r="K339" s="27"/>
      <c r="L339" s="28" t="s">
        <v>56</v>
      </c>
      <c r="M339" s="29" t="str">
        <f t="shared" si="30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4.25" customHeight="1" x14ac:dyDescent="0.3">
      <c r="A340" s="42">
        <v>336</v>
      </c>
      <c r="B340" s="43" t="s">
        <v>5226</v>
      </c>
      <c r="C340" s="44" t="s">
        <v>5227</v>
      </c>
      <c r="D340" s="42" t="s">
        <v>4555</v>
      </c>
      <c r="E340" s="55">
        <v>46125</v>
      </c>
      <c r="F340" s="26" t="s">
        <v>55</v>
      </c>
      <c r="G340" s="26" t="s">
        <v>4401</v>
      </c>
      <c r="H340" s="26" t="s">
        <v>56</v>
      </c>
      <c r="I340" s="26" t="s">
        <v>4401</v>
      </c>
      <c r="J340" s="26" t="s">
        <v>58</v>
      </c>
      <c r="K340" s="27"/>
      <c r="L340" s="28" t="s">
        <v>56</v>
      </c>
      <c r="M340" s="29" t="str">
        <f t="shared" si="30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4.25" customHeight="1" x14ac:dyDescent="0.3">
      <c r="A341" s="23">
        <v>337</v>
      </c>
      <c r="B341" s="24" t="s">
        <v>5228</v>
      </c>
      <c r="C341" s="25" t="s">
        <v>5229</v>
      </c>
      <c r="D341" s="23" t="s">
        <v>4555</v>
      </c>
      <c r="E341" s="55">
        <v>46125</v>
      </c>
      <c r="F341" s="26" t="s">
        <v>55</v>
      </c>
      <c r="G341" s="26" t="s">
        <v>4401</v>
      </c>
      <c r="H341" s="26" t="s">
        <v>56</v>
      </c>
      <c r="I341" s="26" t="s">
        <v>4401</v>
      </c>
      <c r="J341" s="26" t="s">
        <v>58</v>
      </c>
      <c r="K341" s="27"/>
      <c r="L341" s="28" t="s">
        <v>56</v>
      </c>
      <c r="M341" s="29" t="str">
        <f t="shared" si="30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4.25" customHeight="1" x14ac:dyDescent="0.3">
      <c r="A342" s="42">
        <v>338</v>
      </c>
      <c r="B342" s="43" t="s">
        <v>5230</v>
      </c>
      <c r="C342" s="44" t="s">
        <v>5231</v>
      </c>
      <c r="D342" s="42" t="s">
        <v>4555</v>
      </c>
      <c r="E342" s="55">
        <v>46125</v>
      </c>
      <c r="F342" s="26" t="s">
        <v>55</v>
      </c>
      <c r="G342" s="26" t="s">
        <v>4401</v>
      </c>
      <c r="H342" s="26" t="s">
        <v>56</v>
      </c>
      <c r="I342" s="26" t="s">
        <v>4401</v>
      </c>
      <c r="J342" s="26" t="s">
        <v>58</v>
      </c>
      <c r="K342" s="27"/>
      <c r="L342" s="28" t="s">
        <v>56</v>
      </c>
      <c r="M342" s="29" t="str">
        <f t="shared" si="30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4.25" customHeight="1" x14ac:dyDescent="0.3">
      <c r="A343" s="23">
        <v>339</v>
      </c>
      <c r="B343" s="24" t="s">
        <v>5232</v>
      </c>
      <c r="C343" s="25" t="s">
        <v>5233</v>
      </c>
      <c r="D343" s="23" t="s">
        <v>4555</v>
      </c>
      <c r="E343" s="55">
        <v>46125</v>
      </c>
      <c r="F343" s="26" t="s">
        <v>55</v>
      </c>
      <c r="G343" s="26" t="s">
        <v>4401</v>
      </c>
      <c r="H343" s="26" t="s">
        <v>56</v>
      </c>
      <c r="I343" s="26" t="s">
        <v>4401</v>
      </c>
      <c r="J343" s="26" t="s">
        <v>58</v>
      </c>
      <c r="K343" s="27"/>
      <c r="L343" s="28" t="s">
        <v>56</v>
      </c>
      <c r="M343" s="29" t="str">
        <f t="shared" si="30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4.25" customHeight="1" x14ac:dyDescent="0.3">
      <c r="A344" s="42">
        <v>340</v>
      </c>
      <c r="B344" s="43" t="s">
        <v>5234</v>
      </c>
      <c r="C344" s="44" t="s">
        <v>5235</v>
      </c>
      <c r="D344" s="42" t="s">
        <v>4555</v>
      </c>
      <c r="E344" s="55">
        <v>46125</v>
      </c>
      <c r="F344" s="26" t="s">
        <v>55</v>
      </c>
      <c r="G344" s="26" t="s">
        <v>4401</v>
      </c>
      <c r="H344" s="26" t="s">
        <v>56</v>
      </c>
      <c r="I344" s="26" t="s">
        <v>4401</v>
      </c>
      <c r="J344" s="26" t="s">
        <v>58</v>
      </c>
      <c r="K344" s="27"/>
      <c r="L344" s="28" t="s">
        <v>56</v>
      </c>
      <c r="M344" s="29" t="str">
        <f t="shared" si="30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4.25" customHeight="1" x14ac:dyDescent="0.3">
      <c r="A345" s="23">
        <v>341</v>
      </c>
      <c r="B345" s="24" t="s">
        <v>5236</v>
      </c>
      <c r="C345" s="25" t="s">
        <v>5237</v>
      </c>
      <c r="D345" s="23" t="s">
        <v>4555</v>
      </c>
      <c r="E345" s="55">
        <v>46125</v>
      </c>
      <c r="F345" s="26" t="s">
        <v>55</v>
      </c>
      <c r="G345" s="26" t="s">
        <v>4401</v>
      </c>
      <c r="H345" s="26" t="s">
        <v>56</v>
      </c>
      <c r="I345" s="26" t="s">
        <v>4401</v>
      </c>
      <c r="J345" s="26" t="s">
        <v>58</v>
      </c>
      <c r="K345" s="27"/>
      <c r="L345" s="28" t="s">
        <v>56</v>
      </c>
      <c r="M345" s="29" t="str">
        <f t="shared" si="30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4.25" customHeight="1" x14ac:dyDescent="0.3">
      <c r="A346" s="42">
        <v>342</v>
      </c>
      <c r="B346" s="43" t="s">
        <v>5238</v>
      </c>
      <c r="C346" s="44" t="s">
        <v>5239</v>
      </c>
      <c r="D346" s="42" t="s">
        <v>4555</v>
      </c>
      <c r="E346" s="55">
        <v>46125</v>
      </c>
      <c r="F346" s="26" t="s">
        <v>55</v>
      </c>
      <c r="G346" s="26" t="s">
        <v>4401</v>
      </c>
      <c r="H346" s="26" t="s">
        <v>56</v>
      </c>
      <c r="I346" s="26" t="s">
        <v>4401</v>
      </c>
      <c r="J346" s="26" t="s">
        <v>58</v>
      </c>
      <c r="K346" s="27"/>
      <c r="L346" s="28" t="s">
        <v>56</v>
      </c>
      <c r="M346" s="29" t="str">
        <f t="shared" si="30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4.25" customHeight="1" x14ac:dyDescent="0.3">
      <c r="A347" s="23">
        <v>343</v>
      </c>
      <c r="B347" s="24" t="s">
        <v>5240</v>
      </c>
      <c r="C347" s="25" t="s">
        <v>5241</v>
      </c>
      <c r="D347" s="23" t="s">
        <v>4555</v>
      </c>
      <c r="E347" s="55">
        <v>46125</v>
      </c>
      <c r="F347" s="26" t="s">
        <v>55</v>
      </c>
      <c r="G347" s="26" t="s">
        <v>4401</v>
      </c>
      <c r="H347" s="26" t="s">
        <v>56</v>
      </c>
      <c r="I347" s="26" t="s">
        <v>4401</v>
      </c>
      <c r="J347" s="26" t="s">
        <v>58</v>
      </c>
      <c r="K347" s="27"/>
      <c r="L347" s="28" t="s">
        <v>56</v>
      </c>
      <c r="M347" s="29" t="str">
        <f t="shared" si="30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4.25" customHeight="1" x14ac:dyDescent="0.3">
      <c r="A348" s="42">
        <v>344</v>
      </c>
      <c r="B348" s="43" t="s">
        <v>5242</v>
      </c>
      <c r="C348" s="44" t="s">
        <v>5243</v>
      </c>
      <c r="D348" s="42" t="s">
        <v>4555</v>
      </c>
      <c r="E348" s="55">
        <v>46125</v>
      </c>
      <c r="F348" s="26" t="s">
        <v>55</v>
      </c>
      <c r="G348" s="26" t="s">
        <v>58</v>
      </c>
      <c r="H348" s="26" t="s">
        <v>56</v>
      </c>
      <c r="I348" s="26" t="s">
        <v>70</v>
      </c>
      <c r="J348" s="26" t="s">
        <v>58</v>
      </c>
      <c r="K348" s="27"/>
      <c r="L348" s="28" t="s">
        <v>56</v>
      </c>
      <c r="M348" s="29" t="str">
        <f t="shared" si="30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4.25" customHeight="1" x14ac:dyDescent="0.3">
      <c r="A349" s="23">
        <v>345</v>
      </c>
      <c r="B349" s="24" t="s">
        <v>5244</v>
      </c>
      <c r="C349" s="25" t="s">
        <v>5245</v>
      </c>
      <c r="D349" s="23" t="s">
        <v>4555</v>
      </c>
      <c r="E349" s="55">
        <v>46125</v>
      </c>
      <c r="F349" s="26" t="s">
        <v>55</v>
      </c>
      <c r="G349" s="26" t="s">
        <v>4401</v>
      </c>
      <c r="H349" s="26" t="s">
        <v>56</v>
      </c>
      <c r="I349" s="26" t="s">
        <v>4401</v>
      </c>
      <c r="J349" s="26" t="s">
        <v>58</v>
      </c>
      <c r="K349" s="27"/>
      <c r="L349" s="28" t="s">
        <v>56</v>
      </c>
      <c r="M349" s="29" t="str">
        <f t="shared" si="30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4.25" customHeight="1" x14ac:dyDescent="0.3">
      <c r="A350" s="42">
        <v>346</v>
      </c>
      <c r="B350" s="43" t="s">
        <v>5246</v>
      </c>
      <c r="C350" s="44" t="s">
        <v>5247</v>
      </c>
      <c r="D350" s="42" t="s">
        <v>4555</v>
      </c>
      <c r="E350" s="55">
        <v>46125</v>
      </c>
      <c r="F350" s="26" t="s">
        <v>55</v>
      </c>
      <c r="G350" s="26" t="s">
        <v>4401</v>
      </c>
      <c r="H350" s="26" t="s">
        <v>56</v>
      </c>
      <c r="I350" s="26" t="s">
        <v>4401</v>
      </c>
      <c r="J350" s="26" t="s">
        <v>58</v>
      </c>
      <c r="K350" s="27"/>
      <c r="L350" s="28" t="s">
        <v>56</v>
      </c>
      <c r="M350" s="29" t="str">
        <f t="shared" si="30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4.25" customHeight="1" x14ac:dyDescent="0.3">
      <c r="A351" s="23">
        <v>347</v>
      </c>
      <c r="B351" s="24" t="s">
        <v>5248</v>
      </c>
      <c r="C351" s="25" t="s">
        <v>5249</v>
      </c>
      <c r="D351" s="23" t="s">
        <v>4555</v>
      </c>
      <c r="E351" s="55">
        <v>46125</v>
      </c>
      <c r="F351" s="26" t="s">
        <v>55</v>
      </c>
      <c r="G351" s="26" t="s">
        <v>4401</v>
      </c>
      <c r="H351" s="26" t="s">
        <v>56</v>
      </c>
      <c r="I351" s="26" t="s">
        <v>4401</v>
      </c>
      <c r="J351" s="26" t="s">
        <v>58</v>
      </c>
      <c r="K351" s="27"/>
      <c r="L351" s="28" t="s">
        <v>56</v>
      </c>
      <c r="M351" s="29" t="str">
        <f t="shared" si="30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4.25" customHeight="1" x14ac:dyDescent="0.3">
      <c r="A352" s="42">
        <v>348</v>
      </c>
      <c r="B352" s="43" t="s">
        <v>5250</v>
      </c>
      <c r="C352" s="44" t="s">
        <v>5251</v>
      </c>
      <c r="D352" s="42" t="s">
        <v>4555</v>
      </c>
      <c r="E352" s="55">
        <v>46125</v>
      </c>
      <c r="F352" s="26" t="s">
        <v>55</v>
      </c>
      <c r="G352" s="26" t="s">
        <v>4401</v>
      </c>
      <c r="H352" s="26" t="s">
        <v>56</v>
      </c>
      <c r="I352" s="26" t="s">
        <v>4401</v>
      </c>
      <c r="J352" s="26" t="s">
        <v>58</v>
      </c>
      <c r="K352" s="27"/>
      <c r="L352" s="28" t="s">
        <v>56</v>
      </c>
      <c r="M352" s="29" t="str">
        <f t="shared" si="30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4.25" customHeight="1" x14ac:dyDescent="0.3">
      <c r="A353" s="23">
        <v>349</v>
      </c>
      <c r="B353" s="24" t="s">
        <v>5252</v>
      </c>
      <c r="C353" s="25" t="s">
        <v>5253</v>
      </c>
      <c r="D353" s="23" t="s">
        <v>4555</v>
      </c>
      <c r="E353" s="55">
        <v>46125</v>
      </c>
      <c r="F353" s="26" t="s">
        <v>55</v>
      </c>
      <c r="G353" s="26" t="s">
        <v>4401</v>
      </c>
      <c r="H353" s="26" t="s">
        <v>56</v>
      </c>
      <c r="I353" s="26" t="s">
        <v>4401</v>
      </c>
      <c r="J353" s="26" t="s">
        <v>58</v>
      </c>
      <c r="K353" s="27"/>
      <c r="L353" s="28" t="s">
        <v>56</v>
      </c>
      <c r="M353" s="29" t="str">
        <f t="shared" si="30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4.25" customHeight="1" x14ac:dyDescent="0.3">
      <c r="A354" s="42">
        <v>350</v>
      </c>
      <c r="B354" s="43" t="s">
        <v>5254</v>
      </c>
      <c r="C354" s="44" t="s">
        <v>5255</v>
      </c>
      <c r="D354" s="42" t="s">
        <v>4555</v>
      </c>
      <c r="E354" s="55">
        <v>46125</v>
      </c>
      <c r="F354" s="26" t="s">
        <v>55</v>
      </c>
      <c r="G354" s="26" t="s">
        <v>4401</v>
      </c>
      <c r="H354" s="26" t="s">
        <v>56</v>
      </c>
      <c r="I354" s="26" t="s">
        <v>4401</v>
      </c>
      <c r="J354" s="26" t="s">
        <v>58</v>
      </c>
      <c r="K354" s="27"/>
      <c r="L354" s="28" t="s">
        <v>56</v>
      </c>
      <c r="M354" s="29" t="str">
        <f t="shared" si="30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4.25" customHeight="1" x14ac:dyDescent="0.3">
      <c r="A355" s="23">
        <v>351</v>
      </c>
      <c r="B355" s="24" t="s">
        <v>5256</v>
      </c>
      <c r="C355" s="25" t="s">
        <v>5257</v>
      </c>
      <c r="D355" s="23" t="s">
        <v>4555</v>
      </c>
      <c r="E355" s="55">
        <v>46125</v>
      </c>
      <c r="F355" s="26" t="s">
        <v>55</v>
      </c>
      <c r="G355" s="26" t="s">
        <v>4401</v>
      </c>
      <c r="H355" s="26" t="s">
        <v>56</v>
      </c>
      <c r="I355" s="26" t="s">
        <v>4401</v>
      </c>
      <c r="J355" s="26" t="s">
        <v>58</v>
      </c>
      <c r="K355" s="27"/>
      <c r="L355" s="28" t="s">
        <v>56</v>
      </c>
      <c r="M355" s="29" t="str">
        <f t="shared" si="30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4.25" customHeight="1" x14ac:dyDescent="0.3">
      <c r="A356" s="42">
        <v>352</v>
      </c>
      <c r="B356" s="43" t="s">
        <v>5258</v>
      </c>
      <c r="C356" s="44" t="s">
        <v>5259</v>
      </c>
      <c r="D356" s="42" t="s">
        <v>4555</v>
      </c>
      <c r="E356" s="55">
        <v>46125</v>
      </c>
      <c r="F356" s="26" t="s">
        <v>55</v>
      </c>
      <c r="G356" s="26" t="s">
        <v>4401</v>
      </c>
      <c r="H356" s="26" t="s">
        <v>56</v>
      </c>
      <c r="I356" s="26" t="s">
        <v>4401</v>
      </c>
      <c r="J356" s="26" t="s">
        <v>58</v>
      </c>
      <c r="K356" s="27"/>
      <c r="L356" s="28" t="s">
        <v>56</v>
      </c>
      <c r="M356" s="29" t="str">
        <f t="shared" si="30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4.25" customHeight="1" x14ac:dyDescent="0.3">
      <c r="A357" s="23">
        <v>353</v>
      </c>
      <c r="B357" s="24" t="s">
        <v>5260</v>
      </c>
      <c r="C357" s="25" t="s">
        <v>5261</v>
      </c>
      <c r="D357" s="23" t="s">
        <v>4555</v>
      </c>
      <c r="E357" s="55">
        <v>46125</v>
      </c>
      <c r="F357" s="26" t="s">
        <v>55</v>
      </c>
      <c r="G357" s="26" t="s">
        <v>4401</v>
      </c>
      <c r="H357" s="26" t="s">
        <v>56</v>
      </c>
      <c r="I357" s="26" t="s">
        <v>4401</v>
      </c>
      <c r="J357" s="26" t="s">
        <v>58</v>
      </c>
      <c r="K357" s="27"/>
      <c r="L357" s="28" t="s">
        <v>56</v>
      </c>
      <c r="M357" s="29" t="str">
        <f t="shared" si="30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4.25" customHeight="1" x14ac:dyDescent="0.3">
      <c r="A358" s="42">
        <v>354</v>
      </c>
      <c r="B358" s="43" t="s">
        <v>5262</v>
      </c>
      <c r="C358" s="44" t="s">
        <v>5263</v>
      </c>
      <c r="D358" s="42" t="s">
        <v>4555</v>
      </c>
      <c r="E358" s="55">
        <v>46125</v>
      </c>
      <c r="F358" s="26" t="s">
        <v>55</v>
      </c>
      <c r="G358" s="26" t="s">
        <v>4401</v>
      </c>
      <c r="H358" s="26" t="s">
        <v>56</v>
      </c>
      <c r="I358" s="26" t="s">
        <v>4401</v>
      </c>
      <c r="J358" s="26" t="s">
        <v>58</v>
      </c>
      <c r="K358" s="27"/>
      <c r="L358" s="28" t="s">
        <v>56</v>
      </c>
      <c r="M358" s="29" t="str">
        <f t="shared" si="30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4.25" customHeight="1" x14ac:dyDescent="0.3">
      <c r="A359" s="23">
        <v>355</v>
      </c>
      <c r="B359" s="24" t="s">
        <v>5264</v>
      </c>
      <c r="C359" s="25" t="s">
        <v>5265</v>
      </c>
      <c r="D359" s="23" t="s">
        <v>4555</v>
      </c>
      <c r="E359" s="55">
        <v>46125</v>
      </c>
      <c r="F359" s="26" t="s">
        <v>55</v>
      </c>
      <c r="G359" s="26" t="s">
        <v>4401</v>
      </c>
      <c r="H359" s="26" t="s">
        <v>56</v>
      </c>
      <c r="I359" s="26" t="s">
        <v>4401</v>
      </c>
      <c r="J359" s="26" t="s">
        <v>58</v>
      </c>
      <c r="K359" s="27"/>
      <c r="L359" s="28" t="s">
        <v>56</v>
      </c>
      <c r="M359" s="29" t="str">
        <f t="shared" si="30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4.25" customHeight="1" x14ac:dyDescent="0.3">
      <c r="A360" s="42">
        <v>356</v>
      </c>
      <c r="B360" s="43" t="s">
        <v>5266</v>
      </c>
      <c r="C360" s="44" t="s">
        <v>5267</v>
      </c>
      <c r="D360" s="42" t="s">
        <v>4555</v>
      </c>
      <c r="E360" s="55">
        <v>46125</v>
      </c>
      <c r="F360" s="26" t="s">
        <v>55</v>
      </c>
      <c r="G360" s="26" t="s">
        <v>4401</v>
      </c>
      <c r="H360" s="26" t="s">
        <v>56</v>
      </c>
      <c r="I360" s="26" t="s">
        <v>4401</v>
      </c>
      <c r="J360" s="26" t="s">
        <v>58</v>
      </c>
      <c r="K360" s="27"/>
      <c r="L360" s="28" t="s">
        <v>56</v>
      </c>
      <c r="M360" s="29" t="str">
        <f t="shared" si="30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4.25" customHeight="1" x14ac:dyDescent="0.3">
      <c r="A361" s="23">
        <v>357</v>
      </c>
      <c r="B361" s="24" t="s">
        <v>5268</v>
      </c>
      <c r="C361" s="25" t="s">
        <v>5269</v>
      </c>
      <c r="D361" s="23" t="s">
        <v>4555</v>
      </c>
      <c r="E361" s="55">
        <v>46125</v>
      </c>
      <c r="F361" s="26" t="s">
        <v>55</v>
      </c>
      <c r="G361" s="26" t="s">
        <v>4401</v>
      </c>
      <c r="H361" s="26" t="s">
        <v>56</v>
      </c>
      <c r="I361" s="26" t="s">
        <v>4401</v>
      </c>
      <c r="J361" s="26" t="s">
        <v>58</v>
      </c>
      <c r="K361" s="27"/>
      <c r="L361" s="28" t="s">
        <v>56</v>
      </c>
      <c r="M361" s="29" t="str">
        <f t="shared" si="30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4.25" customHeight="1" x14ac:dyDescent="0.3">
      <c r="A362" s="42">
        <v>358</v>
      </c>
      <c r="B362" s="43" t="s">
        <v>5270</v>
      </c>
      <c r="C362" s="44" t="s">
        <v>5271</v>
      </c>
      <c r="D362" s="42" t="s">
        <v>4555</v>
      </c>
      <c r="E362" s="55">
        <v>46125</v>
      </c>
      <c r="F362" s="26" t="s">
        <v>55</v>
      </c>
      <c r="G362" s="26" t="s">
        <v>58</v>
      </c>
      <c r="H362" s="26" t="s">
        <v>56</v>
      </c>
      <c r="I362" s="26" t="s">
        <v>70</v>
      </c>
      <c r="J362" s="26" t="s">
        <v>58</v>
      </c>
      <c r="K362" s="27"/>
      <c r="L362" s="28" t="s">
        <v>56</v>
      </c>
      <c r="M362" s="29" t="str">
        <f t="shared" si="30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4.25" customHeight="1" x14ac:dyDescent="0.3">
      <c r="A363" s="23">
        <v>359</v>
      </c>
      <c r="B363" s="24" t="s">
        <v>5272</v>
      </c>
      <c r="C363" s="25" t="s">
        <v>5273</v>
      </c>
      <c r="D363" s="23" t="s">
        <v>5274</v>
      </c>
      <c r="E363" s="55">
        <v>46125</v>
      </c>
      <c r="F363" s="26" t="s">
        <v>55</v>
      </c>
      <c r="G363" s="26" t="s">
        <v>56</v>
      </c>
      <c r="H363" s="26" t="s">
        <v>56</v>
      </c>
      <c r="I363" s="26" t="s">
        <v>57</v>
      </c>
      <c r="J363" s="26" t="s">
        <v>56</v>
      </c>
      <c r="K363" s="27"/>
      <c r="L363" s="28" t="s">
        <v>58</v>
      </c>
      <c r="M363" s="29" t="str">
        <f t="shared" si="30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4.25" customHeight="1" x14ac:dyDescent="0.3">
      <c r="A364" s="42">
        <v>360</v>
      </c>
      <c r="B364" s="43" t="s">
        <v>5275</v>
      </c>
      <c r="C364" s="44" t="s">
        <v>5276</v>
      </c>
      <c r="D364" s="42" t="s">
        <v>5274</v>
      </c>
      <c r="E364" s="55">
        <v>46125</v>
      </c>
      <c r="F364" s="26" t="s">
        <v>55</v>
      </c>
      <c r="G364" s="26" t="s">
        <v>56</v>
      </c>
      <c r="H364" s="26" t="s">
        <v>56</v>
      </c>
      <c r="I364" s="26" t="s">
        <v>57</v>
      </c>
      <c r="J364" s="26" t="s">
        <v>56</v>
      </c>
      <c r="K364" s="27"/>
      <c r="L364" s="28" t="s">
        <v>58</v>
      </c>
      <c r="M364" s="29" t="str">
        <f t="shared" si="30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4.25" customHeight="1" x14ac:dyDescent="0.3">
      <c r="A365" s="23">
        <v>361</v>
      </c>
      <c r="B365" s="24" t="s">
        <v>5277</v>
      </c>
      <c r="C365" s="25" t="s">
        <v>5278</v>
      </c>
      <c r="D365" s="23" t="s">
        <v>5274</v>
      </c>
      <c r="E365" s="55">
        <v>46125</v>
      </c>
      <c r="F365" s="26" t="s">
        <v>55</v>
      </c>
      <c r="G365" s="26" t="s">
        <v>56</v>
      </c>
      <c r="H365" s="26" t="s">
        <v>56</v>
      </c>
      <c r="I365" s="26" t="s">
        <v>57</v>
      </c>
      <c r="J365" s="26" t="s">
        <v>56</v>
      </c>
      <c r="K365" s="27"/>
      <c r="L365" s="28" t="s">
        <v>58</v>
      </c>
      <c r="M365" s="29" t="str">
        <f t="shared" si="30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4.25" customHeight="1" x14ac:dyDescent="0.3">
      <c r="A366" s="42">
        <v>362</v>
      </c>
      <c r="B366" s="43" t="s">
        <v>5279</v>
      </c>
      <c r="C366" s="44" t="s">
        <v>5280</v>
      </c>
      <c r="D366" s="42" t="s">
        <v>5274</v>
      </c>
      <c r="E366" s="55">
        <v>46125</v>
      </c>
      <c r="F366" s="26" t="s">
        <v>55</v>
      </c>
      <c r="G366" s="26" t="s">
        <v>56</v>
      </c>
      <c r="H366" s="26" t="s">
        <v>56</v>
      </c>
      <c r="I366" s="26" t="s">
        <v>57</v>
      </c>
      <c r="J366" s="26" t="s">
        <v>56</v>
      </c>
      <c r="K366" s="27"/>
      <c r="L366" s="28" t="s">
        <v>58</v>
      </c>
      <c r="M366" s="29" t="str">
        <f t="shared" si="30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4.25" customHeight="1" x14ac:dyDescent="0.3">
      <c r="A367" s="23">
        <v>363</v>
      </c>
      <c r="B367" s="24" t="s">
        <v>5281</v>
      </c>
      <c r="C367" s="25" t="s">
        <v>5282</v>
      </c>
      <c r="D367" s="23" t="s">
        <v>5274</v>
      </c>
      <c r="E367" s="55">
        <v>46125</v>
      </c>
      <c r="F367" s="26" t="s">
        <v>55</v>
      </c>
      <c r="G367" s="26" t="s">
        <v>56</v>
      </c>
      <c r="H367" s="26" t="s">
        <v>56</v>
      </c>
      <c r="I367" s="26" t="s">
        <v>57</v>
      </c>
      <c r="J367" s="26" t="s">
        <v>56</v>
      </c>
      <c r="K367" s="27"/>
      <c r="L367" s="28" t="s">
        <v>58</v>
      </c>
      <c r="M367" s="29" t="str">
        <f t="shared" si="30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4.25" customHeight="1" x14ac:dyDescent="0.3">
      <c r="A368" s="42">
        <v>364</v>
      </c>
      <c r="B368" s="43" t="s">
        <v>5283</v>
      </c>
      <c r="C368" s="44" t="s">
        <v>5284</v>
      </c>
      <c r="D368" s="42" t="s">
        <v>5274</v>
      </c>
      <c r="E368" s="55">
        <v>46125</v>
      </c>
      <c r="F368" s="26" t="s">
        <v>55</v>
      </c>
      <c r="G368" s="26" t="s">
        <v>56</v>
      </c>
      <c r="H368" s="26" t="s">
        <v>56</v>
      </c>
      <c r="I368" s="26" t="s">
        <v>57</v>
      </c>
      <c r="J368" s="26" t="s">
        <v>56</v>
      </c>
      <c r="K368" s="27"/>
      <c r="L368" s="28" t="s">
        <v>58</v>
      </c>
      <c r="M368" s="29" t="str">
        <f t="shared" si="30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4.25" customHeight="1" x14ac:dyDescent="0.3">
      <c r="A369" s="23">
        <v>365</v>
      </c>
      <c r="B369" s="24" t="s">
        <v>5285</v>
      </c>
      <c r="C369" s="25" t="s">
        <v>5286</v>
      </c>
      <c r="D369" s="23" t="s">
        <v>5274</v>
      </c>
      <c r="E369" s="55">
        <v>46125</v>
      </c>
      <c r="F369" s="26" t="s">
        <v>55</v>
      </c>
      <c r="G369" s="26" t="s">
        <v>56</v>
      </c>
      <c r="H369" s="26" t="s">
        <v>56</v>
      </c>
      <c r="I369" s="26" t="s">
        <v>57</v>
      </c>
      <c r="J369" s="26" t="s">
        <v>56</v>
      </c>
      <c r="K369" s="27"/>
      <c r="L369" s="28" t="s">
        <v>58</v>
      </c>
      <c r="M369" s="29" t="str">
        <f t="shared" si="30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4.25" customHeight="1" x14ac:dyDescent="0.3">
      <c r="A370" s="42">
        <v>366</v>
      </c>
      <c r="B370" s="43" t="s">
        <v>5287</v>
      </c>
      <c r="C370" s="44" t="s">
        <v>5288</v>
      </c>
      <c r="D370" s="42" t="s">
        <v>5274</v>
      </c>
      <c r="E370" s="55">
        <v>46125</v>
      </c>
      <c r="F370" s="26" t="s">
        <v>55</v>
      </c>
      <c r="G370" s="26" t="s">
        <v>56</v>
      </c>
      <c r="H370" s="26" t="s">
        <v>56</v>
      </c>
      <c r="I370" s="26" t="s">
        <v>57</v>
      </c>
      <c r="J370" s="26" t="s">
        <v>56</v>
      </c>
      <c r="K370" s="27"/>
      <c r="L370" s="28" t="s">
        <v>58</v>
      </c>
      <c r="M370" s="29" t="str">
        <f t="shared" si="30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4.25" customHeight="1" x14ac:dyDescent="0.3">
      <c r="A371" s="23">
        <v>367</v>
      </c>
      <c r="B371" s="24" t="s">
        <v>5289</v>
      </c>
      <c r="C371" s="25" t="s">
        <v>5290</v>
      </c>
      <c r="D371" s="23" t="s">
        <v>5274</v>
      </c>
      <c r="E371" s="55">
        <v>46125</v>
      </c>
      <c r="F371" s="26" t="s">
        <v>55</v>
      </c>
      <c r="G371" s="26" t="s">
        <v>56</v>
      </c>
      <c r="H371" s="26" t="s">
        <v>56</v>
      </c>
      <c r="I371" s="26" t="s">
        <v>57</v>
      </c>
      <c r="J371" s="26" t="s">
        <v>56</v>
      </c>
      <c r="K371" s="27"/>
      <c r="L371" s="28" t="s">
        <v>58</v>
      </c>
      <c r="M371" s="29" t="str">
        <f t="shared" si="30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4.25" customHeight="1" x14ac:dyDescent="0.3">
      <c r="A372" s="42">
        <v>368</v>
      </c>
      <c r="B372" s="43" t="s">
        <v>5291</v>
      </c>
      <c r="C372" s="44" t="s">
        <v>5292</v>
      </c>
      <c r="D372" s="42" t="s">
        <v>5274</v>
      </c>
      <c r="E372" s="55">
        <v>46125</v>
      </c>
      <c r="F372" s="26" t="s">
        <v>55</v>
      </c>
      <c r="G372" s="26" t="s">
        <v>56</v>
      </c>
      <c r="H372" s="26" t="s">
        <v>56</v>
      </c>
      <c r="I372" s="26" t="s">
        <v>57</v>
      </c>
      <c r="J372" s="26" t="s">
        <v>56</v>
      </c>
      <c r="K372" s="27"/>
      <c r="L372" s="28" t="s">
        <v>58</v>
      </c>
      <c r="M372" s="29" t="str">
        <f t="shared" si="30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4.25" customHeight="1" x14ac:dyDescent="0.3">
      <c r="A373" s="23">
        <v>369</v>
      </c>
      <c r="B373" s="24" t="s">
        <v>5293</v>
      </c>
      <c r="C373" s="25" t="s">
        <v>5294</v>
      </c>
      <c r="D373" s="23" t="s">
        <v>5274</v>
      </c>
      <c r="E373" s="55">
        <v>46125</v>
      </c>
      <c r="F373" s="26" t="s">
        <v>55</v>
      </c>
      <c r="G373" s="26" t="s">
        <v>56</v>
      </c>
      <c r="H373" s="26" t="s">
        <v>56</v>
      </c>
      <c r="I373" s="26" t="s">
        <v>57</v>
      </c>
      <c r="J373" s="26" t="s">
        <v>56</v>
      </c>
      <c r="K373" s="27"/>
      <c r="L373" s="28" t="s">
        <v>58</v>
      </c>
      <c r="M373" s="29" t="str">
        <f t="shared" si="30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4.25" customHeight="1" x14ac:dyDescent="0.3">
      <c r="A374" s="42">
        <v>370</v>
      </c>
      <c r="B374" s="43" t="s">
        <v>5295</v>
      </c>
      <c r="C374" s="44" t="s">
        <v>5296</v>
      </c>
      <c r="D374" s="42" t="s">
        <v>5274</v>
      </c>
      <c r="E374" s="55">
        <v>46125</v>
      </c>
      <c r="F374" s="26" t="s">
        <v>55</v>
      </c>
      <c r="G374" s="26" t="s">
        <v>56</v>
      </c>
      <c r="H374" s="26" t="s">
        <v>56</v>
      </c>
      <c r="I374" s="26" t="s">
        <v>57</v>
      </c>
      <c r="J374" s="26" t="s">
        <v>56</v>
      </c>
      <c r="K374" s="27"/>
      <c r="L374" s="28" t="s">
        <v>58</v>
      </c>
      <c r="M374" s="29" t="str">
        <f t="shared" si="30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4.25" customHeight="1" x14ac:dyDescent="0.3">
      <c r="A375" s="23">
        <v>371</v>
      </c>
      <c r="B375" s="24" t="s">
        <v>5297</v>
      </c>
      <c r="C375" s="25" t="s">
        <v>5298</v>
      </c>
      <c r="D375" s="23" t="s">
        <v>5274</v>
      </c>
      <c r="E375" s="55">
        <v>46125</v>
      </c>
      <c r="F375" s="26" t="s">
        <v>55</v>
      </c>
      <c r="G375" s="26" t="s">
        <v>56</v>
      </c>
      <c r="H375" s="26" t="s">
        <v>56</v>
      </c>
      <c r="I375" s="26" t="s">
        <v>57</v>
      </c>
      <c r="J375" s="26" t="s">
        <v>56</v>
      </c>
      <c r="K375" s="27"/>
      <c r="L375" s="28" t="s">
        <v>58</v>
      </c>
      <c r="M375" s="29" t="str">
        <f t="shared" si="30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4.25" customHeight="1" x14ac:dyDescent="0.3">
      <c r="A376" s="42">
        <v>372</v>
      </c>
      <c r="B376" s="43" t="s">
        <v>5299</v>
      </c>
      <c r="C376" s="44" t="s">
        <v>5300</v>
      </c>
      <c r="D376" s="42" t="s">
        <v>5274</v>
      </c>
      <c r="E376" s="55">
        <v>46125</v>
      </c>
      <c r="F376" s="26" t="s">
        <v>55</v>
      </c>
      <c r="G376" s="26" t="s">
        <v>56</v>
      </c>
      <c r="H376" s="26" t="s">
        <v>56</v>
      </c>
      <c r="I376" s="26" t="s">
        <v>57</v>
      </c>
      <c r="J376" s="26" t="s">
        <v>56</v>
      </c>
      <c r="K376" s="27"/>
      <c r="L376" s="28" t="s">
        <v>58</v>
      </c>
      <c r="M376" s="29" t="str">
        <f t="shared" si="30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4.25" customHeight="1" x14ac:dyDescent="0.3">
      <c r="A377" s="23">
        <v>373</v>
      </c>
      <c r="B377" s="24" t="s">
        <v>5301</v>
      </c>
      <c r="C377" s="25" t="s">
        <v>5302</v>
      </c>
      <c r="D377" s="23" t="s">
        <v>5274</v>
      </c>
      <c r="E377" s="55">
        <v>46125</v>
      </c>
      <c r="F377" s="26" t="s">
        <v>55</v>
      </c>
      <c r="G377" s="26" t="s">
        <v>56</v>
      </c>
      <c r="H377" s="26" t="s">
        <v>56</v>
      </c>
      <c r="I377" s="26" t="s">
        <v>57</v>
      </c>
      <c r="J377" s="26" t="s">
        <v>56</v>
      </c>
      <c r="K377" s="27"/>
      <c r="L377" s="28" t="s">
        <v>58</v>
      </c>
      <c r="M377" s="29" t="str">
        <f t="shared" si="30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4.25" customHeight="1" x14ac:dyDescent="0.3">
      <c r="A378" s="42">
        <v>374</v>
      </c>
      <c r="B378" s="43" t="s">
        <v>5303</v>
      </c>
      <c r="C378" s="44" t="s">
        <v>5304</v>
      </c>
      <c r="D378" s="42" t="s">
        <v>5274</v>
      </c>
      <c r="E378" s="55">
        <v>46125</v>
      </c>
      <c r="F378" s="26" t="s">
        <v>55</v>
      </c>
      <c r="G378" s="26" t="s">
        <v>56</v>
      </c>
      <c r="H378" s="26" t="s">
        <v>56</v>
      </c>
      <c r="I378" s="26" t="s">
        <v>57</v>
      </c>
      <c r="J378" s="26" t="s">
        <v>56</v>
      </c>
      <c r="K378" s="27"/>
      <c r="L378" s="28" t="s">
        <v>58</v>
      </c>
      <c r="M378" s="29" t="str">
        <f t="shared" si="30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4.25" customHeight="1" x14ac:dyDescent="0.3">
      <c r="A379" s="23">
        <v>375</v>
      </c>
      <c r="B379" s="24" t="s">
        <v>5305</v>
      </c>
      <c r="C379" s="25" t="s">
        <v>5306</v>
      </c>
      <c r="D379" s="23" t="s">
        <v>5274</v>
      </c>
      <c r="E379" s="55">
        <v>46125</v>
      </c>
      <c r="F379" s="26" t="s">
        <v>55</v>
      </c>
      <c r="G379" s="26" t="s">
        <v>56</v>
      </c>
      <c r="H379" s="26" t="s">
        <v>56</v>
      </c>
      <c r="I379" s="26" t="s">
        <v>57</v>
      </c>
      <c r="J379" s="26" t="s">
        <v>56</v>
      </c>
      <c r="K379" s="27"/>
      <c r="L379" s="28" t="s">
        <v>58</v>
      </c>
      <c r="M379" s="29" t="str">
        <f t="shared" si="30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4.25" customHeight="1" x14ac:dyDescent="0.3">
      <c r="A380" s="42">
        <v>376</v>
      </c>
      <c r="B380" s="43" t="s">
        <v>5307</v>
      </c>
      <c r="C380" s="44" t="s">
        <v>5308</v>
      </c>
      <c r="D380" s="42" t="s">
        <v>4215</v>
      </c>
      <c r="E380" s="55">
        <v>46125</v>
      </c>
      <c r="F380" s="26" t="s">
        <v>55</v>
      </c>
      <c r="G380" s="26" t="s">
        <v>58</v>
      </c>
      <c r="H380" s="26" t="s">
        <v>56</v>
      </c>
      <c r="I380" s="26" t="s">
        <v>70</v>
      </c>
      <c r="J380" s="26" t="s">
        <v>58</v>
      </c>
      <c r="K380" s="27"/>
      <c r="L380" s="28" t="s">
        <v>56</v>
      </c>
      <c r="M380" s="29" t="str">
        <f t="shared" si="30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4.25" customHeight="1" x14ac:dyDescent="0.3">
      <c r="A381" s="23">
        <v>377</v>
      </c>
      <c r="B381" s="24" t="s">
        <v>5309</v>
      </c>
      <c r="C381" s="25" t="s">
        <v>5310</v>
      </c>
      <c r="D381" s="23" t="s">
        <v>4215</v>
      </c>
      <c r="E381" s="55">
        <v>46125</v>
      </c>
      <c r="F381" s="26" t="s">
        <v>55</v>
      </c>
      <c r="G381" s="26" t="s">
        <v>58</v>
      </c>
      <c r="H381" s="26" t="s">
        <v>56</v>
      </c>
      <c r="I381" s="26" t="s">
        <v>70</v>
      </c>
      <c r="J381" s="26" t="s">
        <v>58</v>
      </c>
      <c r="K381" s="27"/>
      <c r="L381" s="28" t="s">
        <v>56</v>
      </c>
      <c r="M381" s="29" t="str">
        <f t="shared" si="30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4.25" customHeight="1" x14ac:dyDescent="0.3">
      <c r="A382" s="42">
        <v>378</v>
      </c>
      <c r="B382" s="43" t="s">
        <v>5311</v>
      </c>
      <c r="C382" s="44" t="s">
        <v>5312</v>
      </c>
      <c r="D382" s="42" t="s">
        <v>4215</v>
      </c>
      <c r="E382" s="55">
        <v>46125</v>
      </c>
      <c r="F382" s="26" t="s">
        <v>55</v>
      </c>
      <c r="G382" s="26" t="s">
        <v>58</v>
      </c>
      <c r="H382" s="26" t="s">
        <v>56</v>
      </c>
      <c r="I382" s="26" t="s">
        <v>70</v>
      </c>
      <c r="J382" s="26" t="s">
        <v>58</v>
      </c>
      <c r="K382" s="27"/>
      <c r="L382" s="28" t="s">
        <v>56</v>
      </c>
      <c r="M382" s="29" t="str">
        <f t="shared" si="30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4.25" customHeight="1" x14ac:dyDescent="0.3">
      <c r="A383" s="23">
        <v>379</v>
      </c>
      <c r="B383" s="24" t="s">
        <v>5313</v>
      </c>
      <c r="C383" s="25" t="s">
        <v>5314</v>
      </c>
      <c r="D383" s="23" t="s">
        <v>4215</v>
      </c>
      <c r="E383" s="55">
        <v>46125</v>
      </c>
      <c r="F383" s="26" t="s">
        <v>55</v>
      </c>
      <c r="G383" s="26" t="s">
        <v>58</v>
      </c>
      <c r="H383" s="26" t="s">
        <v>56</v>
      </c>
      <c r="I383" s="26" t="s">
        <v>70</v>
      </c>
      <c r="J383" s="26" t="s">
        <v>58</v>
      </c>
      <c r="K383" s="27"/>
      <c r="L383" s="28" t="s">
        <v>56</v>
      </c>
      <c r="M383" s="29" t="str">
        <f t="shared" si="30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4.25" customHeight="1" x14ac:dyDescent="0.3">
      <c r="A384" s="42">
        <v>380</v>
      </c>
      <c r="B384" s="43" t="s">
        <v>5315</v>
      </c>
      <c r="C384" s="44" t="s">
        <v>5316</v>
      </c>
      <c r="D384" s="42" t="s">
        <v>4215</v>
      </c>
      <c r="E384" s="55">
        <v>46125</v>
      </c>
      <c r="F384" s="26" t="s">
        <v>55</v>
      </c>
      <c r="G384" s="26" t="s">
        <v>58</v>
      </c>
      <c r="H384" s="26" t="s">
        <v>56</v>
      </c>
      <c r="I384" s="26" t="s">
        <v>70</v>
      </c>
      <c r="J384" s="26" t="s">
        <v>58</v>
      </c>
      <c r="K384" s="27"/>
      <c r="L384" s="28" t="s">
        <v>56</v>
      </c>
      <c r="M384" s="29" t="str">
        <f t="shared" si="30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4.25" customHeight="1" x14ac:dyDescent="0.3">
      <c r="A385" s="23">
        <v>381</v>
      </c>
      <c r="B385" s="24" t="s">
        <v>5317</v>
      </c>
      <c r="C385" s="25" t="s">
        <v>5318</v>
      </c>
      <c r="D385" s="23" t="s">
        <v>4215</v>
      </c>
      <c r="E385" s="55">
        <v>46125</v>
      </c>
      <c r="F385" s="26" t="s">
        <v>55</v>
      </c>
      <c r="G385" s="26" t="s">
        <v>58</v>
      </c>
      <c r="H385" s="26" t="s">
        <v>56</v>
      </c>
      <c r="I385" s="26" t="s">
        <v>70</v>
      </c>
      <c r="J385" s="26" t="s">
        <v>58</v>
      </c>
      <c r="K385" s="27"/>
      <c r="L385" s="28" t="s">
        <v>56</v>
      </c>
      <c r="M385" s="29" t="str">
        <f t="shared" si="30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4.25" customHeight="1" x14ac:dyDescent="0.3">
      <c r="A386" s="42">
        <v>382</v>
      </c>
      <c r="B386" s="43" t="s">
        <v>5319</v>
      </c>
      <c r="C386" s="44" t="s">
        <v>5320</v>
      </c>
      <c r="D386" s="42" t="s">
        <v>4215</v>
      </c>
      <c r="E386" s="55">
        <v>46125</v>
      </c>
      <c r="F386" s="26" t="s">
        <v>55</v>
      </c>
      <c r="G386" s="26" t="s">
        <v>58</v>
      </c>
      <c r="H386" s="26" t="s">
        <v>56</v>
      </c>
      <c r="I386" s="26" t="s">
        <v>70</v>
      </c>
      <c r="J386" s="26" t="s">
        <v>58</v>
      </c>
      <c r="K386" s="27"/>
      <c r="L386" s="28" t="s">
        <v>56</v>
      </c>
      <c r="M386" s="29" t="str">
        <f t="shared" si="30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4.25" customHeight="1" x14ac:dyDescent="0.3">
      <c r="A387" s="23">
        <v>383</v>
      </c>
      <c r="B387" s="24" t="s">
        <v>5321</v>
      </c>
      <c r="C387" s="25" t="s">
        <v>5322</v>
      </c>
      <c r="D387" s="23" t="s">
        <v>4215</v>
      </c>
      <c r="E387" s="55">
        <v>46125</v>
      </c>
      <c r="F387" s="26" t="s">
        <v>55</v>
      </c>
      <c r="G387" s="26" t="s">
        <v>58</v>
      </c>
      <c r="H387" s="26" t="s">
        <v>56</v>
      </c>
      <c r="I387" s="26" t="s">
        <v>70</v>
      </c>
      <c r="J387" s="26" t="s">
        <v>58</v>
      </c>
      <c r="K387" s="27"/>
      <c r="L387" s="28" t="s">
        <v>56</v>
      </c>
      <c r="M387" s="29" t="str">
        <f t="shared" si="30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4.25" customHeight="1" x14ac:dyDescent="0.3">
      <c r="A388" s="42">
        <v>384</v>
      </c>
      <c r="B388" s="43" t="s">
        <v>5323</v>
      </c>
      <c r="C388" s="44" t="s">
        <v>5324</v>
      </c>
      <c r="D388" s="42" t="s">
        <v>4215</v>
      </c>
      <c r="E388" s="55">
        <v>46125</v>
      </c>
      <c r="F388" s="26" t="s">
        <v>55</v>
      </c>
      <c r="G388" s="26" t="s">
        <v>58</v>
      </c>
      <c r="H388" s="26" t="s">
        <v>56</v>
      </c>
      <c r="I388" s="26" t="s">
        <v>70</v>
      </c>
      <c r="J388" s="26" t="s">
        <v>58</v>
      </c>
      <c r="K388" s="27"/>
      <c r="L388" s="28" t="s">
        <v>56</v>
      </c>
      <c r="M388" s="29" t="str">
        <f t="shared" si="30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4.25" customHeight="1" x14ac:dyDescent="0.3">
      <c r="A389" s="23">
        <v>385</v>
      </c>
      <c r="B389" s="24" t="s">
        <v>5325</v>
      </c>
      <c r="C389" s="25" t="s">
        <v>5326</v>
      </c>
      <c r="D389" s="23" t="s">
        <v>4215</v>
      </c>
      <c r="E389" s="55">
        <v>46125</v>
      </c>
      <c r="F389" s="26" t="s">
        <v>55</v>
      </c>
      <c r="G389" s="26" t="s">
        <v>58</v>
      </c>
      <c r="H389" s="26" t="s">
        <v>56</v>
      </c>
      <c r="I389" s="26" t="s">
        <v>70</v>
      </c>
      <c r="J389" s="26" t="s">
        <v>58</v>
      </c>
      <c r="K389" s="27"/>
      <c r="L389" s="28" t="s">
        <v>56</v>
      </c>
      <c r="M389" s="29" t="str">
        <f t="shared" si="30"/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42">
        <v>386</v>
      </c>
      <c r="B390" s="43" t="s">
        <v>5327</v>
      </c>
      <c r="C390" s="44" t="s">
        <v>5328</v>
      </c>
      <c r="D390" s="42" t="s">
        <v>5329</v>
      </c>
      <c r="E390" s="55">
        <v>46125</v>
      </c>
      <c r="F390" s="26" t="s">
        <v>55</v>
      </c>
      <c r="G390" s="26" t="s">
        <v>56</v>
      </c>
      <c r="H390" s="26" t="s">
        <v>56</v>
      </c>
      <c r="I390" s="26" t="s">
        <v>57</v>
      </c>
      <c r="J390" s="26" t="s">
        <v>56</v>
      </c>
      <c r="K390" s="27"/>
      <c r="L390" s="28" t="s">
        <v>58</v>
      </c>
      <c r="M390" s="29" t="str">
        <f t="shared" ref="M390:M453" si="35">IF(E390="","",IF(H390="Yes","❌ Disc",IF(G390="No","⚠ Missing",IF(J390="Yes","✓ OK","⚠ Check"))))</f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4.25" customHeight="1" x14ac:dyDescent="0.3">
      <c r="A391" s="23">
        <v>387</v>
      </c>
      <c r="B391" s="24" t="s">
        <v>5330</v>
      </c>
      <c r="C391" s="25" t="s">
        <v>5331</v>
      </c>
      <c r="D391" s="23" t="s">
        <v>5329</v>
      </c>
      <c r="E391" s="55">
        <v>46125</v>
      </c>
      <c r="F391" s="26" t="s">
        <v>55</v>
      </c>
      <c r="G391" s="26" t="s">
        <v>56</v>
      </c>
      <c r="H391" s="26" t="s">
        <v>56</v>
      </c>
      <c r="I391" s="26" t="s">
        <v>57</v>
      </c>
      <c r="J391" s="26" t="s">
        <v>56</v>
      </c>
      <c r="K391" s="27"/>
      <c r="L391" s="28" t="s">
        <v>58</v>
      </c>
      <c r="M391" s="29" t="str">
        <f t="shared" si="35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4.25" customHeight="1" x14ac:dyDescent="0.3">
      <c r="A392" s="42">
        <v>388</v>
      </c>
      <c r="B392" s="43" t="s">
        <v>5332</v>
      </c>
      <c r="C392" s="44" t="s">
        <v>5333</v>
      </c>
      <c r="D392" s="42" t="s">
        <v>5329</v>
      </c>
      <c r="E392" s="55">
        <v>46125</v>
      </c>
      <c r="F392" s="26" t="s">
        <v>55</v>
      </c>
      <c r="G392" s="26" t="s">
        <v>56</v>
      </c>
      <c r="H392" s="26" t="s">
        <v>56</v>
      </c>
      <c r="I392" s="26" t="s">
        <v>57</v>
      </c>
      <c r="J392" s="26" t="s">
        <v>56</v>
      </c>
      <c r="K392" s="27"/>
      <c r="L392" s="28" t="s">
        <v>58</v>
      </c>
      <c r="M392" s="29" t="str">
        <f t="shared" si="35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4.25" customHeight="1" x14ac:dyDescent="0.3">
      <c r="A393" s="23">
        <v>389</v>
      </c>
      <c r="B393" s="24" t="s">
        <v>5334</v>
      </c>
      <c r="C393" s="25" t="s">
        <v>5335</v>
      </c>
      <c r="D393" s="23" t="s">
        <v>5329</v>
      </c>
      <c r="E393" s="55">
        <v>46125</v>
      </c>
      <c r="F393" s="26" t="s">
        <v>55</v>
      </c>
      <c r="G393" s="26" t="s">
        <v>56</v>
      </c>
      <c r="H393" s="26" t="s">
        <v>56</v>
      </c>
      <c r="I393" s="26" t="s">
        <v>57</v>
      </c>
      <c r="J393" s="26" t="s">
        <v>56</v>
      </c>
      <c r="K393" s="27"/>
      <c r="L393" s="28" t="s">
        <v>58</v>
      </c>
      <c r="M393" s="29" t="str">
        <f t="shared" si="35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4.25" customHeight="1" x14ac:dyDescent="0.3">
      <c r="A394" s="42">
        <v>390</v>
      </c>
      <c r="B394" s="43" t="s">
        <v>5336</v>
      </c>
      <c r="C394" s="44" t="s">
        <v>5337</v>
      </c>
      <c r="D394" s="42" t="s">
        <v>5329</v>
      </c>
      <c r="E394" s="55">
        <v>46125</v>
      </c>
      <c r="F394" s="26" t="s">
        <v>55</v>
      </c>
      <c r="G394" s="26" t="s">
        <v>56</v>
      </c>
      <c r="H394" s="26" t="s">
        <v>56</v>
      </c>
      <c r="I394" s="26" t="s">
        <v>57</v>
      </c>
      <c r="J394" s="26" t="s">
        <v>56</v>
      </c>
      <c r="K394" s="27"/>
      <c r="L394" s="28" t="s">
        <v>58</v>
      </c>
      <c r="M394" s="29" t="str">
        <f t="shared" si="35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4.25" customHeight="1" x14ac:dyDescent="0.3">
      <c r="A395" s="23">
        <v>391</v>
      </c>
      <c r="B395" s="24" t="s">
        <v>5338</v>
      </c>
      <c r="C395" s="25" t="s">
        <v>5339</v>
      </c>
      <c r="D395" s="23" t="s">
        <v>5329</v>
      </c>
      <c r="E395" s="55">
        <v>46125</v>
      </c>
      <c r="F395" s="26" t="s">
        <v>55</v>
      </c>
      <c r="G395" s="26" t="s">
        <v>56</v>
      </c>
      <c r="H395" s="26" t="s">
        <v>56</v>
      </c>
      <c r="I395" s="26" t="s">
        <v>57</v>
      </c>
      <c r="J395" s="26" t="s">
        <v>56</v>
      </c>
      <c r="K395" s="27"/>
      <c r="L395" s="28" t="s">
        <v>58</v>
      </c>
      <c r="M395" s="29" t="str">
        <f t="shared" si="35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4.25" customHeight="1" x14ac:dyDescent="0.3">
      <c r="A396" s="42">
        <v>392</v>
      </c>
      <c r="B396" s="43" t="s">
        <v>5340</v>
      </c>
      <c r="C396" s="44" t="s">
        <v>5341</v>
      </c>
      <c r="D396" s="42" t="s">
        <v>5329</v>
      </c>
      <c r="E396" s="55">
        <v>46125</v>
      </c>
      <c r="F396" s="26" t="s">
        <v>55</v>
      </c>
      <c r="G396" s="26" t="s">
        <v>56</v>
      </c>
      <c r="H396" s="26" t="s">
        <v>56</v>
      </c>
      <c r="I396" s="26" t="s">
        <v>57</v>
      </c>
      <c r="J396" s="26" t="s">
        <v>56</v>
      </c>
      <c r="K396" s="27"/>
      <c r="L396" s="28" t="s">
        <v>58</v>
      </c>
      <c r="M396" s="29" t="str">
        <f t="shared" si="35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4.25" customHeight="1" x14ac:dyDescent="0.3">
      <c r="A397" s="23">
        <v>393</v>
      </c>
      <c r="B397" s="24" t="s">
        <v>5342</v>
      </c>
      <c r="C397" s="25" t="s">
        <v>5343</v>
      </c>
      <c r="D397" s="23" t="s">
        <v>5329</v>
      </c>
      <c r="E397" s="55">
        <v>46125</v>
      </c>
      <c r="F397" s="26" t="s">
        <v>55</v>
      </c>
      <c r="G397" s="26" t="s">
        <v>56</v>
      </c>
      <c r="H397" s="26" t="s">
        <v>56</v>
      </c>
      <c r="I397" s="26" t="s">
        <v>57</v>
      </c>
      <c r="J397" s="26" t="s">
        <v>56</v>
      </c>
      <c r="K397" s="27"/>
      <c r="L397" s="28" t="s">
        <v>58</v>
      </c>
      <c r="M397" s="29" t="str">
        <f t="shared" si="35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4.25" customHeight="1" x14ac:dyDescent="0.3">
      <c r="A398" s="42">
        <v>394</v>
      </c>
      <c r="B398" s="43" t="s">
        <v>5344</v>
      </c>
      <c r="C398" s="44" t="s">
        <v>5345</v>
      </c>
      <c r="D398" s="42" t="s">
        <v>5329</v>
      </c>
      <c r="E398" s="55">
        <v>46125</v>
      </c>
      <c r="F398" s="26" t="s">
        <v>55</v>
      </c>
      <c r="G398" s="26" t="s">
        <v>56</v>
      </c>
      <c r="H398" s="26" t="s">
        <v>56</v>
      </c>
      <c r="I398" s="26" t="s">
        <v>57</v>
      </c>
      <c r="J398" s="26" t="s">
        <v>56</v>
      </c>
      <c r="K398" s="27"/>
      <c r="L398" s="28" t="s">
        <v>58</v>
      </c>
      <c r="M398" s="29" t="str">
        <f t="shared" si="35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4.25" customHeight="1" x14ac:dyDescent="0.3">
      <c r="A399" s="23">
        <v>395</v>
      </c>
      <c r="B399" s="24" t="s">
        <v>5346</v>
      </c>
      <c r="C399" s="25" t="s">
        <v>5347</v>
      </c>
      <c r="D399" s="23" t="s">
        <v>5329</v>
      </c>
      <c r="E399" s="55">
        <v>46125</v>
      </c>
      <c r="F399" s="26" t="s">
        <v>55</v>
      </c>
      <c r="G399" s="26" t="s">
        <v>56</v>
      </c>
      <c r="H399" s="26" t="s">
        <v>56</v>
      </c>
      <c r="I399" s="26" t="s">
        <v>57</v>
      </c>
      <c r="J399" s="26" t="s">
        <v>56</v>
      </c>
      <c r="K399" s="27"/>
      <c r="L399" s="28" t="s">
        <v>58</v>
      </c>
      <c r="M399" s="29" t="str">
        <f t="shared" si="35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4.25" customHeight="1" x14ac:dyDescent="0.3">
      <c r="A400" s="42">
        <v>396</v>
      </c>
      <c r="B400" s="43" t="s">
        <v>5348</v>
      </c>
      <c r="C400" s="44" t="s">
        <v>5349</v>
      </c>
      <c r="D400" s="42" t="s">
        <v>5329</v>
      </c>
      <c r="E400" s="55">
        <v>46125</v>
      </c>
      <c r="F400" s="26" t="s">
        <v>55</v>
      </c>
      <c r="G400" s="26" t="s">
        <v>56</v>
      </c>
      <c r="H400" s="26" t="s">
        <v>56</v>
      </c>
      <c r="I400" s="26" t="s">
        <v>57</v>
      </c>
      <c r="J400" s="26" t="s">
        <v>56</v>
      </c>
      <c r="K400" s="27"/>
      <c r="L400" s="28" t="s">
        <v>58</v>
      </c>
      <c r="M400" s="29" t="str">
        <f t="shared" si="35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4.25" customHeight="1" x14ac:dyDescent="0.3">
      <c r="A401" s="23">
        <v>397</v>
      </c>
      <c r="B401" s="24" t="s">
        <v>5350</v>
      </c>
      <c r="C401" s="25" t="s">
        <v>5351</v>
      </c>
      <c r="D401" s="23" t="s">
        <v>5329</v>
      </c>
      <c r="E401" s="55">
        <v>46125</v>
      </c>
      <c r="F401" s="26" t="s">
        <v>55</v>
      </c>
      <c r="G401" s="26" t="s">
        <v>56</v>
      </c>
      <c r="H401" s="26" t="s">
        <v>56</v>
      </c>
      <c r="I401" s="26" t="s">
        <v>57</v>
      </c>
      <c r="J401" s="26" t="s">
        <v>56</v>
      </c>
      <c r="K401" s="27"/>
      <c r="L401" s="28" t="s">
        <v>58</v>
      </c>
      <c r="M401" s="29" t="str">
        <f t="shared" si="35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4.25" customHeight="1" x14ac:dyDescent="0.3">
      <c r="A402" s="42">
        <v>398</v>
      </c>
      <c r="B402" s="43" t="s">
        <v>5352</v>
      </c>
      <c r="C402" s="44" t="s">
        <v>5353</v>
      </c>
      <c r="D402" s="42" t="s">
        <v>5329</v>
      </c>
      <c r="E402" s="55">
        <v>46125</v>
      </c>
      <c r="F402" s="26" t="s">
        <v>55</v>
      </c>
      <c r="G402" s="26" t="s">
        <v>56</v>
      </c>
      <c r="H402" s="26" t="s">
        <v>56</v>
      </c>
      <c r="I402" s="26" t="s">
        <v>57</v>
      </c>
      <c r="J402" s="26" t="s">
        <v>56</v>
      </c>
      <c r="K402" s="27"/>
      <c r="L402" s="28" t="s">
        <v>58</v>
      </c>
      <c r="M402" s="29" t="str">
        <f t="shared" si="35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4.25" customHeight="1" x14ac:dyDescent="0.3">
      <c r="A403" s="23">
        <v>399</v>
      </c>
      <c r="B403" s="24" t="s">
        <v>5354</v>
      </c>
      <c r="C403" s="25" t="s">
        <v>5355</v>
      </c>
      <c r="D403" s="23" t="s">
        <v>5329</v>
      </c>
      <c r="E403" s="55">
        <v>46125</v>
      </c>
      <c r="F403" s="26" t="s">
        <v>55</v>
      </c>
      <c r="G403" s="26" t="s">
        <v>56</v>
      </c>
      <c r="H403" s="26" t="s">
        <v>56</v>
      </c>
      <c r="I403" s="26" t="s">
        <v>57</v>
      </c>
      <c r="J403" s="26" t="s">
        <v>56</v>
      </c>
      <c r="K403" s="27"/>
      <c r="L403" s="28" t="s">
        <v>58</v>
      </c>
      <c r="M403" s="29" t="str">
        <f t="shared" si="35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4.25" customHeight="1" x14ac:dyDescent="0.3">
      <c r="A404" s="42">
        <v>400</v>
      </c>
      <c r="B404" s="43" t="s">
        <v>5356</v>
      </c>
      <c r="C404" s="44" t="s">
        <v>5357</v>
      </c>
      <c r="D404" s="42" t="s">
        <v>5329</v>
      </c>
      <c r="E404" s="55">
        <v>46125</v>
      </c>
      <c r="F404" s="26" t="s">
        <v>55</v>
      </c>
      <c r="G404" s="26" t="s">
        <v>56</v>
      </c>
      <c r="H404" s="26" t="s">
        <v>56</v>
      </c>
      <c r="I404" s="26" t="s">
        <v>57</v>
      </c>
      <c r="J404" s="26" t="s">
        <v>56</v>
      </c>
      <c r="K404" s="27"/>
      <c r="L404" s="28" t="s">
        <v>58</v>
      </c>
      <c r="M404" s="29" t="str">
        <f t="shared" si="35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4.25" customHeight="1" x14ac:dyDescent="0.3">
      <c r="A405" s="23">
        <v>401</v>
      </c>
      <c r="B405" s="24" t="s">
        <v>5358</v>
      </c>
      <c r="C405" s="25" t="s">
        <v>5359</v>
      </c>
      <c r="D405" s="23" t="s">
        <v>5329</v>
      </c>
      <c r="E405" s="55">
        <v>46125</v>
      </c>
      <c r="F405" s="26" t="s">
        <v>55</v>
      </c>
      <c r="G405" s="26" t="s">
        <v>56</v>
      </c>
      <c r="H405" s="26" t="s">
        <v>56</v>
      </c>
      <c r="I405" s="26" t="s">
        <v>57</v>
      </c>
      <c r="J405" s="26" t="s">
        <v>56</v>
      </c>
      <c r="K405" s="27"/>
      <c r="L405" s="28" t="s">
        <v>58</v>
      </c>
      <c r="M405" s="29" t="str">
        <f t="shared" si="35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4.25" customHeight="1" x14ac:dyDescent="0.3">
      <c r="A406" s="42">
        <v>402</v>
      </c>
      <c r="B406" s="43" t="s">
        <v>5360</v>
      </c>
      <c r="C406" s="44" t="s">
        <v>5361</v>
      </c>
      <c r="D406" s="42" t="s">
        <v>5329</v>
      </c>
      <c r="E406" s="55">
        <v>46125</v>
      </c>
      <c r="F406" s="26" t="s">
        <v>55</v>
      </c>
      <c r="G406" s="26" t="s">
        <v>56</v>
      </c>
      <c r="H406" s="26" t="s">
        <v>56</v>
      </c>
      <c r="I406" s="26" t="s">
        <v>57</v>
      </c>
      <c r="J406" s="26" t="s">
        <v>56</v>
      </c>
      <c r="K406" s="27"/>
      <c r="L406" s="28" t="s">
        <v>58</v>
      </c>
      <c r="M406" s="29" t="str">
        <f t="shared" si="35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4.25" customHeight="1" x14ac:dyDescent="0.3">
      <c r="A407" s="23">
        <v>403</v>
      </c>
      <c r="B407" s="24" t="s">
        <v>5362</v>
      </c>
      <c r="C407" s="25" t="s">
        <v>5363</v>
      </c>
      <c r="D407" s="23" t="s">
        <v>5329</v>
      </c>
      <c r="E407" s="55">
        <v>46125</v>
      </c>
      <c r="F407" s="26" t="s">
        <v>55</v>
      </c>
      <c r="G407" s="26" t="s">
        <v>56</v>
      </c>
      <c r="H407" s="26" t="s">
        <v>56</v>
      </c>
      <c r="I407" s="26" t="s">
        <v>57</v>
      </c>
      <c r="J407" s="26" t="s">
        <v>56</v>
      </c>
      <c r="K407" s="27"/>
      <c r="L407" s="28" t="s">
        <v>58</v>
      </c>
      <c r="M407" s="29" t="str">
        <f t="shared" si="35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4.25" customHeight="1" x14ac:dyDescent="0.3">
      <c r="A408" s="42">
        <v>404</v>
      </c>
      <c r="B408" s="43" t="s">
        <v>5364</v>
      </c>
      <c r="C408" s="44" t="s">
        <v>5365</v>
      </c>
      <c r="D408" s="42" t="s">
        <v>5329</v>
      </c>
      <c r="E408" s="55">
        <v>46125</v>
      </c>
      <c r="F408" s="26" t="s">
        <v>55</v>
      </c>
      <c r="G408" s="26" t="s">
        <v>56</v>
      </c>
      <c r="H408" s="26" t="s">
        <v>56</v>
      </c>
      <c r="I408" s="26" t="s">
        <v>57</v>
      </c>
      <c r="J408" s="26" t="s">
        <v>56</v>
      </c>
      <c r="K408" s="27"/>
      <c r="L408" s="28" t="s">
        <v>58</v>
      </c>
      <c r="M408" s="29" t="str">
        <f t="shared" si="35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4.25" customHeight="1" x14ac:dyDescent="0.3">
      <c r="A409" s="23">
        <v>405</v>
      </c>
      <c r="B409" s="24" t="s">
        <v>5366</v>
      </c>
      <c r="C409" s="25" t="s">
        <v>5367</v>
      </c>
      <c r="D409" s="23" t="s">
        <v>5329</v>
      </c>
      <c r="E409" s="55">
        <v>46125</v>
      </c>
      <c r="F409" s="26" t="s">
        <v>55</v>
      </c>
      <c r="G409" s="26" t="s">
        <v>56</v>
      </c>
      <c r="H409" s="26" t="s">
        <v>56</v>
      </c>
      <c r="I409" s="26" t="s">
        <v>57</v>
      </c>
      <c r="J409" s="26" t="s">
        <v>56</v>
      </c>
      <c r="K409" s="27"/>
      <c r="L409" s="28" t="s">
        <v>58</v>
      </c>
      <c r="M409" s="29" t="str">
        <f t="shared" si="35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4.25" customHeight="1" x14ac:dyDescent="0.3">
      <c r="A410" s="42">
        <v>406</v>
      </c>
      <c r="B410" s="43" t="s">
        <v>5368</v>
      </c>
      <c r="C410" s="44" t="s">
        <v>5369</v>
      </c>
      <c r="D410" s="42" t="s">
        <v>5329</v>
      </c>
      <c r="E410" s="55">
        <v>46125</v>
      </c>
      <c r="F410" s="26" t="s">
        <v>55</v>
      </c>
      <c r="G410" s="26" t="s">
        <v>56</v>
      </c>
      <c r="H410" s="26" t="s">
        <v>56</v>
      </c>
      <c r="I410" s="26" t="s">
        <v>57</v>
      </c>
      <c r="J410" s="26" t="s">
        <v>56</v>
      </c>
      <c r="K410" s="27"/>
      <c r="L410" s="28" t="s">
        <v>58</v>
      </c>
      <c r="M410" s="29" t="str">
        <f t="shared" si="35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4.25" customHeight="1" x14ac:dyDescent="0.3">
      <c r="A411" s="23">
        <v>407</v>
      </c>
      <c r="B411" s="24" t="s">
        <v>5370</v>
      </c>
      <c r="C411" s="25" t="s">
        <v>5371</v>
      </c>
      <c r="D411" s="23" t="s">
        <v>5329</v>
      </c>
      <c r="E411" s="55">
        <v>46125</v>
      </c>
      <c r="F411" s="26" t="s">
        <v>55</v>
      </c>
      <c r="G411" s="26" t="s">
        <v>56</v>
      </c>
      <c r="H411" s="26" t="s">
        <v>56</v>
      </c>
      <c r="I411" s="26" t="s">
        <v>57</v>
      </c>
      <c r="J411" s="26" t="s">
        <v>56</v>
      </c>
      <c r="K411" s="27"/>
      <c r="L411" s="28" t="s">
        <v>58</v>
      </c>
      <c r="M411" s="29" t="str">
        <f t="shared" si="35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4.25" customHeight="1" x14ac:dyDescent="0.3">
      <c r="A412" s="42">
        <v>408</v>
      </c>
      <c r="B412" s="43" t="s">
        <v>5372</v>
      </c>
      <c r="C412" s="44" t="s">
        <v>5373</v>
      </c>
      <c r="D412" s="42" t="s">
        <v>5329</v>
      </c>
      <c r="E412" s="55">
        <v>46125</v>
      </c>
      <c r="F412" s="26" t="s">
        <v>55</v>
      </c>
      <c r="G412" s="26" t="s">
        <v>56</v>
      </c>
      <c r="H412" s="26" t="s">
        <v>56</v>
      </c>
      <c r="I412" s="26" t="s">
        <v>57</v>
      </c>
      <c r="J412" s="26" t="s">
        <v>56</v>
      </c>
      <c r="K412" s="27"/>
      <c r="L412" s="28" t="s">
        <v>58</v>
      </c>
      <c r="M412" s="29" t="str">
        <f t="shared" si="35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4.25" customHeight="1" x14ac:dyDescent="0.3">
      <c r="A413" s="23">
        <v>409</v>
      </c>
      <c r="B413" s="24" t="s">
        <v>5374</v>
      </c>
      <c r="C413" s="25" t="s">
        <v>5375</v>
      </c>
      <c r="D413" s="23" t="s">
        <v>5329</v>
      </c>
      <c r="E413" s="55">
        <v>46125</v>
      </c>
      <c r="F413" s="26" t="s">
        <v>55</v>
      </c>
      <c r="G413" s="26" t="s">
        <v>56</v>
      </c>
      <c r="H413" s="26" t="s">
        <v>56</v>
      </c>
      <c r="I413" s="26" t="s">
        <v>57</v>
      </c>
      <c r="J413" s="26" t="s">
        <v>56</v>
      </c>
      <c r="K413" s="27"/>
      <c r="L413" s="28" t="s">
        <v>58</v>
      </c>
      <c r="M413" s="29" t="str">
        <f t="shared" si="35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4.25" customHeight="1" x14ac:dyDescent="0.3">
      <c r="A414" s="42">
        <v>410</v>
      </c>
      <c r="B414" s="43" t="s">
        <v>5376</v>
      </c>
      <c r="C414" s="44" t="s">
        <v>5377</v>
      </c>
      <c r="D414" s="42" t="s">
        <v>5329</v>
      </c>
      <c r="E414" s="55">
        <v>46125</v>
      </c>
      <c r="F414" s="26" t="s">
        <v>55</v>
      </c>
      <c r="G414" s="26" t="s">
        <v>56</v>
      </c>
      <c r="H414" s="26" t="s">
        <v>56</v>
      </c>
      <c r="I414" s="26" t="s">
        <v>57</v>
      </c>
      <c r="J414" s="26" t="s">
        <v>56</v>
      </c>
      <c r="K414" s="27"/>
      <c r="L414" s="28" t="s">
        <v>58</v>
      </c>
      <c r="M414" s="29" t="str">
        <f t="shared" si="35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4.25" customHeight="1" x14ac:dyDescent="0.3">
      <c r="A415" s="23">
        <v>411</v>
      </c>
      <c r="B415" s="24" t="s">
        <v>5378</v>
      </c>
      <c r="C415" s="25" t="s">
        <v>5379</v>
      </c>
      <c r="D415" s="23" t="s">
        <v>5329</v>
      </c>
      <c r="E415" s="55">
        <v>46125</v>
      </c>
      <c r="F415" s="26" t="s">
        <v>55</v>
      </c>
      <c r="G415" s="26" t="s">
        <v>56</v>
      </c>
      <c r="H415" s="26" t="s">
        <v>56</v>
      </c>
      <c r="I415" s="26" t="s">
        <v>57</v>
      </c>
      <c r="J415" s="26" t="s">
        <v>56</v>
      </c>
      <c r="K415" s="27"/>
      <c r="L415" s="28" t="s">
        <v>58</v>
      </c>
      <c r="M415" s="29" t="str">
        <f t="shared" si="35"/>
        <v>⚠ Missing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4.25" customHeight="1" x14ac:dyDescent="0.3">
      <c r="A416" s="42">
        <v>412</v>
      </c>
      <c r="B416" s="43" t="s">
        <v>5380</v>
      </c>
      <c r="C416" s="44" t="s">
        <v>5381</v>
      </c>
      <c r="D416" s="42" t="s">
        <v>5329</v>
      </c>
      <c r="E416" s="55">
        <v>46125</v>
      </c>
      <c r="F416" s="26" t="s">
        <v>55</v>
      </c>
      <c r="G416" s="26" t="s">
        <v>56</v>
      </c>
      <c r="H416" s="26" t="s">
        <v>56</v>
      </c>
      <c r="I416" s="26" t="s">
        <v>57</v>
      </c>
      <c r="J416" s="26" t="s">
        <v>56</v>
      </c>
      <c r="K416" s="27"/>
      <c r="L416" s="28" t="s">
        <v>58</v>
      </c>
      <c r="M416" s="29" t="str">
        <f t="shared" si="35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4.25" customHeight="1" x14ac:dyDescent="0.3">
      <c r="A417" s="23">
        <v>413</v>
      </c>
      <c r="B417" s="24" t="s">
        <v>5382</v>
      </c>
      <c r="C417" s="25" t="s">
        <v>5383</v>
      </c>
      <c r="D417" s="23" t="s">
        <v>5329</v>
      </c>
      <c r="E417" s="55">
        <v>46125</v>
      </c>
      <c r="F417" s="26" t="s">
        <v>55</v>
      </c>
      <c r="G417" s="26" t="s">
        <v>56</v>
      </c>
      <c r="H417" s="26" t="s">
        <v>56</v>
      </c>
      <c r="I417" s="26" t="s">
        <v>57</v>
      </c>
      <c r="J417" s="26" t="s">
        <v>56</v>
      </c>
      <c r="K417" s="27"/>
      <c r="L417" s="28" t="s">
        <v>58</v>
      </c>
      <c r="M417" s="29" t="str">
        <f t="shared" si="35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4.25" customHeight="1" x14ac:dyDescent="0.3">
      <c r="A418" s="42">
        <v>414</v>
      </c>
      <c r="B418" s="43" t="s">
        <v>5384</v>
      </c>
      <c r="C418" s="44" t="s">
        <v>5385</v>
      </c>
      <c r="D418" s="42" t="s">
        <v>5329</v>
      </c>
      <c r="E418" s="55">
        <v>46125</v>
      </c>
      <c r="F418" s="26" t="s">
        <v>55</v>
      </c>
      <c r="G418" s="26" t="s">
        <v>56</v>
      </c>
      <c r="H418" s="26" t="s">
        <v>56</v>
      </c>
      <c r="I418" s="26" t="s">
        <v>57</v>
      </c>
      <c r="J418" s="26" t="s">
        <v>56</v>
      </c>
      <c r="K418" s="27"/>
      <c r="L418" s="28" t="s">
        <v>58</v>
      </c>
      <c r="M418" s="29" t="str">
        <f t="shared" si="35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4.25" customHeight="1" x14ac:dyDescent="0.3">
      <c r="A419" s="23">
        <v>415</v>
      </c>
      <c r="B419" s="24" t="s">
        <v>5386</v>
      </c>
      <c r="C419" s="25" t="s">
        <v>5387</v>
      </c>
      <c r="D419" s="23" t="s">
        <v>5329</v>
      </c>
      <c r="E419" s="55">
        <v>46125</v>
      </c>
      <c r="F419" s="26" t="s">
        <v>55</v>
      </c>
      <c r="G419" s="26" t="s">
        <v>56</v>
      </c>
      <c r="H419" s="26" t="s">
        <v>56</v>
      </c>
      <c r="I419" s="26" t="s">
        <v>57</v>
      </c>
      <c r="J419" s="26" t="s">
        <v>56</v>
      </c>
      <c r="K419" s="27"/>
      <c r="L419" s="28" t="s">
        <v>58</v>
      </c>
      <c r="M419" s="29" t="str">
        <f t="shared" si="35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4.25" customHeight="1" x14ac:dyDescent="0.3">
      <c r="A420" s="42">
        <v>416</v>
      </c>
      <c r="B420" s="43" t="s">
        <v>5388</v>
      </c>
      <c r="C420" s="44" t="s">
        <v>5389</v>
      </c>
      <c r="D420" s="42" t="s">
        <v>5329</v>
      </c>
      <c r="E420" s="55">
        <v>46125</v>
      </c>
      <c r="F420" s="26" t="s">
        <v>55</v>
      </c>
      <c r="G420" s="26" t="s">
        <v>56</v>
      </c>
      <c r="H420" s="26" t="s">
        <v>56</v>
      </c>
      <c r="I420" s="26" t="s">
        <v>57</v>
      </c>
      <c r="J420" s="26" t="s">
        <v>56</v>
      </c>
      <c r="K420" s="27"/>
      <c r="L420" s="28" t="s">
        <v>58</v>
      </c>
      <c r="M420" s="29" t="str">
        <f t="shared" si="35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4.25" customHeight="1" x14ac:dyDescent="0.3">
      <c r="A421" s="23">
        <v>417</v>
      </c>
      <c r="B421" s="24" t="s">
        <v>5390</v>
      </c>
      <c r="C421" s="25" t="s">
        <v>5391</v>
      </c>
      <c r="D421" s="23" t="s">
        <v>698</v>
      </c>
      <c r="E421" s="55">
        <v>46125</v>
      </c>
      <c r="F421" s="26" t="s">
        <v>55</v>
      </c>
      <c r="G421" s="26" t="s">
        <v>58</v>
      </c>
      <c r="H421" s="26" t="s">
        <v>56</v>
      </c>
      <c r="I421" s="26" t="s">
        <v>70</v>
      </c>
      <c r="J421" s="26" t="s">
        <v>58</v>
      </c>
      <c r="K421" s="27"/>
      <c r="L421" s="28" t="s">
        <v>56</v>
      </c>
      <c r="M421" s="29" t="str">
        <f t="shared" si="35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4.25" customHeight="1" x14ac:dyDescent="0.3">
      <c r="A422" s="42">
        <v>418</v>
      </c>
      <c r="B422" s="43" t="s">
        <v>5392</v>
      </c>
      <c r="C422" s="44" t="s">
        <v>5393</v>
      </c>
      <c r="D422" s="42" t="s">
        <v>698</v>
      </c>
      <c r="E422" s="55">
        <v>46125</v>
      </c>
      <c r="F422" s="26" t="s">
        <v>55</v>
      </c>
      <c r="G422" s="26" t="s">
        <v>58</v>
      </c>
      <c r="H422" s="26" t="s">
        <v>56</v>
      </c>
      <c r="I422" s="26" t="s">
        <v>70</v>
      </c>
      <c r="J422" s="26" t="s">
        <v>58</v>
      </c>
      <c r="K422" s="27"/>
      <c r="L422" s="28" t="s">
        <v>56</v>
      </c>
      <c r="M422" s="29" t="str">
        <f t="shared" si="35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4.25" customHeight="1" x14ac:dyDescent="0.3">
      <c r="A423" s="23">
        <v>419</v>
      </c>
      <c r="B423" s="24" t="s">
        <v>5394</v>
      </c>
      <c r="C423" s="25" t="s">
        <v>5395</v>
      </c>
      <c r="D423" s="23" t="s">
        <v>698</v>
      </c>
      <c r="E423" s="55">
        <v>46125</v>
      </c>
      <c r="F423" s="26" t="s">
        <v>55</v>
      </c>
      <c r="G423" s="26" t="s">
        <v>58</v>
      </c>
      <c r="H423" s="26" t="s">
        <v>56</v>
      </c>
      <c r="I423" s="26" t="s">
        <v>70</v>
      </c>
      <c r="J423" s="26" t="s">
        <v>58</v>
      </c>
      <c r="K423" s="27"/>
      <c r="L423" s="28" t="s">
        <v>56</v>
      </c>
      <c r="M423" s="29" t="str">
        <f t="shared" si="35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4.25" customHeight="1" x14ac:dyDescent="0.3">
      <c r="A424" s="42">
        <v>420</v>
      </c>
      <c r="B424" s="43" t="s">
        <v>5396</v>
      </c>
      <c r="C424" s="44" t="s">
        <v>5397</v>
      </c>
      <c r="D424" s="42" t="s">
        <v>698</v>
      </c>
      <c r="E424" s="55">
        <v>46125</v>
      </c>
      <c r="F424" s="26" t="s">
        <v>55</v>
      </c>
      <c r="G424" s="26" t="s">
        <v>58</v>
      </c>
      <c r="H424" s="26" t="s">
        <v>56</v>
      </c>
      <c r="I424" s="26" t="s">
        <v>70</v>
      </c>
      <c r="J424" s="26" t="s">
        <v>58</v>
      </c>
      <c r="K424" s="27"/>
      <c r="L424" s="28" t="s">
        <v>56</v>
      </c>
      <c r="M424" s="29" t="str">
        <f t="shared" si="35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4.25" customHeight="1" x14ac:dyDescent="0.3">
      <c r="A425" s="23">
        <v>421</v>
      </c>
      <c r="B425" s="24" t="s">
        <v>5398</v>
      </c>
      <c r="C425" s="25" t="s">
        <v>5399</v>
      </c>
      <c r="D425" s="23" t="s">
        <v>698</v>
      </c>
      <c r="E425" s="55">
        <v>46125</v>
      </c>
      <c r="F425" s="26" t="s">
        <v>55</v>
      </c>
      <c r="G425" s="26" t="s">
        <v>4401</v>
      </c>
      <c r="H425" s="26" t="s">
        <v>56</v>
      </c>
      <c r="I425" s="26" t="s">
        <v>4401</v>
      </c>
      <c r="J425" s="26" t="s">
        <v>58</v>
      </c>
      <c r="K425" s="27"/>
      <c r="L425" s="28" t="s">
        <v>56</v>
      </c>
      <c r="M425" s="29" t="str">
        <f t="shared" si="35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4.25" customHeight="1" x14ac:dyDescent="0.3">
      <c r="A426" s="42">
        <v>422</v>
      </c>
      <c r="B426" s="43" t="s">
        <v>5400</v>
      </c>
      <c r="C426" s="44" t="s">
        <v>5401</v>
      </c>
      <c r="D426" s="42" t="s">
        <v>698</v>
      </c>
      <c r="E426" s="55">
        <v>46125</v>
      </c>
      <c r="F426" s="26" t="s">
        <v>55</v>
      </c>
      <c r="G426" s="26" t="s">
        <v>4401</v>
      </c>
      <c r="H426" s="26" t="s">
        <v>56</v>
      </c>
      <c r="I426" s="26" t="s">
        <v>4401</v>
      </c>
      <c r="J426" s="26" t="s">
        <v>58</v>
      </c>
      <c r="K426" s="27"/>
      <c r="L426" s="28" t="s">
        <v>56</v>
      </c>
      <c r="M426" s="29" t="str">
        <f t="shared" si="35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4.25" customHeight="1" x14ac:dyDescent="0.3">
      <c r="A427" s="23">
        <v>423</v>
      </c>
      <c r="B427" s="24" t="s">
        <v>5402</v>
      </c>
      <c r="C427" s="25" t="s">
        <v>5403</v>
      </c>
      <c r="D427" s="23" t="s">
        <v>698</v>
      </c>
      <c r="E427" s="55">
        <v>46125</v>
      </c>
      <c r="F427" s="26" t="s">
        <v>55</v>
      </c>
      <c r="G427" s="26" t="s">
        <v>4401</v>
      </c>
      <c r="H427" s="26" t="s">
        <v>56</v>
      </c>
      <c r="I427" s="26" t="s">
        <v>4401</v>
      </c>
      <c r="J427" s="26" t="s">
        <v>58</v>
      </c>
      <c r="K427" s="27"/>
      <c r="L427" s="28" t="s">
        <v>56</v>
      </c>
      <c r="M427" s="29" t="str">
        <f t="shared" si="35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4.25" customHeight="1" x14ac:dyDescent="0.3">
      <c r="A428" s="42">
        <v>424</v>
      </c>
      <c r="B428" s="43" t="s">
        <v>5404</v>
      </c>
      <c r="C428" s="44" t="s">
        <v>5405</v>
      </c>
      <c r="D428" s="42" t="s">
        <v>698</v>
      </c>
      <c r="E428" s="55">
        <v>46125</v>
      </c>
      <c r="F428" s="26" t="s">
        <v>55</v>
      </c>
      <c r="G428" s="26" t="s">
        <v>4401</v>
      </c>
      <c r="H428" s="26" t="s">
        <v>56</v>
      </c>
      <c r="I428" s="26" t="s">
        <v>4401</v>
      </c>
      <c r="J428" s="26" t="s">
        <v>58</v>
      </c>
      <c r="K428" s="27"/>
      <c r="L428" s="28" t="s">
        <v>56</v>
      </c>
      <c r="M428" s="29" t="str">
        <f t="shared" si="35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4.25" customHeight="1" x14ac:dyDescent="0.3">
      <c r="A429" s="23">
        <v>425</v>
      </c>
      <c r="B429" s="24" t="s">
        <v>5406</v>
      </c>
      <c r="C429" s="25" t="s">
        <v>5407</v>
      </c>
      <c r="D429" s="23" t="s">
        <v>698</v>
      </c>
      <c r="E429" s="55">
        <v>46125</v>
      </c>
      <c r="F429" s="26" t="s">
        <v>55</v>
      </c>
      <c r="G429" s="26" t="s">
        <v>4401</v>
      </c>
      <c r="H429" s="26" t="s">
        <v>56</v>
      </c>
      <c r="I429" s="26" t="s">
        <v>4401</v>
      </c>
      <c r="J429" s="26" t="s">
        <v>58</v>
      </c>
      <c r="K429" s="27"/>
      <c r="L429" s="28" t="s">
        <v>56</v>
      </c>
      <c r="M429" s="29" t="str">
        <f t="shared" si="35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4.25" customHeight="1" x14ac:dyDescent="0.3">
      <c r="A430" s="42">
        <v>426</v>
      </c>
      <c r="B430" s="43" t="s">
        <v>5408</v>
      </c>
      <c r="C430" s="44" t="s">
        <v>5409</v>
      </c>
      <c r="D430" s="42" t="s">
        <v>698</v>
      </c>
      <c r="E430" s="55">
        <v>46125</v>
      </c>
      <c r="F430" s="26" t="s">
        <v>55</v>
      </c>
      <c r="G430" s="26" t="s">
        <v>58</v>
      </c>
      <c r="H430" s="26" t="s">
        <v>56</v>
      </c>
      <c r="I430" s="26" t="s">
        <v>70</v>
      </c>
      <c r="J430" s="26" t="s">
        <v>58</v>
      </c>
      <c r="K430" s="27"/>
      <c r="L430" s="28" t="s">
        <v>56</v>
      </c>
      <c r="M430" s="29" t="str">
        <f t="shared" si="35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4.25" customHeight="1" x14ac:dyDescent="0.3">
      <c r="A431" s="23">
        <v>427</v>
      </c>
      <c r="B431" s="24" t="s">
        <v>5410</v>
      </c>
      <c r="C431" s="25" t="s">
        <v>5411</v>
      </c>
      <c r="D431" s="23" t="s">
        <v>698</v>
      </c>
      <c r="E431" s="55">
        <v>46125</v>
      </c>
      <c r="F431" s="26" t="s">
        <v>55</v>
      </c>
      <c r="G431" s="26" t="s">
        <v>4401</v>
      </c>
      <c r="H431" s="26" t="s">
        <v>56</v>
      </c>
      <c r="I431" s="26" t="s">
        <v>4401</v>
      </c>
      <c r="J431" s="26" t="s">
        <v>58</v>
      </c>
      <c r="K431" s="27"/>
      <c r="L431" s="28" t="s">
        <v>56</v>
      </c>
      <c r="M431" s="29" t="str">
        <f t="shared" si="35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4.25" customHeight="1" x14ac:dyDescent="0.3">
      <c r="A432" s="42">
        <v>428</v>
      </c>
      <c r="B432" s="43" t="s">
        <v>5412</v>
      </c>
      <c r="C432" s="44" t="s">
        <v>5413</v>
      </c>
      <c r="D432" s="42" t="s">
        <v>698</v>
      </c>
      <c r="E432" s="55">
        <v>46125</v>
      </c>
      <c r="F432" s="26" t="s">
        <v>55</v>
      </c>
      <c r="G432" s="26" t="s">
        <v>4401</v>
      </c>
      <c r="H432" s="26" t="s">
        <v>56</v>
      </c>
      <c r="I432" s="26" t="s">
        <v>4401</v>
      </c>
      <c r="J432" s="26" t="s">
        <v>58</v>
      </c>
      <c r="K432" s="27"/>
      <c r="L432" s="28" t="s">
        <v>56</v>
      </c>
      <c r="M432" s="29" t="str">
        <f t="shared" si="35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4.25" customHeight="1" x14ac:dyDescent="0.3">
      <c r="A433" s="23">
        <v>429</v>
      </c>
      <c r="B433" s="24" t="s">
        <v>5414</v>
      </c>
      <c r="C433" s="25" t="s">
        <v>5415</v>
      </c>
      <c r="D433" s="23" t="s">
        <v>698</v>
      </c>
      <c r="E433" s="55">
        <v>46125</v>
      </c>
      <c r="F433" s="26" t="s">
        <v>55</v>
      </c>
      <c r="G433" s="26" t="s">
        <v>4401</v>
      </c>
      <c r="H433" s="26" t="s">
        <v>56</v>
      </c>
      <c r="I433" s="26" t="s">
        <v>4401</v>
      </c>
      <c r="J433" s="26" t="s">
        <v>58</v>
      </c>
      <c r="K433" s="27"/>
      <c r="L433" s="28" t="s">
        <v>56</v>
      </c>
      <c r="M433" s="29" t="str">
        <f t="shared" si="35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4.25" customHeight="1" x14ac:dyDescent="0.3">
      <c r="A434" s="42">
        <v>430</v>
      </c>
      <c r="B434" s="43" t="s">
        <v>5416</v>
      </c>
      <c r="C434" s="44" t="s">
        <v>5417</v>
      </c>
      <c r="D434" s="42" t="s">
        <v>698</v>
      </c>
      <c r="E434" s="55">
        <v>46125</v>
      </c>
      <c r="F434" s="26" t="s">
        <v>55</v>
      </c>
      <c r="G434" s="26" t="s">
        <v>4401</v>
      </c>
      <c r="H434" s="26" t="s">
        <v>56</v>
      </c>
      <c r="I434" s="26" t="s">
        <v>4401</v>
      </c>
      <c r="J434" s="26" t="s">
        <v>58</v>
      </c>
      <c r="K434" s="27"/>
      <c r="L434" s="28" t="s">
        <v>56</v>
      </c>
      <c r="M434" s="29" t="str">
        <f t="shared" si="35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4.25" customHeight="1" x14ac:dyDescent="0.3">
      <c r="A435" s="23">
        <v>431</v>
      </c>
      <c r="B435" s="24" t="s">
        <v>5418</v>
      </c>
      <c r="C435" s="25" t="s">
        <v>5419</v>
      </c>
      <c r="D435" s="23" t="s">
        <v>698</v>
      </c>
      <c r="E435" s="55">
        <v>46125</v>
      </c>
      <c r="F435" s="26" t="s">
        <v>55</v>
      </c>
      <c r="G435" s="26" t="s">
        <v>4401</v>
      </c>
      <c r="H435" s="26" t="s">
        <v>56</v>
      </c>
      <c r="I435" s="26" t="s">
        <v>4401</v>
      </c>
      <c r="J435" s="26" t="s">
        <v>58</v>
      </c>
      <c r="K435" s="27"/>
      <c r="L435" s="28" t="s">
        <v>56</v>
      </c>
      <c r="M435" s="29" t="str">
        <f t="shared" si="35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4.25" customHeight="1" x14ac:dyDescent="0.3">
      <c r="A436" s="42">
        <v>432</v>
      </c>
      <c r="B436" s="43" t="s">
        <v>5420</v>
      </c>
      <c r="C436" s="44" t="s">
        <v>5421</v>
      </c>
      <c r="D436" s="42" t="s">
        <v>698</v>
      </c>
      <c r="E436" s="55">
        <v>46125</v>
      </c>
      <c r="F436" s="26" t="s">
        <v>55</v>
      </c>
      <c r="G436" s="26" t="s">
        <v>4401</v>
      </c>
      <c r="H436" s="26" t="s">
        <v>56</v>
      </c>
      <c r="I436" s="26" t="s">
        <v>4401</v>
      </c>
      <c r="J436" s="26" t="s">
        <v>58</v>
      </c>
      <c r="K436" s="27"/>
      <c r="L436" s="28" t="s">
        <v>56</v>
      </c>
      <c r="M436" s="29" t="str">
        <f t="shared" si="35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4.25" customHeight="1" x14ac:dyDescent="0.3">
      <c r="A437" s="23">
        <v>433</v>
      </c>
      <c r="B437" s="24" t="s">
        <v>5422</v>
      </c>
      <c r="C437" s="25" t="s">
        <v>5423</v>
      </c>
      <c r="D437" s="23" t="s">
        <v>698</v>
      </c>
      <c r="E437" s="55">
        <v>46125</v>
      </c>
      <c r="F437" s="26" t="s">
        <v>55</v>
      </c>
      <c r="G437" s="26" t="s">
        <v>4401</v>
      </c>
      <c r="H437" s="26" t="s">
        <v>56</v>
      </c>
      <c r="I437" s="26" t="s">
        <v>4401</v>
      </c>
      <c r="J437" s="26" t="s">
        <v>58</v>
      </c>
      <c r="K437" s="27"/>
      <c r="L437" s="28" t="s">
        <v>56</v>
      </c>
      <c r="M437" s="29" t="str">
        <f t="shared" si="35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4.25" customHeight="1" x14ac:dyDescent="0.3">
      <c r="A438" s="42">
        <v>434</v>
      </c>
      <c r="B438" s="43" t="s">
        <v>5424</v>
      </c>
      <c r="C438" s="44" t="s">
        <v>5425</v>
      </c>
      <c r="D438" s="42" t="s">
        <v>698</v>
      </c>
      <c r="E438" s="55">
        <v>46125</v>
      </c>
      <c r="F438" s="26" t="s">
        <v>55</v>
      </c>
      <c r="G438" s="26" t="s">
        <v>58</v>
      </c>
      <c r="H438" s="26" t="s">
        <v>56</v>
      </c>
      <c r="I438" s="26" t="s">
        <v>70</v>
      </c>
      <c r="J438" s="26" t="s">
        <v>58</v>
      </c>
      <c r="K438" s="27"/>
      <c r="L438" s="28" t="s">
        <v>56</v>
      </c>
      <c r="M438" s="29" t="str">
        <f t="shared" si="35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4.25" customHeight="1" x14ac:dyDescent="0.3">
      <c r="A439" s="23">
        <v>435</v>
      </c>
      <c r="B439" s="24" t="s">
        <v>5426</v>
      </c>
      <c r="C439" s="25" t="s">
        <v>5427</v>
      </c>
      <c r="D439" s="23" t="s">
        <v>698</v>
      </c>
      <c r="E439" s="55">
        <v>46125</v>
      </c>
      <c r="F439" s="26" t="s">
        <v>55</v>
      </c>
      <c r="G439" s="26" t="s">
        <v>4401</v>
      </c>
      <c r="H439" s="26" t="s">
        <v>56</v>
      </c>
      <c r="I439" s="26" t="s">
        <v>4401</v>
      </c>
      <c r="J439" s="26" t="s">
        <v>58</v>
      </c>
      <c r="K439" s="27"/>
      <c r="L439" s="28" t="s">
        <v>56</v>
      </c>
      <c r="M439" s="29" t="str">
        <f t="shared" si="35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4.25" customHeight="1" x14ac:dyDescent="0.3">
      <c r="A440" s="42">
        <v>436</v>
      </c>
      <c r="B440" s="43" t="s">
        <v>5428</v>
      </c>
      <c r="C440" s="44" t="s">
        <v>5429</v>
      </c>
      <c r="D440" s="42" t="s">
        <v>698</v>
      </c>
      <c r="E440" s="55">
        <v>46125</v>
      </c>
      <c r="F440" s="26" t="s">
        <v>55</v>
      </c>
      <c r="G440" s="26" t="s">
        <v>4401</v>
      </c>
      <c r="H440" s="26" t="s">
        <v>56</v>
      </c>
      <c r="I440" s="26" t="s">
        <v>4401</v>
      </c>
      <c r="J440" s="26" t="s">
        <v>58</v>
      </c>
      <c r="K440" s="27"/>
      <c r="L440" s="28" t="s">
        <v>56</v>
      </c>
      <c r="M440" s="29" t="str">
        <f t="shared" si="35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4.25" customHeight="1" x14ac:dyDescent="0.3">
      <c r="A441" s="23">
        <v>437</v>
      </c>
      <c r="B441" s="24" t="s">
        <v>5430</v>
      </c>
      <c r="C441" s="25" t="s">
        <v>5431</v>
      </c>
      <c r="D441" s="23" t="s">
        <v>698</v>
      </c>
      <c r="E441" s="55">
        <v>46125</v>
      </c>
      <c r="F441" s="26" t="s">
        <v>55</v>
      </c>
      <c r="G441" s="26" t="s">
        <v>4401</v>
      </c>
      <c r="H441" s="26" t="s">
        <v>56</v>
      </c>
      <c r="I441" s="26" t="s">
        <v>4401</v>
      </c>
      <c r="J441" s="26" t="s">
        <v>58</v>
      </c>
      <c r="K441" s="27"/>
      <c r="L441" s="28" t="s">
        <v>56</v>
      </c>
      <c r="M441" s="29" t="str">
        <f t="shared" si="35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4.25" customHeight="1" x14ac:dyDescent="0.3">
      <c r="A442" s="42">
        <v>438</v>
      </c>
      <c r="B442" s="43" t="s">
        <v>5432</v>
      </c>
      <c r="C442" s="44" t="s">
        <v>5433</v>
      </c>
      <c r="D442" s="42" t="s">
        <v>698</v>
      </c>
      <c r="E442" s="55">
        <v>46125</v>
      </c>
      <c r="F442" s="26" t="s">
        <v>55</v>
      </c>
      <c r="G442" s="26" t="s">
        <v>4401</v>
      </c>
      <c r="H442" s="26" t="s">
        <v>56</v>
      </c>
      <c r="I442" s="26" t="s">
        <v>4401</v>
      </c>
      <c r="J442" s="26" t="s">
        <v>58</v>
      </c>
      <c r="K442" s="27"/>
      <c r="L442" s="28" t="s">
        <v>56</v>
      </c>
      <c r="M442" s="29" t="str">
        <f t="shared" si="35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4.25" customHeight="1" x14ac:dyDescent="0.3">
      <c r="A443" s="23">
        <v>439</v>
      </c>
      <c r="B443" s="24" t="s">
        <v>5434</v>
      </c>
      <c r="C443" s="25" t="s">
        <v>5435</v>
      </c>
      <c r="D443" s="23" t="s">
        <v>698</v>
      </c>
      <c r="E443" s="55">
        <v>46125</v>
      </c>
      <c r="F443" s="26" t="s">
        <v>55</v>
      </c>
      <c r="G443" s="26" t="s">
        <v>4401</v>
      </c>
      <c r="H443" s="26" t="s">
        <v>56</v>
      </c>
      <c r="I443" s="26" t="s">
        <v>4401</v>
      </c>
      <c r="J443" s="26" t="s">
        <v>58</v>
      </c>
      <c r="K443" s="27"/>
      <c r="L443" s="28" t="s">
        <v>56</v>
      </c>
      <c r="M443" s="29" t="str">
        <f t="shared" si="35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4.25" customHeight="1" x14ac:dyDescent="0.3">
      <c r="A444" s="42">
        <v>440</v>
      </c>
      <c r="B444" s="43" t="s">
        <v>5436</v>
      </c>
      <c r="C444" s="44" t="s">
        <v>5437</v>
      </c>
      <c r="D444" s="42" t="s">
        <v>698</v>
      </c>
      <c r="E444" s="55">
        <v>46125</v>
      </c>
      <c r="F444" s="26" t="s">
        <v>55</v>
      </c>
      <c r="G444" s="26" t="s">
        <v>58</v>
      </c>
      <c r="H444" s="26" t="s">
        <v>56</v>
      </c>
      <c r="I444" s="26" t="s">
        <v>70</v>
      </c>
      <c r="J444" s="26" t="s">
        <v>58</v>
      </c>
      <c r="K444" s="27"/>
      <c r="L444" s="28" t="s">
        <v>56</v>
      </c>
      <c r="M444" s="29" t="str">
        <f t="shared" si="35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4.25" customHeight="1" x14ac:dyDescent="0.3">
      <c r="A445" s="23">
        <v>441</v>
      </c>
      <c r="B445" s="24" t="s">
        <v>5438</v>
      </c>
      <c r="C445" s="25" t="s">
        <v>5439</v>
      </c>
      <c r="D445" s="23" t="s">
        <v>698</v>
      </c>
      <c r="E445" s="55">
        <v>46125</v>
      </c>
      <c r="F445" s="26" t="s">
        <v>55</v>
      </c>
      <c r="G445" s="26" t="s">
        <v>4401</v>
      </c>
      <c r="H445" s="26" t="s">
        <v>56</v>
      </c>
      <c r="I445" s="26" t="s">
        <v>4401</v>
      </c>
      <c r="J445" s="26" t="s">
        <v>58</v>
      </c>
      <c r="K445" s="27"/>
      <c r="L445" s="28" t="s">
        <v>56</v>
      </c>
      <c r="M445" s="29" t="str">
        <f t="shared" si="35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4.25" customHeight="1" x14ac:dyDescent="0.3">
      <c r="A446" s="42">
        <v>442</v>
      </c>
      <c r="B446" s="43" t="s">
        <v>5440</v>
      </c>
      <c r="C446" s="44" t="s">
        <v>5441</v>
      </c>
      <c r="D446" s="42" t="s">
        <v>698</v>
      </c>
      <c r="E446" s="55">
        <v>46125</v>
      </c>
      <c r="F446" s="26" t="s">
        <v>55</v>
      </c>
      <c r="G446" s="26" t="s">
        <v>4401</v>
      </c>
      <c r="H446" s="26" t="s">
        <v>56</v>
      </c>
      <c r="I446" s="26" t="s">
        <v>4401</v>
      </c>
      <c r="J446" s="26" t="s">
        <v>58</v>
      </c>
      <c r="K446" s="27"/>
      <c r="L446" s="28" t="s">
        <v>56</v>
      </c>
      <c r="M446" s="29" t="str">
        <f t="shared" si="35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4.25" customHeight="1" x14ac:dyDescent="0.3">
      <c r="A447" s="23">
        <v>443</v>
      </c>
      <c r="B447" s="24" t="s">
        <v>5442</v>
      </c>
      <c r="C447" s="25" t="s">
        <v>5443</v>
      </c>
      <c r="D447" s="23" t="s">
        <v>698</v>
      </c>
      <c r="E447" s="55">
        <v>46125</v>
      </c>
      <c r="F447" s="26" t="s">
        <v>55</v>
      </c>
      <c r="G447" s="26" t="s">
        <v>4401</v>
      </c>
      <c r="H447" s="26" t="s">
        <v>56</v>
      </c>
      <c r="I447" s="26" t="s">
        <v>4401</v>
      </c>
      <c r="J447" s="26" t="s">
        <v>58</v>
      </c>
      <c r="K447" s="27"/>
      <c r="L447" s="28" t="s">
        <v>56</v>
      </c>
      <c r="M447" s="29" t="str">
        <f t="shared" si="35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4.25" customHeight="1" x14ac:dyDescent="0.3">
      <c r="A448" s="42">
        <v>444</v>
      </c>
      <c r="B448" s="43" t="s">
        <v>5444</v>
      </c>
      <c r="C448" s="44" t="s">
        <v>5445</v>
      </c>
      <c r="D448" s="42" t="s">
        <v>698</v>
      </c>
      <c r="E448" s="55">
        <v>46125</v>
      </c>
      <c r="F448" s="26" t="s">
        <v>55</v>
      </c>
      <c r="G448" s="26" t="s">
        <v>4401</v>
      </c>
      <c r="H448" s="26" t="s">
        <v>56</v>
      </c>
      <c r="I448" s="26" t="s">
        <v>4401</v>
      </c>
      <c r="J448" s="26" t="s">
        <v>58</v>
      </c>
      <c r="K448" s="27"/>
      <c r="L448" s="28" t="s">
        <v>56</v>
      </c>
      <c r="M448" s="29" t="str">
        <f t="shared" si="35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4.25" customHeight="1" x14ac:dyDescent="0.3">
      <c r="A449" s="23">
        <v>445</v>
      </c>
      <c r="B449" s="24" t="s">
        <v>5446</v>
      </c>
      <c r="C449" s="25" t="s">
        <v>5447</v>
      </c>
      <c r="D449" s="23" t="s">
        <v>698</v>
      </c>
      <c r="E449" s="55">
        <v>46125</v>
      </c>
      <c r="F449" s="26" t="s">
        <v>55</v>
      </c>
      <c r="G449" s="26" t="s">
        <v>4401</v>
      </c>
      <c r="H449" s="26" t="s">
        <v>56</v>
      </c>
      <c r="I449" s="26" t="s">
        <v>4401</v>
      </c>
      <c r="J449" s="26" t="s">
        <v>58</v>
      </c>
      <c r="K449" s="27"/>
      <c r="L449" s="28" t="s">
        <v>56</v>
      </c>
      <c r="M449" s="29" t="str">
        <f t="shared" si="35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4.25" customHeight="1" x14ac:dyDescent="0.3">
      <c r="A450" s="42">
        <v>446</v>
      </c>
      <c r="B450" s="43" t="s">
        <v>5448</v>
      </c>
      <c r="C450" s="44" t="s">
        <v>5449</v>
      </c>
      <c r="D450" s="42" t="s">
        <v>698</v>
      </c>
      <c r="E450" s="55">
        <v>46125</v>
      </c>
      <c r="F450" s="26" t="s">
        <v>55</v>
      </c>
      <c r="G450" s="26" t="s">
        <v>4401</v>
      </c>
      <c r="H450" s="26" t="s">
        <v>56</v>
      </c>
      <c r="I450" s="26" t="s">
        <v>4401</v>
      </c>
      <c r="J450" s="26" t="s">
        <v>58</v>
      </c>
      <c r="K450" s="27"/>
      <c r="L450" s="28" t="s">
        <v>56</v>
      </c>
      <c r="M450" s="29" t="str">
        <f t="shared" si="35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4.25" customHeight="1" x14ac:dyDescent="0.3">
      <c r="A451" s="23">
        <v>447</v>
      </c>
      <c r="B451" s="24" t="s">
        <v>5450</v>
      </c>
      <c r="C451" s="25" t="s">
        <v>5451</v>
      </c>
      <c r="D451" s="23" t="s">
        <v>698</v>
      </c>
      <c r="E451" s="55">
        <v>46125</v>
      </c>
      <c r="F451" s="26" t="s">
        <v>55</v>
      </c>
      <c r="G451" s="26" t="s">
        <v>4401</v>
      </c>
      <c r="H451" s="26" t="s">
        <v>56</v>
      </c>
      <c r="I451" s="26" t="s">
        <v>4401</v>
      </c>
      <c r="J451" s="26" t="s">
        <v>58</v>
      </c>
      <c r="K451" s="27"/>
      <c r="L451" s="28" t="s">
        <v>56</v>
      </c>
      <c r="M451" s="29" t="str">
        <f t="shared" si="35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4.25" customHeight="1" x14ac:dyDescent="0.3">
      <c r="A452" s="42">
        <v>448</v>
      </c>
      <c r="B452" s="43" t="s">
        <v>5452</v>
      </c>
      <c r="C452" s="44" t="s">
        <v>5453</v>
      </c>
      <c r="D452" s="42" t="s">
        <v>5454</v>
      </c>
      <c r="E452" s="55">
        <v>46125</v>
      </c>
      <c r="F452" s="26" t="s">
        <v>55</v>
      </c>
      <c r="G452" s="26" t="s">
        <v>56</v>
      </c>
      <c r="H452" s="26" t="s">
        <v>56</v>
      </c>
      <c r="I452" s="26" t="s">
        <v>57</v>
      </c>
      <c r="J452" s="26" t="s">
        <v>56</v>
      </c>
      <c r="K452" s="27"/>
      <c r="L452" s="28" t="s">
        <v>58</v>
      </c>
      <c r="M452" s="29" t="str">
        <f t="shared" si="35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4.25" customHeight="1" x14ac:dyDescent="0.3">
      <c r="A453" s="23">
        <v>449</v>
      </c>
      <c r="B453" s="24" t="s">
        <v>5455</v>
      </c>
      <c r="C453" s="25" t="s">
        <v>5456</v>
      </c>
      <c r="D453" s="23" t="s">
        <v>5454</v>
      </c>
      <c r="E453" s="55">
        <v>46125</v>
      </c>
      <c r="F453" s="26" t="s">
        <v>55</v>
      </c>
      <c r="G453" s="26" t="s">
        <v>56</v>
      </c>
      <c r="H453" s="26" t="s">
        <v>56</v>
      </c>
      <c r="I453" s="26" t="s">
        <v>57</v>
      </c>
      <c r="J453" s="26" t="s">
        <v>56</v>
      </c>
      <c r="K453" s="27"/>
      <c r="L453" s="28" t="s">
        <v>58</v>
      </c>
      <c r="M453" s="29" t="str">
        <f t="shared" si="35"/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42">
        <v>450</v>
      </c>
      <c r="B454" s="43" t="s">
        <v>5457</v>
      </c>
      <c r="C454" s="44" t="s">
        <v>5458</v>
      </c>
      <c r="D454" s="42" t="s">
        <v>5454</v>
      </c>
      <c r="E454" s="55">
        <v>46125</v>
      </c>
      <c r="F454" s="26" t="s">
        <v>55</v>
      </c>
      <c r="G454" s="26" t="s">
        <v>56</v>
      </c>
      <c r="H454" s="26" t="s">
        <v>56</v>
      </c>
      <c r="I454" s="26" t="s">
        <v>57</v>
      </c>
      <c r="J454" s="26" t="s">
        <v>56</v>
      </c>
      <c r="K454" s="27"/>
      <c r="L454" s="28" t="s">
        <v>58</v>
      </c>
      <c r="M454" s="29" t="str">
        <f t="shared" ref="M454:M516" si="40">IF(E454="","",IF(H454="Yes","❌ Disc",IF(G454="No","⚠ Missing",IF(J454="Yes","✓ OK","⚠ Check"))))</f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4.25" customHeight="1" x14ac:dyDescent="0.3">
      <c r="A455" s="23">
        <v>451</v>
      </c>
      <c r="B455" s="24" t="s">
        <v>5459</v>
      </c>
      <c r="C455" s="25" t="s">
        <v>5460</v>
      </c>
      <c r="D455" s="23" t="s">
        <v>5454</v>
      </c>
      <c r="E455" s="55">
        <v>46125</v>
      </c>
      <c r="F455" s="26" t="s">
        <v>55</v>
      </c>
      <c r="G455" s="26" t="s">
        <v>56</v>
      </c>
      <c r="H455" s="26" t="s">
        <v>56</v>
      </c>
      <c r="I455" s="26" t="s">
        <v>57</v>
      </c>
      <c r="J455" s="26" t="s">
        <v>56</v>
      </c>
      <c r="K455" s="27"/>
      <c r="L455" s="28" t="s">
        <v>58</v>
      </c>
      <c r="M455" s="29" t="str">
        <f t="shared" si="40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4.25" customHeight="1" x14ac:dyDescent="0.3">
      <c r="A456" s="42">
        <v>452</v>
      </c>
      <c r="B456" s="43" t="s">
        <v>5461</v>
      </c>
      <c r="C456" s="44" t="s">
        <v>5462</v>
      </c>
      <c r="D456" s="42" t="s">
        <v>5454</v>
      </c>
      <c r="E456" s="55">
        <v>46125</v>
      </c>
      <c r="F456" s="26" t="s">
        <v>55</v>
      </c>
      <c r="G456" s="26" t="s">
        <v>56</v>
      </c>
      <c r="H456" s="26" t="s">
        <v>56</v>
      </c>
      <c r="I456" s="26" t="s">
        <v>57</v>
      </c>
      <c r="J456" s="26" t="s">
        <v>56</v>
      </c>
      <c r="K456" s="27"/>
      <c r="L456" s="28" t="s">
        <v>58</v>
      </c>
      <c r="M456" s="29" t="str">
        <f t="shared" si="40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4.25" customHeight="1" x14ac:dyDescent="0.3">
      <c r="A457" s="23">
        <v>453</v>
      </c>
      <c r="B457" s="24" t="s">
        <v>5463</v>
      </c>
      <c r="C457" s="25" t="s">
        <v>5464</v>
      </c>
      <c r="D457" s="23" t="s">
        <v>5454</v>
      </c>
      <c r="E457" s="55">
        <v>46125</v>
      </c>
      <c r="F457" s="26" t="s">
        <v>55</v>
      </c>
      <c r="G457" s="26" t="s">
        <v>56</v>
      </c>
      <c r="H457" s="26" t="s">
        <v>56</v>
      </c>
      <c r="I457" s="26" t="s">
        <v>57</v>
      </c>
      <c r="J457" s="26" t="s">
        <v>56</v>
      </c>
      <c r="K457" s="27"/>
      <c r="L457" s="28" t="s">
        <v>58</v>
      </c>
      <c r="M457" s="29" t="str">
        <f t="shared" si="40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4.25" customHeight="1" x14ac:dyDescent="0.3">
      <c r="A458" s="42">
        <v>454</v>
      </c>
      <c r="B458" s="43" t="s">
        <v>5465</v>
      </c>
      <c r="C458" s="44" t="s">
        <v>5466</v>
      </c>
      <c r="D458" s="42" t="s">
        <v>5454</v>
      </c>
      <c r="E458" s="55">
        <v>46125</v>
      </c>
      <c r="F458" s="26" t="s">
        <v>55</v>
      </c>
      <c r="G458" s="26" t="s">
        <v>56</v>
      </c>
      <c r="H458" s="26" t="s">
        <v>56</v>
      </c>
      <c r="I458" s="26" t="s">
        <v>57</v>
      </c>
      <c r="J458" s="26" t="s">
        <v>56</v>
      </c>
      <c r="K458" s="27"/>
      <c r="L458" s="28" t="s">
        <v>58</v>
      </c>
      <c r="M458" s="29" t="str">
        <f t="shared" si="40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4.25" customHeight="1" x14ac:dyDescent="0.3">
      <c r="A459" s="23">
        <v>455</v>
      </c>
      <c r="B459" s="24" t="s">
        <v>5467</v>
      </c>
      <c r="C459" s="25" t="s">
        <v>5468</v>
      </c>
      <c r="D459" s="23" t="s">
        <v>5454</v>
      </c>
      <c r="E459" s="55">
        <v>46125</v>
      </c>
      <c r="F459" s="26" t="s">
        <v>55</v>
      </c>
      <c r="G459" s="26" t="s">
        <v>56</v>
      </c>
      <c r="H459" s="26" t="s">
        <v>56</v>
      </c>
      <c r="I459" s="26" t="s">
        <v>57</v>
      </c>
      <c r="J459" s="26" t="s">
        <v>56</v>
      </c>
      <c r="K459" s="27"/>
      <c r="L459" s="28" t="s">
        <v>58</v>
      </c>
      <c r="M459" s="29" t="str">
        <f t="shared" si="40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4.25" customHeight="1" x14ac:dyDescent="0.3">
      <c r="A460" s="42">
        <v>456</v>
      </c>
      <c r="B460" s="43" t="s">
        <v>5469</v>
      </c>
      <c r="C460" s="44" t="s">
        <v>5470</v>
      </c>
      <c r="D460" s="42" t="s">
        <v>5454</v>
      </c>
      <c r="E460" s="55">
        <v>46125</v>
      </c>
      <c r="F460" s="26" t="s">
        <v>55</v>
      </c>
      <c r="G460" s="26" t="s">
        <v>56</v>
      </c>
      <c r="H460" s="26" t="s">
        <v>56</v>
      </c>
      <c r="I460" s="26" t="s">
        <v>57</v>
      </c>
      <c r="J460" s="26" t="s">
        <v>56</v>
      </c>
      <c r="K460" s="27"/>
      <c r="L460" s="28" t="s">
        <v>58</v>
      </c>
      <c r="M460" s="29" t="str">
        <f t="shared" si="40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4.25" customHeight="1" x14ac:dyDescent="0.3">
      <c r="A461" s="23">
        <v>457</v>
      </c>
      <c r="B461" s="24" t="s">
        <v>5471</v>
      </c>
      <c r="C461" s="25" t="s">
        <v>5472</v>
      </c>
      <c r="D461" s="23" t="s">
        <v>5454</v>
      </c>
      <c r="E461" s="55">
        <v>46125</v>
      </c>
      <c r="F461" s="26" t="s">
        <v>55</v>
      </c>
      <c r="G461" s="26" t="s">
        <v>56</v>
      </c>
      <c r="H461" s="26" t="s">
        <v>56</v>
      </c>
      <c r="I461" s="26" t="s">
        <v>57</v>
      </c>
      <c r="J461" s="26" t="s">
        <v>56</v>
      </c>
      <c r="K461" s="27"/>
      <c r="L461" s="28" t="s">
        <v>58</v>
      </c>
      <c r="M461" s="29" t="str">
        <f t="shared" si="40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4.25" customHeight="1" x14ac:dyDescent="0.3">
      <c r="A462" s="42">
        <v>458</v>
      </c>
      <c r="B462" s="43" t="s">
        <v>5473</v>
      </c>
      <c r="C462" s="44" t="s">
        <v>5474</v>
      </c>
      <c r="D462" s="42" t="s">
        <v>5454</v>
      </c>
      <c r="E462" s="55">
        <v>46125</v>
      </c>
      <c r="F462" s="26" t="s">
        <v>55</v>
      </c>
      <c r="G462" s="26" t="s">
        <v>56</v>
      </c>
      <c r="H462" s="26" t="s">
        <v>56</v>
      </c>
      <c r="I462" s="26" t="s">
        <v>57</v>
      </c>
      <c r="J462" s="26" t="s">
        <v>56</v>
      </c>
      <c r="K462" s="27"/>
      <c r="L462" s="28" t="s">
        <v>58</v>
      </c>
      <c r="M462" s="29" t="str">
        <f t="shared" si="40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4.25" customHeight="1" x14ac:dyDescent="0.3">
      <c r="A463" s="23">
        <v>459</v>
      </c>
      <c r="B463" s="24" t="s">
        <v>5475</v>
      </c>
      <c r="C463" s="25" t="s">
        <v>5476</v>
      </c>
      <c r="D463" s="23" t="s">
        <v>5454</v>
      </c>
      <c r="E463" s="55">
        <v>46125</v>
      </c>
      <c r="F463" s="26" t="s">
        <v>55</v>
      </c>
      <c r="G463" s="26" t="s">
        <v>56</v>
      </c>
      <c r="H463" s="26" t="s">
        <v>56</v>
      </c>
      <c r="I463" s="26" t="s">
        <v>57</v>
      </c>
      <c r="J463" s="26" t="s">
        <v>56</v>
      </c>
      <c r="K463" s="27"/>
      <c r="L463" s="28" t="s">
        <v>58</v>
      </c>
      <c r="M463" s="29" t="str">
        <f t="shared" si="40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4.25" customHeight="1" x14ac:dyDescent="0.3">
      <c r="A464" s="42">
        <v>460</v>
      </c>
      <c r="B464" s="43" t="s">
        <v>5477</v>
      </c>
      <c r="C464" s="44" t="s">
        <v>5478</v>
      </c>
      <c r="D464" s="42" t="s">
        <v>5454</v>
      </c>
      <c r="E464" s="55">
        <v>46125</v>
      </c>
      <c r="F464" s="26" t="s">
        <v>55</v>
      </c>
      <c r="G464" s="26" t="s">
        <v>56</v>
      </c>
      <c r="H464" s="26" t="s">
        <v>56</v>
      </c>
      <c r="I464" s="26" t="s">
        <v>57</v>
      </c>
      <c r="J464" s="26" t="s">
        <v>56</v>
      </c>
      <c r="K464" s="27"/>
      <c r="L464" s="28" t="s">
        <v>58</v>
      </c>
      <c r="M464" s="29" t="str">
        <f t="shared" si="40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4.25" customHeight="1" x14ac:dyDescent="0.3">
      <c r="A465" s="23">
        <v>461</v>
      </c>
      <c r="B465" s="24" t="s">
        <v>5479</v>
      </c>
      <c r="C465" s="25" t="s">
        <v>5480</v>
      </c>
      <c r="D465" s="23" t="s">
        <v>5454</v>
      </c>
      <c r="E465" s="55">
        <v>46125</v>
      </c>
      <c r="F465" s="26" t="s">
        <v>55</v>
      </c>
      <c r="G465" s="26" t="s">
        <v>56</v>
      </c>
      <c r="H465" s="26" t="s">
        <v>56</v>
      </c>
      <c r="I465" s="26" t="s">
        <v>57</v>
      </c>
      <c r="J465" s="26" t="s">
        <v>56</v>
      </c>
      <c r="K465" s="27"/>
      <c r="L465" s="28" t="s">
        <v>58</v>
      </c>
      <c r="M465" s="29" t="str">
        <f t="shared" si="40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4.25" customHeight="1" x14ac:dyDescent="0.3">
      <c r="A466" s="42">
        <v>462</v>
      </c>
      <c r="B466" s="43" t="s">
        <v>5481</v>
      </c>
      <c r="C466" s="44" t="s">
        <v>5482</v>
      </c>
      <c r="D466" s="42" t="s">
        <v>5454</v>
      </c>
      <c r="E466" s="55">
        <v>46125</v>
      </c>
      <c r="F466" s="26" t="s">
        <v>55</v>
      </c>
      <c r="G466" s="26" t="s">
        <v>56</v>
      </c>
      <c r="H466" s="26" t="s">
        <v>56</v>
      </c>
      <c r="I466" s="26" t="s">
        <v>57</v>
      </c>
      <c r="J466" s="26" t="s">
        <v>56</v>
      </c>
      <c r="K466" s="27"/>
      <c r="L466" s="28" t="s">
        <v>58</v>
      </c>
      <c r="M466" s="29" t="str">
        <f t="shared" si="40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4.25" customHeight="1" x14ac:dyDescent="0.3">
      <c r="A467" s="23">
        <v>463</v>
      </c>
      <c r="B467" s="24" t="s">
        <v>5483</v>
      </c>
      <c r="C467" s="25" t="s">
        <v>5484</v>
      </c>
      <c r="D467" s="23" t="s">
        <v>5454</v>
      </c>
      <c r="E467" s="55">
        <v>46125</v>
      </c>
      <c r="F467" s="26" t="s">
        <v>55</v>
      </c>
      <c r="G467" s="26" t="s">
        <v>56</v>
      </c>
      <c r="H467" s="26" t="s">
        <v>56</v>
      </c>
      <c r="I467" s="26" t="s">
        <v>57</v>
      </c>
      <c r="J467" s="26" t="s">
        <v>56</v>
      </c>
      <c r="K467" s="27"/>
      <c r="L467" s="28" t="s">
        <v>58</v>
      </c>
      <c r="M467" s="29" t="str">
        <f t="shared" si="40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4.25" customHeight="1" x14ac:dyDescent="0.3">
      <c r="A468" s="42">
        <v>464</v>
      </c>
      <c r="B468" s="43" t="s">
        <v>5485</v>
      </c>
      <c r="C468" s="44" t="s">
        <v>5486</v>
      </c>
      <c r="D468" s="42" t="s">
        <v>5454</v>
      </c>
      <c r="E468" s="55">
        <v>46125</v>
      </c>
      <c r="F468" s="26" t="s">
        <v>55</v>
      </c>
      <c r="G468" s="26" t="s">
        <v>56</v>
      </c>
      <c r="H468" s="26" t="s">
        <v>56</v>
      </c>
      <c r="I468" s="26" t="s">
        <v>57</v>
      </c>
      <c r="J468" s="26" t="s">
        <v>56</v>
      </c>
      <c r="K468" s="27"/>
      <c r="L468" s="28" t="s">
        <v>58</v>
      </c>
      <c r="M468" s="29" t="str">
        <f t="shared" si="40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4.25" customHeight="1" x14ac:dyDescent="0.3">
      <c r="A469" s="23">
        <v>465</v>
      </c>
      <c r="B469" s="24" t="s">
        <v>5487</v>
      </c>
      <c r="C469" s="25" t="s">
        <v>5488</v>
      </c>
      <c r="D469" s="23" t="s">
        <v>5454</v>
      </c>
      <c r="E469" s="55">
        <v>46125</v>
      </c>
      <c r="F469" s="26" t="s">
        <v>55</v>
      </c>
      <c r="G469" s="26" t="s">
        <v>56</v>
      </c>
      <c r="H469" s="26" t="s">
        <v>56</v>
      </c>
      <c r="I469" s="26" t="s">
        <v>57</v>
      </c>
      <c r="J469" s="26" t="s">
        <v>56</v>
      </c>
      <c r="K469" s="27"/>
      <c r="L469" s="28" t="s">
        <v>58</v>
      </c>
      <c r="M469" s="29" t="str">
        <f t="shared" si="40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4.25" customHeight="1" x14ac:dyDescent="0.3">
      <c r="A470" s="42">
        <v>466</v>
      </c>
      <c r="B470" s="43" t="s">
        <v>5489</v>
      </c>
      <c r="C470" s="44" t="s">
        <v>5490</v>
      </c>
      <c r="D470" s="42" t="s">
        <v>5454</v>
      </c>
      <c r="E470" s="55">
        <v>46125</v>
      </c>
      <c r="F470" s="26" t="s">
        <v>55</v>
      </c>
      <c r="G470" s="26" t="s">
        <v>56</v>
      </c>
      <c r="H470" s="26" t="s">
        <v>56</v>
      </c>
      <c r="I470" s="26" t="s">
        <v>57</v>
      </c>
      <c r="J470" s="26" t="s">
        <v>56</v>
      </c>
      <c r="K470" s="27"/>
      <c r="L470" s="28" t="s">
        <v>58</v>
      </c>
      <c r="M470" s="29" t="str">
        <f t="shared" si="40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4.25" customHeight="1" x14ac:dyDescent="0.3">
      <c r="A471" s="23">
        <v>467</v>
      </c>
      <c r="B471" s="24" t="s">
        <v>5491</v>
      </c>
      <c r="C471" s="25" t="s">
        <v>5492</v>
      </c>
      <c r="D471" s="23" t="s">
        <v>5454</v>
      </c>
      <c r="E471" s="55">
        <v>46125</v>
      </c>
      <c r="F471" s="26" t="s">
        <v>55</v>
      </c>
      <c r="G471" s="26" t="s">
        <v>56</v>
      </c>
      <c r="H471" s="26" t="s">
        <v>56</v>
      </c>
      <c r="I471" s="26" t="s">
        <v>57</v>
      </c>
      <c r="J471" s="26" t="s">
        <v>56</v>
      </c>
      <c r="K471" s="27"/>
      <c r="L471" s="28" t="s">
        <v>58</v>
      </c>
      <c r="M471" s="29" t="str">
        <f t="shared" si="40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4.25" customHeight="1" x14ac:dyDescent="0.3">
      <c r="A472" s="42">
        <v>468</v>
      </c>
      <c r="B472" s="43" t="s">
        <v>5493</v>
      </c>
      <c r="C472" s="44" t="s">
        <v>5494</v>
      </c>
      <c r="D472" s="42" t="s">
        <v>5454</v>
      </c>
      <c r="E472" s="55">
        <v>46125</v>
      </c>
      <c r="F472" s="26" t="s">
        <v>55</v>
      </c>
      <c r="G472" s="26" t="s">
        <v>58</v>
      </c>
      <c r="H472" s="26" t="s">
        <v>56</v>
      </c>
      <c r="I472" s="26" t="s">
        <v>70</v>
      </c>
      <c r="J472" s="26" t="s">
        <v>58</v>
      </c>
      <c r="K472" s="27"/>
      <c r="L472" s="28" t="s">
        <v>56</v>
      </c>
      <c r="M472" s="29" t="str">
        <f t="shared" si="40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4.25" customHeight="1" x14ac:dyDescent="0.3">
      <c r="A473" s="23">
        <v>469</v>
      </c>
      <c r="B473" s="24" t="s">
        <v>5495</v>
      </c>
      <c r="C473" s="25" t="s">
        <v>5496</v>
      </c>
      <c r="D473" s="23" t="s">
        <v>5454</v>
      </c>
      <c r="E473" s="55">
        <v>46125</v>
      </c>
      <c r="F473" s="26" t="s">
        <v>55</v>
      </c>
      <c r="G473" s="26" t="s">
        <v>4401</v>
      </c>
      <c r="H473" s="26" t="s">
        <v>56</v>
      </c>
      <c r="I473" s="26" t="s">
        <v>4401</v>
      </c>
      <c r="J473" s="26" t="s">
        <v>58</v>
      </c>
      <c r="K473" s="27"/>
      <c r="L473" s="28" t="s">
        <v>56</v>
      </c>
      <c r="M473" s="29" t="str">
        <f t="shared" si="40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4.25" customHeight="1" x14ac:dyDescent="0.3">
      <c r="A474" s="42">
        <v>470</v>
      </c>
      <c r="B474" s="43" t="s">
        <v>5497</v>
      </c>
      <c r="C474" s="44" t="s">
        <v>5498</v>
      </c>
      <c r="D474" s="42" t="s">
        <v>5454</v>
      </c>
      <c r="E474" s="55">
        <v>46125</v>
      </c>
      <c r="F474" s="26" t="s">
        <v>55</v>
      </c>
      <c r="G474" s="26" t="s">
        <v>4401</v>
      </c>
      <c r="H474" s="26" t="s">
        <v>56</v>
      </c>
      <c r="I474" s="26" t="s">
        <v>4401</v>
      </c>
      <c r="J474" s="26" t="s">
        <v>58</v>
      </c>
      <c r="K474" s="27"/>
      <c r="L474" s="28" t="s">
        <v>56</v>
      </c>
      <c r="M474" s="29" t="str">
        <f t="shared" si="40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4.25" customHeight="1" x14ac:dyDescent="0.3">
      <c r="A475" s="23">
        <v>471</v>
      </c>
      <c r="B475" s="24" t="s">
        <v>5499</v>
      </c>
      <c r="C475" s="25" t="s">
        <v>5500</v>
      </c>
      <c r="D475" s="23" t="s">
        <v>5454</v>
      </c>
      <c r="E475" s="55">
        <v>46125</v>
      </c>
      <c r="F475" s="26" t="s">
        <v>55</v>
      </c>
      <c r="G475" s="26" t="s">
        <v>4401</v>
      </c>
      <c r="H475" s="26" t="s">
        <v>56</v>
      </c>
      <c r="I475" s="26" t="s">
        <v>4401</v>
      </c>
      <c r="J475" s="26" t="s">
        <v>58</v>
      </c>
      <c r="K475" s="27"/>
      <c r="L475" s="28" t="s">
        <v>56</v>
      </c>
      <c r="M475" s="29" t="str">
        <f t="shared" si="40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4.25" customHeight="1" x14ac:dyDescent="0.3">
      <c r="A476" s="42">
        <v>472</v>
      </c>
      <c r="B476" s="43" t="s">
        <v>5501</v>
      </c>
      <c r="C476" s="44" t="s">
        <v>5502</v>
      </c>
      <c r="D476" s="42" t="s">
        <v>5454</v>
      </c>
      <c r="E476" s="55">
        <v>46125</v>
      </c>
      <c r="F476" s="26" t="s">
        <v>55</v>
      </c>
      <c r="G476" s="26" t="s">
        <v>58</v>
      </c>
      <c r="H476" s="26" t="s">
        <v>56</v>
      </c>
      <c r="I476" s="26" t="s">
        <v>70</v>
      </c>
      <c r="J476" s="26" t="s">
        <v>58</v>
      </c>
      <c r="K476" s="27"/>
      <c r="L476" s="28" t="s">
        <v>56</v>
      </c>
      <c r="M476" s="29" t="str">
        <f t="shared" si="40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4.25" customHeight="1" x14ac:dyDescent="0.3">
      <c r="A477" s="23">
        <v>473</v>
      </c>
      <c r="B477" s="24" t="s">
        <v>5503</v>
      </c>
      <c r="C477" s="25" t="s">
        <v>5504</v>
      </c>
      <c r="D477" s="23" t="s">
        <v>5454</v>
      </c>
      <c r="E477" s="55">
        <v>46125</v>
      </c>
      <c r="F477" s="26" t="s">
        <v>55</v>
      </c>
      <c r="G477" s="26" t="s">
        <v>4401</v>
      </c>
      <c r="H477" s="26" t="s">
        <v>56</v>
      </c>
      <c r="I477" s="26" t="s">
        <v>4401</v>
      </c>
      <c r="J477" s="26" t="s">
        <v>58</v>
      </c>
      <c r="K477" s="27"/>
      <c r="L477" s="28" t="s">
        <v>56</v>
      </c>
      <c r="M477" s="29" t="str">
        <f t="shared" si="40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4.25" customHeight="1" x14ac:dyDescent="0.3">
      <c r="A478" s="42">
        <v>474</v>
      </c>
      <c r="B478" s="43" t="s">
        <v>5505</v>
      </c>
      <c r="C478" s="44" t="s">
        <v>5506</v>
      </c>
      <c r="D478" s="42" t="s">
        <v>5454</v>
      </c>
      <c r="E478" s="55">
        <v>46125</v>
      </c>
      <c r="F478" s="26" t="s">
        <v>55</v>
      </c>
      <c r="G478" s="26" t="s">
        <v>4401</v>
      </c>
      <c r="H478" s="26" t="s">
        <v>56</v>
      </c>
      <c r="I478" s="26" t="s">
        <v>4401</v>
      </c>
      <c r="J478" s="26" t="s">
        <v>58</v>
      </c>
      <c r="K478" s="27"/>
      <c r="L478" s="28" t="s">
        <v>56</v>
      </c>
      <c r="M478" s="29" t="str">
        <f t="shared" si="40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4.25" customHeight="1" x14ac:dyDescent="0.3">
      <c r="A479" s="23">
        <v>475</v>
      </c>
      <c r="B479" s="24" t="s">
        <v>5507</v>
      </c>
      <c r="C479" s="25" t="s">
        <v>5508</v>
      </c>
      <c r="D479" s="23" t="s">
        <v>5454</v>
      </c>
      <c r="E479" s="55">
        <v>46125</v>
      </c>
      <c r="F479" s="26" t="s">
        <v>55</v>
      </c>
      <c r="G479" s="26" t="s">
        <v>4401</v>
      </c>
      <c r="H479" s="26" t="s">
        <v>56</v>
      </c>
      <c r="I479" s="26" t="s">
        <v>4401</v>
      </c>
      <c r="J479" s="26" t="s">
        <v>58</v>
      </c>
      <c r="K479" s="27"/>
      <c r="L479" s="28" t="s">
        <v>56</v>
      </c>
      <c r="M479" s="29" t="str">
        <f t="shared" si="40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4.25" customHeight="1" x14ac:dyDescent="0.3">
      <c r="A480" s="42">
        <v>476</v>
      </c>
      <c r="B480" s="43" t="s">
        <v>5509</v>
      </c>
      <c r="C480" s="44" t="s">
        <v>5510</v>
      </c>
      <c r="D480" s="42" t="s">
        <v>5454</v>
      </c>
      <c r="E480" s="55">
        <v>46125</v>
      </c>
      <c r="F480" s="26" t="s">
        <v>55</v>
      </c>
      <c r="G480" s="26" t="s">
        <v>4401</v>
      </c>
      <c r="H480" s="26" t="s">
        <v>56</v>
      </c>
      <c r="I480" s="26" t="s">
        <v>4401</v>
      </c>
      <c r="J480" s="26" t="s">
        <v>58</v>
      </c>
      <c r="K480" s="27"/>
      <c r="L480" s="28" t="s">
        <v>56</v>
      </c>
      <c r="M480" s="29" t="str">
        <f t="shared" si="40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4.25" customHeight="1" x14ac:dyDescent="0.3">
      <c r="A481" s="23">
        <v>477</v>
      </c>
      <c r="B481" s="24" t="s">
        <v>5511</v>
      </c>
      <c r="C481" s="25" t="s">
        <v>5512</v>
      </c>
      <c r="D481" s="23" t="s">
        <v>5454</v>
      </c>
      <c r="E481" s="55">
        <v>46125</v>
      </c>
      <c r="F481" s="26" t="s">
        <v>55</v>
      </c>
      <c r="G481" s="26" t="s">
        <v>4401</v>
      </c>
      <c r="H481" s="26" t="s">
        <v>56</v>
      </c>
      <c r="I481" s="26" t="s">
        <v>4401</v>
      </c>
      <c r="J481" s="26" t="s">
        <v>58</v>
      </c>
      <c r="K481" s="27"/>
      <c r="L481" s="28" t="s">
        <v>56</v>
      </c>
      <c r="M481" s="29" t="str">
        <f t="shared" si="40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4.25" customHeight="1" x14ac:dyDescent="0.3">
      <c r="A482" s="42">
        <v>478</v>
      </c>
      <c r="B482" s="43" t="s">
        <v>5513</v>
      </c>
      <c r="C482" s="44" t="s">
        <v>5514</v>
      </c>
      <c r="D482" s="42" t="s">
        <v>5454</v>
      </c>
      <c r="E482" s="55">
        <v>46125</v>
      </c>
      <c r="F482" s="26" t="s">
        <v>55</v>
      </c>
      <c r="G482" s="26" t="s">
        <v>4401</v>
      </c>
      <c r="H482" s="26" t="s">
        <v>56</v>
      </c>
      <c r="I482" s="26" t="s">
        <v>4401</v>
      </c>
      <c r="J482" s="26" t="s">
        <v>58</v>
      </c>
      <c r="K482" s="27"/>
      <c r="L482" s="28" t="s">
        <v>56</v>
      </c>
      <c r="M482" s="29" t="str">
        <f t="shared" si="40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4.25" customHeight="1" x14ac:dyDescent="0.3">
      <c r="A483" s="23">
        <v>479</v>
      </c>
      <c r="B483" s="24" t="s">
        <v>5515</v>
      </c>
      <c r="C483" s="25" t="s">
        <v>5516</v>
      </c>
      <c r="D483" s="23" t="s">
        <v>5454</v>
      </c>
      <c r="E483" s="55">
        <v>46125</v>
      </c>
      <c r="F483" s="26" t="s">
        <v>55</v>
      </c>
      <c r="G483" s="26" t="s">
        <v>58</v>
      </c>
      <c r="H483" s="26" t="s">
        <v>56</v>
      </c>
      <c r="I483" s="26" t="s">
        <v>70</v>
      </c>
      <c r="J483" s="26" t="s">
        <v>58</v>
      </c>
      <c r="K483" s="27"/>
      <c r="L483" s="28" t="s">
        <v>56</v>
      </c>
      <c r="M483" s="29" t="str">
        <f t="shared" si="40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4.25" customHeight="1" x14ac:dyDescent="0.3">
      <c r="A484" s="42">
        <v>480</v>
      </c>
      <c r="B484" s="43" t="s">
        <v>5517</v>
      </c>
      <c r="C484" s="44" t="s">
        <v>5518</v>
      </c>
      <c r="D484" s="42" t="s">
        <v>5454</v>
      </c>
      <c r="E484" s="55">
        <v>46125</v>
      </c>
      <c r="F484" s="26" t="s">
        <v>55</v>
      </c>
      <c r="G484" s="26" t="s">
        <v>4401</v>
      </c>
      <c r="H484" s="26" t="s">
        <v>56</v>
      </c>
      <c r="I484" s="26" t="s">
        <v>4401</v>
      </c>
      <c r="J484" s="26" t="s">
        <v>58</v>
      </c>
      <c r="K484" s="27"/>
      <c r="L484" s="28" t="s">
        <v>56</v>
      </c>
      <c r="M484" s="29" t="str">
        <f t="shared" si="40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4.25" customHeight="1" x14ac:dyDescent="0.3">
      <c r="A485" s="23">
        <v>481</v>
      </c>
      <c r="B485" s="24" t="s">
        <v>5519</v>
      </c>
      <c r="C485" s="25" t="s">
        <v>5520</v>
      </c>
      <c r="D485" s="23" t="s">
        <v>5454</v>
      </c>
      <c r="E485" s="55">
        <v>46125</v>
      </c>
      <c r="F485" s="26" t="s">
        <v>55</v>
      </c>
      <c r="G485" s="26" t="s">
        <v>4401</v>
      </c>
      <c r="H485" s="26" t="s">
        <v>56</v>
      </c>
      <c r="I485" s="26" t="s">
        <v>4401</v>
      </c>
      <c r="J485" s="26" t="s">
        <v>58</v>
      </c>
      <c r="K485" s="27"/>
      <c r="L485" s="28" t="s">
        <v>56</v>
      </c>
      <c r="M485" s="29" t="str">
        <f t="shared" si="40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4.25" customHeight="1" x14ac:dyDescent="0.3">
      <c r="A486" s="42">
        <v>482</v>
      </c>
      <c r="B486" s="43" t="s">
        <v>5521</v>
      </c>
      <c r="C486" s="44" t="s">
        <v>5522</v>
      </c>
      <c r="D486" s="42" t="s">
        <v>5454</v>
      </c>
      <c r="E486" s="55">
        <v>46125</v>
      </c>
      <c r="F486" s="26" t="s">
        <v>55</v>
      </c>
      <c r="G486" s="26" t="s">
        <v>4401</v>
      </c>
      <c r="H486" s="26" t="s">
        <v>56</v>
      </c>
      <c r="I486" s="26" t="s">
        <v>4401</v>
      </c>
      <c r="J486" s="26" t="s">
        <v>58</v>
      </c>
      <c r="K486" s="27"/>
      <c r="L486" s="28" t="s">
        <v>56</v>
      </c>
      <c r="M486" s="29" t="str">
        <f t="shared" si="40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4.25" customHeight="1" x14ac:dyDescent="0.3">
      <c r="A487" s="23">
        <v>483</v>
      </c>
      <c r="B487" s="24" t="s">
        <v>5523</v>
      </c>
      <c r="C487" s="25" t="s">
        <v>5524</v>
      </c>
      <c r="D487" s="23" t="s">
        <v>5454</v>
      </c>
      <c r="E487" s="55">
        <v>46125</v>
      </c>
      <c r="F487" s="26" t="s">
        <v>55</v>
      </c>
      <c r="G487" s="26" t="s">
        <v>4401</v>
      </c>
      <c r="H487" s="26" t="s">
        <v>56</v>
      </c>
      <c r="I487" s="26" t="s">
        <v>4401</v>
      </c>
      <c r="J487" s="26" t="s">
        <v>58</v>
      </c>
      <c r="K487" s="27"/>
      <c r="L487" s="28" t="s">
        <v>56</v>
      </c>
      <c r="M487" s="29" t="str">
        <f t="shared" si="40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4.25" customHeight="1" x14ac:dyDescent="0.3">
      <c r="A488" s="42">
        <v>484</v>
      </c>
      <c r="B488" s="43" t="s">
        <v>5525</v>
      </c>
      <c r="C488" s="44" t="s">
        <v>5526</v>
      </c>
      <c r="D488" s="42" t="s">
        <v>5454</v>
      </c>
      <c r="E488" s="55">
        <v>46125</v>
      </c>
      <c r="F488" s="26" t="s">
        <v>55</v>
      </c>
      <c r="G488" s="26" t="s">
        <v>4401</v>
      </c>
      <c r="H488" s="26" t="s">
        <v>56</v>
      </c>
      <c r="I488" s="26" t="s">
        <v>4401</v>
      </c>
      <c r="J488" s="26" t="s">
        <v>58</v>
      </c>
      <c r="K488" s="27"/>
      <c r="L488" s="28" t="s">
        <v>56</v>
      </c>
      <c r="M488" s="29" t="str">
        <f t="shared" si="40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4.25" customHeight="1" x14ac:dyDescent="0.3">
      <c r="A489" s="23">
        <v>485</v>
      </c>
      <c r="B489" s="24" t="s">
        <v>5527</v>
      </c>
      <c r="C489" s="25" t="s">
        <v>5528</v>
      </c>
      <c r="D489" s="23" t="s">
        <v>5454</v>
      </c>
      <c r="E489" s="55">
        <v>46125</v>
      </c>
      <c r="F489" s="26" t="s">
        <v>55</v>
      </c>
      <c r="G489" s="26" t="s">
        <v>4401</v>
      </c>
      <c r="H489" s="26" t="s">
        <v>56</v>
      </c>
      <c r="I489" s="26" t="s">
        <v>4401</v>
      </c>
      <c r="J489" s="26" t="s">
        <v>58</v>
      </c>
      <c r="K489" s="27"/>
      <c r="L489" s="28" t="s">
        <v>56</v>
      </c>
      <c r="M489" s="29" t="str">
        <f t="shared" si="40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4.25" customHeight="1" x14ac:dyDescent="0.3">
      <c r="A490" s="42">
        <v>486</v>
      </c>
      <c r="B490" s="43" t="s">
        <v>5529</v>
      </c>
      <c r="C490" s="44" t="s">
        <v>5530</v>
      </c>
      <c r="D490" s="42" t="s">
        <v>5454</v>
      </c>
      <c r="E490" s="55">
        <v>46125</v>
      </c>
      <c r="F490" s="26" t="s">
        <v>55</v>
      </c>
      <c r="G490" s="26" t="s">
        <v>4401</v>
      </c>
      <c r="H490" s="26" t="s">
        <v>56</v>
      </c>
      <c r="I490" s="26" t="s">
        <v>4401</v>
      </c>
      <c r="J490" s="26" t="s">
        <v>58</v>
      </c>
      <c r="K490" s="27"/>
      <c r="L490" s="28" t="s">
        <v>56</v>
      </c>
      <c r="M490" s="29" t="str">
        <f t="shared" si="40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4.25" customHeight="1" x14ac:dyDescent="0.3">
      <c r="A491" s="23">
        <v>487</v>
      </c>
      <c r="B491" s="24" t="s">
        <v>5531</v>
      </c>
      <c r="C491" s="25" t="s">
        <v>5532</v>
      </c>
      <c r="D491" s="23" t="s">
        <v>5454</v>
      </c>
      <c r="E491" s="55">
        <v>46125</v>
      </c>
      <c r="F491" s="26" t="s">
        <v>55</v>
      </c>
      <c r="G491" s="26" t="s">
        <v>58</v>
      </c>
      <c r="H491" s="26" t="s">
        <v>56</v>
      </c>
      <c r="I491" s="26" t="s">
        <v>70</v>
      </c>
      <c r="J491" s="26" t="s">
        <v>58</v>
      </c>
      <c r="K491" s="27"/>
      <c r="L491" s="28" t="s">
        <v>56</v>
      </c>
      <c r="M491" s="29" t="str">
        <f t="shared" si="40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4.25" customHeight="1" x14ac:dyDescent="0.3">
      <c r="A492" s="42">
        <v>488</v>
      </c>
      <c r="B492" s="43" t="s">
        <v>5533</v>
      </c>
      <c r="C492" s="44" t="s">
        <v>5534</v>
      </c>
      <c r="D492" s="42" t="s">
        <v>5454</v>
      </c>
      <c r="E492" s="55">
        <v>46125</v>
      </c>
      <c r="F492" s="26" t="s">
        <v>55</v>
      </c>
      <c r="G492" s="26" t="s">
        <v>4401</v>
      </c>
      <c r="H492" s="26" t="s">
        <v>56</v>
      </c>
      <c r="I492" s="26" t="s">
        <v>4401</v>
      </c>
      <c r="J492" s="26" t="s">
        <v>58</v>
      </c>
      <c r="K492" s="27"/>
      <c r="L492" s="28" t="s">
        <v>56</v>
      </c>
      <c r="M492" s="29" t="str">
        <f t="shared" si="40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4.25" customHeight="1" x14ac:dyDescent="0.3">
      <c r="A493" s="23">
        <v>489</v>
      </c>
      <c r="B493" s="24" t="s">
        <v>5535</v>
      </c>
      <c r="C493" s="25" t="s">
        <v>5536</v>
      </c>
      <c r="D493" s="23" t="s">
        <v>5454</v>
      </c>
      <c r="E493" s="55">
        <v>46125</v>
      </c>
      <c r="F493" s="26" t="s">
        <v>55</v>
      </c>
      <c r="G493" s="26" t="s">
        <v>4401</v>
      </c>
      <c r="H493" s="26" t="s">
        <v>56</v>
      </c>
      <c r="I493" s="26" t="s">
        <v>4401</v>
      </c>
      <c r="J493" s="26" t="s">
        <v>58</v>
      </c>
      <c r="K493" s="27"/>
      <c r="L493" s="28" t="s">
        <v>56</v>
      </c>
      <c r="M493" s="29" t="str">
        <f t="shared" si="40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4.25" customHeight="1" x14ac:dyDescent="0.3">
      <c r="A494" s="42">
        <v>490</v>
      </c>
      <c r="B494" s="43" t="s">
        <v>5537</v>
      </c>
      <c r="C494" s="44" t="s">
        <v>5538</v>
      </c>
      <c r="D494" s="42" t="s">
        <v>5454</v>
      </c>
      <c r="E494" s="55">
        <v>46125</v>
      </c>
      <c r="F494" s="26" t="s">
        <v>55</v>
      </c>
      <c r="G494" s="26" t="s">
        <v>4401</v>
      </c>
      <c r="H494" s="26" t="s">
        <v>56</v>
      </c>
      <c r="I494" s="26" t="s">
        <v>4401</v>
      </c>
      <c r="J494" s="26" t="s">
        <v>58</v>
      </c>
      <c r="K494" s="27"/>
      <c r="L494" s="28" t="s">
        <v>56</v>
      </c>
      <c r="M494" s="29" t="str">
        <f t="shared" si="40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4.25" customHeight="1" x14ac:dyDescent="0.3">
      <c r="A495" s="23">
        <v>491</v>
      </c>
      <c r="B495" s="24" t="s">
        <v>5539</v>
      </c>
      <c r="C495" s="25" t="s">
        <v>5540</v>
      </c>
      <c r="D495" s="23" t="s">
        <v>5454</v>
      </c>
      <c r="E495" s="55">
        <v>46125</v>
      </c>
      <c r="F495" s="26" t="s">
        <v>55</v>
      </c>
      <c r="G495" s="26" t="s">
        <v>4401</v>
      </c>
      <c r="H495" s="26" t="s">
        <v>56</v>
      </c>
      <c r="I495" s="26" t="s">
        <v>4401</v>
      </c>
      <c r="J495" s="26" t="s">
        <v>58</v>
      </c>
      <c r="K495" s="27"/>
      <c r="L495" s="28" t="s">
        <v>56</v>
      </c>
      <c r="M495" s="29" t="str">
        <f t="shared" si="40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4.25" customHeight="1" x14ac:dyDescent="0.3">
      <c r="A496" s="42">
        <v>492</v>
      </c>
      <c r="B496" s="43" t="s">
        <v>5541</v>
      </c>
      <c r="C496" s="44" t="s">
        <v>5542</v>
      </c>
      <c r="D496" s="42" t="s">
        <v>5454</v>
      </c>
      <c r="E496" s="55">
        <v>46125</v>
      </c>
      <c r="F496" s="26" t="s">
        <v>55</v>
      </c>
      <c r="G496" s="26" t="s">
        <v>4401</v>
      </c>
      <c r="H496" s="26" t="s">
        <v>56</v>
      </c>
      <c r="I496" s="26" t="s">
        <v>4401</v>
      </c>
      <c r="J496" s="26" t="s">
        <v>58</v>
      </c>
      <c r="K496" s="27"/>
      <c r="L496" s="28" t="s">
        <v>56</v>
      </c>
      <c r="M496" s="29" t="str">
        <f t="shared" si="40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4.25" customHeight="1" x14ac:dyDescent="0.3">
      <c r="A497" s="23">
        <v>493</v>
      </c>
      <c r="B497" s="24" t="s">
        <v>5543</v>
      </c>
      <c r="C497" s="25" t="s">
        <v>5544</v>
      </c>
      <c r="D497" s="23" t="s">
        <v>5454</v>
      </c>
      <c r="E497" s="55">
        <v>46125</v>
      </c>
      <c r="F497" s="26" t="s">
        <v>55</v>
      </c>
      <c r="G497" s="26" t="s">
        <v>4401</v>
      </c>
      <c r="H497" s="26" t="s">
        <v>56</v>
      </c>
      <c r="I497" s="26" t="s">
        <v>4401</v>
      </c>
      <c r="J497" s="26" t="s">
        <v>58</v>
      </c>
      <c r="K497" s="27"/>
      <c r="L497" s="28" t="s">
        <v>56</v>
      </c>
      <c r="M497" s="29" t="str">
        <f t="shared" si="40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4.25" customHeight="1" x14ac:dyDescent="0.3">
      <c r="A498" s="42">
        <v>494</v>
      </c>
      <c r="B498" s="43" t="s">
        <v>5545</v>
      </c>
      <c r="C498" s="44" t="s">
        <v>5546</v>
      </c>
      <c r="D498" s="42" t="s">
        <v>5454</v>
      </c>
      <c r="E498" s="55">
        <v>46125</v>
      </c>
      <c r="F498" s="26" t="s">
        <v>55</v>
      </c>
      <c r="G498" s="26" t="s">
        <v>4401</v>
      </c>
      <c r="H498" s="26" t="s">
        <v>56</v>
      </c>
      <c r="I498" s="26" t="s">
        <v>4401</v>
      </c>
      <c r="J498" s="26" t="s">
        <v>58</v>
      </c>
      <c r="K498" s="27"/>
      <c r="L498" s="28" t="s">
        <v>56</v>
      </c>
      <c r="M498" s="29" t="str">
        <f t="shared" si="40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4.25" customHeight="1" x14ac:dyDescent="0.3">
      <c r="A499" s="23">
        <v>495</v>
      </c>
      <c r="B499" s="24" t="s">
        <v>5547</v>
      </c>
      <c r="C499" s="25" t="s">
        <v>5548</v>
      </c>
      <c r="D499" s="23" t="s">
        <v>5454</v>
      </c>
      <c r="E499" s="55">
        <v>46125</v>
      </c>
      <c r="F499" s="26" t="s">
        <v>55</v>
      </c>
      <c r="G499" s="26" t="s">
        <v>4401</v>
      </c>
      <c r="H499" s="26" t="s">
        <v>56</v>
      </c>
      <c r="I499" s="26" t="s">
        <v>4401</v>
      </c>
      <c r="J499" s="26" t="s">
        <v>58</v>
      </c>
      <c r="K499" s="27"/>
      <c r="L499" s="28" t="s">
        <v>56</v>
      </c>
      <c r="M499" s="29" t="str">
        <f t="shared" si="40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4.25" customHeight="1" x14ac:dyDescent="0.3">
      <c r="A500" s="42">
        <v>496</v>
      </c>
      <c r="B500" s="43" t="s">
        <v>5549</v>
      </c>
      <c r="C500" s="44" t="s">
        <v>5550</v>
      </c>
      <c r="D500" s="42" t="s">
        <v>5454</v>
      </c>
      <c r="E500" s="55">
        <v>46125</v>
      </c>
      <c r="F500" s="26" t="s">
        <v>55</v>
      </c>
      <c r="G500" s="26" t="s">
        <v>4401</v>
      </c>
      <c r="H500" s="26" t="s">
        <v>56</v>
      </c>
      <c r="I500" s="26" t="s">
        <v>4401</v>
      </c>
      <c r="J500" s="26" t="s">
        <v>58</v>
      </c>
      <c r="K500" s="27"/>
      <c r="L500" s="28" t="s">
        <v>56</v>
      </c>
      <c r="M500" s="29" t="str">
        <f t="shared" si="40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4.25" customHeight="1" x14ac:dyDescent="0.3">
      <c r="A501" s="23">
        <v>497</v>
      </c>
      <c r="B501" s="24" t="s">
        <v>5551</v>
      </c>
      <c r="C501" s="25" t="s">
        <v>5552</v>
      </c>
      <c r="D501" s="23" t="s">
        <v>5454</v>
      </c>
      <c r="E501" s="55">
        <v>46125</v>
      </c>
      <c r="F501" s="26" t="s">
        <v>55</v>
      </c>
      <c r="G501" s="26" t="s">
        <v>58</v>
      </c>
      <c r="H501" s="26" t="s">
        <v>56</v>
      </c>
      <c r="I501" s="26" t="s">
        <v>70</v>
      </c>
      <c r="J501" s="26" t="s">
        <v>58</v>
      </c>
      <c r="K501" s="27"/>
      <c r="L501" s="28" t="s">
        <v>56</v>
      </c>
      <c r="M501" s="29" t="str">
        <f t="shared" si="40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4.25" customHeight="1" x14ac:dyDescent="0.3">
      <c r="A502" s="42">
        <v>498</v>
      </c>
      <c r="B502" s="43" t="s">
        <v>5553</v>
      </c>
      <c r="C502" s="44" t="s">
        <v>5554</v>
      </c>
      <c r="D502" s="42" t="s">
        <v>5454</v>
      </c>
      <c r="E502" s="55">
        <v>46125</v>
      </c>
      <c r="F502" s="26" t="s">
        <v>55</v>
      </c>
      <c r="G502" s="26" t="s">
        <v>4401</v>
      </c>
      <c r="H502" s="26" t="s">
        <v>56</v>
      </c>
      <c r="I502" s="26" t="s">
        <v>4401</v>
      </c>
      <c r="J502" s="26" t="s">
        <v>58</v>
      </c>
      <c r="K502" s="27"/>
      <c r="L502" s="28" t="s">
        <v>56</v>
      </c>
      <c r="M502" s="29" t="str">
        <f t="shared" si="40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4.25" customHeight="1" x14ac:dyDescent="0.3">
      <c r="A503" s="23">
        <v>499</v>
      </c>
      <c r="B503" s="24" t="s">
        <v>5555</v>
      </c>
      <c r="C503" s="25" t="s">
        <v>5556</v>
      </c>
      <c r="D503" s="23" t="s">
        <v>5454</v>
      </c>
      <c r="E503" s="55">
        <v>46125</v>
      </c>
      <c r="F503" s="26" t="s">
        <v>55</v>
      </c>
      <c r="G503" s="26" t="s">
        <v>58</v>
      </c>
      <c r="H503" s="26" t="s">
        <v>56</v>
      </c>
      <c r="I503" s="26" t="s">
        <v>70</v>
      </c>
      <c r="J503" s="26" t="s">
        <v>58</v>
      </c>
      <c r="K503" s="27"/>
      <c r="L503" s="28" t="s">
        <v>56</v>
      </c>
      <c r="M503" s="29" t="str">
        <f t="shared" si="40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4.25" customHeight="1" x14ac:dyDescent="0.3">
      <c r="A504" s="42">
        <v>500</v>
      </c>
      <c r="B504" s="43" t="s">
        <v>5557</v>
      </c>
      <c r="C504" s="44" t="s">
        <v>5558</v>
      </c>
      <c r="D504" s="42" t="s">
        <v>5454</v>
      </c>
      <c r="E504" s="55">
        <v>46125</v>
      </c>
      <c r="F504" s="26" t="s">
        <v>55</v>
      </c>
      <c r="G504" s="26" t="s">
        <v>4401</v>
      </c>
      <c r="H504" s="26" t="s">
        <v>56</v>
      </c>
      <c r="I504" s="26" t="s">
        <v>4401</v>
      </c>
      <c r="J504" s="26" t="s">
        <v>58</v>
      </c>
      <c r="K504" s="27"/>
      <c r="L504" s="28" t="s">
        <v>56</v>
      </c>
      <c r="M504" s="29" t="str">
        <f t="shared" si="40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4.25" customHeight="1" x14ac:dyDescent="0.3">
      <c r="A505" s="23">
        <v>501</v>
      </c>
      <c r="B505" s="24" t="s">
        <v>5559</v>
      </c>
      <c r="C505" s="25" t="s">
        <v>5560</v>
      </c>
      <c r="D505" s="23" t="s">
        <v>5454</v>
      </c>
      <c r="E505" s="55">
        <v>46125</v>
      </c>
      <c r="F505" s="26" t="s">
        <v>55</v>
      </c>
      <c r="G505" s="26" t="s">
        <v>4401</v>
      </c>
      <c r="H505" s="26" t="s">
        <v>56</v>
      </c>
      <c r="I505" s="26" t="s">
        <v>4401</v>
      </c>
      <c r="J505" s="26" t="s">
        <v>58</v>
      </c>
      <c r="K505" s="27"/>
      <c r="L505" s="28" t="s">
        <v>56</v>
      </c>
      <c r="M505" s="29" t="str">
        <f t="shared" si="40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4.25" customHeight="1" x14ac:dyDescent="0.3">
      <c r="A506" s="42">
        <v>502</v>
      </c>
      <c r="B506" s="43" t="s">
        <v>5561</v>
      </c>
      <c r="C506" s="44" t="s">
        <v>5562</v>
      </c>
      <c r="D506" s="42" t="s">
        <v>5454</v>
      </c>
      <c r="E506" s="55">
        <v>46125</v>
      </c>
      <c r="F506" s="26" t="s">
        <v>55</v>
      </c>
      <c r="G506" s="26" t="s">
        <v>4401</v>
      </c>
      <c r="H506" s="26" t="s">
        <v>56</v>
      </c>
      <c r="I506" s="26" t="s">
        <v>4401</v>
      </c>
      <c r="J506" s="26" t="s">
        <v>58</v>
      </c>
      <c r="K506" s="27"/>
      <c r="L506" s="28" t="s">
        <v>56</v>
      </c>
      <c r="M506" s="29" t="str">
        <f t="shared" si="40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4.25" customHeight="1" x14ac:dyDescent="0.3">
      <c r="A507" s="23">
        <v>503</v>
      </c>
      <c r="B507" s="24" t="s">
        <v>5563</v>
      </c>
      <c r="C507" s="25" t="s">
        <v>5564</v>
      </c>
      <c r="D507" s="23" t="s">
        <v>5454</v>
      </c>
      <c r="E507" s="55">
        <v>46125</v>
      </c>
      <c r="F507" s="26" t="s">
        <v>55</v>
      </c>
      <c r="G507" s="26" t="s">
        <v>4401</v>
      </c>
      <c r="H507" s="26" t="s">
        <v>56</v>
      </c>
      <c r="I507" s="26" t="s">
        <v>4401</v>
      </c>
      <c r="J507" s="26" t="s">
        <v>58</v>
      </c>
      <c r="K507" s="27"/>
      <c r="L507" s="28" t="s">
        <v>56</v>
      </c>
      <c r="M507" s="29" t="str">
        <f t="shared" si="40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4.25" customHeight="1" x14ac:dyDescent="0.3">
      <c r="A508" s="42">
        <v>504</v>
      </c>
      <c r="B508" s="43" t="s">
        <v>5565</v>
      </c>
      <c r="C508" s="44" t="s">
        <v>5566</v>
      </c>
      <c r="D508" s="42" t="s">
        <v>5454</v>
      </c>
      <c r="E508" s="55">
        <v>46125</v>
      </c>
      <c r="F508" s="26" t="s">
        <v>55</v>
      </c>
      <c r="G508" s="26" t="s">
        <v>4401</v>
      </c>
      <c r="H508" s="26" t="s">
        <v>56</v>
      </c>
      <c r="I508" s="26" t="s">
        <v>4401</v>
      </c>
      <c r="J508" s="26" t="s">
        <v>58</v>
      </c>
      <c r="K508" s="27"/>
      <c r="L508" s="28" t="s">
        <v>56</v>
      </c>
      <c r="M508" s="29" t="str">
        <f t="shared" si="40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4.25" customHeight="1" x14ac:dyDescent="0.3">
      <c r="A509" s="23">
        <v>505</v>
      </c>
      <c r="B509" s="24" t="s">
        <v>5567</v>
      </c>
      <c r="C509" s="25" t="s">
        <v>5568</v>
      </c>
      <c r="D509" s="23" t="s">
        <v>5454</v>
      </c>
      <c r="E509" s="55">
        <v>46125</v>
      </c>
      <c r="F509" s="26" t="s">
        <v>55</v>
      </c>
      <c r="G509" s="26" t="s">
        <v>4401</v>
      </c>
      <c r="H509" s="26" t="s">
        <v>56</v>
      </c>
      <c r="I509" s="26" t="s">
        <v>4401</v>
      </c>
      <c r="J509" s="26" t="s">
        <v>58</v>
      </c>
      <c r="K509" s="27"/>
      <c r="L509" s="28" t="s">
        <v>56</v>
      </c>
      <c r="M509" s="29" t="str">
        <f t="shared" si="40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4.25" customHeight="1" x14ac:dyDescent="0.3">
      <c r="A510" s="42">
        <v>506</v>
      </c>
      <c r="B510" s="43" t="s">
        <v>5569</v>
      </c>
      <c r="C510" s="44" t="s">
        <v>5570</v>
      </c>
      <c r="D510" s="42" t="s">
        <v>5454</v>
      </c>
      <c r="E510" s="55">
        <v>46125</v>
      </c>
      <c r="F510" s="26" t="s">
        <v>55</v>
      </c>
      <c r="G510" s="26" t="s">
        <v>4401</v>
      </c>
      <c r="H510" s="26" t="s">
        <v>56</v>
      </c>
      <c r="I510" s="26" t="s">
        <v>4401</v>
      </c>
      <c r="J510" s="26" t="s">
        <v>58</v>
      </c>
      <c r="K510" s="27"/>
      <c r="L510" s="28" t="s">
        <v>56</v>
      </c>
      <c r="M510" s="29" t="str">
        <f t="shared" si="40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4.25" customHeight="1" x14ac:dyDescent="0.3">
      <c r="A511" s="23">
        <v>507</v>
      </c>
      <c r="B511" s="24" t="s">
        <v>5571</v>
      </c>
      <c r="C511" s="25" t="s">
        <v>5572</v>
      </c>
      <c r="D511" s="23" t="s">
        <v>5454</v>
      </c>
      <c r="E511" s="55">
        <v>46125</v>
      </c>
      <c r="F511" s="26" t="s">
        <v>55</v>
      </c>
      <c r="G511" s="26" t="s">
        <v>4401</v>
      </c>
      <c r="H511" s="26" t="s">
        <v>56</v>
      </c>
      <c r="I511" s="26" t="s">
        <v>4401</v>
      </c>
      <c r="J511" s="26" t="s">
        <v>58</v>
      </c>
      <c r="K511" s="27"/>
      <c r="L511" s="28" t="s">
        <v>56</v>
      </c>
      <c r="M511" s="29" t="str">
        <f t="shared" si="40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4.25" customHeight="1" x14ac:dyDescent="0.3">
      <c r="A512" s="42">
        <v>508</v>
      </c>
      <c r="B512" s="43" t="s">
        <v>5573</v>
      </c>
      <c r="C512" s="44" t="s">
        <v>5574</v>
      </c>
      <c r="D512" s="42" t="s">
        <v>5454</v>
      </c>
      <c r="E512" s="55">
        <v>46125</v>
      </c>
      <c r="F512" s="26" t="s">
        <v>55</v>
      </c>
      <c r="G512" s="26" t="s">
        <v>58</v>
      </c>
      <c r="H512" s="26" t="s">
        <v>56</v>
      </c>
      <c r="I512" s="26" t="s">
        <v>70</v>
      </c>
      <c r="J512" s="26" t="s">
        <v>58</v>
      </c>
      <c r="K512" s="27"/>
      <c r="L512" s="28" t="s">
        <v>56</v>
      </c>
      <c r="M512" s="29" t="str">
        <f t="shared" si="40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4.25" customHeight="1" x14ac:dyDescent="0.3">
      <c r="A513" s="23">
        <v>509</v>
      </c>
      <c r="B513" s="24" t="s">
        <v>5575</v>
      </c>
      <c r="C513" s="25" t="s">
        <v>5576</v>
      </c>
      <c r="D513" s="23" t="s">
        <v>5454</v>
      </c>
      <c r="E513" s="55">
        <v>46125</v>
      </c>
      <c r="F513" s="26" t="s">
        <v>55</v>
      </c>
      <c r="G513" s="26" t="s">
        <v>4401</v>
      </c>
      <c r="H513" s="26" t="s">
        <v>56</v>
      </c>
      <c r="I513" s="26" t="s">
        <v>4401</v>
      </c>
      <c r="J513" s="26" t="s">
        <v>58</v>
      </c>
      <c r="K513" s="27"/>
      <c r="L513" s="28" t="s">
        <v>56</v>
      </c>
      <c r="M513" s="29" t="str">
        <f t="shared" si="40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4.25" customHeight="1" x14ac:dyDescent="0.3">
      <c r="A514" s="42">
        <v>510</v>
      </c>
      <c r="B514" s="43" t="s">
        <v>5577</v>
      </c>
      <c r="C514" s="44" t="s">
        <v>5578</v>
      </c>
      <c r="D514" s="42" t="s">
        <v>5454</v>
      </c>
      <c r="E514" s="55">
        <v>46125</v>
      </c>
      <c r="F514" s="26" t="s">
        <v>55</v>
      </c>
      <c r="G514" s="26" t="s">
        <v>4401</v>
      </c>
      <c r="H514" s="26" t="s">
        <v>56</v>
      </c>
      <c r="I514" s="26" t="s">
        <v>4401</v>
      </c>
      <c r="J514" s="26" t="s">
        <v>58</v>
      </c>
      <c r="K514" s="27"/>
      <c r="L514" s="28" t="s">
        <v>56</v>
      </c>
      <c r="M514" s="29" t="str">
        <f t="shared" si="40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4.25" customHeight="1" x14ac:dyDescent="0.3">
      <c r="A515" s="23">
        <v>511</v>
      </c>
      <c r="B515" s="24" t="s">
        <v>5579</v>
      </c>
      <c r="C515" s="25" t="s">
        <v>5580</v>
      </c>
      <c r="D515" s="23" t="s">
        <v>5454</v>
      </c>
      <c r="E515" s="55">
        <v>46125</v>
      </c>
      <c r="F515" s="26" t="s">
        <v>55</v>
      </c>
      <c r="G515" s="26" t="s">
        <v>4401</v>
      </c>
      <c r="H515" s="26" t="s">
        <v>56</v>
      </c>
      <c r="I515" s="26" t="s">
        <v>4401</v>
      </c>
      <c r="J515" s="26" t="s">
        <v>58</v>
      </c>
      <c r="K515" s="27"/>
      <c r="L515" s="28" t="s">
        <v>56</v>
      </c>
      <c r="M515" s="29" t="str">
        <f t="shared" si="40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4.25" customHeight="1" x14ac:dyDescent="0.3">
      <c r="A516" s="42">
        <v>512</v>
      </c>
      <c r="B516" s="43" t="s">
        <v>5581</v>
      </c>
      <c r="C516" s="44" t="s">
        <v>5582</v>
      </c>
      <c r="D516" s="42" t="s">
        <v>5454</v>
      </c>
      <c r="E516" s="55">
        <v>46125</v>
      </c>
      <c r="F516" s="26" t="s">
        <v>55</v>
      </c>
      <c r="G516" s="26" t="s">
        <v>4401</v>
      </c>
      <c r="H516" s="26" t="s">
        <v>56</v>
      </c>
      <c r="I516" s="26" t="s">
        <v>4401</v>
      </c>
      <c r="J516" s="26" t="s">
        <v>58</v>
      </c>
      <c r="K516" s="27"/>
      <c r="L516" s="28" t="s">
        <v>56</v>
      </c>
      <c r="M516" s="29" t="str">
        <f t="shared" si="40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516">
    <cfRule type="expression" dxfId="205" priority="47">
      <formula>MOD(ROW(),2)=0</formula>
    </cfRule>
  </conditionalFormatting>
  <conditionalFormatting sqref="G5:G516">
    <cfRule type="expression" dxfId="204" priority="7">
      <formula>G5="No"</formula>
    </cfRule>
    <cfRule type="expression" dxfId="203" priority="6">
      <formula>G5="Yes"</formula>
    </cfRule>
  </conditionalFormatting>
  <conditionalFormatting sqref="H5:H516">
    <cfRule type="expression" dxfId="202" priority="8">
      <formula>H5="Yes"</formula>
    </cfRule>
  </conditionalFormatting>
  <conditionalFormatting sqref="J5:J516">
    <cfRule type="expression" dxfId="201" priority="9">
      <formula>J5="Yes"</formula>
    </cfRule>
    <cfRule type="expression" dxfId="200" priority="10">
      <formula>J5="No"</formula>
    </cfRule>
  </conditionalFormatting>
  <conditionalFormatting sqref="M5:M516">
    <cfRule type="expression" dxfId="199" priority="3">
      <formula>M5="❌ Disc"</formula>
    </cfRule>
    <cfRule type="expression" dxfId="198" priority="4">
      <formula>M5="⚠ Missing"</formula>
    </cfRule>
    <cfRule type="expression" dxfId="197" priority="5">
      <formula>M5="⚠ Check"</formula>
    </cfRule>
    <cfRule type="expression" dxfId="196" priority="2">
      <formula>M5="✓ OK"</formula>
    </cfRule>
  </conditionalFormatting>
  <conditionalFormatting sqref="P5:P516">
    <cfRule type="expression" dxfId="195" priority="15">
      <formula>P5="Yes"</formula>
    </cfRule>
    <cfRule type="expression" dxfId="194" priority="16">
      <formula>P5="No"</formula>
    </cfRule>
  </conditionalFormatting>
  <conditionalFormatting sqref="Q5:Q516">
    <cfRule type="expression" dxfId="193" priority="17">
      <formula>Q5="Yes"</formula>
    </cfRule>
  </conditionalFormatting>
  <conditionalFormatting sqref="S5:S516">
    <cfRule type="expression" dxfId="192" priority="18">
      <formula>S5="Yes"</formula>
    </cfRule>
    <cfRule type="expression" dxfId="191" priority="19">
      <formula>S5="No"</formula>
    </cfRule>
  </conditionalFormatting>
  <conditionalFormatting sqref="V5:V516">
    <cfRule type="expression" dxfId="190" priority="11">
      <formula>V5="✓ OK"</formula>
    </cfRule>
    <cfRule type="expression" dxfId="189" priority="12">
      <formula>V5="❌ Disc"</formula>
    </cfRule>
    <cfRule type="expression" dxfId="188" priority="13">
      <formula>V5="⚠ Missing"</formula>
    </cfRule>
    <cfRule type="expression" dxfId="187" priority="14">
      <formula>V5="⚠ Check"</formula>
    </cfRule>
  </conditionalFormatting>
  <conditionalFormatting sqref="Y5:Y516">
    <cfRule type="expression" dxfId="186" priority="25">
      <formula>Y5="No"</formula>
    </cfRule>
    <cfRule type="expression" dxfId="185" priority="24">
      <formula>Y5="Yes"</formula>
    </cfRule>
  </conditionalFormatting>
  <conditionalFormatting sqref="Z5:Z516">
    <cfRule type="expression" dxfId="184" priority="26">
      <formula>Z5="Yes"</formula>
    </cfRule>
  </conditionalFormatting>
  <conditionalFormatting sqref="AB5:AB516">
    <cfRule type="expression" dxfId="183" priority="27">
      <formula>AB5="Yes"</formula>
    </cfRule>
    <cfRule type="expression" dxfId="182" priority="28">
      <formula>AB5="No"</formula>
    </cfRule>
  </conditionalFormatting>
  <conditionalFormatting sqref="AE5:AE516">
    <cfRule type="expression" dxfId="181" priority="21">
      <formula>AE5="❌ Disc"</formula>
    </cfRule>
    <cfRule type="expression" dxfId="180" priority="22">
      <formula>AE5="⚠ Missing"</formula>
    </cfRule>
    <cfRule type="expression" dxfId="179" priority="23">
      <formula>AE5="⚠ Check"</formula>
    </cfRule>
    <cfRule type="expression" dxfId="178" priority="20">
      <formula>AE5="✓ OK"</formula>
    </cfRule>
  </conditionalFormatting>
  <conditionalFormatting sqref="AH5:AH516">
    <cfRule type="expression" dxfId="177" priority="33">
      <formula>AH5="Yes"</formula>
    </cfRule>
    <cfRule type="expression" dxfId="176" priority="34">
      <formula>AH5="No"</formula>
    </cfRule>
  </conditionalFormatting>
  <conditionalFormatting sqref="AI5:AI516">
    <cfRule type="expression" dxfId="175" priority="35">
      <formula>AI5="Yes"</formula>
    </cfRule>
  </conditionalFormatting>
  <conditionalFormatting sqref="AK5:AK516">
    <cfRule type="expression" dxfId="174" priority="36">
      <formula>AK5="Yes"</formula>
    </cfRule>
    <cfRule type="expression" dxfId="173" priority="37">
      <formula>AK5="No"</formula>
    </cfRule>
  </conditionalFormatting>
  <conditionalFormatting sqref="AN5:AN516">
    <cfRule type="expression" dxfId="172" priority="30">
      <formula>AN5="❌ Disc"</formula>
    </cfRule>
    <cfRule type="expression" dxfId="171" priority="31">
      <formula>AN5="⚠ Missing"</formula>
    </cfRule>
    <cfRule type="expression" dxfId="170" priority="32">
      <formula>AN5="⚠ Check"</formula>
    </cfRule>
    <cfRule type="expression" dxfId="169" priority="29">
      <formula>AN5="✓ OK"</formula>
    </cfRule>
  </conditionalFormatting>
  <conditionalFormatting sqref="AQ5:AQ516">
    <cfRule type="expression" dxfId="168" priority="43">
      <formula>AQ5="No"</formula>
    </cfRule>
    <cfRule type="expression" dxfId="167" priority="42">
      <formula>AQ5="Yes"</formula>
    </cfRule>
  </conditionalFormatting>
  <conditionalFormatting sqref="AR5:AR516">
    <cfRule type="expression" dxfId="166" priority="44">
      <formula>AR5="Yes"</formula>
    </cfRule>
  </conditionalFormatting>
  <conditionalFormatting sqref="AT5:AT516">
    <cfRule type="expression" dxfId="165" priority="45">
      <formula>AT5="Yes"</formula>
    </cfRule>
    <cfRule type="expression" dxfId="164" priority="46">
      <formula>AT5="No"</formula>
    </cfRule>
  </conditionalFormatting>
  <conditionalFormatting sqref="AW5:AW516">
    <cfRule type="expression" dxfId="163" priority="38">
      <formula>AW5="✓ OK"</formula>
    </cfRule>
    <cfRule type="expression" dxfId="162" priority="39">
      <formula>AW5="❌ Disc"</formula>
    </cfRule>
    <cfRule type="expression" dxfId="161" priority="40">
      <formula>AW5="⚠ Missing"</formula>
    </cfRule>
    <cfRule type="expression" dxfId="160" priority="41">
      <formula>AW5="⚠ Check"</formula>
    </cfRule>
  </conditionalFormatting>
  <dataValidations count="3">
    <dataValidation type="list" allowBlank="1" sqref="AS5:AS516 R5:R516 AA5:AA516 AJ5:AJ516 I5:I516" xr:uid="{00000000-0002-0000-0B00-000000000000}">
      <formula1>"Good finish,Minor defect,Major defect,Discontinued,Not Available"</formula1>
      <formula2>0</formula2>
    </dataValidation>
    <dataValidation type="list" allowBlank="1" sqref="AT5:AT516 P5:Q516 S5:S516 Y5:Z516 AB5:AB516 AH5:AI516 AK5:AK516 AQ5:AR516 G371:G408 G415 G417:G472 G476 G483 G493:G516 G491 H5:H516 J5:J516" xr:uid="{00000000-0002-0000-0B00-000001000000}">
      <formula1>"Yes,No"</formula1>
      <formula2>0</formula2>
    </dataValidation>
    <dataValidation type="list" allowBlank="1" sqref="G5:G370 G409:G414 G416 G473:G475 G477:G482 G484:G490 G492" xr:uid="{C257CD1A-DA32-4732-BDA9-24B832ED97D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FF"/>
  </sheetPr>
  <dimension ref="A1:AW298"/>
  <sheetViews>
    <sheetView tabSelected="1" topLeftCell="B1" zoomScaleNormal="100" workbookViewId="0">
      <pane ySplit="4" topLeftCell="A284" activePane="bottomLeft" state="frozen"/>
      <selection activeCell="A4" sqref="A4"/>
      <selection pane="bottomLeft" activeCell="E4" sqref="E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4" t="s">
        <v>5583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</row>
    <row r="2" spans="1:49" ht="15" customHeight="1" x14ac:dyDescent="0.3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85"/>
      <c r="AT2" s="85"/>
      <c r="AU2" s="85"/>
      <c r="AV2" s="85"/>
      <c r="AW2" s="85"/>
    </row>
    <row r="3" spans="1:49" ht="19.5" customHeight="1" x14ac:dyDescent="0.3">
      <c r="A3" s="22"/>
      <c r="B3" s="22"/>
      <c r="C3" s="22"/>
      <c r="D3" s="22"/>
      <c r="E3" s="46" t="s">
        <v>34</v>
      </c>
      <c r="F3" s="22"/>
      <c r="G3" s="22"/>
      <c r="H3" s="22"/>
      <c r="I3" s="22"/>
      <c r="J3" s="22"/>
      <c r="K3" s="22"/>
      <c r="L3" s="22"/>
      <c r="M3" s="22"/>
      <c r="N3" s="47" t="s">
        <v>35</v>
      </c>
      <c r="O3" s="48"/>
      <c r="P3" s="48"/>
      <c r="Q3" s="48"/>
      <c r="R3" s="48"/>
      <c r="S3" s="48"/>
      <c r="T3" s="48"/>
      <c r="U3" s="48"/>
      <c r="V3" s="48"/>
      <c r="W3" s="49" t="s">
        <v>36</v>
      </c>
      <c r="X3" s="50"/>
      <c r="Y3" s="50"/>
      <c r="Z3" s="50"/>
      <c r="AA3" s="50"/>
      <c r="AB3" s="50"/>
      <c r="AC3" s="50"/>
      <c r="AD3" s="50"/>
      <c r="AE3" s="50"/>
      <c r="AF3" s="51" t="s">
        <v>37</v>
      </c>
      <c r="AG3" s="52"/>
      <c r="AH3" s="52"/>
      <c r="AI3" s="52"/>
      <c r="AJ3" s="52"/>
      <c r="AK3" s="52"/>
      <c r="AL3" s="52"/>
      <c r="AM3" s="52"/>
      <c r="AN3" s="52"/>
      <c r="AO3" s="53" t="s">
        <v>38</v>
      </c>
      <c r="AP3" s="54"/>
      <c r="AQ3" s="54"/>
      <c r="AR3" s="54"/>
      <c r="AS3" s="54"/>
      <c r="AT3" s="54"/>
      <c r="AU3" s="54"/>
      <c r="AV3" s="54"/>
      <c r="AW3" s="54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56">
        <v>1</v>
      </c>
      <c r="B5" s="57" t="s">
        <v>5584</v>
      </c>
      <c r="C5" s="58" t="s">
        <v>5585</v>
      </c>
      <c r="D5" s="56" t="s">
        <v>5586</v>
      </c>
      <c r="E5" s="59">
        <v>46126</v>
      </c>
      <c r="F5" s="60" t="s">
        <v>55</v>
      </c>
      <c r="G5" s="60" t="s">
        <v>58</v>
      </c>
      <c r="H5" s="60" t="s">
        <v>56</v>
      </c>
      <c r="I5" s="60" t="s">
        <v>70</v>
      </c>
      <c r="J5" s="60" t="s">
        <v>58</v>
      </c>
      <c r="K5" s="61"/>
      <c r="L5" s="62" t="s">
        <v>56</v>
      </c>
      <c r="M5" s="63" t="str">
        <f t="shared" ref="M5:M68" si="0">IF(E5="","",IF(H5="Yes","❌ Disc",IF(G5="No","⚠ Missing",IF(J5="Yes","✓ OK","⚠ Check"))))</f>
        <v>✓ OK</v>
      </c>
      <c r="N5" s="64"/>
      <c r="O5" s="64"/>
      <c r="P5" s="64"/>
      <c r="Q5" s="64"/>
      <c r="R5" s="64"/>
      <c r="S5" s="64"/>
      <c r="T5" s="61"/>
      <c r="U5" s="65"/>
      <c r="V5" s="66" t="str">
        <f t="shared" ref="V5:V68" si="1">IF(N5="","",IF(Q5="Yes","❌ Disc",IF(P5="No","⚠ Missing",IF(S5="Yes","✓ OK","⚠ Check"))))</f>
        <v/>
      </c>
      <c r="W5" s="67"/>
      <c r="X5" s="67"/>
      <c r="Y5" s="67"/>
      <c r="Z5" s="67"/>
      <c r="AA5" s="67"/>
      <c r="AB5" s="67"/>
      <c r="AC5" s="61"/>
      <c r="AD5" s="68"/>
      <c r="AE5" s="69" t="str">
        <f t="shared" ref="AE5:AE68" si="2">IF(W5="","",IF(Z5="Yes","❌ Disc",IF(Y5="No","⚠ Missing",IF(AB5="Yes","✓ OK","⚠ Check"))))</f>
        <v/>
      </c>
      <c r="AF5" s="70"/>
      <c r="AG5" s="70"/>
      <c r="AH5" s="70"/>
      <c r="AI5" s="70"/>
      <c r="AJ5" s="70"/>
      <c r="AK5" s="70"/>
      <c r="AL5" s="61"/>
      <c r="AM5" s="71"/>
      <c r="AN5" s="72" t="str">
        <f t="shared" ref="AN5:AN68" si="3">IF(AF5="","",IF(AI5="Yes","❌ Disc",IF(AH5="No","⚠ Missing",IF(AK5="Yes","✓ OK","⚠ Check"))))</f>
        <v/>
      </c>
      <c r="AO5" s="73"/>
      <c r="AP5" s="73"/>
      <c r="AQ5" s="73"/>
      <c r="AR5" s="73"/>
      <c r="AS5" s="73"/>
      <c r="AT5" s="73"/>
      <c r="AU5" s="61"/>
      <c r="AV5" s="74"/>
      <c r="AW5" s="75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76">
        <v>2</v>
      </c>
      <c r="B6" s="77" t="s">
        <v>5587</v>
      </c>
      <c r="C6" s="78" t="s">
        <v>5588</v>
      </c>
      <c r="D6" s="76" t="s">
        <v>5586</v>
      </c>
      <c r="E6" s="59">
        <v>46126</v>
      </c>
      <c r="F6" s="60" t="s">
        <v>55</v>
      </c>
      <c r="G6" s="60" t="s">
        <v>58</v>
      </c>
      <c r="H6" s="60" t="s">
        <v>56</v>
      </c>
      <c r="I6" s="60" t="s">
        <v>70</v>
      </c>
      <c r="J6" s="60" t="s">
        <v>58</v>
      </c>
      <c r="K6" s="61"/>
      <c r="L6" s="62" t="s">
        <v>56</v>
      </c>
      <c r="M6" s="63" t="str">
        <f t="shared" si="0"/>
        <v>✓ OK</v>
      </c>
      <c r="N6" s="64"/>
      <c r="O6" s="64"/>
      <c r="P6" s="64"/>
      <c r="Q6" s="64"/>
      <c r="R6" s="64"/>
      <c r="S6" s="64"/>
      <c r="T6" s="61"/>
      <c r="U6" s="65"/>
      <c r="V6" s="66" t="str">
        <f t="shared" si="1"/>
        <v/>
      </c>
      <c r="W6" s="67"/>
      <c r="X6" s="67"/>
      <c r="Y6" s="67"/>
      <c r="Z6" s="67"/>
      <c r="AA6" s="67"/>
      <c r="AB6" s="67"/>
      <c r="AC6" s="61"/>
      <c r="AD6" s="68"/>
      <c r="AE6" s="69" t="str">
        <f t="shared" si="2"/>
        <v/>
      </c>
      <c r="AF6" s="70"/>
      <c r="AG6" s="70"/>
      <c r="AH6" s="70"/>
      <c r="AI6" s="70"/>
      <c r="AJ6" s="70"/>
      <c r="AK6" s="70"/>
      <c r="AL6" s="61"/>
      <c r="AM6" s="71"/>
      <c r="AN6" s="72" t="str">
        <f t="shared" si="3"/>
        <v/>
      </c>
      <c r="AO6" s="73"/>
      <c r="AP6" s="73"/>
      <c r="AQ6" s="73"/>
      <c r="AR6" s="73"/>
      <c r="AS6" s="73"/>
      <c r="AT6" s="73"/>
      <c r="AU6" s="61"/>
      <c r="AV6" s="74"/>
      <c r="AW6" s="75" t="str">
        <f t="shared" si="4"/>
        <v/>
      </c>
    </row>
    <row r="7" spans="1:49" ht="14.25" customHeight="1" x14ac:dyDescent="0.3">
      <c r="A7" s="56">
        <v>3</v>
      </c>
      <c r="B7" s="57" t="s">
        <v>5589</v>
      </c>
      <c r="C7" s="58" t="s">
        <v>5590</v>
      </c>
      <c r="D7" s="56" t="s">
        <v>5586</v>
      </c>
      <c r="E7" s="59">
        <v>46126</v>
      </c>
      <c r="F7" s="60" t="s">
        <v>55</v>
      </c>
      <c r="G7" s="60" t="s">
        <v>58</v>
      </c>
      <c r="H7" s="60" t="s">
        <v>56</v>
      </c>
      <c r="I7" s="60" t="s">
        <v>70</v>
      </c>
      <c r="J7" s="60" t="s">
        <v>58</v>
      </c>
      <c r="K7" s="61"/>
      <c r="L7" s="62" t="s">
        <v>56</v>
      </c>
      <c r="M7" s="63" t="str">
        <f t="shared" si="0"/>
        <v>✓ OK</v>
      </c>
      <c r="N7" s="64"/>
      <c r="O7" s="64"/>
      <c r="P7" s="64"/>
      <c r="Q7" s="64"/>
      <c r="R7" s="64"/>
      <c r="S7" s="64"/>
      <c r="T7" s="61"/>
      <c r="U7" s="65"/>
      <c r="V7" s="66" t="str">
        <f t="shared" si="1"/>
        <v/>
      </c>
      <c r="W7" s="67"/>
      <c r="X7" s="67"/>
      <c r="Y7" s="67"/>
      <c r="Z7" s="67"/>
      <c r="AA7" s="67"/>
      <c r="AB7" s="67"/>
      <c r="AC7" s="61"/>
      <c r="AD7" s="68"/>
      <c r="AE7" s="69" t="str">
        <f t="shared" si="2"/>
        <v/>
      </c>
      <c r="AF7" s="70"/>
      <c r="AG7" s="70"/>
      <c r="AH7" s="70"/>
      <c r="AI7" s="70"/>
      <c r="AJ7" s="70"/>
      <c r="AK7" s="70"/>
      <c r="AL7" s="61"/>
      <c r="AM7" s="71"/>
      <c r="AN7" s="72" t="str">
        <f t="shared" si="3"/>
        <v/>
      </c>
      <c r="AO7" s="73"/>
      <c r="AP7" s="73"/>
      <c r="AQ7" s="73"/>
      <c r="AR7" s="73"/>
      <c r="AS7" s="73"/>
      <c r="AT7" s="73"/>
      <c r="AU7" s="61"/>
      <c r="AV7" s="74"/>
      <c r="AW7" s="75" t="str">
        <f t="shared" si="4"/>
        <v/>
      </c>
    </row>
    <row r="8" spans="1:49" ht="14.25" customHeight="1" x14ac:dyDescent="0.3">
      <c r="A8" s="76">
        <v>4</v>
      </c>
      <c r="B8" s="77" t="s">
        <v>5591</v>
      </c>
      <c r="C8" s="78" t="s">
        <v>5592</v>
      </c>
      <c r="D8" s="76" t="s">
        <v>5586</v>
      </c>
      <c r="E8" s="59">
        <v>46126</v>
      </c>
      <c r="F8" s="60" t="s">
        <v>55</v>
      </c>
      <c r="G8" s="60" t="s">
        <v>58</v>
      </c>
      <c r="H8" s="60" t="s">
        <v>56</v>
      </c>
      <c r="I8" s="60" t="s">
        <v>70</v>
      </c>
      <c r="J8" s="60" t="s">
        <v>58</v>
      </c>
      <c r="K8" s="61"/>
      <c r="L8" s="62" t="s">
        <v>56</v>
      </c>
      <c r="M8" s="63" t="str">
        <f t="shared" si="0"/>
        <v>✓ OK</v>
      </c>
      <c r="N8" s="64"/>
      <c r="O8" s="64"/>
      <c r="P8" s="64"/>
      <c r="Q8" s="64"/>
      <c r="R8" s="64"/>
      <c r="S8" s="64"/>
      <c r="T8" s="61"/>
      <c r="U8" s="65"/>
      <c r="V8" s="66" t="str">
        <f t="shared" si="1"/>
        <v/>
      </c>
      <c r="W8" s="67"/>
      <c r="X8" s="67"/>
      <c r="Y8" s="67"/>
      <c r="Z8" s="67"/>
      <c r="AA8" s="67"/>
      <c r="AB8" s="67"/>
      <c r="AC8" s="61"/>
      <c r="AD8" s="68"/>
      <c r="AE8" s="69" t="str">
        <f t="shared" si="2"/>
        <v/>
      </c>
      <c r="AF8" s="70"/>
      <c r="AG8" s="70"/>
      <c r="AH8" s="70"/>
      <c r="AI8" s="70"/>
      <c r="AJ8" s="70"/>
      <c r="AK8" s="70"/>
      <c r="AL8" s="61"/>
      <c r="AM8" s="71"/>
      <c r="AN8" s="72" t="str">
        <f t="shared" si="3"/>
        <v/>
      </c>
      <c r="AO8" s="73"/>
      <c r="AP8" s="73"/>
      <c r="AQ8" s="73"/>
      <c r="AR8" s="73"/>
      <c r="AS8" s="73"/>
      <c r="AT8" s="73"/>
      <c r="AU8" s="61"/>
      <c r="AV8" s="74"/>
      <c r="AW8" s="75" t="str">
        <f t="shared" si="4"/>
        <v/>
      </c>
    </row>
    <row r="9" spans="1:49" ht="14.25" customHeight="1" x14ac:dyDescent="0.3">
      <c r="A9" s="56">
        <v>5</v>
      </c>
      <c r="B9" s="57" t="s">
        <v>5593</v>
      </c>
      <c r="C9" s="58" t="s">
        <v>5594</v>
      </c>
      <c r="D9" s="56" t="s">
        <v>5586</v>
      </c>
      <c r="E9" s="59">
        <v>46126</v>
      </c>
      <c r="F9" s="60" t="s">
        <v>55</v>
      </c>
      <c r="G9" s="60" t="s">
        <v>58</v>
      </c>
      <c r="H9" s="60" t="s">
        <v>56</v>
      </c>
      <c r="I9" s="60" t="s">
        <v>70</v>
      </c>
      <c r="J9" s="60" t="s">
        <v>58</v>
      </c>
      <c r="K9" s="61"/>
      <c r="L9" s="62" t="s">
        <v>56</v>
      </c>
      <c r="M9" s="63" t="str">
        <f t="shared" si="0"/>
        <v>✓ OK</v>
      </c>
      <c r="N9" s="64"/>
      <c r="O9" s="64"/>
      <c r="P9" s="64"/>
      <c r="Q9" s="64"/>
      <c r="R9" s="64"/>
      <c r="S9" s="64"/>
      <c r="T9" s="61"/>
      <c r="U9" s="65"/>
      <c r="V9" s="66" t="str">
        <f t="shared" si="1"/>
        <v/>
      </c>
      <c r="W9" s="67"/>
      <c r="X9" s="67"/>
      <c r="Y9" s="67"/>
      <c r="Z9" s="67"/>
      <c r="AA9" s="67"/>
      <c r="AB9" s="67"/>
      <c r="AC9" s="61"/>
      <c r="AD9" s="68"/>
      <c r="AE9" s="69" t="str">
        <f t="shared" si="2"/>
        <v/>
      </c>
      <c r="AF9" s="70"/>
      <c r="AG9" s="70"/>
      <c r="AH9" s="70"/>
      <c r="AI9" s="70"/>
      <c r="AJ9" s="70"/>
      <c r="AK9" s="70"/>
      <c r="AL9" s="61"/>
      <c r="AM9" s="71"/>
      <c r="AN9" s="72" t="str">
        <f t="shared" si="3"/>
        <v/>
      </c>
      <c r="AO9" s="73"/>
      <c r="AP9" s="73"/>
      <c r="AQ9" s="73"/>
      <c r="AR9" s="73"/>
      <c r="AS9" s="73"/>
      <c r="AT9" s="73"/>
      <c r="AU9" s="61"/>
      <c r="AV9" s="74"/>
      <c r="AW9" s="75" t="str">
        <f t="shared" si="4"/>
        <v/>
      </c>
    </row>
    <row r="10" spans="1:49" ht="14.25" customHeight="1" x14ac:dyDescent="0.3">
      <c r="A10" s="76">
        <v>6</v>
      </c>
      <c r="B10" s="77" t="s">
        <v>5595</v>
      </c>
      <c r="C10" s="78" t="s">
        <v>5596</v>
      </c>
      <c r="D10" s="76" t="s">
        <v>5586</v>
      </c>
      <c r="E10" s="59">
        <v>46126</v>
      </c>
      <c r="F10" s="60" t="s">
        <v>55</v>
      </c>
      <c r="G10" s="60" t="s">
        <v>58</v>
      </c>
      <c r="H10" s="60" t="s">
        <v>56</v>
      </c>
      <c r="I10" s="60" t="s">
        <v>70</v>
      </c>
      <c r="J10" s="60" t="s">
        <v>58</v>
      </c>
      <c r="K10" s="61"/>
      <c r="L10" s="62" t="s">
        <v>56</v>
      </c>
      <c r="M10" s="63" t="str">
        <f t="shared" si="0"/>
        <v>✓ OK</v>
      </c>
      <c r="N10" s="64"/>
      <c r="O10" s="64"/>
      <c r="P10" s="64"/>
      <c r="Q10" s="64"/>
      <c r="R10" s="64"/>
      <c r="S10" s="64"/>
      <c r="T10" s="61"/>
      <c r="U10" s="65"/>
      <c r="V10" s="66" t="str">
        <f t="shared" si="1"/>
        <v/>
      </c>
      <c r="W10" s="67"/>
      <c r="X10" s="67"/>
      <c r="Y10" s="67"/>
      <c r="Z10" s="67"/>
      <c r="AA10" s="67"/>
      <c r="AB10" s="67"/>
      <c r="AC10" s="61"/>
      <c r="AD10" s="68"/>
      <c r="AE10" s="69" t="str">
        <f t="shared" si="2"/>
        <v/>
      </c>
      <c r="AF10" s="70"/>
      <c r="AG10" s="70"/>
      <c r="AH10" s="70"/>
      <c r="AI10" s="70"/>
      <c r="AJ10" s="70"/>
      <c r="AK10" s="70"/>
      <c r="AL10" s="61"/>
      <c r="AM10" s="71"/>
      <c r="AN10" s="72" t="str">
        <f t="shared" si="3"/>
        <v/>
      </c>
      <c r="AO10" s="73"/>
      <c r="AP10" s="73"/>
      <c r="AQ10" s="73"/>
      <c r="AR10" s="73"/>
      <c r="AS10" s="73"/>
      <c r="AT10" s="73"/>
      <c r="AU10" s="61"/>
      <c r="AV10" s="74"/>
      <c r="AW10" s="75" t="str">
        <f t="shared" si="4"/>
        <v/>
      </c>
    </row>
    <row r="11" spans="1:49" ht="14.25" customHeight="1" x14ac:dyDescent="0.3">
      <c r="A11" s="56">
        <v>7</v>
      </c>
      <c r="B11" s="57" t="s">
        <v>5597</v>
      </c>
      <c r="C11" s="58" t="s">
        <v>5598</v>
      </c>
      <c r="D11" s="56" t="s">
        <v>5586</v>
      </c>
      <c r="E11" s="59">
        <v>46126</v>
      </c>
      <c r="F11" s="60" t="s">
        <v>55</v>
      </c>
      <c r="G11" s="60" t="s">
        <v>58</v>
      </c>
      <c r="H11" s="60" t="s">
        <v>56</v>
      </c>
      <c r="I11" s="60" t="s">
        <v>70</v>
      </c>
      <c r="J11" s="60" t="s">
        <v>58</v>
      </c>
      <c r="K11" s="61"/>
      <c r="L11" s="62" t="s">
        <v>56</v>
      </c>
      <c r="M11" s="63" t="str">
        <f t="shared" si="0"/>
        <v>✓ OK</v>
      </c>
      <c r="N11" s="64"/>
      <c r="O11" s="64"/>
      <c r="P11" s="64"/>
      <c r="Q11" s="64"/>
      <c r="R11" s="64"/>
      <c r="S11" s="64"/>
      <c r="T11" s="61"/>
      <c r="U11" s="65"/>
      <c r="V11" s="66" t="str">
        <f t="shared" si="1"/>
        <v/>
      </c>
      <c r="W11" s="67"/>
      <c r="X11" s="67"/>
      <c r="Y11" s="67"/>
      <c r="Z11" s="67"/>
      <c r="AA11" s="67"/>
      <c r="AB11" s="67"/>
      <c r="AC11" s="61"/>
      <c r="AD11" s="68"/>
      <c r="AE11" s="69" t="str">
        <f t="shared" si="2"/>
        <v/>
      </c>
      <c r="AF11" s="70"/>
      <c r="AG11" s="70"/>
      <c r="AH11" s="70"/>
      <c r="AI11" s="70"/>
      <c r="AJ11" s="70"/>
      <c r="AK11" s="70"/>
      <c r="AL11" s="61"/>
      <c r="AM11" s="71"/>
      <c r="AN11" s="72" t="str">
        <f t="shared" si="3"/>
        <v/>
      </c>
      <c r="AO11" s="73"/>
      <c r="AP11" s="73"/>
      <c r="AQ11" s="73"/>
      <c r="AR11" s="73"/>
      <c r="AS11" s="73"/>
      <c r="AT11" s="73"/>
      <c r="AU11" s="61"/>
      <c r="AV11" s="74"/>
      <c r="AW11" s="75" t="str">
        <f t="shared" si="4"/>
        <v/>
      </c>
    </row>
    <row r="12" spans="1:49" ht="14.25" customHeight="1" x14ac:dyDescent="0.3">
      <c r="A12" s="76">
        <v>8</v>
      </c>
      <c r="B12" s="77" t="s">
        <v>5599</v>
      </c>
      <c r="C12" s="78" t="s">
        <v>5600</v>
      </c>
      <c r="D12" s="76" t="s">
        <v>5586</v>
      </c>
      <c r="E12" s="59">
        <v>46126</v>
      </c>
      <c r="F12" s="60" t="s">
        <v>55</v>
      </c>
      <c r="G12" s="60" t="s">
        <v>58</v>
      </c>
      <c r="H12" s="60" t="s">
        <v>56</v>
      </c>
      <c r="I12" s="60" t="s">
        <v>70</v>
      </c>
      <c r="J12" s="60" t="s">
        <v>58</v>
      </c>
      <c r="K12" s="61"/>
      <c r="L12" s="62" t="s">
        <v>56</v>
      </c>
      <c r="M12" s="63" t="str">
        <f t="shared" si="0"/>
        <v>✓ OK</v>
      </c>
      <c r="N12" s="64"/>
      <c r="O12" s="64"/>
      <c r="P12" s="64"/>
      <c r="Q12" s="64"/>
      <c r="R12" s="64"/>
      <c r="S12" s="64"/>
      <c r="T12" s="61"/>
      <c r="U12" s="65"/>
      <c r="V12" s="66" t="str">
        <f t="shared" si="1"/>
        <v/>
      </c>
      <c r="W12" s="67"/>
      <c r="X12" s="67"/>
      <c r="Y12" s="67"/>
      <c r="Z12" s="67"/>
      <c r="AA12" s="67"/>
      <c r="AB12" s="67"/>
      <c r="AC12" s="61"/>
      <c r="AD12" s="68"/>
      <c r="AE12" s="69" t="str">
        <f t="shared" si="2"/>
        <v/>
      </c>
      <c r="AF12" s="70"/>
      <c r="AG12" s="70"/>
      <c r="AH12" s="70"/>
      <c r="AI12" s="70"/>
      <c r="AJ12" s="70"/>
      <c r="AK12" s="70"/>
      <c r="AL12" s="61"/>
      <c r="AM12" s="71"/>
      <c r="AN12" s="72" t="str">
        <f t="shared" si="3"/>
        <v/>
      </c>
      <c r="AO12" s="73"/>
      <c r="AP12" s="73"/>
      <c r="AQ12" s="73"/>
      <c r="AR12" s="73"/>
      <c r="AS12" s="73"/>
      <c r="AT12" s="73"/>
      <c r="AU12" s="61"/>
      <c r="AV12" s="74"/>
      <c r="AW12" s="75" t="str">
        <f t="shared" si="4"/>
        <v/>
      </c>
    </row>
    <row r="13" spans="1:49" ht="14.25" customHeight="1" x14ac:dyDescent="0.3">
      <c r="A13" s="56">
        <v>9</v>
      </c>
      <c r="B13" s="57" t="s">
        <v>5601</v>
      </c>
      <c r="C13" s="58" t="s">
        <v>5602</v>
      </c>
      <c r="D13" s="56" t="s">
        <v>5586</v>
      </c>
      <c r="E13" s="59">
        <v>46126</v>
      </c>
      <c r="F13" s="60" t="s">
        <v>55</v>
      </c>
      <c r="G13" s="60" t="s">
        <v>58</v>
      </c>
      <c r="H13" s="60" t="s">
        <v>56</v>
      </c>
      <c r="I13" s="60" t="s">
        <v>70</v>
      </c>
      <c r="J13" s="60" t="s">
        <v>58</v>
      </c>
      <c r="K13" s="61"/>
      <c r="L13" s="62" t="s">
        <v>56</v>
      </c>
      <c r="M13" s="63" t="str">
        <f t="shared" si="0"/>
        <v>✓ OK</v>
      </c>
      <c r="N13" s="64"/>
      <c r="O13" s="64"/>
      <c r="P13" s="64"/>
      <c r="Q13" s="64"/>
      <c r="R13" s="64"/>
      <c r="S13" s="64"/>
      <c r="T13" s="61"/>
      <c r="U13" s="65"/>
      <c r="V13" s="66" t="str">
        <f t="shared" si="1"/>
        <v/>
      </c>
      <c r="W13" s="67"/>
      <c r="X13" s="67"/>
      <c r="Y13" s="67"/>
      <c r="Z13" s="67"/>
      <c r="AA13" s="67"/>
      <c r="AB13" s="67"/>
      <c r="AC13" s="61"/>
      <c r="AD13" s="68"/>
      <c r="AE13" s="69" t="str">
        <f t="shared" si="2"/>
        <v/>
      </c>
      <c r="AF13" s="70"/>
      <c r="AG13" s="70"/>
      <c r="AH13" s="70"/>
      <c r="AI13" s="70"/>
      <c r="AJ13" s="70"/>
      <c r="AK13" s="70"/>
      <c r="AL13" s="61"/>
      <c r="AM13" s="71"/>
      <c r="AN13" s="72" t="str">
        <f t="shared" si="3"/>
        <v/>
      </c>
      <c r="AO13" s="73"/>
      <c r="AP13" s="73"/>
      <c r="AQ13" s="73"/>
      <c r="AR13" s="73"/>
      <c r="AS13" s="73"/>
      <c r="AT13" s="73"/>
      <c r="AU13" s="61"/>
      <c r="AV13" s="74"/>
      <c r="AW13" s="75" t="str">
        <f t="shared" si="4"/>
        <v/>
      </c>
    </row>
    <row r="14" spans="1:49" ht="14.25" customHeight="1" x14ac:dyDescent="0.3">
      <c r="A14" s="76">
        <v>10</v>
      </c>
      <c r="B14" s="77" t="s">
        <v>5603</v>
      </c>
      <c r="C14" s="78" t="s">
        <v>5604</v>
      </c>
      <c r="D14" s="76" t="s">
        <v>5586</v>
      </c>
      <c r="E14" s="59">
        <v>46126</v>
      </c>
      <c r="F14" s="60" t="s">
        <v>55</v>
      </c>
      <c r="G14" s="60" t="s">
        <v>58</v>
      </c>
      <c r="H14" s="60" t="s">
        <v>56</v>
      </c>
      <c r="I14" s="60" t="s">
        <v>70</v>
      </c>
      <c r="J14" s="60" t="s">
        <v>58</v>
      </c>
      <c r="K14" s="61"/>
      <c r="L14" s="62" t="s">
        <v>56</v>
      </c>
      <c r="M14" s="63" t="str">
        <f t="shared" si="0"/>
        <v>✓ OK</v>
      </c>
      <c r="N14" s="64"/>
      <c r="O14" s="64"/>
      <c r="P14" s="64"/>
      <c r="Q14" s="64"/>
      <c r="R14" s="64"/>
      <c r="S14" s="64"/>
      <c r="T14" s="61"/>
      <c r="U14" s="65"/>
      <c r="V14" s="66" t="str">
        <f t="shared" si="1"/>
        <v/>
      </c>
      <c r="W14" s="67"/>
      <c r="X14" s="67"/>
      <c r="Y14" s="67"/>
      <c r="Z14" s="67"/>
      <c r="AA14" s="67"/>
      <c r="AB14" s="67"/>
      <c r="AC14" s="61"/>
      <c r="AD14" s="68"/>
      <c r="AE14" s="69" t="str">
        <f t="shared" si="2"/>
        <v/>
      </c>
      <c r="AF14" s="70"/>
      <c r="AG14" s="70"/>
      <c r="AH14" s="70"/>
      <c r="AI14" s="70"/>
      <c r="AJ14" s="70"/>
      <c r="AK14" s="70"/>
      <c r="AL14" s="61"/>
      <c r="AM14" s="71"/>
      <c r="AN14" s="72" t="str">
        <f t="shared" si="3"/>
        <v/>
      </c>
      <c r="AO14" s="73"/>
      <c r="AP14" s="73"/>
      <c r="AQ14" s="73"/>
      <c r="AR14" s="73"/>
      <c r="AS14" s="73"/>
      <c r="AT14" s="73"/>
      <c r="AU14" s="61"/>
      <c r="AV14" s="74"/>
      <c r="AW14" s="75" t="str">
        <f t="shared" si="4"/>
        <v/>
      </c>
    </row>
    <row r="15" spans="1:49" ht="14.25" customHeight="1" x14ac:dyDescent="0.3">
      <c r="A15" s="56">
        <v>11</v>
      </c>
      <c r="B15" s="57" t="s">
        <v>5605</v>
      </c>
      <c r="C15" s="58" t="s">
        <v>5606</v>
      </c>
      <c r="D15" s="56" t="s">
        <v>5586</v>
      </c>
      <c r="E15" s="59">
        <v>46126</v>
      </c>
      <c r="F15" s="60" t="s">
        <v>55</v>
      </c>
      <c r="G15" s="60" t="s">
        <v>58</v>
      </c>
      <c r="H15" s="60" t="s">
        <v>56</v>
      </c>
      <c r="I15" s="60" t="s">
        <v>70</v>
      </c>
      <c r="J15" s="60" t="s">
        <v>58</v>
      </c>
      <c r="K15" s="61"/>
      <c r="L15" s="62" t="s">
        <v>56</v>
      </c>
      <c r="M15" s="63" t="str">
        <f t="shared" si="0"/>
        <v>✓ OK</v>
      </c>
      <c r="N15" s="64"/>
      <c r="O15" s="64"/>
      <c r="P15" s="64"/>
      <c r="Q15" s="64"/>
      <c r="R15" s="64"/>
      <c r="S15" s="64"/>
      <c r="T15" s="61"/>
      <c r="U15" s="65"/>
      <c r="V15" s="66" t="str">
        <f t="shared" si="1"/>
        <v/>
      </c>
      <c r="W15" s="67"/>
      <c r="X15" s="67"/>
      <c r="Y15" s="67"/>
      <c r="Z15" s="67"/>
      <c r="AA15" s="67"/>
      <c r="AB15" s="67"/>
      <c r="AC15" s="61"/>
      <c r="AD15" s="68"/>
      <c r="AE15" s="69" t="str">
        <f t="shared" si="2"/>
        <v/>
      </c>
      <c r="AF15" s="70"/>
      <c r="AG15" s="70"/>
      <c r="AH15" s="70"/>
      <c r="AI15" s="70"/>
      <c r="AJ15" s="70"/>
      <c r="AK15" s="70"/>
      <c r="AL15" s="61"/>
      <c r="AM15" s="71"/>
      <c r="AN15" s="72" t="str">
        <f t="shared" si="3"/>
        <v/>
      </c>
      <c r="AO15" s="73"/>
      <c r="AP15" s="73"/>
      <c r="AQ15" s="73"/>
      <c r="AR15" s="73"/>
      <c r="AS15" s="73"/>
      <c r="AT15" s="73"/>
      <c r="AU15" s="61"/>
      <c r="AV15" s="74"/>
      <c r="AW15" s="75" t="str">
        <f t="shared" si="4"/>
        <v/>
      </c>
    </row>
    <row r="16" spans="1:49" ht="14.25" customHeight="1" x14ac:dyDescent="0.3">
      <c r="A16" s="76">
        <v>12</v>
      </c>
      <c r="B16" s="77" t="s">
        <v>5607</v>
      </c>
      <c r="C16" s="78" t="s">
        <v>5608</v>
      </c>
      <c r="D16" s="76" t="s">
        <v>5586</v>
      </c>
      <c r="E16" s="59">
        <v>46126</v>
      </c>
      <c r="F16" s="60" t="s">
        <v>55</v>
      </c>
      <c r="G16" s="60" t="s">
        <v>58</v>
      </c>
      <c r="H16" s="60" t="s">
        <v>56</v>
      </c>
      <c r="I16" s="60" t="s">
        <v>70</v>
      </c>
      <c r="J16" s="60" t="s">
        <v>58</v>
      </c>
      <c r="K16" s="61"/>
      <c r="L16" s="62" t="s">
        <v>56</v>
      </c>
      <c r="M16" s="63" t="str">
        <f t="shared" si="0"/>
        <v>✓ OK</v>
      </c>
      <c r="N16" s="64"/>
      <c r="O16" s="64"/>
      <c r="P16" s="64"/>
      <c r="Q16" s="64"/>
      <c r="R16" s="64"/>
      <c r="S16" s="64"/>
      <c r="T16" s="61"/>
      <c r="U16" s="65"/>
      <c r="V16" s="66" t="str">
        <f t="shared" si="1"/>
        <v/>
      </c>
      <c r="W16" s="67"/>
      <c r="X16" s="67"/>
      <c r="Y16" s="67"/>
      <c r="Z16" s="67"/>
      <c r="AA16" s="67"/>
      <c r="AB16" s="67"/>
      <c r="AC16" s="61"/>
      <c r="AD16" s="68"/>
      <c r="AE16" s="69" t="str">
        <f t="shared" si="2"/>
        <v/>
      </c>
      <c r="AF16" s="70"/>
      <c r="AG16" s="70"/>
      <c r="AH16" s="70"/>
      <c r="AI16" s="70"/>
      <c r="AJ16" s="70"/>
      <c r="AK16" s="70"/>
      <c r="AL16" s="61"/>
      <c r="AM16" s="71"/>
      <c r="AN16" s="72" t="str">
        <f t="shared" si="3"/>
        <v/>
      </c>
      <c r="AO16" s="73"/>
      <c r="AP16" s="73"/>
      <c r="AQ16" s="73"/>
      <c r="AR16" s="73"/>
      <c r="AS16" s="73"/>
      <c r="AT16" s="73"/>
      <c r="AU16" s="61"/>
      <c r="AV16" s="74"/>
      <c r="AW16" s="75" t="str">
        <f t="shared" si="4"/>
        <v/>
      </c>
    </row>
    <row r="17" spans="1:49" ht="14.25" customHeight="1" x14ac:dyDescent="0.3">
      <c r="A17" s="56">
        <v>13</v>
      </c>
      <c r="B17" s="57" t="s">
        <v>5609</v>
      </c>
      <c r="C17" s="58" t="s">
        <v>5610</v>
      </c>
      <c r="D17" s="56" t="s">
        <v>5586</v>
      </c>
      <c r="E17" s="59">
        <v>46126</v>
      </c>
      <c r="F17" s="60" t="s">
        <v>55</v>
      </c>
      <c r="G17" s="60" t="s">
        <v>58</v>
      </c>
      <c r="H17" s="60" t="s">
        <v>56</v>
      </c>
      <c r="I17" s="60" t="s">
        <v>70</v>
      </c>
      <c r="J17" s="60" t="s">
        <v>58</v>
      </c>
      <c r="K17" s="61"/>
      <c r="L17" s="62" t="s">
        <v>56</v>
      </c>
      <c r="M17" s="63" t="str">
        <f t="shared" si="0"/>
        <v>✓ OK</v>
      </c>
      <c r="N17" s="64"/>
      <c r="O17" s="64"/>
      <c r="P17" s="64"/>
      <c r="Q17" s="64"/>
      <c r="R17" s="64"/>
      <c r="S17" s="64"/>
      <c r="T17" s="61"/>
      <c r="U17" s="65"/>
      <c r="V17" s="66" t="str">
        <f t="shared" si="1"/>
        <v/>
      </c>
      <c r="W17" s="67"/>
      <c r="X17" s="67"/>
      <c r="Y17" s="67"/>
      <c r="Z17" s="67"/>
      <c r="AA17" s="67"/>
      <c r="AB17" s="67"/>
      <c r="AC17" s="61"/>
      <c r="AD17" s="68"/>
      <c r="AE17" s="69" t="str">
        <f t="shared" si="2"/>
        <v/>
      </c>
      <c r="AF17" s="70"/>
      <c r="AG17" s="70"/>
      <c r="AH17" s="70"/>
      <c r="AI17" s="70"/>
      <c r="AJ17" s="70"/>
      <c r="AK17" s="70"/>
      <c r="AL17" s="61"/>
      <c r="AM17" s="71"/>
      <c r="AN17" s="72" t="str">
        <f t="shared" si="3"/>
        <v/>
      </c>
      <c r="AO17" s="73"/>
      <c r="AP17" s="73"/>
      <c r="AQ17" s="73"/>
      <c r="AR17" s="73"/>
      <c r="AS17" s="73"/>
      <c r="AT17" s="73"/>
      <c r="AU17" s="61"/>
      <c r="AV17" s="74"/>
      <c r="AW17" s="75" t="str">
        <f t="shared" si="4"/>
        <v/>
      </c>
    </row>
    <row r="18" spans="1:49" ht="14.25" customHeight="1" x14ac:dyDescent="0.3">
      <c r="A18" s="76">
        <v>14</v>
      </c>
      <c r="B18" s="77" t="s">
        <v>5611</v>
      </c>
      <c r="C18" s="78" t="s">
        <v>5612</v>
      </c>
      <c r="D18" s="76" t="s">
        <v>5586</v>
      </c>
      <c r="E18" s="59">
        <v>46126</v>
      </c>
      <c r="F18" s="60" t="s">
        <v>55</v>
      </c>
      <c r="G18" s="60" t="s">
        <v>58</v>
      </c>
      <c r="H18" s="60" t="s">
        <v>56</v>
      </c>
      <c r="I18" s="60" t="s">
        <v>70</v>
      </c>
      <c r="J18" s="60" t="s">
        <v>58</v>
      </c>
      <c r="K18" s="61"/>
      <c r="L18" s="62" t="s">
        <v>56</v>
      </c>
      <c r="M18" s="63" t="str">
        <f t="shared" si="0"/>
        <v>✓ OK</v>
      </c>
      <c r="N18" s="64"/>
      <c r="O18" s="64"/>
      <c r="P18" s="64"/>
      <c r="Q18" s="64"/>
      <c r="R18" s="64"/>
      <c r="S18" s="64"/>
      <c r="T18" s="61"/>
      <c r="U18" s="65"/>
      <c r="V18" s="66" t="str">
        <f t="shared" si="1"/>
        <v/>
      </c>
      <c r="W18" s="67"/>
      <c r="X18" s="67"/>
      <c r="Y18" s="67"/>
      <c r="Z18" s="67"/>
      <c r="AA18" s="67"/>
      <c r="AB18" s="67"/>
      <c r="AC18" s="61"/>
      <c r="AD18" s="68"/>
      <c r="AE18" s="69" t="str">
        <f t="shared" si="2"/>
        <v/>
      </c>
      <c r="AF18" s="70"/>
      <c r="AG18" s="70"/>
      <c r="AH18" s="70"/>
      <c r="AI18" s="70"/>
      <c r="AJ18" s="70"/>
      <c r="AK18" s="70"/>
      <c r="AL18" s="61"/>
      <c r="AM18" s="71"/>
      <c r="AN18" s="72" t="str">
        <f t="shared" si="3"/>
        <v/>
      </c>
      <c r="AO18" s="73"/>
      <c r="AP18" s="73"/>
      <c r="AQ18" s="73"/>
      <c r="AR18" s="73"/>
      <c r="AS18" s="73"/>
      <c r="AT18" s="73"/>
      <c r="AU18" s="61"/>
      <c r="AV18" s="74"/>
      <c r="AW18" s="75" t="str">
        <f t="shared" si="4"/>
        <v/>
      </c>
    </row>
    <row r="19" spans="1:49" ht="14.25" customHeight="1" x14ac:dyDescent="0.3">
      <c r="A19" s="56">
        <v>15</v>
      </c>
      <c r="B19" s="57" t="s">
        <v>5613</v>
      </c>
      <c r="C19" s="58" t="s">
        <v>5614</v>
      </c>
      <c r="D19" s="56" t="s">
        <v>5586</v>
      </c>
      <c r="E19" s="59">
        <v>46126</v>
      </c>
      <c r="F19" s="60" t="s">
        <v>55</v>
      </c>
      <c r="G19" s="60" t="s">
        <v>58</v>
      </c>
      <c r="H19" s="60" t="s">
        <v>56</v>
      </c>
      <c r="I19" s="60" t="s">
        <v>70</v>
      </c>
      <c r="J19" s="60" t="s">
        <v>58</v>
      </c>
      <c r="K19" s="61"/>
      <c r="L19" s="62" t="s">
        <v>56</v>
      </c>
      <c r="M19" s="63" t="str">
        <f t="shared" si="0"/>
        <v>✓ OK</v>
      </c>
      <c r="N19" s="64"/>
      <c r="O19" s="64"/>
      <c r="P19" s="64"/>
      <c r="Q19" s="64"/>
      <c r="R19" s="64"/>
      <c r="S19" s="64"/>
      <c r="T19" s="61"/>
      <c r="U19" s="65"/>
      <c r="V19" s="66" t="str">
        <f t="shared" si="1"/>
        <v/>
      </c>
      <c r="W19" s="67"/>
      <c r="X19" s="67"/>
      <c r="Y19" s="67"/>
      <c r="Z19" s="67"/>
      <c r="AA19" s="67"/>
      <c r="AB19" s="67"/>
      <c r="AC19" s="61"/>
      <c r="AD19" s="68"/>
      <c r="AE19" s="69" t="str">
        <f t="shared" si="2"/>
        <v/>
      </c>
      <c r="AF19" s="70"/>
      <c r="AG19" s="70"/>
      <c r="AH19" s="70"/>
      <c r="AI19" s="70"/>
      <c r="AJ19" s="70"/>
      <c r="AK19" s="70"/>
      <c r="AL19" s="61"/>
      <c r="AM19" s="71"/>
      <c r="AN19" s="72" t="str">
        <f t="shared" si="3"/>
        <v/>
      </c>
      <c r="AO19" s="73"/>
      <c r="AP19" s="73"/>
      <c r="AQ19" s="73"/>
      <c r="AR19" s="73"/>
      <c r="AS19" s="73"/>
      <c r="AT19" s="73"/>
      <c r="AU19" s="61"/>
      <c r="AV19" s="74"/>
      <c r="AW19" s="75" t="str">
        <f t="shared" si="4"/>
        <v/>
      </c>
    </row>
    <row r="20" spans="1:49" ht="14.25" customHeight="1" x14ac:dyDescent="0.3">
      <c r="A20" s="76">
        <v>16</v>
      </c>
      <c r="B20" s="77" t="s">
        <v>5615</v>
      </c>
      <c r="C20" s="78" t="s">
        <v>5616</v>
      </c>
      <c r="D20" s="76" t="s">
        <v>5586</v>
      </c>
      <c r="E20" s="59">
        <v>46126</v>
      </c>
      <c r="F20" s="60" t="s">
        <v>55</v>
      </c>
      <c r="G20" s="60" t="s">
        <v>58</v>
      </c>
      <c r="H20" s="60" t="s">
        <v>56</v>
      </c>
      <c r="I20" s="60" t="s">
        <v>70</v>
      </c>
      <c r="J20" s="60" t="s">
        <v>58</v>
      </c>
      <c r="K20" s="61"/>
      <c r="L20" s="62" t="s">
        <v>56</v>
      </c>
      <c r="M20" s="63" t="str">
        <f t="shared" si="0"/>
        <v>✓ OK</v>
      </c>
      <c r="N20" s="64"/>
      <c r="O20" s="64"/>
      <c r="P20" s="64"/>
      <c r="Q20" s="64"/>
      <c r="R20" s="64"/>
      <c r="S20" s="64"/>
      <c r="T20" s="61"/>
      <c r="U20" s="65"/>
      <c r="V20" s="66" t="str">
        <f t="shared" si="1"/>
        <v/>
      </c>
      <c r="W20" s="67"/>
      <c r="X20" s="67"/>
      <c r="Y20" s="67"/>
      <c r="Z20" s="67"/>
      <c r="AA20" s="67"/>
      <c r="AB20" s="67"/>
      <c r="AC20" s="61"/>
      <c r="AD20" s="68"/>
      <c r="AE20" s="69" t="str">
        <f t="shared" si="2"/>
        <v/>
      </c>
      <c r="AF20" s="70"/>
      <c r="AG20" s="70"/>
      <c r="AH20" s="70"/>
      <c r="AI20" s="70"/>
      <c r="AJ20" s="70"/>
      <c r="AK20" s="70"/>
      <c r="AL20" s="61"/>
      <c r="AM20" s="71"/>
      <c r="AN20" s="72" t="str">
        <f t="shared" si="3"/>
        <v/>
      </c>
      <c r="AO20" s="73"/>
      <c r="AP20" s="73"/>
      <c r="AQ20" s="73"/>
      <c r="AR20" s="73"/>
      <c r="AS20" s="73"/>
      <c r="AT20" s="73"/>
      <c r="AU20" s="61"/>
      <c r="AV20" s="74"/>
      <c r="AW20" s="75" t="str">
        <f t="shared" si="4"/>
        <v/>
      </c>
    </row>
    <row r="21" spans="1:49" ht="14.25" customHeight="1" x14ac:dyDescent="0.3">
      <c r="A21" s="56">
        <v>17</v>
      </c>
      <c r="B21" s="57" t="s">
        <v>5617</v>
      </c>
      <c r="C21" s="58" t="s">
        <v>5618</v>
      </c>
      <c r="D21" s="56" t="s">
        <v>5586</v>
      </c>
      <c r="E21" s="59">
        <v>46126</v>
      </c>
      <c r="F21" s="60" t="s">
        <v>55</v>
      </c>
      <c r="G21" s="60" t="s">
        <v>58</v>
      </c>
      <c r="H21" s="60" t="s">
        <v>56</v>
      </c>
      <c r="I21" s="60" t="s">
        <v>70</v>
      </c>
      <c r="J21" s="60" t="s">
        <v>58</v>
      </c>
      <c r="K21" s="61"/>
      <c r="L21" s="62" t="s">
        <v>56</v>
      </c>
      <c r="M21" s="63" t="str">
        <f t="shared" si="0"/>
        <v>✓ OK</v>
      </c>
      <c r="N21" s="64"/>
      <c r="O21" s="64"/>
      <c r="P21" s="64"/>
      <c r="Q21" s="64"/>
      <c r="R21" s="64"/>
      <c r="S21" s="64"/>
      <c r="T21" s="61"/>
      <c r="U21" s="65"/>
      <c r="V21" s="66" t="str">
        <f t="shared" si="1"/>
        <v/>
      </c>
      <c r="W21" s="67"/>
      <c r="X21" s="67"/>
      <c r="Y21" s="67"/>
      <c r="Z21" s="67"/>
      <c r="AA21" s="67"/>
      <c r="AB21" s="67"/>
      <c r="AC21" s="61"/>
      <c r="AD21" s="68"/>
      <c r="AE21" s="69" t="str">
        <f t="shared" si="2"/>
        <v/>
      </c>
      <c r="AF21" s="70"/>
      <c r="AG21" s="70"/>
      <c r="AH21" s="70"/>
      <c r="AI21" s="70"/>
      <c r="AJ21" s="70"/>
      <c r="AK21" s="70"/>
      <c r="AL21" s="61"/>
      <c r="AM21" s="71"/>
      <c r="AN21" s="72" t="str">
        <f t="shared" si="3"/>
        <v/>
      </c>
      <c r="AO21" s="73"/>
      <c r="AP21" s="73"/>
      <c r="AQ21" s="73"/>
      <c r="AR21" s="73"/>
      <c r="AS21" s="73"/>
      <c r="AT21" s="73"/>
      <c r="AU21" s="61"/>
      <c r="AV21" s="74"/>
      <c r="AW21" s="75" t="str">
        <f t="shared" si="4"/>
        <v/>
      </c>
    </row>
    <row r="22" spans="1:49" ht="14.25" customHeight="1" x14ac:dyDescent="0.3">
      <c r="A22" s="76">
        <v>18</v>
      </c>
      <c r="B22" s="77" t="s">
        <v>5619</v>
      </c>
      <c r="C22" s="78" t="s">
        <v>5620</v>
      </c>
      <c r="D22" s="76" t="s">
        <v>5586</v>
      </c>
      <c r="E22" s="59">
        <v>46126</v>
      </c>
      <c r="F22" s="60" t="s">
        <v>55</v>
      </c>
      <c r="G22" s="60" t="s">
        <v>58</v>
      </c>
      <c r="H22" s="60" t="s">
        <v>56</v>
      </c>
      <c r="I22" s="60" t="s">
        <v>70</v>
      </c>
      <c r="J22" s="60" t="s">
        <v>58</v>
      </c>
      <c r="K22" s="61"/>
      <c r="L22" s="62" t="s">
        <v>56</v>
      </c>
      <c r="M22" s="63" t="str">
        <f t="shared" si="0"/>
        <v>✓ OK</v>
      </c>
      <c r="N22" s="64"/>
      <c r="O22" s="64"/>
      <c r="P22" s="64"/>
      <c r="Q22" s="64"/>
      <c r="R22" s="64"/>
      <c r="S22" s="64"/>
      <c r="T22" s="61"/>
      <c r="U22" s="65"/>
      <c r="V22" s="66" t="str">
        <f t="shared" si="1"/>
        <v/>
      </c>
      <c r="W22" s="67"/>
      <c r="X22" s="67"/>
      <c r="Y22" s="67"/>
      <c r="Z22" s="67"/>
      <c r="AA22" s="67"/>
      <c r="AB22" s="67"/>
      <c r="AC22" s="61"/>
      <c r="AD22" s="68"/>
      <c r="AE22" s="69" t="str">
        <f t="shared" si="2"/>
        <v/>
      </c>
      <c r="AF22" s="70"/>
      <c r="AG22" s="70"/>
      <c r="AH22" s="70"/>
      <c r="AI22" s="70"/>
      <c r="AJ22" s="70"/>
      <c r="AK22" s="70"/>
      <c r="AL22" s="61"/>
      <c r="AM22" s="71"/>
      <c r="AN22" s="72" t="str">
        <f t="shared" si="3"/>
        <v/>
      </c>
      <c r="AO22" s="73"/>
      <c r="AP22" s="73"/>
      <c r="AQ22" s="73"/>
      <c r="AR22" s="73"/>
      <c r="AS22" s="73"/>
      <c r="AT22" s="73"/>
      <c r="AU22" s="61"/>
      <c r="AV22" s="74"/>
      <c r="AW22" s="75" t="str">
        <f t="shared" si="4"/>
        <v/>
      </c>
    </row>
    <row r="23" spans="1:49" ht="14.25" customHeight="1" x14ac:dyDescent="0.3">
      <c r="A23" s="56">
        <v>19</v>
      </c>
      <c r="B23" s="57" t="s">
        <v>5621</v>
      </c>
      <c r="C23" s="58" t="s">
        <v>5622</v>
      </c>
      <c r="D23" s="56" t="s">
        <v>5586</v>
      </c>
      <c r="E23" s="59">
        <v>46126</v>
      </c>
      <c r="F23" s="60" t="s">
        <v>55</v>
      </c>
      <c r="G23" s="60" t="s">
        <v>58</v>
      </c>
      <c r="H23" s="60" t="s">
        <v>56</v>
      </c>
      <c r="I23" s="60" t="s">
        <v>70</v>
      </c>
      <c r="J23" s="60" t="s">
        <v>58</v>
      </c>
      <c r="K23" s="61"/>
      <c r="L23" s="62" t="s">
        <v>56</v>
      </c>
      <c r="M23" s="63" t="str">
        <f t="shared" si="0"/>
        <v>✓ OK</v>
      </c>
      <c r="N23" s="64"/>
      <c r="O23" s="64"/>
      <c r="P23" s="64"/>
      <c r="Q23" s="64"/>
      <c r="R23" s="64"/>
      <c r="S23" s="64"/>
      <c r="T23" s="61"/>
      <c r="U23" s="65"/>
      <c r="V23" s="66" t="str">
        <f t="shared" si="1"/>
        <v/>
      </c>
      <c r="W23" s="67"/>
      <c r="X23" s="67"/>
      <c r="Y23" s="67"/>
      <c r="Z23" s="67"/>
      <c r="AA23" s="67"/>
      <c r="AB23" s="67"/>
      <c r="AC23" s="61"/>
      <c r="AD23" s="68"/>
      <c r="AE23" s="69" t="str">
        <f t="shared" si="2"/>
        <v/>
      </c>
      <c r="AF23" s="70"/>
      <c r="AG23" s="70"/>
      <c r="AH23" s="70"/>
      <c r="AI23" s="70"/>
      <c r="AJ23" s="70"/>
      <c r="AK23" s="70"/>
      <c r="AL23" s="61"/>
      <c r="AM23" s="71"/>
      <c r="AN23" s="72" t="str">
        <f t="shared" si="3"/>
        <v/>
      </c>
      <c r="AO23" s="73"/>
      <c r="AP23" s="73"/>
      <c r="AQ23" s="73"/>
      <c r="AR23" s="73"/>
      <c r="AS23" s="73"/>
      <c r="AT23" s="73"/>
      <c r="AU23" s="61"/>
      <c r="AV23" s="74"/>
      <c r="AW23" s="75" t="str">
        <f t="shared" si="4"/>
        <v/>
      </c>
    </row>
    <row r="24" spans="1:49" ht="14.25" customHeight="1" x14ac:dyDescent="0.3">
      <c r="A24" s="76">
        <v>20</v>
      </c>
      <c r="B24" s="77" t="s">
        <v>5623</v>
      </c>
      <c r="C24" s="78" t="s">
        <v>5624</v>
      </c>
      <c r="D24" s="76" t="s">
        <v>5586</v>
      </c>
      <c r="E24" s="59">
        <v>46126</v>
      </c>
      <c r="F24" s="60" t="s">
        <v>55</v>
      </c>
      <c r="G24" s="60" t="s">
        <v>58</v>
      </c>
      <c r="H24" s="60" t="s">
        <v>56</v>
      </c>
      <c r="I24" s="60" t="s">
        <v>70</v>
      </c>
      <c r="J24" s="60" t="s">
        <v>58</v>
      </c>
      <c r="K24" s="61"/>
      <c r="L24" s="62" t="s">
        <v>56</v>
      </c>
      <c r="M24" s="63" t="str">
        <f t="shared" si="0"/>
        <v>✓ OK</v>
      </c>
      <c r="N24" s="64"/>
      <c r="O24" s="64"/>
      <c r="P24" s="64"/>
      <c r="Q24" s="64"/>
      <c r="R24" s="64"/>
      <c r="S24" s="64"/>
      <c r="T24" s="61"/>
      <c r="U24" s="65"/>
      <c r="V24" s="66" t="str">
        <f t="shared" si="1"/>
        <v/>
      </c>
      <c r="W24" s="67"/>
      <c r="X24" s="67"/>
      <c r="Y24" s="67"/>
      <c r="Z24" s="67"/>
      <c r="AA24" s="67"/>
      <c r="AB24" s="67"/>
      <c r="AC24" s="61"/>
      <c r="AD24" s="68"/>
      <c r="AE24" s="69" t="str">
        <f t="shared" si="2"/>
        <v/>
      </c>
      <c r="AF24" s="70"/>
      <c r="AG24" s="70"/>
      <c r="AH24" s="70"/>
      <c r="AI24" s="70"/>
      <c r="AJ24" s="70"/>
      <c r="AK24" s="70"/>
      <c r="AL24" s="61"/>
      <c r="AM24" s="71"/>
      <c r="AN24" s="72" t="str">
        <f t="shared" si="3"/>
        <v/>
      </c>
      <c r="AO24" s="73"/>
      <c r="AP24" s="73"/>
      <c r="AQ24" s="73"/>
      <c r="AR24" s="73"/>
      <c r="AS24" s="73"/>
      <c r="AT24" s="73"/>
      <c r="AU24" s="61"/>
      <c r="AV24" s="74"/>
      <c r="AW24" s="75" t="str">
        <f t="shared" si="4"/>
        <v/>
      </c>
    </row>
    <row r="25" spans="1:49" ht="14.25" customHeight="1" x14ac:dyDescent="0.3">
      <c r="A25" s="56">
        <v>21</v>
      </c>
      <c r="B25" s="57" t="s">
        <v>5625</v>
      </c>
      <c r="C25" s="58" t="s">
        <v>5626</v>
      </c>
      <c r="D25" s="56" t="s">
        <v>5586</v>
      </c>
      <c r="E25" s="59">
        <v>46126</v>
      </c>
      <c r="F25" s="60" t="s">
        <v>55</v>
      </c>
      <c r="G25" s="60" t="s">
        <v>58</v>
      </c>
      <c r="H25" s="60" t="s">
        <v>56</v>
      </c>
      <c r="I25" s="60" t="s">
        <v>70</v>
      </c>
      <c r="J25" s="60" t="s">
        <v>58</v>
      </c>
      <c r="K25" s="61"/>
      <c r="L25" s="62" t="s">
        <v>56</v>
      </c>
      <c r="M25" s="63" t="str">
        <f t="shared" si="0"/>
        <v>✓ OK</v>
      </c>
      <c r="N25" s="64"/>
      <c r="O25" s="64"/>
      <c r="P25" s="64"/>
      <c r="Q25" s="64"/>
      <c r="R25" s="64"/>
      <c r="S25" s="64"/>
      <c r="T25" s="61"/>
      <c r="U25" s="65"/>
      <c r="V25" s="66" t="str">
        <f t="shared" si="1"/>
        <v/>
      </c>
      <c r="W25" s="67"/>
      <c r="X25" s="67"/>
      <c r="Y25" s="67"/>
      <c r="Z25" s="67"/>
      <c r="AA25" s="67"/>
      <c r="AB25" s="67"/>
      <c r="AC25" s="61"/>
      <c r="AD25" s="68"/>
      <c r="AE25" s="69" t="str">
        <f t="shared" si="2"/>
        <v/>
      </c>
      <c r="AF25" s="70"/>
      <c r="AG25" s="70"/>
      <c r="AH25" s="70"/>
      <c r="AI25" s="70"/>
      <c r="AJ25" s="70"/>
      <c r="AK25" s="70"/>
      <c r="AL25" s="61"/>
      <c r="AM25" s="71"/>
      <c r="AN25" s="72" t="str">
        <f t="shared" si="3"/>
        <v/>
      </c>
      <c r="AO25" s="73"/>
      <c r="AP25" s="73"/>
      <c r="AQ25" s="73"/>
      <c r="AR25" s="73"/>
      <c r="AS25" s="73"/>
      <c r="AT25" s="73"/>
      <c r="AU25" s="61"/>
      <c r="AV25" s="74"/>
      <c r="AW25" s="75" t="str">
        <f t="shared" si="4"/>
        <v/>
      </c>
    </row>
    <row r="26" spans="1:49" ht="14.25" customHeight="1" x14ac:dyDescent="0.3">
      <c r="A26" s="76">
        <v>22</v>
      </c>
      <c r="B26" s="77" t="s">
        <v>5627</v>
      </c>
      <c r="C26" s="78" t="s">
        <v>5628</v>
      </c>
      <c r="D26" s="76" t="s">
        <v>5586</v>
      </c>
      <c r="E26" s="59">
        <v>46126</v>
      </c>
      <c r="F26" s="60" t="s">
        <v>55</v>
      </c>
      <c r="G26" s="60" t="s">
        <v>58</v>
      </c>
      <c r="H26" s="60" t="s">
        <v>56</v>
      </c>
      <c r="I26" s="60" t="s">
        <v>70</v>
      </c>
      <c r="J26" s="60" t="s">
        <v>58</v>
      </c>
      <c r="K26" s="61"/>
      <c r="L26" s="62" t="s">
        <v>56</v>
      </c>
      <c r="M26" s="63" t="str">
        <f t="shared" si="0"/>
        <v>✓ OK</v>
      </c>
      <c r="N26" s="64"/>
      <c r="O26" s="64"/>
      <c r="P26" s="64"/>
      <c r="Q26" s="64"/>
      <c r="R26" s="64"/>
      <c r="S26" s="64"/>
      <c r="T26" s="61"/>
      <c r="U26" s="65"/>
      <c r="V26" s="66" t="str">
        <f t="shared" si="1"/>
        <v/>
      </c>
      <c r="W26" s="67"/>
      <c r="X26" s="67"/>
      <c r="Y26" s="67"/>
      <c r="Z26" s="67"/>
      <c r="AA26" s="67"/>
      <c r="AB26" s="67"/>
      <c r="AC26" s="61"/>
      <c r="AD26" s="68"/>
      <c r="AE26" s="69" t="str">
        <f t="shared" si="2"/>
        <v/>
      </c>
      <c r="AF26" s="70"/>
      <c r="AG26" s="70"/>
      <c r="AH26" s="70"/>
      <c r="AI26" s="70"/>
      <c r="AJ26" s="70"/>
      <c r="AK26" s="70"/>
      <c r="AL26" s="61"/>
      <c r="AM26" s="71"/>
      <c r="AN26" s="72" t="str">
        <f t="shared" si="3"/>
        <v/>
      </c>
      <c r="AO26" s="73"/>
      <c r="AP26" s="73"/>
      <c r="AQ26" s="73"/>
      <c r="AR26" s="73"/>
      <c r="AS26" s="73"/>
      <c r="AT26" s="73"/>
      <c r="AU26" s="61"/>
      <c r="AV26" s="74"/>
      <c r="AW26" s="75" t="str">
        <f t="shared" si="4"/>
        <v/>
      </c>
    </row>
    <row r="27" spans="1:49" ht="14.25" customHeight="1" x14ac:dyDescent="0.3">
      <c r="A27" s="56">
        <v>23</v>
      </c>
      <c r="B27" s="57" t="s">
        <v>5629</v>
      </c>
      <c r="C27" s="58" t="s">
        <v>5630</v>
      </c>
      <c r="D27" s="56" t="s">
        <v>5586</v>
      </c>
      <c r="E27" s="59">
        <v>46126</v>
      </c>
      <c r="F27" s="60" t="s">
        <v>55</v>
      </c>
      <c r="G27" s="60" t="s">
        <v>58</v>
      </c>
      <c r="H27" s="60" t="s">
        <v>56</v>
      </c>
      <c r="I27" s="60" t="s">
        <v>70</v>
      </c>
      <c r="J27" s="60" t="s">
        <v>58</v>
      </c>
      <c r="K27" s="61"/>
      <c r="L27" s="62" t="s">
        <v>56</v>
      </c>
      <c r="M27" s="63" t="str">
        <f t="shared" si="0"/>
        <v>✓ OK</v>
      </c>
      <c r="N27" s="64"/>
      <c r="O27" s="64"/>
      <c r="P27" s="64"/>
      <c r="Q27" s="64"/>
      <c r="R27" s="64"/>
      <c r="S27" s="64"/>
      <c r="T27" s="61"/>
      <c r="U27" s="65"/>
      <c r="V27" s="66" t="str">
        <f t="shared" si="1"/>
        <v/>
      </c>
      <c r="W27" s="67"/>
      <c r="X27" s="67"/>
      <c r="Y27" s="67"/>
      <c r="Z27" s="67"/>
      <c r="AA27" s="67"/>
      <c r="AB27" s="67"/>
      <c r="AC27" s="61"/>
      <c r="AD27" s="68"/>
      <c r="AE27" s="69" t="str">
        <f t="shared" si="2"/>
        <v/>
      </c>
      <c r="AF27" s="70"/>
      <c r="AG27" s="70"/>
      <c r="AH27" s="70"/>
      <c r="AI27" s="70"/>
      <c r="AJ27" s="70"/>
      <c r="AK27" s="70"/>
      <c r="AL27" s="61"/>
      <c r="AM27" s="71"/>
      <c r="AN27" s="72" t="str">
        <f t="shared" si="3"/>
        <v/>
      </c>
      <c r="AO27" s="73"/>
      <c r="AP27" s="73"/>
      <c r="AQ27" s="73"/>
      <c r="AR27" s="73"/>
      <c r="AS27" s="73"/>
      <c r="AT27" s="73"/>
      <c r="AU27" s="61"/>
      <c r="AV27" s="74"/>
      <c r="AW27" s="75" t="str">
        <f t="shared" si="4"/>
        <v/>
      </c>
    </row>
    <row r="28" spans="1:49" ht="14.25" customHeight="1" x14ac:dyDescent="0.3">
      <c r="A28" s="76">
        <v>24</v>
      </c>
      <c r="B28" s="77" t="s">
        <v>5631</v>
      </c>
      <c r="C28" s="78" t="s">
        <v>5632</v>
      </c>
      <c r="D28" s="76" t="s">
        <v>5586</v>
      </c>
      <c r="E28" s="59">
        <v>46126</v>
      </c>
      <c r="F28" s="60" t="s">
        <v>55</v>
      </c>
      <c r="G28" s="60" t="s">
        <v>58</v>
      </c>
      <c r="H28" s="60" t="s">
        <v>56</v>
      </c>
      <c r="I28" s="60" t="s">
        <v>70</v>
      </c>
      <c r="J28" s="60" t="s">
        <v>58</v>
      </c>
      <c r="K28" s="61"/>
      <c r="L28" s="62" t="s">
        <v>56</v>
      </c>
      <c r="M28" s="63" t="str">
        <f t="shared" si="0"/>
        <v>✓ OK</v>
      </c>
      <c r="N28" s="64"/>
      <c r="O28" s="64"/>
      <c r="P28" s="64"/>
      <c r="Q28" s="64"/>
      <c r="R28" s="64"/>
      <c r="S28" s="64"/>
      <c r="T28" s="61"/>
      <c r="U28" s="65"/>
      <c r="V28" s="66" t="str">
        <f t="shared" si="1"/>
        <v/>
      </c>
      <c r="W28" s="67"/>
      <c r="X28" s="67"/>
      <c r="Y28" s="67"/>
      <c r="Z28" s="67"/>
      <c r="AA28" s="67"/>
      <c r="AB28" s="67"/>
      <c r="AC28" s="61"/>
      <c r="AD28" s="68"/>
      <c r="AE28" s="69" t="str">
        <f t="shared" si="2"/>
        <v/>
      </c>
      <c r="AF28" s="70"/>
      <c r="AG28" s="70"/>
      <c r="AH28" s="70"/>
      <c r="AI28" s="70"/>
      <c r="AJ28" s="70"/>
      <c r="AK28" s="70"/>
      <c r="AL28" s="61"/>
      <c r="AM28" s="71"/>
      <c r="AN28" s="72" t="str">
        <f t="shared" si="3"/>
        <v/>
      </c>
      <c r="AO28" s="73"/>
      <c r="AP28" s="73"/>
      <c r="AQ28" s="73"/>
      <c r="AR28" s="73"/>
      <c r="AS28" s="73"/>
      <c r="AT28" s="73"/>
      <c r="AU28" s="61"/>
      <c r="AV28" s="74"/>
      <c r="AW28" s="75" t="str">
        <f t="shared" si="4"/>
        <v/>
      </c>
    </row>
    <row r="29" spans="1:49" ht="14.25" customHeight="1" x14ac:dyDescent="0.3">
      <c r="A29" s="56">
        <v>25</v>
      </c>
      <c r="B29" s="57" t="s">
        <v>5633</v>
      </c>
      <c r="C29" s="58" t="s">
        <v>5634</v>
      </c>
      <c r="D29" s="56" t="s">
        <v>5586</v>
      </c>
      <c r="E29" s="59">
        <v>46126</v>
      </c>
      <c r="F29" s="60" t="s">
        <v>55</v>
      </c>
      <c r="G29" s="60" t="s">
        <v>58</v>
      </c>
      <c r="H29" s="60" t="s">
        <v>56</v>
      </c>
      <c r="I29" s="60" t="s">
        <v>70</v>
      </c>
      <c r="J29" s="60" t="s">
        <v>58</v>
      </c>
      <c r="K29" s="61"/>
      <c r="L29" s="62" t="s">
        <v>56</v>
      </c>
      <c r="M29" s="63" t="str">
        <f t="shared" si="0"/>
        <v>✓ OK</v>
      </c>
      <c r="N29" s="64"/>
      <c r="O29" s="64"/>
      <c r="P29" s="64"/>
      <c r="Q29" s="64"/>
      <c r="R29" s="64"/>
      <c r="S29" s="64"/>
      <c r="T29" s="61"/>
      <c r="U29" s="65"/>
      <c r="V29" s="66" t="str">
        <f t="shared" si="1"/>
        <v/>
      </c>
      <c r="W29" s="67"/>
      <c r="X29" s="67"/>
      <c r="Y29" s="67"/>
      <c r="Z29" s="67"/>
      <c r="AA29" s="67"/>
      <c r="AB29" s="67"/>
      <c r="AC29" s="61"/>
      <c r="AD29" s="68"/>
      <c r="AE29" s="69" t="str">
        <f t="shared" si="2"/>
        <v/>
      </c>
      <c r="AF29" s="70"/>
      <c r="AG29" s="70"/>
      <c r="AH29" s="70"/>
      <c r="AI29" s="70"/>
      <c r="AJ29" s="70"/>
      <c r="AK29" s="70"/>
      <c r="AL29" s="61"/>
      <c r="AM29" s="71"/>
      <c r="AN29" s="72" t="str">
        <f t="shared" si="3"/>
        <v/>
      </c>
      <c r="AO29" s="73"/>
      <c r="AP29" s="73"/>
      <c r="AQ29" s="73"/>
      <c r="AR29" s="73"/>
      <c r="AS29" s="73"/>
      <c r="AT29" s="73"/>
      <c r="AU29" s="61"/>
      <c r="AV29" s="74"/>
      <c r="AW29" s="75" t="str">
        <f t="shared" si="4"/>
        <v/>
      </c>
    </row>
    <row r="30" spans="1:49" ht="14.25" customHeight="1" x14ac:dyDescent="0.3">
      <c r="A30" s="76">
        <v>26</v>
      </c>
      <c r="B30" s="77" t="s">
        <v>5635</v>
      </c>
      <c r="C30" s="78" t="s">
        <v>5636</v>
      </c>
      <c r="D30" s="76" t="s">
        <v>5586</v>
      </c>
      <c r="E30" s="59">
        <v>46126</v>
      </c>
      <c r="F30" s="60" t="s">
        <v>55</v>
      </c>
      <c r="G30" s="60" t="s">
        <v>58</v>
      </c>
      <c r="H30" s="60" t="s">
        <v>56</v>
      </c>
      <c r="I30" s="60" t="s">
        <v>70</v>
      </c>
      <c r="J30" s="60" t="s">
        <v>58</v>
      </c>
      <c r="K30" s="61"/>
      <c r="L30" s="62" t="s">
        <v>56</v>
      </c>
      <c r="M30" s="63" t="str">
        <f t="shared" si="0"/>
        <v>✓ OK</v>
      </c>
      <c r="N30" s="64"/>
      <c r="O30" s="64"/>
      <c r="P30" s="64"/>
      <c r="Q30" s="64"/>
      <c r="R30" s="64"/>
      <c r="S30" s="64"/>
      <c r="T30" s="61"/>
      <c r="U30" s="65"/>
      <c r="V30" s="66" t="str">
        <f t="shared" si="1"/>
        <v/>
      </c>
      <c r="W30" s="67"/>
      <c r="X30" s="67"/>
      <c r="Y30" s="67"/>
      <c r="Z30" s="67"/>
      <c r="AA30" s="67"/>
      <c r="AB30" s="67"/>
      <c r="AC30" s="61"/>
      <c r="AD30" s="68"/>
      <c r="AE30" s="69" t="str">
        <f t="shared" si="2"/>
        <v/>
      </c>
      <c r="AF30" s="70"/>
      <c r="AG30" s="70"/>
      <c r="AH30" s="70"/>
      <c r="AI30" s="70"/>
      <c r="AJ30" s="70"/>
      <c r="AK30" s="70"/>
      <c r="AL30" s="61"/>
      <c r="AM30" s="71"/>
      <c r="AN30" s="72" t="str">
        <f t="shared" si="3"/>
        <v/>
      </c>
      <c r="AO30" s="73"/>
      <c r="AP30" s="73"/>
      <c r="AQ30" s="73"/>
      <c r="AR30" s="73"/>
      <c r="AS30" s="73"/>
      <c r="AT30" s="73"/>
      <c r="AU30" s="61"/>
      <c r="AV30" s="74"/>
      <c r="AW30" s="75" t="str">
        <f t="shared" si="4"/>
        <v/>
      </c>
    </row>
    <row r="31" spans="1:49" ht="14.25" customHeight="1" x14ac:dyDescent="0.3">
      <c r="A31" s="56">
        <v>27</v>
      </c>
      <c r="B31" s="57" t="s">
        <v>5637</v>
      </c>
      <c r="C31" s="58" t="s">
        <v>5638</v>
      </c>
      <c r="D31" s="56" t="s">
        <v>5586</v>
      </c>
      <c r="E31" s="59">
        <v>46126</v>
      </c>
      <c r="F31" s="60" t="s">
        <v>55</v>
      </c>
      <c r="G31" s="60" t="s">
        <v>58</v>
      </c>
      <c r="H31" s="60" t="s">
        <v>56</v>
      </c>
      <c r="I31" s="60" t="s">
        <v>70</v>
      </c>
      <c r="J31" s="60" t="s">
        <v>58</v>
      </c>
      <c r="K31" s="61"/>
      <c r="L31" s="62" t="s">
        <v>56</v>
      </c>
      <c r="M31" s="63" t="str">
        <f t="shared" si="0"/>
        <v>✓ OK</v>
      </c>
      <c r="N31" s="64"/>
      <c r="O31" s="64"/>
      <c r="P31" s="64"/>
      <c r="Q31" s="64"/>
      <c r="R31" s="64"/>
      <c r="S31" s="64"/>
      <c r="T31" s="61"/>
      <c r="U31" s="65"/>
      <c r="V31" s="66" t="str">
        <f t="shared" si="1"/>
        <v/>
      </c>
      <c r="W31" s="67"/>
      <c r="X31" s="67"/>
      <c r="Y31" s="67"/>
      <c r="Z31" s="67"/>
      <c r="AA31" s="67"/>
      <c r="AB31" s="67"/>
      <c r="AC31" s="61"/>
      <c r="AD31" s="68"/>
      <c r="AE31" s="69" t="str">
        <f t="shared" si="2"/>
        <v/>
      </c>
      <c r="AF31" s="70"/>
      <c r="AG31" s="70"/>
      <c r="AH31" s="70"/>
      <c r="AI31" s="70"/>
      <c r="AJ31" s="70"/>
      <c r="AK31" s="70"/>
      <c r="AL31" s="61"/>
      <c r="AM31" s="71"/>
      <c r="AN31" s="72" t="str">
        <f t="shared" si="3"/>
        <v/>
      </c>
      <c r="AO31" s="73"/>
      <c r="AP31" s="73"/>
      <c r="AQ31" s="73"/>
      <c r="AR31" s="73"/>
      <c r="AS31" s="73"/>
      <c r="AT31" s="73"/>
      <c r="AU31" s="61"/>
      <c r="AV31" s="74"/>
      <c r="AW31" s="75" t="str">
        <f t="shared" si="4"/>
        <v/>
      </c>
    </row>
    <row r="32" spans="1:49" ht="14.25" customHeight="1" x14ac:dyDescent="0.3">
      <c r="A32" s="76">
        <v>28</v>
      </c>
      <c r="B32" s="77" t="s">
        <v>5639</v>
      </c>
      <c r="C32" s="78" t="s">
        <v>5640</v>
      </c>
      <c r="D32" s="76" t="s">
        <v>5586</v>
      </c>
      <c r="E32" s="59">
        <v>46126</v>
      </c>
      <c r="F32" s="60" t="s">
        <v>55</v>
      </c>
      <c r="G32" s="60" t="s">
        <v>58</v>
      </c>
      <c r="H32" s="60" t="s">
        <v>56</v>
      </c>
      <c r="I32" s="60" t="s">
        <v>70</v>
      </c>
      <c r="J32" s="60" t="s">
        <v>58</v>
      </c>
      <c r="K32" s="61"/>
      <c r="L32" s="62" t="s">
        <v>56</v>
      </c>
      <c r="M32" s="63" t="str">
        <f t="shared" si="0"/>
        <v>✓ OK</v>
      </c>
      <c r="N32" s="64"/>
      <c r="O32" s="64"/>
      <c r="P32" s="64"/>
      <c r="Q32" s="64"/>
      <c r="R32" s="64"/>
      <c r="S32" s="64"/>
      <c r="T32" s="61"/>
      <c r="U32" s="65"/>
      <c r="V32" s="66" t="str">
        <f t="shared" si="1"/>
        <v/>
      </c>
      <c r="W32" s="67"/>
      <c r="X32" s="67"/>
      <c r="Y32" s="67"/>
      <c r="Z32" s="67"/>
      <c r="AA32" s="67"/>
      <c r="AB32" s="67"/>
      <c r="AC32" s="61"/>
      <c r="AD32" s="68"/>
      <c r="AE32" s="69" t="str">
        <f t="shared" si="2"/>
        <v/>
      </c>
      <c r="AF32" s="70"/>
      <c r="AG32" s="70"/>
      <c r="AH32" s="70"/>
      <c r="AI32" s="70"/>
      <c r="AJ32" s="70"/>
      <c r="AK32" s="70"/>
      <c r="AL32" s="61"/>
      <c r="AM32" s="71"/>
      <c r="AN32" s="72" t="str">
        <f t="shared" si="3"/>
        <v/>
      </c>
      <c r="AO32" s="73"/>
      <c r="AP32" s="73"/>
      <c r="AQ32" s="73"/>
      <c r="AR32" s="73"/>
      <c r="AS32" s="73"/>
      <c r="AT32" s="73"/>
      <c r="AU32" s="61"/>
      <c r="AV32" s="74"/>
      <c r="AW32" s="75" t="str">
        <f t="shared" si="4"/>
        <v/>
      </c>
    </row>
    <row r="33" spans="1:49" ht="14.25" customHeight="1" x14ac:dyDescent="0.3">
      <c r="A33" s="56">
        <v>29</v>
      </c>
      <c r="B33" s="57" t="s">
        <v>5641</v>
      </c>
      <c r="C33" s="58" t="s">
        <v>5642</v>
      </c>
      <c r="D33" s="56" t="s">
        <v>5586</v>
      </c>
      <c r="E33" s="59">
        <v>46126</v>
      </c>
      <c r="F33" s="60" t="s">
        <v>55</v>
      </c>
      <c r="G33" s="60" t="s">
        <v>58</v>
      </c>
      <c r="H33" s="60" t="s">
        <v>56</v>
      </c>
      <c r="I33" s="60" t="s">
        <v>70</v>
      </c>
      <c r="J33" s="60" t="s">
        <v>58</v>
      </c>
      <c r="K33" s="61"/>
      <c r="L33" s="62" t="s">
        <v>56</v>
      </c>
      <c r="M33" s="63" t="str">
        <f t="shared" si="0"/>
        <v>✓ OK</v>
      </c>
      <c r="N33" s="64"/>
      <c r="O33" s="64"/>
      <c r="P33" s="64"/>
      <c r="Q33" s="64"/>
      <c r="R33" s="64"/>
      <c r="S33" s="64"/>
      <c r="T33" s="61"/>
      <c r="U33" s="65"/>
      <c r="V33" s="66" t="str">
        <f t="shared" si="1"/>
        <v/>
      </c>
      <c r="W33" s="67"/>
      <c r="X33" s="67"/>
      <c r="Y33" s="67"/>
      <c r="Z33" s="67"/>
      <c r="AA33" s="67"/>
      <c r="AB33" s="67"/>
      <c r="AC33" s="61"/>
      <c r="AD33" s="68"/>
      <c r="AE33" s="69" t="str">
        <f t="shared" si="2"/>
        <v/>
      </c>
      <c r="AF33" s="70"/>
      <c r="AG33" s="70"/>
      <c r="AH33" s="70"/>
      <c r="AI33" s="70"/>
      <c r="AJ33" s="70"/>
      <c r="AK33" s="70"/>
      <c r="AL33" s="61"/>
      <c r="AM33" s="71"/>
      <c r="AN33" s="72" t="str">
        <f t="shared" si="3"/>
        <v/>
      </c>
      <c r="AO33" s="73"/>
      <c r="AP33" s="73"/>
      <c r="AQ33" s="73"/>
      <c r="AR33" s="73"/>
      <c r="AS33" s="73"/>
      <c r="AT33" s="73"/>
      <c r="AU33" s="61"/>
      <c r="AV33" s="74"/>
      <c r="AW33" s="75" t="str">
        <f t="shared" si="4"/>
        <v/>
      </c>
    </row>
    <row r="34" spans="1:49" ht="14.25" customHeight="1" x14ac:dyDescent="0.3">
      <c r="A34" s="76">
        <v>30</v>
      </c>
      <c r="B34" s="77" t="s">
        <v>5643</v>
      </c>
      <c r="C34" s="78" t="s">
        <v>5644</v>
      </c>
      <c r="D34" s="76" t="s">
        <v>5586</v>
      </c>
      <c r="E34" s="59">
        <v>46126</v>
      </c>
      <c r="F34" s="60" t="s">
        <v>55</v>
      </c>
      <c r="G34" s="60" t="s">
        <v>58</v>
      </c>
      <c r="H34" s="60" t="s">
        <v>56</v>
      </c>
      <c r="I34" s="60" t="s">
        <v>70</v>
      </c>
      <c r="J34" s="60" t="s">
        <v>58</v>
      </c>
      <c r="K34" s="61"/>
      <c r="L34" s="62" t="s">
        <v>56</v>
      </c>
      <c r="M34" s="63" t="str">
        <f t="shared" si="0"/>
        <v>✓ OK</v>
      </c>
      <c r="N34" s="64"/>
      <c r="O34" s="64"/>
      <c r="P34" s="64"/>
      <c r="Q34" s="64"/>
      <c r="R34" s="64"/>
      <c r="S34" s="64"/>
      <c r="T34" s="61"/>
      <c r="U34" s="65"/>
      <c r="V34" s="66" t="str">
        <f t="shared" si="1"/>
        <v/>
      </c>
      <c r="W34" s="67"/>
      <c r="X34" s="67"/>
      <c r="Y34" s="67"/>
      <c r="Z34" s="67"/>
      <c r="AA34" s="67"/>
      <c r="AB34" s="67"/>
      <c r="AC34" s="61"/>
      <c r="AD34" s="68"/>
      <c r="AE34" s="69" t="str">
        <f t="shared" si="2"/>
        <v/>
      </c>
      <c r="AF34" s="70"/>
      <c r="AG34" s="70"/>
      <c r="AH34" s="70"/>
      <c r="AI34" s="70"/>
      <c r="AJ34" s="70"/>
      <c r="AK34" s="70"/>
      <c r="AL34" s="61"/>
      <c r="AM34" s="71"/>
      <c r="AN34" s="72" t="str">
        <f t="shared" si="3"/>
        <v/>
      </c>
      <c r="AO34" s="73"/>
      <c r="AP34" s="73"/>
      <c r="AQ34" s="73"/>
      <c r="AR34" s="73"/>
      <c r="AS34" s="73"/>
      <c r="AT34" s="73"/>
      <c r="AU34" s="61"/>
      <c r="AV34" s="74"/>
      <c r="AW34" s="75" t="str">
        <f t="shared" si="4"/>
        <v/>
      </c>
    </row>
    <row r="35" spans="1:49" ht="14.25" customHeight="1" x14ac:dyDescent="0.3">
      <c r="A35" s="56">
        <v>31</v>
      </c>
      <c r="B35" s="57" t="s">
        <v>5645</v>
      </c>
      <c r="C35" s="58" t="s">
        <v>5646</v>
      </c>
      <c r="D35" s="56" t="s">
        <v>5586</v>
      </c>
      <c r="E35" s="59">
        <v>46126</v>
      </c>
      <c r="F35" s="60" t="s">
        <v>55</v>
      </c>
      <c r="G35" s="60" t="s">
        <v>58</v>
      </c>
      <c r="H35" s="60" t="s">
        <v>56</v>
      </c>
      <c r="I35" s="60" t="s">
        <v>70</v>
      </c>
      <c r="J35" s="60" t="s">
        <v>58</v>
      </c>
      <c r="K35" s="61"/>
      <c r="L35" s="62" t="s">
        <v>56</v>
      </c>
      <c r="M35" s="63" t="str">
        <f t="shared" si="0"/>
        <v>✓ OK</v>
      </c>
      <c r="N35" s="64"/>
      <c r="O35" s="64"/>
      <c r="P35" s="64"/>
      <c r="Q35" s="64"/>
      <c r="R35" s="64"/>
      <c r="S35" s="64"/>
      <c r="T35" s="61"/>
      <c r="U35" s="65"/>
      <c r="V35" s="66" t="str">
        <f t="shared" si="1"/>
        <v/>
      </c>
      <c r="W35" s="67"/>
      <c r="X35" s="67"/>
      <c r="Y35" s="67"/>
      <c r="Z35" s="67"/>
      <c r="AA35" s="67"/>
      <c r="AB35" s="67"/>
      <c r="AC35" s="61"/>
      <c r="AD35" s="68"/>
      <c r="AE35" s="69" t="str">
        <f t="shared" si="2"/>
        <v/>
      </c>
      <c r="AF35" s="70"/>
      <c r="AG35" s="70"/>
      <c r="AH35" s="70"/>
      <c r="AI35" s="70"/>
      <c r="AJ35" s="70"/>
      <c r="AK35" s="70"/>
      <c r="AL35" s="61"/>
      <c r="AM35" s="71"/>
      <c r="AN35" s="72" t="str">
        <f t="shared" si="3"/>
        <v/>
      </c>
      <c r="AO35" s="73"/>
      <c r="AP35" s="73"/>
      <c r="AQ35" s="73"/>
      <c r="AR35" s="73"/>
      <c r="AS35" s="73"/>
      <c r="AT35" s="73"/>
      <c r="AU35" s="61"/>
      <c r="AV35" s="74"/>
      <c r="AW35" s="75" t="str">
        <f t="shared" si="4"/>
        <v/>
      </c>
    </row>
    <row r="36" spans="1:49" ht="14.25" customHeight="1" x14ac:dyDescent="0.3">
      <c r="A36" s="76">
        <v>32</v>
      </c>
      <c r="B36" s="77" t="s">
        <v>5647</v>
      </c>
      <c r="C36" s="78" t="s">
        <v>5648</v>
      </c>
      <c r="D36" s="76" t="s">
        <v>5586</v>
      </c>
      <c r="E36" s="59">
        <v>46126</v>
      </c>
      <c r="F36" s="60" t="s">
        <v>55</v>
      </c>
      <c r="G36" s="60" t="s">
        <v>58</v>
      </c>
      <c r="H36" s="60" t="s">
        <v>56</v>
      </c>
      <c r="I36" s="60" t="s">
        <v>70</v>
      </c>
      <c r="J36" s="60" t="s">
        <v>58</v>
      </c>
      <c r="K36" s="61"/>
      <c r="L36" s="62" t="s">
        <v>56</v>
      </c>
      <c r="M36" s="63" t="str">
        <f t="shared" si="0"/>
        <v>✓ OK</v>
      </c>
      <c r="N36" s="64"/>
      <c r="O36" s="64"/>
      <c r="P36" s="64"/>
      <c r="Q36" s="64"/>
      <c r="R36" s="64"/>
      <c r="S36" s="64"/>
      <c r="T36" s="61"/>
      <c r="U36" s="65"/>
      <c r="V36" s="66" t="str">
        <f t="shared" si="1"/>
        <v/>
      </c>
      <c r="W36" s="67"/>
      <c r="X36" s="67"/>
      <c r="Y36" s="67"/>
      <c r="Z36" s="67"/>
      <c r="AA36" s="67"/>
      <c r="AB36" s="67"/>
      <c r="AC36" s="61"/>
      <c r="AD36" s="68"/>
      <c r="AE36" s="69" t="str">
        <f t="shared" si="2"/>
        <v/>
      </c>
      <c r="AF36" s="70"/>
      <c r="AG36" s="70"/>
      <c r="AH36" s="70"/>
      <c r="AI36" s="70"/>
      <c r="AJ36" s="70"/>
      <c r="AK36" s="70"/>
      <c r="AL36" s="61"/>
      <c r="AM36" s="71"/>
      <c r="AN36" s="72" t="str">
        <f t="shared" si="3"/>
        <v/>
      </c>
      <c r="AO36" s="73"/>
      <c r="AP36" s="73"/>
      <c r="AQ36" s="73"/>
      <c r="AR36" s="73"/>
      <c r="AS36" s="73"/>
      <c r="AT36" s="73"/>
      <c r="AU36" s="61"/>
      <c r="AV36" s="74"/>
      <c r="AW36" s="75" t="str">
        <f t="shared" si="4"/>
        <v/>
      </c>
    </row>
    <row r="37" spans="1:49" ht="14.25" customHeight="1" x14ac:dyDescent="0.3">
      <c r="A37" s="56">
        <v>33</v>
      </c>
      <c r="B37" s="57" t="s">
        <v>5649</v>
      </c>
      <c r="C37" s="58" t="s">
        <v>5650</v>
      </c>
      <c r="D37" s="56" t="s">
        <v>5586</v>
      </c>
      <c r="E37" s="59">
        <v>46126</v>
      </c>
      <c r="F37" s="60" t="s">
        <v>55</v>
      </c>
      <c r="G37" s="60" t="s">
        <v>58</v>
      </c>
      <c r="H37" s="60" t="s">
        <v>56</v>
      </c>
      <c r="I37" s="60" t="s">
        <v>70</v>
      </c>
      <c r="J37" s="60" t="s">
        <v>58</v>
      </c>
      <c r="K37" s="61"/>
      <c r="L37" s="62" t="s">
        <v>56</v>
      </c>
      <c r="M37" s="63" t="str">
        <f t="shared" si="0"/>
        <v>✓ OK</v>
      </c>
      <c r="N37" s="64"/>
      <c r="O37" s="64"/>
      <c r="P37" s="64"/>
      <c r="Q37" s="64"/>
      <c r="R37" s="64"/>
      <c r="S37" s="64"/>
      <c r="T37" s="61"/>
      <c r="U37" s="65"/>
      <c r="V37" s="66" t="str">
        <f t="shared" si="1"/>
        <v/>
      </c>
      <c r="W37" s="67"/>
      <c r="X37" s="67"/>
      <c r="Y37" s="67"/>
      <c r="Z37" s="67"/>
      <c r="AA37" s="67"/>
      <c r="AB37" s="67"/>
      <c r="AC37" s="61"/>
      <c r="AD37" s="68"/>
      <c r="AE37" s="69" t="str">
        <f t="shared" si="2"/>
        <v/>
      </c>
      <c r="AF37" s="70"/>
      <c r="AG37" s="70"/>
      <c r="AH37" s="70"/>
      <c r="AI37" s="70"/>
      <c r="AJ37" s="70"/>
      <c r="AK37" s="70"/>
      <c r="AL37" s="61"/>
      <c r="AM37" s="71"/>
      <c r="AN37" s="72" t="str">
        <f t="shared" si="3"/>
        <v/>
      </c>
      <c r="AO37" s="73"/>
      <c r="AP37" s="73"/>
      <c r="AQ37" s="73"/>
      <c r="AR37" s="73"/>
      <c r="AS37" s="73"/>
      <c r="AT37" s="73"/>
      <c r="AU37" s="61"/>
      <c r="AV37" s="74"/>
      <c r="AW37" s="75" t="str">
        <f t="shared" si="4"/>
        <v/>
      </c>
    </row>
    <row r="38" spans="1:49" ht="14.25" customHeight="1" x14ac:dyDescent="0.3">
      <c r="A38" s="76">
        <v>34</v>
      </c>
      <c r="B38" s="77" t="s">
        <v>5651</v>
      </c>
      <c r="C38" s="78" t="s">
        <v>5652</v>
      </c>
      <c r="D38" s="76" t="s">
        <v>5586</v>
      </c>
      <c r="E38" s="59">
        <v>46126</v>
      </c>
      <c r="F38" s="60" t="s">
        <v>55</v>
      </c>
      <c r="G38" s="60" t="s">
        <v>58</v>
      </c>
      <c r="H38" s="60" t="s">
        <v>56</v>
      </c>
      <c r="I38" s="60" t="s">
        <v>70</v>
      </c>
      <c r="J38" s="60" t="s">
        <v>58</v>
      </c>
      <c r="K38" s="61"/>
      <c r="L38" s="62" t="s">
        <v>56</v>
      </c>
      <c r="M38" s="63" t="str">
        <f t="shared" si="0"/>
        <v>✓ OK</v>
      </c>
      <c r="N38" s="64"/>
      <c r="O38" s="64"/>
      <c r="P38" s="64"/>
      <c r="Q38" s="64"/>
      <c r="R38" s="64"/>
      <c r="S38" s="64"/>
      <c r="T38" s="61"/>
      <c r="U38" s="65"/>
      <c r="V38" s="66" t="str">
        <f t="shared" si="1"/>
        <v/>
      </c>
      <c r="W38" s="67"/>
      <c r="X38" s="67"/>
      <c r="Y38" s="67"/>
      <c r="Z38" s="67"/>
      <c r="AA38" s="67"/>
      <c r="AB38" s="67"/>
      <c r="AC38" s="61"/>
      <c r="AD38" s="68"/>
      <c r="AE38" s="69" t="str">
        <f t="shared" si="2"/>
        <v/>
      </c>
      <c r="AF38" s="70"/>
      <c r="AG38" s="70"/>
      <c r="AH38" s="70"/>
      <c r="AI38" s="70"/>
      <c r="AJ38" s="70"/>
      <c r="AK38" s="70"/>
      <c r="AL38" s="61"/>
      <c r="AM38" s="71"/>
      <c r="AN38" s="72" t="str">
        <f t="shared" si="3"/>
        <v/>
      </c>
      <c r="AO38" s="73"/>
      <c r="AP38" s="73"/>
      <c r="AQ38" s="73"/>
      <c r="AR38" s="73"/>
      <c r="AS38" s="73"/>
      <c r="AT38" s="73"/>
      <c r="AU38" s="61"/>
      <c r="AV38" s="74"/>
      <c r="AW38" s="75" t="str">
        <f t="shared" si="4"/>
        <v/>
      </c>
    </row>
    <row r="39" spans="1:49" ht="14.25" customHeight="1" x14ac:dyDescent="0.3">
      <c r="A39" s="56">
        <v>35</v>
      </c>
      <c r="B39" s="57" t="s">
        <v>5653</v>
      </c>
      <c r="C39" s="58" t="s">
        <v>5654</v>
      </c>
      <c r="D39" s="56" t="s">
        <v>5586</v>
      </c>
      <c r="E39" s="59">
        <v>46126</v>
      </c>
      <c r="F39" s="60" t="s">
        <v>55</v>
      </c>
      <c r="G39" s="60" t="s">
        <v>58</v>
      </c>
      <c r="H39" s="60" t="s">
        <v>56</v>
      </c>
      <c r="I39" s="60" t="s">
        <v>70</v>
      </c>
      <c r="J39" s="60" t="s">
        <v>58</v>
      </c>
      <c r="K39" s="61"/>
      <c r="L39" s="62" t="s">
        <v>56</v>
      </c>
      <c r="M39" s="63" t="str">
        <f t="shared" si="0"/>
        <v>✓ OK</v>
      </c>
      <c r="N39" s="64"/>
      <c r="O39" s="64"/>
      <c r="P39" s="64"/>
      <c r="Q39" s="64"/>
      <c r="R39" s="64"/>
      <c r="S39" s="64"/>
      <c r="T39" s="61"/>
      <c r="U39" s="65"/>
      <c r="V39" s="66" t="str">
        <f t="shared" si="1"/>
        <v/>
      </c>
      <c r="W39" s="67"/>
      <c r="X39" s="67"/>
      <c r="Y39" s="67"/>
      <c r="Z39" s="67"/>
      <c r="AA39" s="67"/>
      <c r="AB39" s="67"/>
      <c r="AC39" s="61"/>
      <c r="AD39" s="68"/>
      <c r="AE39" s="69" t="str">
        <f t="shared" si="2"/>
        <v/>
      </c>
      <c r="AF39" s="70"/>
      <c r="AG39" s="70"/>
      <c r="AH39" s="70"/>
      <c r="AI39" s="70"/>
      <c r="AJ39" s="70"/>
      <c r="AK39" s="70"/>
      <c r="AL39" s="61"/>
      <c r="AM39" s="71"/>
      <c r="AN39" s="72" t="str">
        <f t="shared" si="3"/>
        <v/>
      </c>
      <c r="AO39" s="73"/>
      <c r="AP39" s="73"/>
      <c r="AQ39" s="73"/>
      <c r="AR39" s="73"/>
      <c r="AS39" s="73"/>
      <c r="AT39" s="73"/>
      <c r="AU39" s="61"/>
      <c r="AV39" s="74"/>
      <c r="AW39" s="75" t="str">
        <f t="shared" si="4"/>
        <v/>
      </c>
    </row>
    <row r="40" spans="1:49" ht="14.25" customHeight="1" x14ac:dyDescent="0.3">
      <c r="A40" s="76">
        <v>36</v>
      </c>
      <c r="B40" s="77" t="s">
        <v>5655</v>
      </c>
      <c r="C40" s="78" t="s">
        <v>5656</v>
      </c>
      <c r="D40" s="76" t="s">
        <v>5586</v>
      </c>
      <c r="E40" s="59">
        <v>46126</v>
      </c>
      <c r="F40" s="60" t="s">
        <v>55</v>
      </c>
      <c r="G40" s="60" t="s">
        <v>58</v>
      </c>
      <c r="H40" s="60" t="s">
        <v>56</v>
      </c>
      <c r="I40" s="60" t="s">
        <v>70</v>
      </c>
      <c r="J40" s="60" t="s">
        <v>58</v>
      </c>
      <c r="K40" s="61"/>
      <c r="L40" s="62" t="s">
        <v>56</v>
      </c>
      <c r="M40" s="63" t="str">
        <f t="shared" si="0"/>
        <v>✓ OK</v>
      </c>
      <c r="N40" s="64"/>
      <c r="O40" s="64"/>
      <c r="P40" s="64"/>
      <c r="Q40" s="64"/>
      <c r="R40" s="64"/>
      <c r="S40" s="64"/>
      <c r="T40" s="61"/>
      <c r="U40" s="65"/>
      <c r="V40" s="66" t="str">
        <f t="shared" si="1"/>
        <v/>
      </c>
      <c r="W40" s="67"/>
      <c r="X40" s="67"/>
      <c r="Y40" s="67"/>
      <c r="Z40" s="67"/>
      <c r="AA40" s="67"/>
      <c r="AB40" s="67"/>
      <c r="AC40" s="61"/>
      <c r="AD40" s="68"/>
      <c r="AE40" s="69" t="str">
        <f t="shared" si="2"/>
        <v/>
      </c>
      <c r="AF40" s="70"/>
      <c r="AG40" s="70"/>
      <c r="AH40" s="70"/>
      <c r="AI40" s="70"/>
      <c r="AJ40" s="70"/>
      <c r="AK40" s="70"/>
      <c r="AL40" s="61"/>
      <c r="AM40" s="71"/>
      <c r="AN40" s="72" t="str">
        <f t="shared" si="3"/>
        <v/>
      </c>
      <c r="AO40" s="73"/>
      <c r="AP40" s="73"/>
      <c r="AQ40" s="73"/>
      <c r="AR40" s="73"/>
      <c r="AS40" s="73"/>
      <c r="AT40" s="73"/>
      <c r="AU40" s="61"/>
      <c r="AV40" s="74"/>
      <c r="AW40" s="75" t="str">
        <f t="shared" si="4"/>
        <v/>
      </c>
    </row>
    <row r="41" spans="1:49" ht="14.25" customHeight="1" x14ac:dyDescent="0.3">
      <c r="A41" s="56">
        <v>37</v>
      </c>
      <c r="B41" s="57" t="s">
        <v>5657</v>
      </c>
      <c r="C41" s="58" t="s">
        <v>5658</v>
      </c>
      <c r="D41" s="56" t="s">
        <v>5586</v>
      </c>
      <c r="E41" s="59">
        <v>46126</v>
      </c>
      <c r="F41" s="60" t="s">
        <v>55</v>
      </c>
      <c r="G41" s="60" t="s">
        <v>58</v>
      </c>
      <c r="H41" s="60" t="s">
        <v>56</v>
      </c>
      <c r="I41" s="60" t="s">
        <v>70</v>
      </c>
      <c r="J41" s="60" t="s">
        <v>58</v>
      </c>
      <c r="K41" s="61"/>
      <c r="L41" s="62" t="s">
        <v>56</v>
      </c>
      <c r="M41" s="63" t="str">
        <f t="shared" si="0"/>
        <v>✓ OK</v>
      </c>
      <c r="N41" s="64"/>
      <c r="O41" s="64"/>
      <c r="P41" s="64"/>
      <c r="Q41" s="64"/>
      <c r="R41" s="64"/>
      <c r="S41" s="64"/>
      <c r="T41" s="61"/>
      <c r="U41" s="65"/>
      <c r="V41" s="66" t="str">
        <f t="shared" si="1"/>
        <v/>
      </c>
      <c r="W41" s="67"/>
      <c r="X41" s="67"/>
      <c r="Y41" s="67"/>
      <c r="Z41" s="67"/>
      <c r="AA41" s="67"/>
      <c r="AB41" s="67"/>
      <c r="AC41" s="61"/>
      <c r="AD41" s="68"/>
      <c r="AE41" s="69" t="str">
        <f t="shared" si="2"/>
        <v/>
      </c>
      <c r="AF41" s="70"/>
      <c r="AG41" s="70"/>
      <c r="AH41" s="70"/>
      <c r="AI41" s="70"/>
      <c r="AJ41" s="70"/>
      <c r="AK41" s="70"/>
      <c r="AL41" s="61"/>
      <c r="AM41" s="71"/>
      <c r="AN41" s="72" t="str">
        <f t="shared" si="3"/>
        <v/>
      </c>
      <c r="AO41" s="73"/>
      <c r="AP41" s="73"/>
      <c r="AQ41" s="73"/>
      <c r="AR41" s="73"/>
      <c r="AS41" s="73"/>
      <c r="AT41" s="73"/>
      <c r="AU41" s="61"/>
      <c r="AV41" s="74"/>
      <c r="AW41" s="75" t="str">
        <f t="shared" si="4"/>
        <v/>
      </c>
    </row>
    <row r="42" spans="1:49" ht="14.25" customHeight="1" x14ac:dyDescent="0.3">
      <c r="A42" s="76">
        <v>38</v>
      </c>
      <c r="B42" s="77" t="s">
        <v>5659</v>
      </c>
      <c r="C42" s="78" t="s">
        <v>5660</v>
      </c>
      <c r="D42" s="76" t="s">
        <v>5586</v>
      </c>
      <c r="E42" s="59">
        <v>46126</v>
      </c>
      <c r="F42" s="60" t="s">
        <v>55</v>
      </c>
      <c r="G42" s="60" t="s">
        <v>58</v>
      </c>
      <c r="H42" s="60" t="s">
        <v>56</v>
      </c>
      <c r="I42" s="60" t="s">
        <v>70</v>
      </c>
      <c r="J42" s="60" t="s">
        <v>58</v>
      </c>
      <c r="K42" s="61"/>
      <c r="L42" s="62" t="s">
        <v>56</v>
      </c>
      <c r="M42" s="63" t="str">
        <f t="shared" si="0"/>
        <v>✓ OK</v>
      </c>
      <c r="N42" s="64"/>
      <c r="O42" s="64"/>
      <c r="P42" s="64"/>
      <c r="Q42" s="64"/>
      <c r="R42" s="64"/>
      <c r="S42" s="64"/>
      <c r="T42" s="61"/>
      <c r="U42" s="65"/>
      <c r="V42" s="66" t="str">
        <f t="shared" si="1"/>
        <v/>
      </c>
      <c r="W42" s="67"/>
      <c r="X42" s="67"/>
      <c r="Y42" s="67"/>
      <c r="Z42" s="67"/>
      <c r="AA42" s="67"/>
      <c r="AB42" s="67"/>
      <c r="AC42" s="61"/>
      <c r="AD42" s="68"/>
      <c r="AE42" s="69" t="str">
        <f t="shared" si="2"/>
        <v/>
      </c>
      <c r="AF42" s="70"/>
      <c r="AG42" s="70"/>
      <c r="AH42" s="70"/>
      <c r="AI42" s="70"/>
      <c r="AJ42" s="70"/>
      <c r="AK42" s="70"/>
      <c r="AL42" s="61"/>
      <c r="AM42" s="71"/>
      <c r="AN42" s="72" t="str">
        <f t="shared" si="3"/>
        <v/>
      </c>
      <c r="AO42" s="73"/>
      <c r="AP42" s="73"/>
      <c r="AQ42" s="73"/>
      <c r="AR42" s="73"/>
      <c r="AS42" s="73"/>
      <c r="AT42" s="73"/>
      <c r="AU42" s="61"/>
      <c r="AV42" s="74"/>
      <c r="AW42" s="75" t="str">
        <f t="shared" si="4"/>
        <v/>
      </c>
    </row>
    <row r="43" spans="1:49" ht="14.25" customHeight="1" x14ac:dyDescent="0.3">
      <c r="A43" s="56">
        <v>39</v>
      </c>
      <c r="B43" s="57" t="s">
        <v>5661</v>
      </c>
      <c r="C43" s="58" t="s">
        <v>5662</v>
      </c>
      <c r="D43" s="56" t="s">
        <v>5586</v>
      </c>
      <c r="E43" s="59">
        <v>46126</v>
      </c>
      <c r="F43" s="60" t="s">
        <v>55</v>
      </c>
      <c r="G43" s="60" t="s">
        <v>58</v>
      </c>
      <c r="H43" s="60" t="s">
        <v>56</v>
      </c>
      <c r="I43" s="60" t="s">
        <v>70</v>
      </c>
      <c r="J43" s="60" t="s">
        <v>58</v>
      </c>
      <c r="K43" s="61"/>
      <c r="L43" s="62" t="s">
        <v>56</v>
      </c>
      <c r="M43" s="63" t="str">
        <f t="shared" si="0"/>
        <v>✓ OK</v>
      </c>
      <c r="N43" s="64"/>
      <c r="O43" s="64"/>
      <c r="P43" s="64"/>
      <c r="Q43" s="64"/>
      <c r="R43" s="64"/>
      <c r="S43" s="64"/>
      <c r="T43" s="61"/>
      <c r="U43" s="65"/>
      <c r="V43" s="66" t="str">
        <f t="shared" si="1"/>
        <v/>
      </c>
      <c r="W43" s="67"/>
      <c r="X43" s="67"/>
      <c r="Y43" s="67"/>
      <c r="Z43" s="67"/>
      <c r="AA43" s="67"/>
      <c r="AB43" s="67"/>
      <c r="AC43" s="61"/>
      <c r="AD43" s="68"/>
      <c r="AE43" s="69" t="str">
        <f t="shared" si="2"/>
        <v/>
      </c>
      <c r="AF43" s="70"/>
      <c r="AG43" s="70"/>
      <c r="AH43" s="70"/>
      <c r="AI43" s="70"/>
      <c r="AJ43" s="70"/>
      <c r="AK43" s="70"/>
      <c r="AL43" s="61"/>
      <c r="AM43" s="71"/>
      <c r="AN43" s="72" t="str">
        <f t="shared" si="3"/>
        <v/>
      </c>
      <c r="AO43" s="73"/>
      <c r="AP43" s="73"/>
      <c r="AQ43" s="73"/>
      <c r="AR43" s="73"/>
      <c r="AS43" s="73"/>
      <c r="AT43" s="73"/>
      <c r="AU43" s="61"/>
      <c r="AV43" s="74"/>
      <c r="AW43" s="75" t="str">
        <f t="shared" si="4"/>
        <v/>
      </c>
    </row>
    <row r="44" spans="1:49" ht="14.25" customHeight="1" x14ac:dyDescent="0.3">
      <c r="A44" s="76">
        <v>40</v>
      </c>
      <c r="B44" s="77" t="s">
        <v>5663</v>
      </c>
      <c r="C44" s="78" t="s">
        <v>5664</v>
      </c>
      <c r="D44" s="76" t="s">
        <v>5586</v>
      </c>
      <c r="E44" s="59">
        <v>46126</v>
      </c>
      <c r="F44" s="60" t="s">
        <v>55</v>
      </c>
      <c r="G44" s="60" t="s">
        <v>58</v>
      </c>
      <c r="H44" s="60" t="s">
        <v>56</v>
      </c>
      <c r="I44" s="60" t="s">
        <v>70</v>
      </c>
      <c r="J44" s="60" t="s">
        <v>58</v>
      </c>
      <c r="K44" s="61"/>
      <c r="L44" s="62" t="s">
        <v>56</v>
      </c>
      <c r="M44" s="63" t="str">
        <f t="shared" si="0"/>
        <v>✓ OK</v>
      </c>
      <c r="N44" s="64"/>
      <c r="O44" s="64"/>
      <c r="P44" s="64"/>
      <c r="Q44" s="64"/>
      <c r="R44" s="64"/>
      <c r="S44" s="64"/>
      <c r="T44" s="61"/>
      <c r="U44" s="65"/>
      <c r="V44" s="66" t="str">
        <f t="shared" si="1"/>
        <v/>
      </c>
      <c r="W44" s="67"/>
      <c r="X44" s="67"/>
      <c r="Y44" s="67"/>
      <c r="Z44" s="67"/>
      <c r="AA44" s="67"/>
      <c r="AB44" s="67"/>
      <c r="AC44" s="61"/>
      <c r="AD44" s="68"/>
      <c r="AE44" s="69" t="str">
        <f t="shared" si="2"/>
        <v/>
      </c>
      <c r="AF44" s="70"/>
      <c r="AG44" s="70"/>
      <c r="AH44" s="70"/>
      <c r="AI44" s="70"/>
      <c r="AJ44" s="70"/>
      <c r="AK44" s="70"/>
      <c r="AL44" s="61"/>
      <c r="AM44" s="71"/>
      <c r="AN44" s="72" t="str">
        <f t="shared" si="3"/>
        <v/>
      </c>
      <c r="AO44" s="73"/>
      <c r="AP44" s="73"/>
      <c r="AQ44" s="73"/>
      <c r="AR44" s="73"/>
      <c r="AS44" s="73"/>
      <c r="AT44" s="73"/>
      <c r="AU44" s="61"/>
      <c r="AV44" s="74"/>
      <c r="AW44" s="75" t="str">
        <f t="shared" si="4"/>
        <v/>
      </c>
    </row>
    <row r="45" spans="1:49" ht="14.25" customHeight="1" x14ac:dyDescent="0.3">
      <c r="A45" s="56">
        <v>41</v>
      </c>
      <c r="B45" s="57" t="s">
        <v>5665</v>
      </c>
      <c r="C45" s="58" t="s">
        <v>5666</v>
      </c>
      <c r="D45" s="56" t="s">
        <v>5586</v>
      </c>
      <c r="E45" s="59">
        <v>46126</v>
      </c>
      <c r="F45" s="60" t="s">
        <v>55</v>
      </c>
      <c r="G45" s="60" t="s">
        <v>58</v>
      </c>
      <c r="H45" s="60" t="s">
        <v>56</v>
      </c>
      <c r="I45" s="60" t="s">
        <v>70</v>
      </c>
      <c r="J45" s="60" t="s">
        <v>58</v>
      </c>
      <c r="K45" s="61"/>
      <c r="L45" s="62" t="s">
        <v>56</v>
      </c>
      <c r="M45" s="63" t="str">
        <f t="shared" si="0"/>
        <v>✓ OK</v>
      </c>
      <c r="N45" s="64"/>
      <c r="O45" s="64"/>
      <c r="P45" s="64"/>
      <c r="Q45" s="64"/>
      <c r="R45" s="64"/>
      <c r="S45" s="64"/>
      <c r="T45" s="61"/>
      <c r="U45" s="65"/>
      <c r="V45" s="66" t="str">
        <f t="shared" si="1"/>
        <v/>
      </c>
      <c r="W45" s="67"/>
      <c r="X45" s="67"/>
      <c r="Y45" s="67"/>
      <c r="Z45" s="67"/>
      <c r="AA45" s="67"/>
      <c r="AB45" s="67"/>
      <c r="AC45" s="61"/>
      <c r="AD45" s="68"/>
      <c r="AE45" s="69" t="str">
        <f t="shared" si="2"/>
        <v/>
      </c>
      <c r="AF45" s="70"/>
      <c r="AG45" s="70"/>
      <c r="AH45" s="70"/>
      <c r="AI45" s="70"/>
      <c r="AJ45" s="70"/>
      <c r="AK45" s="70"/>
      <c r="AL45" s="61"/>
      <c r="AM45" s="71"/>
      <c r="AN45" s="72" t="str">
        <f t="shared" si="3"/>
        <v/>
      </c>
      <c r="AO45" s="73"/>
      <c r="AP45" s="73"/>
      <c r="AQ45" s="73"/>
      <c r="AR45" s="73"/>
      <c r="AS45" s="73"/>
      <c r="AT45" s="73"/>
      <c r="AU45" s="61"/>
      <c r="AV45" s="74"/>
      <c r="AW45" s="75" t="str">
        <f t="shared" si="4"/>
        <v/>
      </c>
    </row>
    <row r="46" spans="1:49" ht="14.25" customHeight="1" x14ac:dyDescent="0.3">
      <c r="A46" s="76">
        <v>42</v>
      </c>
      <c r="B46" s="77" t="s">
        <v>5667</v>
      </c>
      <c r="C46" s="78" t="s">
        <v>5668</v>
      </c>
      <c r="D46" s="76" t="s">
        <v>5586</v>
      </c>
      <c r="E46" s="59">
        <v>46126</v>
      </c>
      <c r="F46" s="60" t="s">
        <v>55</v>
      </c>
      <c r="G46" s="60" t="s">
        <v>58</v>
      </c>
      <c r="H46" s="60" t="s">
        <v>56</v>
      </c>
      <c r="I46" s="60" t="s">
        <v>70</v>
      </c>
      <c r="J46" s="60" t="s">
        <v>58</v>
      </c>
      <c r="K46" s="61"/>
      <c r="L46" s="62" t="s">
        <v>56</v>
      </c>
      <c r="M46" s="63" t="str">
        <f t="shared" si="0"/>
        <v>✓ OK</v>
      </c>
      <c r="N46" s="64"/>
      <c r="O46" s="64"/>
      <c r="P46" s="64"/>
      <c r="Q46" s="64"/>
      <c r="R46" s="64"/>
      <c r="S46" s="64"/>
      <c r="T46" s="61"/>
      <c r="U46" s="65"/>
      <c r="V46" s="66" t="str">
        <f t="shared" si="1"/>
        <v/>
      </c>
      <c r="W46" s="67"/>
      <c r="X46" s="67"/>
      <c r="Y46" s="67"/>
      <c r="Z46" s="67"/>
      <c r="AA46" s="67"/>
      <c r="AB46" s="67"/>
      <c r="AC46" s="61"/>
      <c r="AD46" s="68"/>
      <c r="AE46" s="69" t="str">
        <f t="shared" si="2"/>
        <v/>
      </c>
      <c r="AF46" s="70"/>
      <c r="AG46" s="70"/>
      <c r="AH46" s="70"/>
      <c r="AI46" s="70"/>
      <c r="AJ46" s="70"/>
      <c r="AK46" s="70"/>
      <c r="AL46" s="61"/>
      <c r="AM46" s="71"/>
      <c r="AN46" s="72" t="str">
        <f t="shared" si="3"/>
        <v/>
      </c>
      <c r="AO46" s="73"/>
      <c r="AP46" s="73"/>
      <c r="AQ46" s="73"/>
      <c r="AR46" s="73"/>
      <c r="AS46" s="73"/>
      <c r="AT46" s="73"/>
      <c r="AU46" s="61"/>
      <c r="AV46" s="74"/>
      <c r="AW46" s="75" t="str">
        <f t="shared" si="4"/>
        <v/>
      </c>
    </row>
    <row r="47" spans="1:49" ht="14.25" customHeight="1" x14ac:dyDescent="0.3">
      <c r="A47" s="56">
        <v>43</v>
      </c>
      <c r="B47" s="57" t="s">
        <v>5669</v>
      </c>
      <c r="C47" s="58" t="s">
        <v>5670</v>
      </c>
      <c r="D47" s="56" t="s">
        <v>5586</v>
      </c>
      <c r="E47" s="59">
        <v>46126</v>
      </c>
      <c r="F47" s="60" t="s">
        <v>55</v>
      </c>
      <c r="G47" s="60" t="s">
        <v>58</v>
      </c>
      <c r="H47" s="60" t="s">
        <v>56</v>
      </c>
      <c r="I47" s="60" t="s">
        <v>70</v>
      </c>
      <c r="J47" s="60" t="s">
        <v>58</v>
      </c>
      <c r="K47" s="61"/>
      <c r="L47" s="62" t="s">
        <v>56</v>
      </c>
      <c r="M47" s="63" t="str">
        <f t="shared" si="0"/>
        <v>✓ OK</v>
      </c>
      <c r="N47" s="64"/>
      <c r="O47" s="64"/>
      <c r="P47" s="64"/>
      <c r="Q47" s="64"/>
      <c r="R47" s="64"/>
      <c r="S47" s="64"/>
      <c r="T47" s="61"/>
      <c r="U47" s="65"/>
      <c r="V47" s="66" t="str">
        <f t="shared" si="1"/>
        <v/>
      </c>
      <c r="W47" s="67"/>
      <c r="X47" s="67"/>
      <c r="Y47" s="67"/>
      <c r="Z47" s="67"/>
      <c r="AA47" s="67"/>
      <c r="AB47" s="67"/>
      <c r="AC47" s="61"/>
      <c r="AD47" s="68"/>
      <c r="AE47" s="69" t="str">
        <f t="shared" si="2"/>
        <v/>
      </c>
      <c r="AF47" s="70"/>
      <c r="AG47" s="70"/>
      <c r="AH47" s="70"/>
      <c r="AI47" s="70"/>
      <c r="AJ47" s="70"/>
      <c r="AK47" s="70"/>
      <c r="AL47" s="61"/>
      <c r="AM47" s="71"/>
      <c r="AN47" s="72" t="str">
        <f t="shared" si="3"/>
        <v/>
      </c>
      <c r="AO47" s="73"/>
      <c r="AP47" s="73"/>
      <c r="AQ47" s="73"/>
      <c r="AR47" s="73"/>
      <c r="AS47" s="73"/>
      <c r="AT47" s="73"/>
      <c r="AU47" s="61"/>
      <c r="AV47" s="74"/>
      <c r="AW47" s="75" t="str">
        <f t="shared" si="4"/>
        <v/>
      </c>
    </row>
    <row r="48" spans="1:49" ht="14.25" customHeight="1" x14ac:dyDescent="0.3">
      <c r="A48" s="76">
        <v>44</v>
      </c>
      <c r="B48" s="77" t="s">
        <v>5671</v>
      </c>
      <c r="C48" s="78" t="s">
        <v>5672</v>
      </c>
      <c r="D48" s="76" t="s">
        <v>5586</v>
      </c>
      <c r="E48" s="59">
        <v>46126</v>
      </c>
      <c r="F48" s="60" t="s">
        <v>55</v>
      </c>
      <c r="G48" s="60" t="s">
        <v>58</v>
      </c>
      <c r="H48" s="60" t="s">
        <v>56</v>
      </c>
      <c r="I48" s="60" t="s">
        <v>70</v>
      </c>
      <c r="J48" s="60" t="s">
        <v>58</v>
      </c>
      <c r="K48" s="61"/>
      <c r="L48" s="62" t="s">
        <v>56</v>
      </c>
      <c r="M48" s="63" t="str">
        <f t="shared" si="0"/>
        <v>✓ OK</v>
      </c>
      <c r="N48" s="64"/>
      <c r="O48" s="64"/>
      <c r="P48" s="64"/>
      <c r="Q48" s="64"/>
      <c r="R48" s="64"/>
      <c r="S48" s="64"/>
      <c r="T48" s="61"/>
      <c r="U48" s="65"/>
      <c r="V48" s="66" t="str">
        <f t="shared" si="1"/>
        <v/>
      </c>
      <c r="W48" s="67"/>
      <c r="X48" s="67"/>
      <c r="Y48" s="67"/>
      <c r="Z48" s="67"/>
      <c r="AA48" s="67"/>
      <c r="AB48" s="67"/>
      <c r="AC48" s="61"/>
      <c r="AD48" s="68"/>
      <c r="AE48" s="69" t="str">
        <f t="shared" si="2"/>
        <v/>
      </c>
      <c r="AF48" s="70"/>
      <c r="AG48" s="70"/>
      <c r="AH48" s="70"/>
      <c r="AI48" s="70"/>
      <c r="AJ48" s="70"/>
      <c r="AK48" s="70"/>
      <c r="AL48" s="61"/>
      <c r="AM48" s="71"/>
      <c r="AN48" s="72" t="str">
        <f t="shared" si="3"/>
        <v/>
      </c>
      <c r="AO48" s="73"/>
      <c r="AP48" s="73"/>
      <c r="AQ48" s="73"/>
      <c r="AR48" s="73"/>
      <c r="AS48" s="73"/>
      <c r="AT48" s="73"/>
      <c r="AU48" s="61"/>
      <c r="AV48" s="74"/>
      <c r="AW48" s="75" t="str">
        <f t="shared" si="4"/>
        <v/>
      </c>
    </row>
    <row r="49" spans="1:49" ht="14.25" customHeight="1" x14ac:dyDescent="0.3">
      <c r="A49" s="56">
        <v>45</v>
      </c>
      <c r="B49" s="57" t="s">
        <v>5673</v>
      </c>
      <c r="C49" s="58" t="s">
        <v>5674</v>
      </c>
      <c r="D49" s="56" t="s">
        <v>5586</v>
      </c>
      <c r="E49" s="59">
        <v>46126</v>
      </c>
      <c r="F49" s="60" t="s">
        <v>55</v>
      </c>
      <c r="G49" s="60" t="s">
        <v>58</v>
      </c>
      <c r="H49" s="60" t="s">
        <v>56</v>
      </c>
      <c r="I49" s="60" t="s">
        <v>70</v>
      </c>
      <c r="J49" s="60" t="s">
        <v>58</v>
      </c>
      <c r="K49" s="61"/>
      <c r="L49" s="62" t="s">
        <v>56</v>
      </c>
      <c r="M49" s="63" t="str">
        <f t="shared" si="0"/>
        <v>✓ OK</v>
      </c>
      <c r="N49" s="64"/>
      <c r="O49" s="64"/>
      <c r="P49" s="64"/>
      <c r="Q49" s="64"/>
      <c r="R49" s="64"/>
      <c r="S49" s="64"/>
      <c r="T49" s="61"/>
      <c r="U49" s="65"/>
      <c r="V49" s="66" t="str">
        <f t="shared" si="1"/>
        <v/>
      </c>
      <c r="W49" s="67"/>
      <c r="X49" s="67"/>
      <c r="Y49" s="67"/>
      <c r="Z49" s="67"/>
      <c r="AA49" s="67"/>
      <c r="AB49" s="67"/>
      <c r="AC49" s="61"/>
      <c r="AD49" s="68"/>
      <c r="AE49" s="69" t="str">
        <f t="shared" si="2"/>
        <v/>
      </c>
      <c r="AF49" s="70"/>
      <c r="AG49" s="70"/>
      <c r="AH49" s="70"/>
      <c r="AI49" s="70"/>
      <c r="AJ49" s="70"/>
      <c r="AK49" s="70"/>
      <c r="AL49" s="61"/>
      <c r="AM49" s="71"/>
      <c r="AN49" s="72" t="str">
        <f t="shared" si="3"/>
        <v/>
      </c>
      <c r="AO49" s="73"/>
      <c r="AP49" s="73"/>
      <c r="AQ49" s="73"/>
      <c r="AR49" s="73"/>
      <c r="AS49" s="73"/>
      <c r="AT49" s="73"/>
      <c r="AU49" s="61"/>
      <c r="AV49" s="74"/>
      <c r="AW49" s="75" t="str">
        <f t="shared" si="4"/>
        <v/>
      </c>
    </row>
    <row r="50" spans="1:49" ht="14.25" customHeight="1" x14ac:dyDescent="0.3">
      <c r="A50" s="76">
        <v>46</v>
      </c>
      <c r="B50" s="77" t="s">
        <v>5675</v>
      </c>
      <c r="C50" s="78" t="s">
        <v>5676</v>
      </c>
      <c r="D50" s="76" t="s">
        <v>5586</v>
      </c>
      <c r="E50" s="59">
        <v>46126</v>
      </c>
      <c r="F50" s="60" t="s">
        <v>55</v>
      </c>
      <c r="G50" s="60" t="s">
        <v>58</v>
      </c>
      <c r="H50" s="60" t="s">
        <v>56</v>
      </c>
      <c r="I50" s="60" t="s">
        <v>70</v>
      </c>
      <c r="J50" s="60" t="s">
        <v>58</v>
      </c>
      <c r="K50" s="61"/>
      <c r="L50" s="62" t="s">
        <v>56</v>
      </c>
      <c r="M50" s="63" t="str">
        <f t="shared" si="0"/>
        <v>✓ OK</v>
      </c>
      <c r="N50" s="64"/>
      <c r="O50" s="64"/>
      <c r="P50" s="64"/>
      <c r="Q50" s="64"/>
      <c r="R50" s="64"/>
      <c r="S50" s="64"/>
      <c r="T50" s="61"/>
      <c r="U50" s="65"/>
      <c r="V50" s="66" t="str">
        <f t="shared" si="1"/>
        <v/>
      </c>
      <c r="W50" s="67"/>
      <c r="X50" s="67"/>
      <c r="Y50" s="67"/>
      <c r="Z50" s="67"/>
      <c r="AA50" s="67"/>
      <c r="AB50" s="67"/>
      <c r="AC50" s="61"/>
      <c r="AD50" s="68"/>
      <c r="AE50" s="69" t="str">
        <f t="shared" si="2"/>
        <v/>
      </c>
      <c r="AF50" s="70"/>
      <c r="AG50" s="70"/>
      <c r="AH50" s="70"/>
      <c r="AI50" s="70"/>
      <c r="AJ50" s="70"/>
      <c r="AK50" s="70"/>
      <c r="AL50" s="61"/>
      <c r="AM50" s="71"/>
      <c r="AN50" s="72" t="str">
        <f t="shared" si="3"/>
        <v/>
      </c>
      <c r="AO50" s="73"/>
      <c r="AP50" s="73"/>
      <c r="AQ50" s="73"/>
      <c r="AR50" s="73"/>
      <c r="AS50" s="73"/>
      <c r="AT50" s="73"/>
      <c r="AU50" s="61"/>
      <c r="AV50" s="74"/>
      <c r="AW50" s="75" t="str">
        <f t="shared" si="4"/>
        <v/>
      </c>
    </row>
    <row r="51" spans="1:49" ht="14.25" customHeight="1" x14ac:dyDescent="0.3">
      <c r="A51" s="56">
        <v>47</v>
      </c>
      <c r="B51" s="57" t="s">
        <v>5677</v>
      </c>
      <c r="C51" s="58" t="s">
        <v>5678</v>
      </c>
      <c r="D51" s="56" t="s">
        <v>5586</v>
      </c>
      <c r="E51" s="59">
        <v>46126</v>
      </c>
      <c r="F51" s="60" t="s">
        <v>55</v>
      </c>
      <c r="G51" s="60" t="s">
        <v>58</v>
      </c>
      <c r="H51" s="60" t="s">
        <v>56</v>
      </c>
      <c r="I51" s="60" t="s">
        <v>70</v>
      </c>
      <c r="J51" s="60" t="s">
        <v>58</v>
      </c>
      <c r="K51" s="61"/>
      <c r="L51" s="62" t="s">
        <v>56</v>
      </c>
      <c r="M51" s="63" t="str">
        <f t="shared" si="0"/>
        <v>✓ OK</v>
      </c>
      <c r="N51" s="64"/>
      <c r="O51" s="64"/>
      <c r="P51" s="64"/>
      <c r="Q51" s="64"/>
      <c r="R51" s="64"/>
      <c r="S51" s="64"/>
      <c r="T51" s="61"/>
      <c r="U51" s="65"/>
      <c r="V51" s="66" t="str">
        <f t="shared" si="1"/>
        <v/>
      </c>
      <c r="W51" s="67"/>
      <c r="X51" s="67"/>
      <c r="Y51" s="67"/>
      <c r="Z51" s="67"/>
      <c r="AA51" s="67"/>
      <c r="AB51" s="67"/>
      <c r="AC51" s="61"/>
      <c r="AD51" s="68"/>
      <c r="AE51" s="69" t="str">
        <f t="shared" si="2"/>
        <v/>
      </c>
      <c r="AF51" s="70"/>
      <c r="AG51" s="70"/>
      <c r="AH51" s="70"/>
      <c r="AI51" s="70"/>
      <c r="AJ51" s="70"/>
      <c r="AK51" s="70"/>
      <c r="AL51" s="61"/>
      <c r="AM51" s="71"/>
      <c r="AN51" s="72" t="str">
        <f t="shared" si="3"/>
        <v/>
      </c>
      <c r="AO51" s="73"/>
      <c r="AP51" s="73"/>
      <c r="AQ51" s="73"/>
      <c r="AR51" s="73"/>
      <c r="AS51" s="73"/>
      <c r="AT51" s="73"/>
      <c r="AU51" s="61"/>
      <c r="AV51" s="74"/>
      <c r="AW51" s="75" t="str">
        <f t="shared" si="4"/>
        <v/>
      </c>
    </row>
    <row r="52" spans="1:49" ht="14.25" customHeight="1" x14ac:dyDescent="0.3">
      <c r="A52" s="76">
        <v>48</v>
      </c>
      <c r="B52" s="77" t="s">
        <v>5679</v>
      </c>
      <c r="C52" s="78" t="s">
        <v>5680</v>
      </c>
      <c r="D52" s="76" t="s">
        <v>5586</v>
      </c>
      <c r="E52" s="59">
        <v>46126</v>
      </c>
      <c r="F52" s="60" t="s">
        <v>55</v>
      </c>
      <c r="G52" s="60" t="s">
        <v>58</v>
      </c>
      <c r="H52" s="60" t="s">
        <v>56</v>
      </c>
      <c r="I52" s="60" t="s">
        <v>70</v>
      </c>
      <c r="J52" s="60" t="s">
        <v>58</v>
      </c>
      <c r="K52" s="61"/>
      <c r="L52" s="62" t="s">
        <v>56</v>
      </c>
      <c r="M52" s="63" t="str">
        <f t="shared" si="0"/>
        <v>✓ OK</v>
      </c>
      <c r="N52" s="64"/>
      <c r="O52" s="64"/>
      <c r="P52" s="64"/>
      <c r="Q52" s="64"/>
      <c r="R52" s="64"/>
      <c r="S52" s="64"/>
      <c r="T52" s="61"/>
      <c r="U52" s="65"/>
      <c r="V52" s="66" t="str">
        <f t="shared" si="1"/>
        <v/>
      </c>
      <c r="W52" s="67"/>
      <c r="X52" s="67"/>
      <c r="Y52" s="67"/>
      <c r="Z52" s="67"/>
      <c r="AA52" s="67"/>
      <c r="AB52" s="67"/>
      <c r="AC52" s="61"/>
      <c r="AD52" s="68"/>
      <c r="AE52" s="69" t="str">
        <f t="shared" si="2"/>
        <v/>
      </c>
      <c r="AF52" s="70"/>
      <c r="AG52" s="70"/>
      <c r="AH52" s="70"/>
      <c r="AI52" s="70"/>
      <c r="AJ52" s="70"/>
      <c r="AK52" s="70"/>
      <c r="AL52" s="61"/>
      <c r="AM52" s="71"/>
      <c r="AN52" s="72" t="str">
        <f t="shared" si="3"/>
        <v/>
      </c>
      <c r="AO52" s="73"/>
      <c r="AP52" s="73"/>
      <c r="AQ52" s="73"/>
      <c r="AR52" s="73"/>
      <c r="AS52" s="73"/>
      <c r="AT52" s="73"/>
      <c r="AU52" s="61"/>
      <c r="AV52" s="74"/>
      <c r="AW52" s="75" t="str">
        <f t="shared" si="4"/>
        <v/>
      </c>
    </row>
    <row r="53" spans="1:49" ht="14.25" customHeight="1" x14ac:dyDescent="0.3">
      <c r="A53" s="56">
        <v>49</v>
      </c>
      <c r="B53" s="57" t="s">
        <v>5681</v>
      </c>
      <c r="C53" s="58" t="s">
        <v>5682</v>
      </c>
      <c r="D53" s="56" t="s">
        <v>5586</v>
      </c>
      <c r="E53" s="59">
        <v>46126</v>
      </c>
      <c r="F53" s="60" t="s">
        <v>55</v>
      </c>
      <c r="G53" s="60" t="s">
        <v>58</v>
      </c>
      <c r="H53" s="60" t="s">
        <v>56</v>
      </c>
      <c r="I53" s="60" t="s">
        <v>70</v>
      </c>
      <c r="J53" s="60" t="s">
        <v>58</v>
      </c>
      <c r="K53" s="61"/>
      <c r="L53" s="62" t="s">
        <v>56</v>
      </c>
      <c r="M53" s="63" t="str">
        <f t="shared" si="0"/>
        <v>✓ OK</v>
      </c>
      <c r="N53" s="64"/>
      <c r="O53" s="64"/>
      <c r="P53" s="64"/>
      <c r="Q53" s="64"/>
      <c r="R53" s="64"/>
      <c r="S53" s="64"/>
      <c r="T53" s="61"/>
      <c r="U53" s="65"/>
      <c r="V53" s="66" t="str">
        <f t="shared" si="1"/>
        <v/>
      </c>
      <c r="W53" s="67"/>
      <c r="X53" s="67"/>
      <c r="Y53" s="67"/>
      <c r="Z53" s="67"/>
      <c r="AA53" s="67"/>
      <c r="AB53" s="67"/>
      <c r="AC53" s="61"/>
      <c r="AD53" s="68"/>
      <c r="AE53" s="69" t="str">
        <f t="shared" si="2"/>
        <v/>
      </c>
      <c r="AF53" s="70"/>
      <c r="AG53" s="70"/>
      <c r="AH53" s="70"/>
      <c r="AI53" s="70"/>
      <c r="AJ53" s="70"/>
      <c r="AK53" s="70"/>
      <c r="AL53" s="61"/>
      <c r="AM53" s="71"/>
      <c r="AN53" s="72" t="str">
        <f t="shared" si="3"/>
        <v/>
      </c>
      <c r="AO53" s="73"/>
      <c r="AP53" s="73"/>
      <c r="AQ53" s="73"/>
      <c r="AR53" s="73"/>
      <c r="AS53" s="73"/>
      <c r="AT53" s="73"/>
      <c r="AU53" s="61"/>
      <c r="AV53" s="74"/>
      <c r="AW53" s="75" t="str">
        <f t="shared" si="4"/>
        <v/>
      </c>
    </row>
    <row r="54" spans="1:49" ht="14.25" customHeight="1" x14ac:dyDescent="0.3">
      <c r="A54" s="76">
        <v>50</v>
      </c>
      <c r="B54" s="77" t="s">
        <v>5683</v>
      </c>
      <c r="C54" s="78" t="s">
        <v>5684</v>
      </c>
      <c r="D54" s="76" t="s">
        <v>5586</v>
      </c>
      <c r="E54" s="59">
        <v>46126</v>
      </c>
      <c r="F54" s="60" t="s">
        <v>55</v>
      </c>
      <c r="G54" s="60" t="s">
        <v>58</v>
      </c>
      <c r="H54" s="60" t="s">
        <v>56</v>
      </c>
      <c r="I54" s="60" t="s">
        <v>70</v>
      </c>
      <c r="J54" s="60" t="s">
        <v>58</v>
      </c>
      <c r="K54" s="61"/>
      <c r="L54" s="62" t="s">
        <v>56</v>
      </c>
      <c r="M54" s="63" t="str">
        <f t="shared" si="0"/>
        <v>✓ OK</v>
      </c>
      <c r="N54" s="64"/>
      <c r="O54" s="64"/>
      <c r="P54" s="64"/>
      <c r="Q54" s="64"/>
      <c r="R54" s="64"/>
      <c r="S54" s="64"/>
      <c r="T54" s="61"/>
      <c r="U54" s="65"/>
      <c r="V54" s="66" t="str">
        <f t="shared" si="1"/>
        <v/>
      </c>
      <c r="W54" s="67"/>
      <c r="X54" s="67"/>
      <c r="Y54" s="67"/>
      <c r="Z54" s="67"/>
      <c r="AA54" s="67"/>
      <c r="AB54" s="67"/>
      <c r="AC54" s="61"/>
      <c r="AD54" s="68"/>
      <c r="AE54" s="69" t="str">
        <f t="shared" si="2"/>
        <v/>
      </c>
      <c r="AF54" s="70"/>
      <c r="AG54" s="70"/>
      <c r="AH54" s="70"/>
      <c r="AI54" s="70"/>
      <c r="AJ54" s="70"/>
      <c r="AK54" s="70"/>
      <c r="AL54" s="61"/>
      <c r="AM54" s="71"/>
      <c r="AN54" s="72" t="str">
        <f t="shared" si="3"/>
        <v/>
      </c>
      <c r="AO54" s="73"/>
      <c r="AP54" s="73"/>
      <c r="AQ54" s="73"/>
      <c r="AR54" s="73"/>
      <c r="AS54" s="73"/>
      <c r="AT54" s="73"/>
      <c r="AU54" s="61"/>
      <c r="AV54" s="74"/>
      <c r="AW54" s="75" t="str">
        <f t="shared" si="4"/>
        <v/>
      </c>
    </row>
    <row r="55" spans="1:49" ht="14.25" customHeight="1" x14ac:dyDescent="0.3">
      <c r="A55" s="56">
        <v>51</v>
      </c>
      <c r="B55" s="57" t="s">
        <v>5685</v>
      </c>
      <c r="C55" s="58" t="s">
        <v>5686</v>
      </c>
      <c r="D55" s="56" t="s">
        <v>5586</v>
      </c>
      <c r="E55" s="59">
        <v>46126</v>
      </c>
      <c r="F55" s="60" t="s">
        <v>55</v>
      </c>
      <c r="G55" s="60" t="s">
        <v>58</v>
      </c>
      <c r="H55" s="60" t="s">
        <v>56</v>
      </c>
      <c r="I55" s="60" t="s">
        <v>70</v>
      </c>
      <c r="J55" s="60" t="s">
        <v>58</v>
      </c>
      <c r="K55" s="61"/>
      <c r="L55" s="62" t="s">
        <v>56</v>
      </c>
      <c r="M55" s="63" t="str">
        <f t="shared" si="0"/>
        <v>✓ OK</v>
      </c>
      <c r="N55" s="64"/>
      <c r="O55" s="64"/>
      <c r="P55" s="64"/>
      <c r="Q55" s="64"/>
      <c r="R55" s="64"/>
      <c r="S55" s="64"/>
      <c r="T55" s="61"/>
      <c r="U55" s="65"/>
      <c r="V55" s="66" t="str">
        <f t="shared" si="1"/>
        <v/>
      </c>
      <c r="W55" s="67"/>
      <c r="X55" s="67"/>
      <c r="Y55" s="67"/>
      <c r="Z55" s="67"/>
      <c r="AA55" s="67"/>
      <c r="AB55" s="67"/>
      <c r="AC55" s="61"/>
      <c r="AD55" s="68"/>
      <c r="AE55" s="69" t="str">
        <f t="shared" si="2"/>
        <v/>
      </c>
      <c r="AF55" s="70"/>
      <c r="AG55" s="70"/>
      <c r="AH55" s="70"/>
      <c r="AI55" s="70"/>
      <c r="AJ55" s="70"/>
      <c r="AK55" s="70"/>
      <c r="AL55" s="61"/>
      <c r="AM55" s="71"/>
      <c r="AN55" s="72" t="str">
        <f t="shared" si="3"/>
        <v/>
      </c>
      <c r="AO55" s="73"/>
      <c r="AP55" s="73"/>
      <c r="AQ55" s="73"/>
      <c r="AR55" s="73"/>
      <c r="AS55" s="73"/>
      <c r="AT55" s="73"/>
      <c r="AU55" s="61"/>
      <c r="AV55" s="74"/>
      <c r="AW55" s="75" t="str">
        <f t="shared" si="4"/>
        <v/>
      </c>
    </row>
    <row r="56" spans="1:49" ht="14.25" customHeight="1" x14ac:dyDescent="0.3">
      <c r="A56" s="76">
        <v>52</v>
      </c>
      <c r="B56" s="77" t="s">
        <v>5687</v>
      </c>
      <c r="C56" s="78" t="s">
        <v>5688</v>
      </c>
      <c r="D56" s="76" t="s">
        <v>5586</v>
      </c>
      <c r="E56" s="59">
        <v>46126</v>
      </c>
      <c r="F56" s="60" t="s">
        <v>55</v>
      </c>
      <c r="G56" s="60" t="s">
        <v>58</v>
      </c>
      <c r="H56" s="60" t="s">
        <v>56</v>
      </c>
      <c r="I56" s="60" t="s">
        <v>70</v>
      </c>
      <c r="J56" s="60" t="s">
        <v>58</v>
      </c>
      <c r="K56" s="61"/>
      <c r="L56" s="62" t="s">
        <v>56</v>
      </c>
      <c r="M56" s="63" t="str">
        <f t="shared" si="0"/>
        <v>✓ OK</v>
      </c>
      <c r="N56" s="64"/>
      <c r="O56" s="64"/>
      <c r="P56" s="64"/>
      <c r="Q56" s="64"/>
      <c r="R56" s="64"/>
      <c r="S56" s="64"/>
      <c r="T56" s="61"/>
      <c r="U56" s="65"/>
      <c r="V56" s="66" t="str">
        <f t="shared" si="1"/>
        <v/>
      </c>
      <c r="W56" s="67"/>
      <c r="X56" s="67"/>
      <c r="Y56" s="67"/>
      <c r="Z56" s="67"/>
      <c r="AA56" s="67"/>
      <c r="AB56" s="67"/>
      <c r="AC56" s="61"/>
      <c r="AD56" s="68"/>
      <c r="AE56" s="69" t="str">
        <f t="shared" si="2"/>
        <v/>
      </c>
      <c r="AF56" s="70"/>
      <c r="AG56" s="70"/>
      <c r="AH56" s="70"/>
      <c r="AI56" s="70"/>
      <c r="AJ56" s="70"/>
      <c r="AK56" s="70"/>
      <c r="AL56" s="61"/>
      <c r="AM56" s="71"/>
      <c r="AN56" s="72" t="str">
        <f t="shared" si="3"/>
        <v/>
      </c>
      <c r="AO56" s="73"/>
      <c r="AP56" s="73"/>
      <c r="AQ56" s="73"/>
      <c r="AR56" s="73"/>
      <c r="AS56" s="73"/>
      <c r="AT56" s="73"/>
      <c r="AU56" s="61"/>
      <c r="AV56" s="74"/>
      <c r="AW56" s="75" t="str">
        <f t="shared" si="4"/>
        <v/>
      </c>
    </row>
    <row r="57" spans="1:49" ht="14.25" customHeight="1" x14ac:dyDescent="0.3">
      <c r="A57" s="56">
        <v>53</v>
      </c>
      <c r="B57" s="57" t="s">
        <v>5689</v>
      </c>
      <c r="C57" s="58" t="s">
        <v>5690</v>
      </c>
      <c r="D57" s="56" t="s">
        <v>5586</v>
      </c>
      <c r="E57" s="59">
        <v>46126</v>
      </c>
      <c r="F57" s="60" t="s">
        <v>55</v>
      </c>
      <c r="G57" s="60" t="s">
        <v>58</v>
      </c>
      <c r="H57" s="60" t="s">
        <v>56</v>
      </c>
      <c r="I57" s="60" t="s">
        <v>70</v>
      </c>
      <c r="J57" s="60" t="s">
        <v>58</v>
      </c>
      <c r="K57" s="61"/>
      <c r="L57" s="62" t="s">
        <v>56</v>
      </c>
      <c r="M57" s="63" t="str">
        <f t="shared" si="0"/>
        <v>✓ OK</v>
      </c>
      <c r="N57" s="64"/>
      <c r="O57" s="64"/>
      <c r="P57" s="64"/>
      <c r="Q57" s="64"/>
      <c r="R57" s="64"/>
      <c r="S57" s="64"/>
      <c r="T57" s="61"/>
      <c r="U57" s="65"/>
      <c r="V57" s="66" t="str">
        <f t="shared" si="1"/>
        <v/>
      </c>
      <c r="W57" s="67"/>
      <c r="X57" s="67"/>
      <c r="Y57" s="67"/>
      <c r="Z57" s="67"/>
      <c r="AA57" s="67"/>
      <c r="AB57" s="67"/>
      <c r="AC57" s="61"/>
      <c r="AD57" s="68"/>
      <c r="AE57" s="69" t="str">
        <f t="shared" si="2"/>
        <v/>
      </c>
      <c r="AF57" s="70"/>
      <c r="AG57" s="70"/>
      <c r="AH57" s="70"/>
      <c r="AI57" s="70"/>
      <c r="AJ57" s="70"/>
      <c r="AK57" s="70"/>
      <c r="AL57" s="61"/>
      <c r="AM57" s="71"/>
      <c r="AN57" s="72" t="str">
        <f t="shared" si="3"/>
        <v/>
      </c>
      <c r="AO57" s="73"/>
      <c r="AP57" s="73"/>
      <c r="AQ57" s="73"/>
      <c r="AR57" s="73"/>
      <c r="AS57" s="73"/>
      <c r="AT57" s="73"/>
      <c r="AU57" s="61"/>
      <c r="AV57" s="74"/>
      <c r="AW57" s="75" t="str">
        <f t="shared" si="4"/>
        <v/>
      </c>
    </row>
    <row r="58" spans="1:49" ht="14.25" customHeight="1" x14ac:dyDescent="0.3">
      <c r="A58" s="76">
        <v>54</v>
      </c>
      <c r="B58" s="77" t="s">
        <v>5691</v>
      </c>
      <c r="C58" s="78" t="s">
        <v>5692</v>
      </c>
      <c r="D58" s="76" t="s">
        <v>5693</v>
      </c>
      <c r="E58" s="59">
        <v>46126</v>
      </c>
      <c r="F58" s="60" t="s">
        <v>55</v>
      </c>
      <c r="G58" s="60" t="s">
        <v>58</v>
      </c>
      <c r="H58" s="60" t="s">
        <v>56</v>
      </c>
      <c r="I58" s="60" t="s">
        <v>70</v>
      </c>
      <c r="J58" s="60" t="s">
        <v>58</v>
      </c>
      <c r="K58" s="61"/>
      <c r="L58" s="62" t="s">
        <v>56</v>
      </c>
      <c r="M58" s="63" t="str">
        <f t="shared" si="0"/>
        <v>✓ OK</v>
      </c>
      <c r="N58" s="64"/>
      <c r="O58" s="64"/>
      <c r="P58" s="64"/>
      <c r="Q58" s="64"/>
      <c r="R58" s="64"/>
      <c r="S58" s="64"/>
      <c r="T58" s="61"/>
      <c r="U58" s="65"/>
      <c r="V58" s="66" t="str">
        <f t="shared" si="1"/>
        <v/>
      </c>
      <c r="W58" s="67"/>
      <c r="X58" s="67"/>
      <c r="Y58" s="67"/>
      <c r="Z58" s="67"/>
      <c r="AA58" s="67"/>
      <c r="AB58" s="67"/>
      <c r="AC58" s="61"/>
      <c r="AD58" s="68"/>
      <c r="AE58" s="69" t="str">
        <f t="shared" si="2"/>
        <v/>
      </c>
      <c r="AF58" s="70"/>
      <c r="AG58" s="70"/>
      <c r="AH58" s="70"/>
      <c r="AI58" s="70"/>
      <c r="AJ58" s="70"/>
      <c r="AK58" s="70"/>
      <c r="AL58" s="61"/>
      <c r="AM58" s="71"/>
      <c r="AN58" s="72" t="str">
        <f t="shared" si="3"/>
        <v/>
      </c>
      <c r="AO58" s="73"/>
      <c r="AP58" s="73"/>
      <c r="AQ58" s="73"/>
      <c r="AR58" s="73"/>
      <c r="AS58" s="73"/>
      <c r="AT58" s="73"/>
      <c r="AU58" s="61"/>
      <c r="AV58" s="74"/>
      <c r="AW58" s="75" t="str">
        <f t="shared" si="4"/>
        <v/>
      </c>
    </row>
    <row r="59" spans="1:49" ht="14.25" customHeight="1" x14ac:dyDescent="0.3">
      <c r="A59" s="56">
        <v>55</v>
      </c>
      <c r="B59" s="57" t="s">
        <v>5694</v>
      </c>
      <c r="C59" s="58" t="s">
        <v>5695</v>
      </c>
      <c r="D59" s="56" t="s">
        <v>5693</v>
      </c>
      <c r="E59" s="59">
        <v>46126</v>
      </c>
      <c r="F59" s="60" t="s">
        <v>55</v>
      </c>
      <c r="G59" s="60" t="s">
        <v>58</v>
      </c>
      <c r="H59" s="60" t="s">
        <v>56</v>
      </c>
      <c r="I59" s="60" t="s">
        <v>70</v>
      </c>
      <c r="J59" s="60" t="s">
        <v>58</v>
      </c>
      <c r="K59" s="61"/>
      <c r="L59" s="62" t="s">
        <v>56</v>
      </c>
      <c r="M59" s="63" t="str">
        <f t="shared" si="0"/>
        <v>✓ OK</v>
      </c>
      <c r="N59" s="64"/>
      <c r="O59" s="64"/>
      <c r="P59" s="64"/>
      <c r="Q59" s="64"/>
      <c r="R59" s="64"/>
      <c r="S59" s="64"/>
      <c r="T59" s="61"/>
      <c r="U59" s="65"/>
      <c r="V59" s="66" t="str">
        <f t="shared" si="1"/>
        <v/>
      </c>
      <c r="W59" s="67"/>
      <c r="X59" s="67"/>
      <c r="Y59" s="67"/>
      <c r="Z59" s="67"/>
      <c r="AA59" s="67"/>
      <c r="AB59" s="67"/>
      <c r="AC59" s="61"/>
      <c r="AD59" s="68"/>
      <c r="AE59" s="69" t="str">
        <f t="shared" si="2"/>
        <v/>
      </c>
      <c r="AF59" s="70"/>
      <c r="AG59" s="70"/>
      <c r="AH59" s="70"/>
      <c r="AI59" s="70"/>
      <c r="AJ59" s="70"/>
      <c r="AK59" s="70"/>
      <c r="AL59" s="61"/>
      <c r="AM59" s="71"/>
      <c r="AN59" s="72" t="str">
        <f t="shared" si="3"/>
        <v/>
      </c>
      <c r="AO59" s="73"/>
      <c r="AP59" s="73"/>
      <c r="AQ59" s="73"/>
      <c r="AR59" s="73"/>
      <c r="AS59" s="73"/>
      <c r="AT59" s="73"/>
      <c r="AU59" s="61"/>
      <c r="AV59" s="74"/>
      <c r="AW59" s="75" t="str">
        <f t="shared" si="4"/>
        <v/>
      </c>
    </row>
    <row r="60" spans="1:49" ht="14.25" customHeight="1" x14ac:dyDescent="0.3">
      <c r="A60" s="76">
        <v>56</v>
      </c>
      <c r="B60" s="77" t="s">
        <v>5696</v>
      </c>
      <c r="C60" s="78" t="s">
        <v>5697</v>
      </c>
      <c r="D60" s="76" t="s">
        <v>5693</v>
      </c>
      <c r="E60" s="59">
        <v>46126</v>
      </c>
      <c r="F60" s="60" t="s">
        <v>55</v>
      </c>
      <c r="G60" s="60" t="s">
        <v>58</v>
      </c>
      <c r="H60" s="60" t="s">
        <v>56</v>
      </c>
      <c r="I60" s="60" t="s">
        <v>70</v>
      </c>
      <c r="J60" s="60" t="s">
        <v>58</v>
      </c>
      <c r="K60" s="61"/>
      <c r="L60" s="62" t="s">
        <v>56</v>
      </c>
      <c r="M60" s="63" t="str">
        <f t="shared" si="0"/>
        <v>✓ OK</v>
      </c>
      <c r="N60" s="64"/>
      <c r="O60" s="64"/>
      <c r="P60" s="64"/>
      <c r="Q60" s="64"/>
      <c r="R60" s="64"/>
      <c r="S60" s="64"/>
      <c r="T60" s="61"/>
      <c r="U60" s="65"/>
      <c r="V60" s="66" t="str">
        <f t="shared" si="1"/>
        <v/>
      </c>
      <c r="W60" s="67"/>
      <c r="X60" s="67"/>
      <c r="Y60" s="67"/>
      <c r="Z60" s="67"/>
      <c r="AA60" s="67"/>
      <c r="AB60" s="67"/>
      <c r="AC60" s="61"/>
      <c r="AD60" s="68"/>
      <c r="AE60" s="69" t="str">
        <f t="shared" si="2"/>
        <v/>
      </c>
      <c r="AF60" s="70"/>
      <c r="AG60" s="70"/>
      <c r="AH60" s="70"/>
      <c r="AI60" s="70"/>
      <c r="AJ60" s="70"/>
      <c r="AK60" s="70"/>
      <c r="AL60" s="61"/>
      <c r="AM60" s="71"/>
      <c r="AN60" s="72" t="str">
        <f t="shared" si="3"/>
        <v/>
      </c>
      <c r="AO60" s="73"/>
      <c r="AP60" s="73"/>
      <c r="AQ60" s="73"/>
      <c r="AR60" s="73"/>
      <c r="AS60" s="73"/>
      <c r="AT60" s="73"/>
      <c r="AU60" s="61"/>
      <c r="AV60" s="74"/>
      <c r="AW60" s="75" t="str">
        <f t="shared" si="4"/>
        <v/>
      </c>
    </row>
    <row r="61" spans="1:49" ht="14.25" customHeight="1" x14ac:dyDescent="0.3">
      <c r="A61" s="56">
        <v>57</v>
      </c>
      <c r="B61" s="57" t="s">
        <v>5698</v>
      </c>
      <c r="C61" s="58" t="s">
        <v>5699</v>
      </c>
      <c r="D61" s="56" t="s">
        <v>5693</v>
      </c>
      <c r="E61" s="59">
        <v>46126</v>
      </c>
      <c r="F61" s="60" t="s">
        <v>55</v>
      </c>
      <c r="G61" s="60" t="s">
        <v>58</v>
      </c>
      <c r="H61" s="60" t="s">
        <v>56</v>
      </c>
      <c r="I61" s="60" t="s">
        <v>70</v>
      </c>
      <c r="J61" s="60" t="s">
        <v>58</v>
      </c>
      <c r="K61" s="61"/>
      <c r="L61" s="62" t="s">
        <v>56</v>
      </c>
      <c r="M61" s="63" t="str">
        <f t="shared" si="0"/>
        <v>✓ OK</v>
      </c>
      <c r="N61" s="64"/>
      <c r="O61" s="64"/>
      <c r="P61" s="64"/>
      <c r="Q61" s="64"/>
      <c r="R61" s="64"/>
      <c r="S61" s="64"/>
      <c r="T61" s="61"/>
      <c r="U61" s="65"/>
      <c r="V61" s="66" t="str">
        <f t="shared" si="1"/>
        <v/>
      </c>
      <c r="W61" s="67"/>
      <c r="X61" s="67"/>
      <c r="Y61" s="67"/>
      <c r="Z61" s="67"/>
      <c r="AA61" s="67"/>
      <c r="AB61" s="67"/>
      <c r="AC61" s="61"/>
      <c r="AD61" s="68"/>
      <c r="AE61" s="69" t="str">
        <f t="shared" si="2"/>
        <v/>
      </c>
      <c r="AF61" s="70"/>
      <c r="AG61" s="70"/>
      <c r="AH61" s="70"/>
      <c r="AI61" s="70"/>
      <c r="AJ61" s="70"/>
      <c r="AK61" s="70"/>
      <c r="AL61" s="61"/>
      <c r="AM61" s="71"/>
      <c r="AN61" s="72" t="str">
        <f t="shared" si="3"/>
        <v/>
      </c>
      <c r="AO61" s="73"/>
      <c r="AP61" s="73"/>
      <c r="AQ61" s="73"/>
      <c r="AR61" s="73"/>
      <c r="AS61" s="73"/>
      <c r="AT61" s="73"/>
      <c r="AU61" s="61"/>
      <c r="AV61" s="74"/>
      <c r="AW61" s="75" t="str">
        <f t="shared" si="4"/>
        <v/>
      </c>
    </row>
    <row r="62" spans="1:49" ht="14.25" customHeight="1" x14ac:dyDescent="0.3">
      <c r="A62" s="76">
        <v>58</v>
      </c>
      <c r="B62" s="77" t="s">
        <v>5700</v>
      </c>
      <c r="C62" s="78" t="s">
        <v>5701</v>
      </c>
      <c r="D62" s="76" t="s">
        <v>5693</v>
      </c>
      <c r="E62" s="59">
        <v>46126</v>
      </c>
      <c r="F62" s="60" t="s">
        <v>55</v>
      </c>
      <c r="G62" s="60" t="s">
        <v>58</v>
      </c>
      <c r="H62" s="60" t="s">
        <v>56</v>
      </c>
      <c r="I62" s="60" t="s">
        <v>70</v>
      </c>
      <c r="J62" s="60" t="s">
        <v>58</v>
      </c>
      <c r="K62" s="61"/>
      <c r="L62" s="62" t="s">
        <v>56</v>
      </c>
      <c r="M62" s="63" t="str">
        <f t="shared" si="0"/>
        <v>✓ OK</v>
      </c>
      <c r="N62" s="64"/>
      <c r="O62" s="64"/>
      <c r="P62" s="64"/>
      <c r="Q62" s="64"/>
      <c r="R62" s="64"/>
      <c r="S62" s="64"/>
      <c r="T62" s="61"/>
      <c r="U62" s="65"/>
      <c r="V62" s="66" t="str">
        <f t="shared" si="1"/>
        <v/>
      </c>
      <c r="W62" s="67"/>
      <c r="X62" s="67"/>
      <c r="Y62" s="67"/>
      <c r="Z62" s="67"/>
      <c r="AA62" s="67"/>
      <c r="AB62" s="67"/>
      <c r="AC62" s="61"/>
      <c r="AD62" s="68"/>
      <c r="AE62" s="69" t="str">
        <f t="shared" si="2"/>
        <v/>
      </c>
      <c r="AF62" s="70"/>
      <c r="AG62" s="70"/>
      <c r="AH62" s="70"/>
      <c r="AI62" s="70"/>
      <c r="AJ62" s="70"/>
      <c r="AK62" s="70"/>
      <c r="AL62" s="61"/>
      <c r="AM62" s="71"/>
      <c r="AN62" s="72" t="str">
        <f t="shared" si="3"/>
        <v/>
      </c>
      <c r="AO62" s="73"/>
      <c r="AP62" s="73"/>
      <c r="AQ62" s="73"/>
      <c r="AR62" s="73"/>
      <c r="AS62" s="73"/>
      <c r="AT62" s="73"/>
      <c r="AU62" s="61"/>
      <c r="AV62" s="74"/>
      <c r="AW62" s="75" t="str">
        <f t="shared" si="4"/>
        <v/>
      </c>
    </row>
    <row r="63" spans="1:49" ht="14.25" customHeight="1" x14ac:dyDescent="0.3">
      <c r="A63" s="56">
        <v>59</v>
      </c>
      <c r="B63" s="57" t="s">
        <v>5702</v>
      </c>
      <c r="C63" s="58" t="s">
        <v>5703</v>
      </c>
      <c r="D63" s="56" t="s">
        <v>5693</v>
      </c>
      <c r="E63" s="59">
        <v>46126</v>
      </c>
      <c r="F63" s="60" t="s">
        <v>55</v>
      </c>
      <c r="G63" s="60" t="s">
        <v>58</v>
      </c>
      <c r="H63" s="60" t="s">
        <v>56</v>
      </c>
      <c r="I63" s="60" t="s">
        <v>70</v>
      </c>
      <c r="J63" s="60" t="s">
        <v>58</v>
      </c>
      <c r="K63" s="61"/>
      <c r="L63" s="62" t="s">
        <v>56</v>
      </c>
      <c r="M63" s="63" t="str">
        <f t="shared" si="0"/>
        <v>✓ OK</v>
      </c>
      <c r="N63" s="64"/>
      <c r="O63" s="64"/>
      <c r="P63" s="64"/>
      <c r="Q63" s="64"/>
      <c r="R63" s="64"/>
      <c r="S63" s="64"/>
      <c r="T63" s="61"/>
      <c r="U63" s="65"/>
      <c r="V63" s="66" t="str">
        <f t="shared" si="1"/>
        <v/>
      </c>
      <c r="W63" s="67"/>
      <c r="X63" s="67"/>
      <c r="Y63" s="67"/>
      <c r="Z63" s="67"/>
      <c r="AA63" s="67"/>
      <c r="AB63" s="67"/>
      <c r="AC63" s="61"/>
      <c r="AD63" s="68"/>
      <c r="AE63" s="69" t="str">
        <f t="shared" si="2"/>
        <v/>
      </c>
      <c r="AF63" s="70"/>
      <c r="AG63" s="70"/>
      <c r="AH63" s="70"/>
      <c r="AI63" s="70"/>
      <c r="AJ63" s="70"/>
      <c r="AK63" s="70"/>
      <c r="AL63" s="61"/>
      <c r="AM63" s="71"/>
      <c r="AN63" s="72" t="str">
        <f t="shared" si="3"/>
        <v/>
      </c>
      <c r="AO63" s="73"/>
      <c r="AP63" s="73"/>
      <c r="AQ63" s="73"/>
      <c r="AR63" s="73"/>
      <c r="AS63" s="73"/>
      <c r="AT63" s="73"/>
      <c r="AU63" s="61"/>
      <c r="AV63" s="74"/>
      <c r="AW63" s="75" t="str">
        <f t="shared" si="4"/>
        <v/>
      </c>
    </row>
    <row r="64" spans="1:49" ht="14.25" customHeight="1" x14ac:dyDescent="0.3">
      <c r="A64" s="76">
        <v>60</v>
      </c>
      <c r="B64" s="77" t="s">
        <v>5704</v>
      </c>
      <c r="C64" s="78" t="s">
        <v>5705</v>
      </c>
      <c r="D64" s="76" t="s">
        <v>5693</v>
      </c>
      <c r="E64" s="59">
        <v>46126</v>
      </c>
      <c r="F64" s="60" t="s">
        <v>55</v>
      </c>
      <c r="G64" s="60" t="s">
        <v>58</v>
      </c>
      <c r="H64" s="60" t="s">
        <v>56</v>
      </c>
      <c r="I64" s="60" t="s">
        <v>70</v>
      </c>
      <c r="J64" s="60" t="s">
        <v>58</v>
      </c>
      <c r="K64" s="61"/>
      <c r="L64" s="62" t="s">
        <v>56</v>
      </c>
      <c r="M64" s="63" t="str">
        <f t="shared" si="0"/>
        <v>✓ OK</v>
      </c>
      <c r="N64" s="64"/>
      <c r="O64" s="64"/>
      <c r="P64" s="64"/>
      <c r="Q64" s="64"/>
      <c r="R64" s="64"/>
      <c r="S64" s="64"/>
      <c r="T64" s="61"/>
      <c r="U64" s="65"/>
      <c r="V64" s="66" t="str">
        <f t="shared" si="1"/>
        <v/>
      </c>
      <c r="W64" s="67"/>
      <c r="X64" s="67"/>
      <c r="Y64" s="67"/>
      <c r="Z64" s="67"/>
      <c r="AA64" s="67"/>
      <c r="AB64" s="67"/>
      <c r="AC64" s="61"/>
      <c r="AD64" s="68"/>
      <c r="AE64" s="69" t="str">
        <f t="shared" si="2"/>
        <v/>
      </c>
      <c r="AF64" s="70"/>
      <c r="AG64" s="70"/>
      <c r="AH64" s="70"/>
      <c r="AI64" s="70"/>
      <c r="AJ64" s="70"/>
      <c r="AK64" s="70"/>
      <c r="AL64" s="61"/>
      <c r="AM64" s="71"/>
      <c r="AN64" s="72" t="str">
        <f t="shared" si="3"/>
        <v/>
      </c>
      <c r="AO64" s="73"/>
      <c r="AP64" s="73"/>
      <c r="AQ64" s="73"/>
      <c r="AR64" s="73"/>
      <c r="AS64" s="73"/>
      <c r="AT64" s="73"/>
      <c r="AU64" s="61"/>
      <c r="AV64" s="74"/>
      <c r="AW64" s="75" t="str">
        <f t="shared" si="4"/>
        <v/>
      </c>
    </row>
    <row r="65" spans="1:49" ht="14.25" customHeight="1" x14ac:dyDescent="0.3">
      <c r="A65" s="56">
        <v>61</v>
      </c>
      <c r="B65" s="57" t="s">
        <v>5706</v>
      </c>
      <c r="C65" s="58" t="s">
        <v>5707</v>
      </c>
      <c r="D65" s="56" t="s">
        <v>5693</v>
      </c>
      <c r="E65" s="59">
        <v>46126</v>
      </c>
      <c r="F65" s="60" t="s">
        <v>55</v>
      </c>
      <c r="G65" s="60" t="s">
        <v>58</v>
      </c>
      <c r="H65" s="60" t="s">
        <v>56</v>
      </c>
      <c r="I65" s="60" t="s">
        <v>70</v>
      </c>
      <c r="J65" s="60" t="s">
        <v>58</v>
      </c>
      <c r="K65" s="61"/>
      <c r="L65" s="62" t="s">
        <v>56</v>
      </c>
      <c r="M65" s="63" t="str">
        <f t="shared" si="0"/>
        <v>✓ OK</v>
      </c>
      <c r="N65" s="64"/>
      <c r="O65" s="64"/>
      <c r="P65" s="64"/>
      <c r="Q65" s="64"/>
      <c r="R65" s="64"/>
      <c r="S65" s="64"/>
      <c r="T65" s="61"/>
      <c r="U65" s="65"/>
      <c r="V65" s="66" t="str">
        <f t="shared" si="1"/>
        <v/>
      </c>
      <c r="W65" s="67"/>
      <c r="X65" s="67"/>
      <c r="Y65" s="67"/>
      <c r="Z65" s="67"/>
      <c r="AA65" s="67"/>
      <c r="AB65" s="67"/>
      <c r="AC65" s="61"/>
      <c r="AD65" s="68"/>
      <c r="AE65" s="69" t="str">
        <f t="shared" si="2"/>
        <v/>
      </c>
      <c r="AF65" s="70"/>
      <c r="AG65" s="70"/>
      <c r="AH65" s="70"/>
      <c r="AI65" s="70"/>
      <c r="AJ65" s="70"/>
      <c r="AK65" s="70"/>
      <c r="AL65" s="61"/>
      <c r="AM65" s="71"/>
      <c r="AN65" s="72" t="str">
        <f t="shared" si="3"/>
        <v/>
      </c>
      <c r="AO65" s="73"/>
      <c r="AP65" s="73"/>
      <c r="AQ65" s="73"/>
      <c r="AR65" s="73"/>
      <c r="AS65" s="73"/>
      <c r="AT65" s="73"/>
      <c r="AU65" s="61"/>
      <c r="AV65" s="74"/>
      <c r="AW65" s="75" t="str">
        <f t="shared" si="4"/>
        <v/>
      </c>
    </row>
    <row r="66" spans="1:49" ht="14.25" customHeight="1" x14ac:dyDescent="0.3">
      <c r="A66" s="76">
        <v>62</v>
      </c>
      <c r="B66" s="77" t="s">
        <v>5708</v>
      </c>
      <c r="C66" s="78" t="s">
        <v>5709</v>
      </c>
      <c r="D66" s="76" t="s">
        <v>5693</v>
      </c>
      <c r="E66" s="59">
        <v>46126</v>
      </c>
      <c r="F66" s="60" t="s">
        <v>55</v>
      </c>
      <c r="G66" s="60" t="s">
        <v>58</v>
      </c>
      <c r="H66" s="60" t="s">
        <v>56</v>
      </c>
      <c r="I66" s="60" t="s">
        <v>70</v>
      </c>
      <c r="J66" s="60" t="s">
        <v>58</v>
      </c>
      <c r="K66" s="61"/>
      <c r="L66" s="62" t="s">
        <v>56</v>
      </c>
      <c r="M66" s="63" t="str">
        <f t="shared" si="0"/>
        <v>✓ OK</v>
      </c>
      <c r="N66" s="64"/>
      <c r="O66" s="64"/>
      <c r="P66" s="64"/>
      <c r="Q66" s="64"/>
      <c r="R66" s="64"/>
      <c r="S66" s="64"/>
      <c r="T66" s="61"/>
      <c r="U66" s="65"/>
      <c r="V66" s="66" t="str">
        <f t="shared" si="1"/>
        <v/>
      </c>
      <c r="W66" s="67"/>
      <c r="X66" s="67"/>
      <c r="Y66" s="67"/>
      <c r="Z66" s="67"/>
      <c r="AA66" s="67"/>
      <c r="AB66" s="67"/>
      <c r="AC66" s="61"/>
      <c r="AD66" s="68"/>
      <c r="AE66" s="69" t="str">
        <f t="shared" si="2"/>
        <v/>
      </c>
      <c r="AF66" s="70"/>
      <c r="AG66" s="70"/>
      <c r="AH66" s="70"/>
      <c r="AI66" s="70"/>
      <c r="AJ66" s="70"/>
      <c r="AK66" s="70"/>
      <c r="AL66" s="61"/>
      <c r="AM66" s="71"/>
      <c r="AN66" s="72" t="str">
        <f t="shared" si="3"/>
        <v/>
      </c>
      <c r="AO66" s="73"/>
      <c r="AP66" s="73"/>
      <c r="AQ66" s="73"/>
      <c r="AR66" s="73"/>
      <c r="AS66" s="73"/>
      <c r="AT66" s="73"/>
      <c r="AU66" s="61"/>
      <c r="AV66" s="74"/>
      <c r="AW66" s="75" t="str">
        <f t="shared" si="4"/>
        <v/>
      </c>
    </row>
    <row r="67" spans="1:49" ht="14.25" customHeight="1" x14ac:dyDescent="0.3">
      <c r="A67" s="56">
        <v>63</v>
      </c>
      <c r="B67" s="57" t="s">
        <v>5710</v>
      </c>
      <c r="C67" s="58" t="s">
        <v>5711</v>
      </c>
      <c r="D67" s="56" t="s">
        <v>5693</v>
      </c>
      <c r="E67" s="59">
        <v>46126</v>
      </c>
      <c r="F67" s="60" t="s">
        <v>55</v>
      </c>
      <c r="G67" s="60" t="s">
        <v>58</v>
      </c>
      <c r="H67" s="60" t="s">
        <v>56</v>
      </c>
      <c r="I67" s="60" t="s">
        <v>70</v>
      </c>
      <c r="J67" s="60" t="s">
        <v>58</v>
      </c>
      <c r="K67" s="61"/>
      <c r="L67" s="62" t="s">
        <v>56</v>
      </c>
      <c r="M67" s="63" t="str">
        <f t="shared" si="0"/>
        <v>✓ OK</v>
      </c>
      <c r="N67" s="64"/>
      <c r="O67" s="64"/>
      <c r="P67" s="64"/>
      <c r="Q67" s="64"/>
      <c r="R67" s="64"/>
      <c r="S67" s="64"/>
      <c r="T67" s="61"/>
      <c r="U67" s="65"/>
      <c r="V67" s="66" t="str">
        <f t="shared" si="1"/>
        <v/>
      </c>
      <c r="W67" s="67"/>
      <c r="X67" s="67"/>
      <c r="Y67" s="67"/>
      <c r="Z67" s="67"/>
      <c r="AA67" s="67"/>
      <c r="AB67" s="67"/>
      <c r="AC67" s="61"/>
      <c r="AD67" s="68"/>
      <c r="AE67" s="69" t="str">
        <f t="shared" si="2"/>
        <v/>
      </c>
      <c r="AF67" s="70"/>
      <c r="AG67" s="70"/>
      <c r="AH67" s="70"/>
      <c r="AI67" s="70"/>
      <c r="AJ67" s="70"/>
      <c r="AK67" s="70"/>
      <c r="AL67" s="61"/>
      <c r="AM67" s="71"/>
      <c r="AN67" s="72" t="str">
        <f t="shared" si="3"/>
        <v/>
      </c>
      <c r="AO67" s="73"/>
      <c r="AP67" s="73"/>
      <c r="AQ67" s="73"/>
      <c r="AR67" s="73"/>
      <c r="AS67" s="73"/>
      <c r="AT67" s="73"/>
      <c r="AU67" s="61"/>
      <c r="AV67" s="74"/>
      <c r="AW67" s="75" t="str">
        <f t="shared" si="4"/>
        <v/>
      </c>
    </row>
    <row r="68" spans="1:49" ht="14.25" customHeight="1" x14ac:dyDescent="0.3">
      <c r="A68" s="76">
        <v>64</v>
      </c>
      <c r="B68" s="77" t="s">
        <v>5712</v>
      </c>
      <c r="C68" s="78" t="s">
        <v>5713</v>
      </c>
      <c r="D68" s="76" t="s">
        <v>5693</v>
      </c>
      <c r="E68" s="59">
        <v>46126</v>
      </c>
      <c r="F68" s="60" t="s">
        <v>55</v>
      </c>
      <c r="G68" s="60" t="s">
        <v>58</v>
      </c>
      <c r="H68" s="60" t="s">
        <v>56</v>
      </c>
      <c r="I68" s="60" t="s">
        <v>70</v>
      </c>
      <c r="J68" s="60" t="s">
        <v>58</v>
      </c>
      <c r="K68" s="61"/>
      <c r="L68" s="62" t="s">
        <v>56</v>
      </c>
      <c r="M68" s="63" t="str">
        <f t="shared" si="0"/>
        <v>✓ OK</v>
      </c>
      <c r="N68" s="64"/>
      <c r="O68" s="64"/>
      <c r="P68" s="64"/>
      <c r="Q68" s="64"/>
      <c r="R68" s="64"/>
      <c r="S68" s="64"/>
      <c r="T68" s="61"/>
      <c r="U68" s="65"/>
      <c r="V68" s="66" t="str">
        <f t="shared" si="1"/>
        <v/>
      </c>
      <c r="W68" s="67"/>
      <c r="X68" s="67"/>
      <c r="Y68" s="67"/>
      <c r="Z68" s="67"/>
      <c r="AA68" s="67"/>
      <c r="AB68" s="67"/>
      <c r="AC68" s="61"/>
      <c r="AD68" s="68"/>
      <c r="AE68" s="69" t="str">
        <f t="shared" si="2"/>
        <v/>
      </c>
      <c r="AF68" s="70"/>
      <c r="AG68" s="70"/>
      <c r="AH68" s="70"/>
      <c r="AI68" s="70"/>
      <c r="AJ68" s="70"/>
      <c r="AK68" s="70"/>
      <c r="AL68" s="61"/>
      <c r="AM68" s="71"/>
      <c r="AN68" s="72" t="str">
        <f t="shared" si="3"/>
        <v/>
      </c>
      <c r="AO68" s="73"/>
      <c r="AP68" s="73"/>
      <c r="AQ68" s="73"/>
      <c r="AR68" s="73"/>
      <c r="AS68" s="73"/>
      <c r="AT68" s="73"/>
      <c r="AU68" s="61"/>
      <c r="AV68" s="74"/>
      <c r="AW68" s="75" t="str">
        <f t="shared" si="4"/>
        <v/>
      </c>
    </row>
    <row r="69" spans="1:49" ht="14.25" customHeight="1" x14ac:dyDescent="0.3">
      <c r="A69" s="56">
        <v>65</v>
      </c>
      <c r="B69" s="57" t="s">
        <v>5714</v>
      </c>
      <c r="C69" s="58" t="s">
        <v>5715</v>
      </c>
      <c r="D69" s="56" t="s">
        <v>5693</v>
      </c>
      <c r="E69" s="59">
        <v>46126</v>
      </c>
      <c r="F69" s="60" t="s">
        <v>55</v>
      </c>
      <c r="G69" s="60" t="s">
        <v>58</v>
      </c>
      <c r="H69" s="60" t="s">
        <v>56</v>
      </c>
      <c r="I69" s="60" t="s">
        <v>70</v>
      </c>
      <c r="J69" s="60" t="s">
        <v>58</v>
      </c>
      <c r="K69" s="61"/>
      <c r="L69" s="62" t="s">
        <v>56</v>
      </c>
      <c r="M69" s="63" t="str">
        <f t="shared" ref="M69:M132" si="5">IF(E69="","",IF(H69="Yes","❌ Disc",IF(G69="No","⚠ Missing",IF(J69="Yes","✓ OK","⚠ Check"))))</f>
        <v>✓ OK</v>
      </c>
      <c r="N69" s="64"/>
      <c r="O69" s="64"/>
      <c r="P69" s="64"/>
      <c r="Q69" s="64"/>
      <c r="R69" s="64"/>
      <c r="S69" s="64"/>
      <c r="T69" s="61"/>
      <c r="U69" s="65"/>
      <c r="V69" s="66" t="str">
        <f t="shared" ref="V69:V132" si="6">IF(N69="","",IF(Q69="Yes","❌ Disc",IF(P69="No","⚠ Missing",IF(S69="Yes","✓ OK","⚠ Check"))))</f>
        <v/>
      </c>
      <c r="W69" s="67"/>
      <c r="X69" s="67"/>
      <c r="Y69" s="67"/>
      <c r="Z69" s="67"/>
      <c r="AA69" s="67"/>
      <c r="AB69" s="67"/>
      <c r="AC69" s="61"/>
      <c r="AD69" s="68"/>
      <c r="AE69" s="69" t="str">
        <f t="shared" ref="AE69:AE132" si="7">IF(W69="","",IF(Z69="Yes","❌ Disc",IF(Y69="No","⚠ Missing",IF(AB69="Yes","✓ OK","⚠ Check"))))</f>
        <v/>
      </c>
      <c r="AF69" s="70"/>
      <c r="AG69" s="70"/>
      <c r="AH69" s="70"/>
      <c r="AI69" s="70"/>
      <c r="AJ69" s="70"/>
      <c r="AK69" s="70"/>
      <c r="AL69" s="61"/>
      <c r="AM69" s="71"/>
      <c r="AN69" s="72" t="str">
        <f t="shared" ref="AN69:AN132" si="8">IF(AF69="","",IF(AI69="Yes","❌ Disc",IF(AH69="No","⚠ Missing",IF(AK69="Yes","✓ OK","⚠ Check"))))</f>
        <v/>
      </c>
      <c r="AO69" s="73"/>
      <c r="AP69" s="73"/>
      <c r="AQ69" s="73"/>
      <c r="AR69" s="73"/>
      <c r="AS69" s="73"/>
      <c r="AT69" s="73"/>
      <c r="AU69" s="61"/>
      <c r="AV69" s="74"/>
      <c r="AW69" s="75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76">
        <v>66</v>
      </c>
      <c r="B70" s="77" t="s">
        <v>5716</v>
      </c>
      <c r="C70" s="78" t="s">
        <v>5717</v>
      </c>
      <c r="D70" s="76" t="s">
        <v>5693</v>
      </c>
      <c r="E70" s="59">
        <v>46126</v>
      </c>
      <c r="F70" s="60" t="s">
        <v>55</v>
      </c>
      <c r="G70" s="60" t="s">
        <v>58</v>
      </c>
      <c r="H70" s="60" t="s">
        <v>56</v>
      </c>
      <c r="I70" s="60" t="s">
        <v>70</v>
      </c>
      <c r="J70" s="60" t="s">
        <v>58</v>
      </c>
      <c r="K70" s="61"/>
      <c r="L70" s="62" t="s">
        <v>56</v>
      </c>
      <c r="M70" s="63" t="str">
        <f t="shared" si="5"/>
        <v>✓ OK</v>
      </c>
      <c r="N70" s="64"/>
      <c r="O70" s="64"/>
      <c r="P70" s="64"/>
      <c r="Q70" s="64"/>
      <c r="R70" s="64"/>
      <c r="S70" s="64"/>
      <c r="T70" s="61"/>
      <c r="U70" s="65"/>
      <c r="V70" s="66" t="str">
        <f t="shared" si="6"/>
        <v/>
      </c>
      <c r="W70" s="67"/>
      <c r="X70" s="67"/>
      <c r="Y70" s="67"/>
      <c r="Z70" s="67"/>
      <c r="AA70" s="67"/>
      <c r="AB70" s="67"/>
      <c r="AC70" s="61"/>
      <c r="AD70" s="68"/>
      <c r="AE70" s="69" t="str">
        <f t="shared" si="7"/>
        <v/>
      </c>
      <c r="AF70" s="70"/>
      <c r="AG70" s="70"/>
      <c r="AH70" s="70"/>
      <c r="AI70" s="70"/>
      <c r="AJ70" s="70"/>
      <c r="AK70" s="70"/>
      <c r="AL70" s="61"/>
      <c r="AM70" s="71"/>
      <c r="AN70" s="72" t="str">
        <f t="shared" si="8"/>
        <v/>
      </c>
      <c r="AO70" s="73"/>
      <c r="AP70" s="73"/>
      <c r="AQ70" s="73"/>
      <c r="AR70" s="73"/>
      <c r="AS70" s="73"/>
      <c r="AT70" s="73"/>
      <c r="AU70" s="61"/>
      <c r="AV70" s="74"/>
      <c r="AW70" s="75" t="str">
        <f t="shared" si="9"/>
        <v/>
      </c>
    </row>
    <row r="71" spans="1:49" ht="14.25" customHeight="1" x14ac:dyDescent="0.3">
      <c r="A71" s="56">
        <v>67</v>
      </c>
      <c r="B71" s="57" t="s">
        <v>5718</v>
      </c>
      <c r="C71" s="58" t="s">
        <v>5719</v>
      </c>
      <c r="D71" s="56" t="s">
        <v>5693</v>
      </c>
      <c r="E71" s="59">
        <v>46126</v>
      </c>
      <c r="F71" s="60" t="s">
        <v>55</v>
      </c>
      <c r="G71" s="60" t="s">
        <v>58</v>
      </c>
      <c r="H71" s="60" t="s">
        <v>56</v>
      </c>
      <c r="I71" s="60" t="s">
        <v>70</v>
      </c>
      <c r="J71" s="60" t="s">
        <v>58</v>
      </c>
      <c r="K71" s="61"/>
      <c r="L71" s="62" t="s">
        <v>56</v>
      </c>
      <c r="M71" s="63" t="str">
        <f t="shared" si="5"/>
        <v>✓ OK</v>
      </c>
      <c r="N71" s="64"/>
      <c r="O71" s="64"/>
      <c r="P71" s="64"/>
      <c r="Q71" s="64"/>
      <c r="R71" s="64"/>
      <c r="S71" s="64"/>
      <c r="T71" s="61"/>
      <c r="U71" s="65"/>
      <c r="V71" s="66" t="str">
        <f t="shared" si="6"/>
        <v/>
      </c>
      <c r="W71" s="67"/>
      <c r="X71" s="67"/>
      <c r="Y71" s="67"/>
      <c r="Z71" s="67"/>
      <c r="AA71" s="67"/>
      <c r="AB71" s="67"/>
      <c r="AC71" s="61"/>
      <c r="AD71" s="68"/>
      <c r="AE71" s="69" t="str">
        <f t="shared" si="7"/>
        <v/>
      </c>
      <c r="AF71" s="70"/>
      <c r="AG71" s="70"/>
      <c r="AH71" s="70"/>
      <c r="AI71" s="70"/>
      <c r="AJ71" s="70"/>
      <c r="AK71" s="70"/>
      <c r="AL71" s="61"/>
      <c r="AM71" s="71"/>
      <c r="AN71" s="72" t="str">
        <f t="shared" si="8"/>
        <v/>
      </c>
      <c r="AO71" s="73"/>
      <c r="AP71" s="73"/>
      <c r="AQ71" s="73"/>
      <c r="AR71" s="73"/>
      <c r="AS71" s="73"/>
      <c r="AT71" s="73"/>
      <c r="AU71" s="61"/>
      <c r="AV71" s="74"/>
      <c r="AW71" s="75" t="str">
        <f t="shared" si="9"/>
        <v/>
      </c>
    </row>
    <row r="72" spans="1:49" ht="14.25" customHeight="1" x14ac:dyDescent="0.3">
      <c r="A72" s="76">
        <v>68</v>
      </c>
      <c r="B72" s="77" t="s">
        <v>5720</v>
      </c>
      <c r="C72" s="78" t="s">
        <v>5721</v>
      </c>
      <c r="D72" s="76" t="s">
        <v>5693</v>
      </c>
      <c r="E72" s="59">
        <v>46126</v>
      </c>
      <c r="F72" s="60" t="s">
        <v>55</v>
      </c>
      <c r="G72" s="60" t="s">
        <v>58</v>
      </c>
      <c r="H72" s="60" t="s">
        <v>56</v>
      </c>
      <c r="I72" s="60" t="s">
        <v>70</v>
      </c>
      <c r="J72" s="60" t="s">
        <v>58</v>
      </c>
      <c r="K72" s="61"/>
      <c r="L72" s="62" t="s">
        <v>56</v>
      </c>
      <c r="M72" s="63" t="str">
        <f t="shared" si="5"/>
        <v>✓ OK</v>
      </c>
      <c r="N72" s="64"/>
      <c r="O72" s="64"/>
      <c r="P72" s="64"/>
      <c r="Q72" s="64"/>
      <c r="R72" s="64"/>
      <c r="S72" s="64"/>
      <c r="T72" s="61"/>
      <c r="U72" s="65"/>
      <c r="V72" s="66" t="str">
        <f t="shared" si="6"/>
        <v/>
      </c>
      <c r="W72" s="67"/>
      <c r="X72" s="67"/>
      <c r="Y72" s="67"/>
      <c r="Z72" s="67"/>
      <c r="AA72" s="67"/>
      <c r="AB72" s="67"/>
      <c r="AC72" s="61"/>
      <c r="AD72" s="68"/>
      <c r="AE72" s="69" t="str">
        <f t="shared" si="7"/>
        <v/>
      </c>
      <c r="AF72" s="70"/>
      <c r="AG72" s="70"/>
      <c r="AH72" s="70"/>
      <c r="AI72" s="70"/>
      <c r="AJ72" s="70"/>
      <c r="AK72" s="70"/>
      <c r="AL72" s="61"/>
      <c r="AM72" s="71"/>
      <c r="AN72" s="72" t="str">
        <f t="shared" si="8"/>
        <v/>
      </c>
      <c r="AO72" s="73"/>
      <c r="AP72" s="73"/>
      <c r="AQ72" s="73"/>
      <c r="AR72" s="73"/>
      <c r="AS72" s="73"/>
      <c r="AT72" s="73"/>
      <c r="AU72" s="61"/>
      <c r="AV72" s="74"/>
      <c r="AW72" s="75" t="str">
        <f t="shared" si="9"/>
        <v/>
      </c>
    </row>
    <row r="73" spans="1:49" ht="14.25" customHeight="1" x14ac:dyDescent="0.3">
      <c r="A73" s="56">
        <v>69</v>
      </c>
      <c r="B73" s="57" t="s">
        <v>5722</v>
      </c>
      <c r="C73" s="58" t="s">
        <v>5723</v>
      </c>
      <c r="D73" s="56" t="s">
        <v>5693</v>
      </c>
      <c r="E73" s="59">
        <v>46126</v>
      </c>
      <c r="F73" s="60" t="s">
        <v>55</v>
      </c>
      <c r="G73" s="60" t="s">
        <v>58</v>
      </c>
      <c r="H73" s="60" t="s">
        <v>56</v>
      </c>
      <c r="I73" s="60" t="s">
        <v>70</v>
      </c>
      <c r="J73" s="60" t="s">
        <v>58</v>
      </c>
      <c r="K73" s="61"/>
      <c r="L73" s="62" t="s">
        <v>56</v>
      </c>
      <c r="M73" s="63" t="str">
        <f t="shared" si="5"/>
        <v>✓ OK</v>
      </c>
      <c r="N73" s="64"/>
      <c r="O73" s="64"/>
      <c r="P73" s="64"/>
      <c r="Q73" s="64"/>
      <c r="R73" s="64"/>
      <c r="S73" s="64"/>
      <c r="T73" s="61"/>
      <c r="U73" s="65"/>
      <c r="V73" s="66" t="str">
        <f t="shared" si="6"/>
        <v/>
      </c>
      <c r="W73" s="67"/>
      <c r="X73" s="67"/>
      <c r="Y73" s="67"/>
      <c r="Z73" s="67"/>
      <c r="AA73" s="67"/>
      <c r="AB73" s="67"/>
      <c r="AC73" s="61"/>
      <c r="AD73" s="68"/>
      <c r="AE73" s="69" t="str">
        <f t="shared" si="7"/>
        <v/>
      </c>
      <c r="AF73" s="70"/>
      <c r="AG73" s="70"/>
      <c r="AH73" s="70"/>
      <c r="AI73" s="70"/>
      <c r="AJ73" s="70"/>
      <c r="AK73" s="70"/>
      <c r="AL73" s="61"/>
      <c r="AM73" s="71"/>
      <c r="AN73" s="72" t="str">
        <f t="shared" si="8"/>
        <v/>
      </c>
      <c r="AO73" s="73"/>
      <c r="AP73" s="73"/>
      <c r="AQ73" s="73"/>
      <c r="AR73" s="73"/>
      <c r="AS73" s="73"/>
      <c r="AT73" s="73"/>
      <c r="AU73" s="61"/>
      <c r="AV73" s="74"/>
      <c r="AW73" s="75" t="str">
        <f t="shared" si="9"/>
        <v/>
      </c>
    </row>
    <row r="74" spans="1:49" ht="14.25" customHeight="1" x14ac:dyDescent="0.3">
      <c r="A74" s="76">
        <v>70</v>
      </c>
      <c r="B74" s="77" t="s">
        <v>5724</v>
      </c>
      <c r="C74" s="78" t="s">
        <v>5725</v>
      </c>
      <c r="D74" s="76" t="s">
        <v>5693</v>
      </c>
      <c r="E74" s="59">
        <v>46126</v>
      </c>
      <c r="F74" s="60" t="s">
        <v>55</v>
      </c>
      <c r="G74" s="60" t="s">
        <v>58</v>
      </c>
      <c r="H74" s="60" t="s">
        <v>56</v>
      </c>
      <c r="I74" s="60" t="s">
        <v>70</v>
      </c>
      <c r="J74" s="60" t="s">
        <v>58</v>
      </c>
      <c r="K74" s="61"/>
      <c r="L74" s="62" t="s">
        <v>56</v>
      </c>
      <c r="M74" s="63" t="str">
        <f t="shared" si="5"/>
        <v>✓ OK</v>
      </c>
      <c r="N74" s="64"/>
      <c r="O74" s="64"/>
      <c r="P74" s="64"/>
      <c r="Q74" s="64"/>
      <c r="R74" s="64"/>
      <c r="S74" s="64"/>
      <c r="T74" s="61"/>
      <c r="U74" s="65"/>
      <c r="V74" s="66" t="str">
        <f t="shared" si="6"/>
        <v/>
      </c>
      <c r="W74" s="67"/>
      <c r="X74" s="67"/>
      <c r="Y74" s="67"/>
      <c r="Z74" s="67"/>
      <c r="AA74" s="67"/>
      <c r="AB74" s="67"/>
      <c r="AC74" s="61"/>
      <c r="AD74" s="68"/>
      <c r="AE74" s="69" t="str">
        <f t="shared" si="7"/>
        <v/>
      </c>
      <c r="AF74" s="70"/>
      <c r="AG74" s="70"/>
      <c r="AH74" s="70"/>
      <c r="AI74" s="70"/>
      <c r="AJ74" s="70"/>
      <c r="AK74" s="70"/>
      <c r="AL74" s="61"/>
      <c r="AM74" s="71"/>
      <c r="AN74" s="72" t="str">
        <f t="shared" si="8"/>
        <v/>
      </c>
      <c r="AO74" s="73"/>
      <c r="AP74" s="73"/>
      <c r="AQ74" s="73"/>
      <c r="AR74" s="73"/>
      <c r="AS74" s="73"/>
      <c r="AT74" s="73"/>
      <c r="AU74" s="61"/>
      <c r="AV74" s="74"/>
      <c r="AW74" s="75" t="str">
        <f t="shared" si="9"/>
        <v/>
      </c>
    </row>
    <row r="75" spans="1:49" ht="14.25" customHeight="1" x14ac:dyDescent="0.3">
      <c r="A75" s="56">
        <v>71</v>
      </c>
      <c r="B75" s="57" t="s">
        <v>5726</v>
      </c>
      <c r="C75" s="58" t="s">
        <v>5727</v>
      </c>
      <c r="D75" s="56" t="s">
        <v>5693</v>
      </c>
      <c r="E75" s="59">
        <v>46126</v>
      </c>
      <c r="F75" s="60" t="s">
        <v>55</v>
      </c>
      <c r="G75" s="60" t="s">
        <v>58</v>
      </c>
      <c r="H75" s="60" t="s">
        <v>56</v>
      </c>
      <c r="I75" s="60" t="s">
        <v>70</v>
      </c>
      <c r="J75" s="60" t="s">
        <v>58</v>
      </c>
      <c r="K75" s="61"/>
      <c r="L75" s="62" t="s">
        <v>56</v>
      </c>
      <c r="M75" s="63" t="str">
        <f t="shared" si="5"/>
        <v>✓ OK</v>
      </c>
      <c r="N75" s="64"/>
      <c r="O75" s="64"/>
      <c r="P75" s="64"/>
      <c r="Q75" s="64"/>
      <c r="R75" s="64"/>
      <c r="S75" s="64"/>
      <c r="T75" s="61"/>
      <c r="U75" s="65"/>
      <c r="V75" s="66" t="str">
        <f t="shared" si="6"/>
        <v/>
      </c>
      <c r="W75" s="67"/>
      <c r="X75" s="67"/>
      <c r="Y75" s="67"/>
      <c r="Z75" s="67"/>
      <c r="AA75" s="67"/>
      <c r="AB75" s="67"/>
      <c r="AC75" s="61"/>
      <c r="AD75" s="68"/>
      <c r="AE75" s="69" t="str">
        <f t="shared" si="7"/>
        <v/>
      </c>
      <c r="AF75" s="70"/>
      <c r="AG75" s="70"/>
      <c r="AH75" s="70"/>
      <c r="AI75" s="70"/>
      <c r="AJ75" s="70"/>
      <c r="AK75" s="70"/>
      <c r="AL75" s="61"/>
      <c r="AM75" s="71"/>
      <c r="AN75" s="72" t="str">
        <f t="shared" si="8"/>
        <v/>
      </c>
      <c r="AO75" s="73"/>
      <c r="AP75" s="73"/>
      <c r="AQ75" s="73"/>
      <c r="AR75" s="73"/>
      <c r="AS75" s="73"/>
      <c r="AT75" s="73"/>
      <c r="AU75" s="61"/>
      <c r="AV75" s="74"/>
      <c r="AW75" s="75" t="str">
        <f t="shared" si="9"/>
        <v/>
      </c>
    </row>
    <row r="76" spans="1:49" ht="14.25" customHeight="1" x14ac:dyDescent="0.3">
      <c r="A76" s="76">
        <v>72</v>
      </c>
      <c r="B76" s="77" t="s">
        <v>5728</v>
      </c>
      <c r="C76" s="78" t="s">
        <v>5729</v>
      </c>
      <c r="D76" s="76" t="s">
        <v>5693</v>
      </c>
      <c r="E76" s="59">
        <v>46126</v>
      </c>
      <c r="F76" s="60" t="s">
        <v>55</v>
      </c>
      <c r="G76" s="60" t="s">
        <v>58</v>
      </c>
      <c r="H76" s="60" t="s">
        <v>56</v>
      </c>
      <c r="I76" s="60" t="s">
        <v>70</v>
      </c>
      <c r="J76" s="60" t="s">
        <v>58</v>
      </c>
      <c r="K76" s="61"/>
      <c r="L76" s="62" t="s">
        <v>56</v>
      </c>
      <c r="M76" s="63" t="str">
        <f t="shared" si="5"/>
        <v>✓ OK</v>
      </c>
      <c r="N76" s="64"/>
      <c r="O76" s="64"/>
      <c r="P76" s="64"/>
      <c r="Q76" s="64"/>
      <c r="R76" s="64"/>
      <c r="S76" s="64"/>
      <c r="T76" s="61"/>
      <c r="U76" s="65"/>
      <c r="V76" s="66" t="str">
        <f t="shared" si="6"/>
        <v/>
      </c>
      <c r="W76" s="67"/>
      <c r="X76" s="67"/>
      <c r="Y76" s="67"/>
      <c r="Z76" s="67"/>
      <c r="AA76" s="67"/>
      <c r="AB76" s="67"/>
      <c r="AC76" s="61"/>
      <c r="AD76" s="68"/>
      <c r="AE76" s="69" t="str">
        <f t="shared" si="7"/>
        <v/>
      </c>
      <c r="AF76" s="70"/>
      <c r="AG76" s="70"/>
      <c r="AH76" s="70"/>
      <c r="AI76" s="70"/>
      <c r="AJ76" s="70"/>
      <c r="AK76" s="70"/>
      <c r="AL76" s="61"/>
      <c r="AM76" s="71"/>
      <c r="AN76" s="72" t="str">
        <f t="shared" si="8"/>
        <v/>
      </c>
      <c r="AO76" s="73"/>
      <c r="AP76" s="73"/>
      <c r="AQ76" s="73"/>
      <c r="AR76" s="73"/>
      <c r="AS76" s="73"/>
      <c r="AT76" s="73"/>
      <c r="AU76" s="61"/>
      <c r="AV76" s="74"/>
      <c r="AW76" s="75" t="str">
        <f t="shared" si="9"/>
        <v/>
      </c>
    </row>
    <row r="77" spans="1:49" ht="14.25" customHeight="1" x14ac:dyDescent="0.3">
      <c r="A77" s="56">
        <v>73</v>
      </c>
      <c r="B77" s="57" t="s">
        <v>5730</v>
      </c>
      <c r="C77" s="58" t="s">
        <v>5731</v>
      </c>
      <c r="D77" s="56" t="s">
        <v>5693</v>
      </c>
      <c r="E77" s="59">
        <v>46126</v>
      </c>
      <c r="F77" s="60" t="s">
        <v>55</v>
      </c>
      <c r="G77" s="60" t="s">
        <v>58</v>
      </c>
      <c r="H77" s="60" t="s">
        <v>56</v>
      </c>
      <c r="I77" s="60" t="s">
        <v>70</v>
      </c>
      <c r="J77" s="60" t="s">
        <v>58</v>
      </c>
      <c r="K77" s="61"/>
      <c r="L77" s="62" t="s">
        <v>56</v>
      </c>
      <c r="M77" s="63" t="str">
        <f t="shared" si="5"/>
        <v>✓ OK</v>
      </c>
      <c r="N77" s="64"/>
      <c r="O77" s="64"/>
      <c r="P77" s="64"/>
      <c r="Q77" s="64"/>
      <c r="R77" s="64"/>
      <c r="S77" s="64"/>
      <c r="T77" s="61"/>
      <c r="U77" s="65"/>
      <c r="V77" s="66" t="str">
        <f t="shared" si="6"/>
        <v/>
      </c>
      <c r="W77" s="67"/>
      <c r="X77" s="67"/>
      <c r="Y77" s="67"/>
      <c r="Z77" s="67"/>
      <c r="AA77" s="67"/>
      <c r="AB77" s="67"/>
      <c r="AC77" s="61"/>
      <c r="AD77" s="68"/>
      <c r="AE77" s="69" t="str">
        <f t="shared" si="7"/>
        <v/>
      </c>
      <c r="AF77" s="70"/>
      <c r="AG77" s="70"/>
      <c r="AH77" s="70"/>
      <c r="AI77" s="70"/>
      <c r="AJ77" s="70"/>
      <c r="AK77" s="70"/>
      <c r="AL77" s="61"/>
      <c r="AM77" s="71"/>
      <c r="AN77" s="72" t="str">
        <f t="shared" si="8"/>
        <v/>
      </c>
      <c r="AO77" s="73"/>
      <c r="AP77" s="73"/>
      <c r="AQ77" s="73"/>
      <c r="AR77" s="73"/>
      <c r="AS77" s="73"/>
      <c r="AT77" s="73"/>
      <c r="AU77" s="61"/>
      <c r="AV77" s="74"/>
      <c r="AW77" s="75" t="str">
        <f t="shared" si="9"/>
        <v/>
      </c>
    </row>
    <row r="78" spans="1:49" ht="14.25" customHeight="1" x14ac:dyDescent="0.3">
      <c r="A78" s="76">
        <v>74</v>
      </c>
      <c r="B78" s="77" t="s">
        <v>5732</v>
      </c>
      <c r="C78" s="78" t="s">
        <v>5733</v>
      </c>
      <c r="D78" s="76" t="s">
        <v>5693</v>
      </c>
      <c r="E78" s="59">
        <v>46126</v>
      </c>
      <c r="F78" s="60" t="s">
        <v>55</v>
      </c>
      <c r="G78" s="60" t="s">
        <v>58</v>
      </c>
      <c r="H78" s="60" t="s">
        <v>56</v>
      </c>
      <c r="I78" s="60" t="s">
        <v>70</v>
      </c>
      <c r="J78" s="60" t="s">
        <v>58</v>
      </c>
      <c r="K78" s="61"/>
      <c r="L78" s="62" t="s">
        <v>56</v>
      </c>
      <c r="M78" s="63" t="str">
        <f t="shared" si="5"/>
        <v>✓ OK</v>
      </c>
      <c r="N78" s="64"/>
      <c r="O78" s="64"/>
      <c r="P78" s="64"/>
      <c r="Q78" s="64"/>
      <c r="R78" s="64"/>
      <c r="S78" s="64"/>
      <c r="T78" s="61"/>
      <c r="U78" s="65"/>
      <c r="V78" s="66" t="str">
        <f t="shared" si="6"/>
        <v/>
      </c>
      <c r="W78" s="67"/>
      <c r="X78" s="67"/>
      <c r="Y78" s="67"/>
      <c r="Z78" s="67"/>
      <c r="AA78" s="67"/>
      <c r="AB78" s="67"/>
      <c r="AC78" s="61"/>
      <c r="AD78" s="68"/>
      <c r="AE78" s="69" t="str">
        <f t="shared" si="7"/>
        <v/>
      </c>
      <c r="AF78" s="70"/>
      <c r="AG78" s="70"/>
      <c r="AH78" s="70"/>
      <c r="AI78" s="70"/>
      <c r="AJ78" s="70"/>
      <c r="AK78" s="70"/>
      <c r="AL78" s="61"/>
      <c r="AM78" s="71"/>
      <c r="AN78" s="72" t="str">
        <f t="shared" si="8"/>
        <v/>
      </c>
      <c r="AO78" s="73"/>
      <c r="AP78" s="73"/>
      <c r="AQ78" s="73"/>
      <c r="AR78" s="73"/>
      <c r="AS78" s="73"/>
      <c r="AT78" s="73"/>
      <c r="AU78" s="61"/>
      <c r="AV78" s="74"/>
      <c r="AW78" s="75" t="str">
        <f t="shared" si="9"/>
        <v/>
      </c>
    </row>
    <row r="79" spans="1:49" ht="14.25" customHeight="1" x14ac:dyDescent="0.3">
      <c r="A79" s="56">
        <v>75</v>
      </c>
      <c r="B79" s="57" t="s">
        <v>5734</v>
      </c>
      <c r="C79" s="58" t="s">
        <v>5735</v>
      </c>
      <c r="D79" s="56" t="s">
        <v>5693</v>
      </c>
      <c r="E79" s="59">
        <v>46126</v>
      </c>
      <c r="F79" s="60" t="s">
        <v>55</v>
      </c>
      <c r="G79" s="60" t="s">
        <v>58</v>
      </c>
      <c r="H79" s="60" t="s">
        <v>56</v>
      </c>
      <c r="I79" s="60" t="s">
        <v>70</v>
      </c>
      <c r="J79" s="60" t="s">
        <v>58</v>
      </c>
      <c r="K79" s="61"/>
      <c r="L79" s="62" t="s">
        <v>56</v>
      </c>
      <c r="M79" s="63" t="str">
        <f t="shared" si="5"/>
        <v>✓ OK</v>
      </c>
      <c r="N79" s="64"/>
      <c r="O79" s="64"/>
      <c r="P79" s="64"/>
      <c r="Q79" s="64"/>
      <c r="R79" s="64"/>
      <c r="S79" s="64"/>
      <c r="T79" s="61"/>
      <c r="U79" s="65"/>
      <c r="V79" s="66" t="str">
        <f t="shared" si="6"/>
        <v/>
      </c>
      <c r="W79" s="67"/>
      <c r="X79" s="67"/>
      <c r="Y79" s="67"/>
      <c r="Z79" s="67"/>
      <c r="AA79" s="67"/>
      <c r="AB79" s="67"/>
      <c r="AC79" s="61"/>
      <c r="AD79" s="68"/>
      <c r="AE79" s="69" t="str">
        <f t="shared" si="7"/>
        <v/>
      </c>
      <c r="AF79" s="70"/>
      <c r="AG79" s="70"/>
      <c r="AH79" s="70"/>
      <c r="AI79" s="70"/>
      <c r="AJ79" s="70"/>
      <c r="AK79" s="70"/>
      <c r="AL79" s="61"/>
      <c r="AM79" s="71"/>
      <c r="AN79" s="72" t="str">
        <f t="shared" si="8"/>
        <v/>
      </c>
      <c r="AO79" s="73"/>
      <c r="AP79" s="73"/>
      <c r="AQ79" s="73"/>
      <c r="AR79" s="73"/>
      <c r="AS79" s="73"/>
      <c r="AT79" s="73"/>
      <c r="AU79" s="61"/>
      <c r="AV79" s="74"/>
      <c r="AW79" s="75" t="str">
        <f t="shared" si="9"/>
        <v/>
      </c>
    </row>
    <row r="80" spans="1:49" ht="14.25" customHeight="1" x14ac:dyDescent="0.3">
      <c r="A80" s="76">
        <v>76</v>
      </c>
      <c r="B80" s="77" t="s">
        <v>5736</v>
      </c>
      <c r="C80" s="78" t="s">
        <v>5737</v>
      </c>
      <c r="D80" s="76" t="s">
        <v>5693</v>
      </c>
      <c r="E80" s="59">
        <v>46126</v>
      </c>
      <c r="F80" s="60" t="s">
        <v>55</v>
      </c>
      <c r="G80" s="60" t="s">
        <v>58</v>
      </c>
      <c r="H80" s="60" t="s">
        <v>56</v>
      </c>
      <c r="I80" s="60" t="s">
        <v>70</v>
      </c>
      <c r="J80" s="60" t="s">
        <v>58</v>
      </c>
      <c r="K80" s="61"/>
      <c r="L80" s="62" t="s">
        <v>56</v>
      </c>
      <c r="M80" s="63" t="str">
        <f t="shared" si="5"/>
        <v>✓ OK</v>
      </c>
      <c r="N80" s="64"/>
      <c r="O80" s="64"/>
      <c r="P80" s="64"/>
      <c r="Q80" s="64"/>
      <c r="R80" s="64"/>
      <c r="S80" s="64"/>
      <c r="T80" s="61"/>
      <c r="U80" s="65"/>
      <c r="V80" s="66" t="str">
        <f t="shared" si="6"/>
        <v/>
      </c>
      <c r="W80" s="67"/>
      <c r="X80" s="67"/>
      <c r="Y80" s="67"/>
      <c r="Z80" s="67"/>
      <c r="AA80" s="67"/>
      <c r="AB80" s="67"/>
      <c r="AC80" s="61"/>
      <c r="AD80" s="68"/>
      <c r="AE80" s="69" t="str">
        <f t="shared" si="7"/>
        <v/>
      </c>
      <c r="AF80" s="70"/>
      <c r="AG80" s="70"/>
      <c r="AH80" s="70"/>
      <c r="AI80" s="70"/>
      <c r="AJ80" s="70"/>
      <c r="AK80" s="70"/>
      <c r="AL80" s="61"/>
      <c r="AM80" s="71"/>
      <c r="AN80" s="72" t="str">
        <f t="shared" si="8"/>
        <v/>
      </c>
      <c r="AO80" s="73"/>
      <c r="AP80" s="73"/>
      <c r="AQ80" s="73"/>
      <c r="AR80" s="73"/>
      <c r="AS80" s="73"/>
      <c r="AT80" s="73"/>
      <c r="AU80" s="61"/>
      <c r="AV80" s="74"/>
      <c r="AW80" s="75" t="str">
        <f t="shared" si="9"/>
        <v/>
      </c>
    </row>
    <row r="81" spans="1:49" ht="14.25" customHeight="1" x14ac:dyDescent="0.3">
      <c r="A81" s="56">
        <v>77</v>
      </c>
      <c r="B81" s="57" t="s">
        <v>5738</v>
      </c>
      <c r="C81" s="58" t="s">
        <v>5739</v>
      </c>
      <c r="D81" s="56" t="s">
        <v>5693</v>
      </c>
      <c r="E81" s="59">
        <v>46126</v>
      </c>
      <c r="F81" s="60" t="s">
        <v>55</v>
      </c>
      <c r="G81" s="60" t="s">
        <v>58</v>
      </c>
      <c r="H81" s="60" t="s">
        <v>56</v>
      </c>
      <c r="I81" s="60" t="s">
        <v>70</v>
      </c>
      <c r="J81" s="60" t="s">
        <v>58</v>
      </c>
      <c r="K81" s="61"/>
      <c r="L81" s="62" t="s">
        <v>56</v>
      </c>
      <c r="M81" s="63" t="str">
        <f t="shared" si="5"/>
        <v>✓ OK</v>
      </c>
      <c r="N81" s="64"/>
      <c r="O81" s="64"/>
      <c r="P81" s="64"/>
      <c r="Q81" s="64"/>
      <c r="R81" s="64"/>
      <c r="S81" s="64"/>
      <c r="T81" s="61"/>
      <c r="U81" s="65"/>
      <c r="V81" s="66" t="str">
        <f t="shared" si="6"/>
        <v/>
      </c>
      <c r="W81" s="67"/>
      <c r="X81" s="67"/>
      <c r="Y81" s="67"/>
      <c r="Z81" s="67"/>
      <c r="AA81" s="67"/>
      <c r="AB81" s="67"/>
      <c r="AC81" s="61"/>
      <c r="AD81" s="68"/>
      <c r="AE81" s="69" t="str">
        <f t="shared" si="7"/>
        <v/>
      </c>
      <c r="AF81" s="70"/>
      <c r="AG81" s="70"/>
      <c r="AH81" s="70"/>
      <c r="AI81" s="70"/>
      <c r="AJ81" s="70"/>
      <c r="AK81" s="70"/>
      <c r="AL81" s="61"/>
      <c r="AM81" s="71"/>
      <c r="AN81" s="72" t="str">
        <f t="shared" si="8"/>
        <v/>
      </c>
      <c r="AO81" s="73"/>
      <c r="AP81" s="73"/>
      <c r="AQ81" s="73"/>
      <c r="AR81" s="73"/>
      <c r="AS81" s="73"/>
      <c r="AT81" s="73"/>
      <c r="AU81" s="61"/>
      <c r="AV81" s="74"/>
      <c r="AW81" s="75" t="str">
        <f t="shared" si="9"/>
        <v/>
      </c>
    </row>
    <row r="82" spans="1:49" ht="14.25" customHeight="1" x14ac:dyDescent="0.3">
      <c r="A82" s="76">
        <v>78</v>
      </c>
      <c r="B82" s="77" t="s">
        <v>5740</v>
      </c>
      <c r="C82" s="78" t="s">
        <v>5741</v>
      </c>
      <c r="D82" s="76" t="s">
        <v>5693</v>
      </c>
      <c r="E82" s="59">
        <v>46126</v>
      </c>
      <c r="F82" s="60" t="s">
        <v>55</v>
      </c>
      <c r="G82" s="60" t="s">
        <v>58</v>
      </c>
      <c r="H82" s="60" t="s">
        <v>56</v>
      </c>
      <c r="I82" s="60" t="s">
        <v>70</v>
      </c>
      <c r="J82" s="60" t="s">
        <v>58</v>
      </c>
      <c r="K82" s="61"/>
      <c r="L82" s="62" t="s">
        <v>56</v>
      </c>
      <c r="M82" s="63" t="str">
        <f t="shared" si="5"/>
        <v>✓ OK</v>
      </c>
      <c r="N82" s="64"/>
      <c r="O82" s="64"/>
      <c r="P82" s="64"/>
      <c r="Q82" s="64"/>
      <c r="R82" s="64"/>
      <c r="S82" s="64"/>
      <c r="T82" s="61"/>
      <c r="U82" s="65"/>
      <c r="V82" s="66" t="str">
        <f t="shared" si="6"/>
        <v/>
      </c>
      <c r="W82" s="67"/>
      <c r="X82" s="67"/>
      <c r="Y82" s="67"/>
      <c r="Z82" s="67"/>
      <c r="AA82" s="67"/>
      <c r="AB82" s="67"/>
      <c r="AC82" s="61"/>
      <c r="AD82" s="68"/>
      <c r="AE82" s="69" t="str">
        <f t="shared" si="7"/>
        <v/>
      </c>
      <c r="AF82" s="70"/>
      <c r="AG82" s="70"/>
      <c r="AH82" s="70"/>
      <c r="AI82" s="70"/>
      <c r="AJ82" s="70"/>
      <c r="AK82" s="70"/>
      <c r="AL82" s="61"/>
      <c r="AM82" s="71"/>
      <c r="AN82" s="72" t="str">
        <f t="shared" si="8"/>
        <v/>
      </c>
      <c r="AO82" s="73"/>
      <c r="AP82" s="73"/>
      <c r="AQ82" s="73"/>
      <c r="AR82" s="73"/>
      <c r="AS82" s="73"/>
      <c r="AT82" s="73"/>
      <c r="AU82" s="61"/>
      <c r="AV82" s="74"/>
      <c r="AW82" s="75" t="str">
        <f t="shared" si="9"/>
        <v/>
      </c>
    </row>
    <row r="83" spans="1:49" ht="14.25" customHeight="1" x14ac:dyDescent="0.3">
      <c r="A83" s="56">
        <v>79</v>
      </c>
      <c r="B83" s="57" t="s">
        <v>5742</v>
      </c>
      <c r="C83" s="58" t="s">
        <v>5743</v>
      </c>
      <c r="D83" s="56" t="s">
        <v>5693</v>
      </c>
      <c r="E83" s="59">
        <v>46126</v>
      </c>
      <c r="F83" s="60" t="s">
        <v>55</v>
      </c>
      <c r="G83" s="60" t="s">
        <v>58</v>
      </c>
      <c r="H83" s="60" t="s">
        <v>56</v>
      </c>
      <c r="I83" s="60" t="s">
        <v>70</v>
      </c>
      <c r="J83" s="60" t="s">
        <v>58</v>
      </c>
      <c r="K83" s="61"/>
      <c r="L83" s="62" t="s">
        <v>56</v>
      </c>
      <c r="M83" s="63" t="str">
        <f t="shared" si="5"/>
        <v>✓ OK</v>
      </c>
      <c r="N83" s="64"/>
      <c r="O83" s="64"/>
      <c r="P83" s="64"/>
      <c r="Q83" s="64"/>
      <c r="R83" s="64"/>
      <c r="S83" s="64"/>
      <c r="T83" s="61"/>
      <c r="U83" s="65"/>
      <c r="V83" s="66" t="str">
        <f t="shared" si="6"/>
        <v/>
      </c>
      <c r="W83" s="67"/>
      <c r="X83" s="67"/>
      <c r="Y83" s="67"/>
      <c r="Z83" s="67"/>
      <c r="AA83" s="67"/>
      <c r="AB83" s="67"/>
      <c r="AC83" s="61"/>
      <c r="AD83" s="68"/>
      <c r="AE83" s="69" t="str">
        <f t="shared" si="7"/>
        <v/>
      </c>
      <c r="AF83" s="70"/>
      <c r="AG83" s="70"/>
      <c r="AH83" s="70"/>
      <c r="AI83" s="70"/>
      <c r="AJ83" s="70"/>
      <c r="AK83" s="70"/>
      <c r="AL83" s="61"/>
      <c r="AM83" s="71"/>
      <c r="AN83" s="72" t="str">
        <f t="shared" si="8"/>
        <v/>
      </c>
      <c r="AO83" s="73"/>
      <c r="AP83" s="73"/>
      <c r="AQ83" s="73"/>
      <c r="AR83" s="73"/>
      <c r="AS83" s="73"/>
      <c r="AT83" s="73"/>
      <c r="AU83" s="61"/>
      <c r="AV83" s="74"/>
      <c r="AW83" s="75" t="str">
        <f t="shared" si="9"/>
        <v/>
      </c>
    </row>
    <row r="84" spans="1:49" ht="14.25" customHeight="1" x14ac:dyDescent="0.3">
      <c r="A84" s="76">
        <v>80</v>
      </c>
      <c r="B84" s="77" t="s">
        <v>5744</v>
      </c>
      <c r="C84" s="78" t="s">
        <v>5745</v>
      </c>
      <c r="D84" s="76" t="s">
        <v>5693</v>
      </c>
      <c r="E84" s="59">
        <v>46126</v>
      </c>
      <c r="F84" s="60" t="s">
        <v>55</v>
      </c>
      <c r="G84" s="60" t="s">
        <v>58</v>
      </c>
      <c r="H84" s="60" t="s">
        <v>56</v>
      </c>
      <c r="I84" s="60" t="s">
        <v>70</v>
      </c>
      <c r="J84" s="60" t="s">
        <v>58</v>
      </c>
      <c r="K84" s="61"/>
      <c r="L84" s="62" t="s">
        <v>56</v>
      </c>
      <c r="M84" s="63" t="str">
        <f t="shared" si="5"/>
        <v>✓ OK</v>
      </c>
      <c r="N84" s="64"/>
      <c r="O84" s="64"/>
      <c r="P84" s="64"/>
      <c r="Q84" s="64"/>
      <c r="R84" s="64"/>
      <c r="S84" s="64"/>
      <c r="T84" s="61"/>
      <c r="U84" s="65"/>
      <c r="V84" s="66" t="str">
        <f t="shared" si="6"/>
        <v/>
      </c>
      <c r="W84" s="67"/>
      <c r="X84" s="67"/>
      <c r="Y84" s="67"/>
      <c r="Z84" s="67"/>
      <c r="AA84" s="67"/>
      <c r="AB84" s="67"/>
      <c r="AC84" s="61"/>
      <c r="AD84" s="68"/>
      <c r="AE84" s="69" t="str">
        <f t="shared" si="7"/>
        <v/>
      </c>
      <c r="AF84" s="70"/>
      <c r="AG84" s="70"/>
      <c r="AH84" s="70"/>
      <c r="AI84" s="70"/>
      <c r="AJ84" s="70"/>
      <c r="AK84" s="70"/>
      <c r="AL84" s="61"/>
      <c r="AM84" s="71"/>
      <c r="AN84" s="72" t="str">
        <f t="shared" si="8"/>
        <v/>
      </c>
      <c r="AO84" s="73"/>
      <c r="AP84" s="73"/>
      <c r="AQ84" s="73"/>
      <c r="AR84" s="73"/>
      <c r="AS84" s="73"/>
      <c r="AT84" s="73"/>
      <c r="AU84" s="61"/>
      <c r="AV84" s="74"/>
      <c r="AW84" s="75" t="str">
        <f t="shared" si="9"/>
        <v/>
      </c>
    </row>
    <row r="85" spans="1:49" ht="14.25" customHeight="1" x14ac:dyDescent="0.3">
      <c r="A85" s="56">
        <v>81</v>
      </c>
      <c r="B85" s="57" t="s">
        <v>5746</v>
      </c>
      <c r="C85" s="58" t="s">
        <v>5747</v>
      </c>
      <c r="D85" s="56" t="s">
        <v>5693</v>
      </c>
      <c r="E85" s="59">
        <v>46126</v>
      </c>
      <c r="F85" s="60" t="s">
        <v>55</v>
      </c>
      <c r="G85" s="60" t="s">
        <v>58</v>
      </c>
      <c r="H85" s="60" t="s">
        <v>56</v>
      </c>
      <c r="I85" s="60" t="s">
        <v>70</v>
      </c>
      <c r="J85" s="60" t="s">
        <v>58</v>
      </c>
      <c r="K85" s="61"/>
      <c r="L85" s="62" t="s">
        <v>56</v>
      </c>
      <c r="M85" s="63" t="str">
        <f t="shared" si="5"/>
        <v>✓ OK</v>
      </c>
      <c r="N85" s="64"/>
      <c r="O85" s="64"/>
      <c r="P85" s="64"/>
      <c r="Q85" s="64"/>
      <c r="R85" s="64"/>
      <c r="S85" s="64"/>
      <c r="T85" s="61"/>
      <c r="U85" s="65"/>
      <c r="V85" s="66" t="str">
        <f t="shared" si="6"/>
        <v/>
      </c>
      <c r="W85" s="67"/>
      <c r="X85" s="67"/>
      <c r="Y85" s="67"/>
      <c r="Z85" s="67"/>
      <c r="AA85" s="67"/>
      <c r="AB85" s="67"/>
      <c r="AC85" s="61"/>
      <c r="AD85" s="68"/>
      <c r="AE85" s="69" t="str">
        <f t="shared" si="7"/>
        <v/>
      </c>
      <c r="AF85" s="70"/>
      <c r="AG85" s="70"/>
      <c r="AH85" s="70"/>
      <c r="AI85" s="70"/>
      <c r="AJ85" s="70"/>
      <c r="AK85" s="70"/>
      <c r="AL85" s="61"/>
      <c r="AM85" s="71"/>
      <c r="AN85" s="72" t="str">
        <f t="shared" si="8"/>
        <v/>
      </c>
      <c r="AO85" s="73"/>
      <c r="AP85" s="73"/>
      <c r="AQ85" s="73"/>
      <c r="AR85" s="73"/>
      <c r="AS85" s="73"/>
      <c r="AT85" s="73"/>
      <c r="AU85" s="61"/>
      <c r="AV85" s="74"/>
      <c r="AW85" s="75" t="str">
        <f t="shared" si="9"/>
        <v/>
      </c>
    </row>
    <row r="86" spans="1:49" ht="14.25" customHeight="1" x14ac:dyDescent="0.3">
      <c r="A86" s="76">
        <v>82</v>
      </c>
      <c r="B86" s="77" t="s">
        <v>5748</v>
      </c>
      <c r="C86" s="78" t="s">
        <v>5749</v>
      </c>
      <c r="D86" s="76" t="s">
        <v>5693</v>
      </c>
      <c r="E86" s="59">
        <v>46126</v>
      </c>
      <c r="F86" s="60" t="s">
        <v>55</v>
      </c>
      <c r="G86" s="60" t="s">
        <v>58</v>
      </c>
      <c r="H86" s="60" t="s">
        <v>56</v>
      </c>
      <c r="I86" s="60" t="s">
        <v>70</v>
      </c>
      <c r="J86" s="60" t="s">
        <v>58</v>
      </c>
      <c r="K86" s="61"/>
      <c r="L86" s="62" t="s">
        <v>56</v>
      </c>
      <c r="M86" s="63" t="str">
        <f t="shared" si="5"/>
        <v>✓ OK</v>
      </c>
      <c r="N86" s="64"/>
      <c r="O86" s="64"/>
      <c r="P86" s="64"/>
      <c r="Q86" s="64"/>
      <c r="R86" s="64"/>
      <c r="S86" s="64"/>
      <c r="T86" s="61"/>
      <c r="U86" s="65"/>
      <c r="V86" s="66" t="str">
        <f t="shared" si="6"/>
        <v/>
      </c>
      <c r="W86" s="67"/>
      <c r="X86" s="67"/>
      <c r="Y86" s="67"/>
      <c r="Z86" s="67"/>
      <c r="AA86" s="67"/>
      <c r="AB86" s="67"/>
      <c r="AC86" s="61"/>
      <c r="AD86" s="68"/>
      <c r="AE86" s="69" t="str">
        <f t="shared" si="7"/>
        <v/>
      </c>
      <c r="AF86" s="70"/>
      <c r="AG86" s="70"/>
      <c r="AH86" s="70"/>
      <c r="AI86" s="70"/>
      <c r="AJ86" s="70"/>
      <c r="AK86" s="70"/>
      <c r="AL86" s="61"/>
      <c r="AM86" s="71"/>
      <c r="AN86" s="72" t="str">
        <f t="shared" si="8"/>
        <v/>
      </c>
      <c r="AO86" s="73"/>
      <c r="AP86" s="73"/>
      <c r="AQ86" s="73"/>
      <c r="AR86" s="73"/>
      <c r="AS86" s="73"/>
      <c r="AT86" s="73"/>
      <c r="AU86" s="61"/>
      <c r="AV86" s="74"/>
      <c r="AW86" s="75" t="str">
        <f t="shared" si="9"/>
        <v/>
      </c>
    </row>
    <row r="87" spans="1:49" ht="14.25" customHeight="1" x14ac:dyDescent="0.3">
      <c r="A87" s="56">
        <v>83</v>
      </c>
      <c r="B87" s="57" t="s">
        <v>5750</v>
      </c>
      <c r="C87" s="58" t="s">
        <v>5751</v>
      </c>
      <c r="D87" s="56" t="s">
        <v>5693</v>
      </c>
      <c r="E87" s="59">
        <v>46126</v>
      </c>
      <c r="F87" s="60" t="s">
        <v>55</v>
      </c>
      <c r="G87" s="60" t="s">
        <v>58</v>
      </c>
      <c r="H87" s="60" t="s">
        <v>56</v>
      </c>
      <c r="I87" s="60" t="s">
        <v>70</v>
      </c>
      <c r="J87" s="60" t="s">
        <v>58</v>
      </c>
      <c r="K87" s="61"/>
      <c r="L87" s="62" t="s">
        <v>56</v>
      </c>
      <c r="M87" s="63" t="str">
        <f t="shared" si="5"/>
        <v>✓ OK</v>
      </c>
      <c r="N87" s="64"/>
      <c r="O87" s="64"/>
      <c r="P87" s="64"/>
      <c r="Q87" s="64"/>
      <c r="R87" s="64"/>
      <c r="S87" s="64"/>
      <c r="T87" s="61"/>
      <c r="U87" s="65"/>
      <c r="V87" s="66" t="str">
        <f t="shared" si="6"/>
        <v/>
      </c>
      <c r="W87" s="67"/>
      <c r="X87" s="67"/>
      <c r="Y87" s="67"/>
      <c r="Z87" s="67"/>
      <c r="AA87" s="67"/>
      <c r="AB87" s="67"/>
      <c r="AC87" s="61"/>
      <c r="AD87" s="68"/>
      <c r="AE87" s="69" t="str">
        <f t="shared" si="7"/>
        <v/>
      </c>
      <c r="AF87" s="70"/>
      <c r="AG87" s="70"/>
      <c r="AH87" s="70"/>
      <c r="AI87" s="70"/>
      <c r="AJ87" s="70"/>
      <c r="AK87" s="70"/>
      <c r="AL87" s="61"/>
      <c r="AM87" s="71"/>
      <c r="AN87" s="72" t="str">
        <f t="shared" si="8"/>
        <v/>
      </c>
      <c r="AO87" s="73"/>
      <c r="AP87" s="73"/>
      <c r="AQ87" s="73"/>
      <c r="AR87" s="73"/>
      <c r="AS87" s="73"/>
      <c r="AT87" s="73"/>
      <c r="AU87" s="61"/>
      <c r="AV87" s="74"/>
      <c r="AW87" s="75" t="str">
        <f t="shared" si="9"/>
        <v/>
      </c>
    </row>
    <row r="88" spans="1:49" ht="14.25" customHeight="1" x14ac:dyDescent="0.3">
      <c r="A88" s="76">
        <v>84</v>
      </c>
      <c r="B88" s="77" t="s">
        <v>5752</v>
      </c>
      <c r="C88" s="78" t="s">
        <v>5753</v>
      </c>
      <c r="D88" s="76" t="s">
        <v>5693</v>
      </c>
      <c r="E88" s="59">
        <v>46126</v>
      </c>
      <c r="F88" s="60" t="s">
        <v>55</v>
      </c>
      <c r="G88" s="60" t="s">
        <v>58</v>
      </c>
      <c r="H88" s="60" t="s">
        <v>56</v>
      </c>
      <c r="I88" s="60" t="s">
        <v>70</v>
      </c>
      <c r="J88" s="60" t="s">
        <v>58</v>
      </c>
      <c r="K88" s="61"/>
      <c r="L88" s="62" t="s">
        <v>56</v>
      </c>
      <c r="M88" s="63" t="str">
        <f t="shared" si="5"/>
        <v>✓ OK</v>
      </c>
      <c r="N88" s="64"/>
      <c r="O88" s="64"/>
      <c r="P88" s="64"/>
      <c r="Q88" s="64"/>
      <c r="R88" s="64"/>
      <c r="S88" s="64"/>
      <c r="T88" s="61"/>
      <c r="U88" s="65"/>
      <c r="V88" s="66" t="str">
        <f t="shared" si="6"/>
        <v/>
      </c>
      <c r="W88" s="67"/>
      <c r="X88" s="67"/>
      <c r="Y88" s="67"/>
      <c r="Z88" s="67"/>
      <c r="AA88" s="67"/>
      <c r="AB88" s="67"/>
      <c r="AC88" s="61"/>
      <c r="AD88" s="68"/>
      <c r="AE88" s="69" t="str">
        <f t="shared" si="7"/>
        <v/>
      </c>
      <c r="AF88" s="70"/>
      <c r="AG88" s="70"/>
      <c r="AH88" s="70"/>
      <c r="AI88" s="70"/>
      <c r="AJ88" s="70"/>
      <c r="AK88" s="70"/>
      <c r="AL88" s="61"/>
      <c r="AM88" s="71"/>
      <c r="AN88" s="72" t="str">
        <f t="shared" si="8"/>
        <v/>
      </c>
      <c r="AO88" s="73"/>
      <c r="AP88" s="73"/>
      <c r="AQ88" s="73"/>
      <c r="AR88" s="73"/>
      <c r="AS88" s="73"/>
      <c r="AT88" s="73"/>
      <c r="AU88" s="61"/>
      <c r="AV88" s="74"/>
      <c r="AW88" s="75" t="str">
        <f t="shared" si="9"/>
        <v/>
      </c>
    </row>
    <row r="89" spans="1:49" ht="14.25" customHeight="1" x14ac:dyDescent="0.3">
      <c r="A89" s="56">
        <v>85</v>
      </c>
      <c r="B89" s="57" t="s">
        <v>5754</v>
      </c>
      <c r="C89" s="58" t="s">
        <v>5755</v>
      </c>
      <c r="D89" s="56" t="s">
        <v>5693</v>
      </c>
      <c r="E89" s="59">
        <v>46126</v>
      </c>
      <c r="F89" s="60" t="s">
        <v>55</v>
      </c>
      <c r="G89" s="60" t="s">
        <v>58</v>
      </c>
      <c r="H89" s="60" t="s">
        <v>56</v>
      </c>
      <c r="I89" s="60" t="s">
        <v>70</v>
      </c>
      <c r="J89" s="60" t="s">
        <v>58</v>
      </c>
      <c r="K89" s="61"/>
      <c r="L89" s="62" t="s">
        <v>56</v>
      </c>
      <c r="M89" s="63" t="str">
        <f t="shared" si="5"/>
        <v>✓ OK</v>
      </c>
      <c r="N89" s="64"/>
      <c r="O89" s="64"/>
      <c r="P89" s="64"/>
      <c r="Q89" s="64"/>
      <c r="R89" s="64"/>
      <c r="S89" s="64"/>
      <c r="T89" s="61"/>
      <c r="U89" s="65"/>
      <c r="V89" s="66" t="str">
        <f t="shared" si="6"/>
        <v/>
      </c>
      <c r="W89" s="67"/>
      <c r="X89" s="67"/>
      <c r="Y89" s="67"/>
      <c r="Z89" s="67"/>
      <c r="AA89" s="67"/>
      <c r="AB89" s="67"/>
      <c r="AC89" s="61"/>
      <c r="AD89" s="68"/>
      <c r="AE89" s="69" t="str">
        <f t="shared" si="7"/>
        <v/>
      </c>
      <c r="AF89" s="70"/>
      <c r="AG89" s="70"/>
      <c r="AH89" s="70"/>
      <c r="AI89" s="70"/>
      <c r="AJ89" s="70"/>
      <c r="AK89" s="70"/>
      <c r="AL89" s="61"/>
      <c r="AM89" s="71"/>
      <c r="AN89" s="72" t="str">
        <f t="shared" si="8"/>
        <v/>
      </c>
      <c r="AO89" s="73"/>
      <c r="AP89" s="73"/>
      <c r="AQ89" s="73"/>
      <c r="AR89" s="73"/>
      <c r="AS89" s="73"/>
      <c r="AT89" s="73"/>
      <c r="AU89" s="61"/>
      <c r="AV89" s="74"/>
      <c r="AW89" s="75" t="str">
        <f t="shared" si="9"/>
        <v/>
      </c>
    </row>
    <row r="90" spans="1:49" ht="14.25" customHeight="1" x14ac:dyDescent="0.3">
      <c r="A90" s="76">
        <v>86</v>
      </c>
      <c r="B90" s="77" t="s">
        <v>5756</v>
      </c>
      <c r="C90" s="78" t="s">
        <v>5757</v>
      </c>
      <c r="D90" s="76" t="s">
        <v>5693</v>
      </c>
      <c r="E90" s="59">
        <v>46126</v>
      </c>
      <c r="F90" s="60" t="s">
        <v>55</v>
      </c>
      <c r="G90" s="60" t="s">
        <v>58</v>
      </c>
      <c r="H90" s="60" t="s">
        <v>56</v>
      </c>
      <c r="I90" s="60" t="s">
        <v>70</v>
      </c>
      <c r="J90" s="60" t="s">
        <v>58</v>
      </c>
      <c r="K90" s="61"/>
      <c r="L90" s="62" t="s">
        <v>56</v>
      </c>
      <c r="M90" s="63" t="str">
        <f t="shared" si="5"/>
        <v>✓ OK</v>
      </c>
      <c r="N90" s="64"/>
      <c r="O90" s="64"/>
      <c r="P90" s="64"/>
      <c r="Q90" s="64"/>
      <c r="R90" s="64"/>
      <c r="S90" s="64"/>
      <c r="T90" s="61"/>
      <c r="U90" s="65"/>
      <c r="V90" s="66" t="str">
        <f t="shared" si="6"/>
        <v/>
      </c>
      <c r="W90" s="67"/>
      <c r="X90" s="67"/>
      <c r="Y90" s="67"/>
      <c r="Z90" s="67"/>
      <c r="AA90" s="67"/>
      <c r="AB90" s="67"/>
      <c r="AC90" s="61"/>
      <c r="AD90" s="68"/>
      <c r="AE90" s="69" t="str">
        <f t="shared" si="7"/>
        <v/>
      </c>
      <c r="AF90" s="70"/>
      <c r="AG90" s="70"/>
      <c r="AH90" s="70"/>
      <c r="AI90" s="70"/>
      <c r="AJ90" s="70"/>
      <c r="AK90" s="70"/>
      <c r="AL90" s="61"/>
      <c r="AM90" s="71"/>
      <c r="AN90" s="72" t="str">
        <f t="shared" si="8"/>
        <v/>
      </c>
      <c r="AO90" s="73"/>
      <c r="AP90" s="73"/>
      <c r="AQ90" s="73"/>
      <c r="AR90" s="73"/>
      <c r="AS90" s="73"/>
      <c r="AT90" s="73"/>
      <c r="AU90" s="61"/>
      <c r="AV90" s="74"/>
      <c r="AW90" s="75" t="str">
        <f t="shared" si="9"/>
        <v/>
      </c>
    </row>
    <row r="91" spans="1:49" ht="14.25" customHeight="1" x14ac:dyDescent="0.3">
      <c r="A91" s="56">
        <v>87</v>
      </c>
      <c r="B91" s="57" t="s">
        <v>5758</v>
      </c>
      <c r="C91" s="58" t="s">
        <v>5759</v>
      </c>
      <c r="D91" s="56" t="s">
        <v>5693</v>
      </c>
      <c r="E91" s="59">
        <v>46126</v>
      </c>
      <c r="F91" s="60" t="s">
        <v>55</v>
      </c>
      <c r="G91" s="60" t="s">
        <v>58</v>
      </c>
      <c r="H91" s="60" t="s">
        <v>56</v>
      </c>
      <c r="I91" s="60" t="s">
        <v>70</v>
      </c>
      <c r="J91" s="60" t="s">
        <v>58</v>
      </c>
      <c r="K91" s="61"/>
      <c r="L91" s="62" t="s">
        <v>56</v>
      </c>
      <c r="M91" s="63" t="str">
        <f t="shared" si="5"/>
        <v>✓ OK</v>
      </c>
      <c r="N91" s="64"/>
      <c r="O91" s="64"/>
      <c r="P91" s="64"/>
      <c r="Q91" s="64"/>
      <c r="R91" s="64"/>
      <c r="S91" s="64"/>
      <c r="T91" s="61"/>
      <c r="U91" s="65"/>
      <c r="V91" s="66" t="str">
        <f t="shared" si="6"/>
        <v/>
      </c>
      <c r="W91" s="67"/>
      <c r="X91" s="67"/>
      <c r="Y91" s="67"/>
      <c r="Z91" s="67"/>
      <c r="AA91" s="67"/>
      <c r="AB91" s="67"/>
      <c r="AC91" s="61"/>
      <c r="AD91" s="68"/>
      <c r="AE91" s="69" t="str">
        <f t="shared" si="7"/>
        <v/>
      </c>
      <c r="AF91" s="70"/>
      <c r="AG91" s="70"/>
      <c r="AH91" s="70"/>
      <c r="AI91" s="70"/>
      <c r="AJ91" s="70"/>
      <c r="AK91" s="70"/>
      <c r="AL91" s="61"/>
      <c r="AM91" s="71"/>
      <c r="AN91" s="72" t="str">
        <f t="shared" si="8"/>
        <v/>
      </c>
      <c r="AO91" s="73"/>
      <c r="AP91" s="73"/>
      <c r="AQ91" s="73"/>
      <c r="AR91" s="73"/>
      <c r="AS91" s="73"/>
      <c r="AT91" s="73"/>
      <c r="AU91" s="61"/>
      <c r="AV91" s="74"/>
      <c r="AW91" s="75" t="str">
        <f t="shared" si="9"/>
        <v/>
      </c>
    </row>
    <row r="92" spans="1:49" ht="14.25" customHeight="1" x14ac:dyDescent="0.3">
      <c r="A92" s="76">
        <v>88</v>
      </c>
      <c r="B92" s="77" t="s">
        <v>5760</v>
      </c>
      <c r="C92" s="78" t="s">
        <v>5761</v>
      </c>
      <c r="D92" s="76" t="s">
        <v>5693</v>
      </c>
      <c r="E92" s="59">
        <v>46126</v>
      </c>
      <c r="F92" s="60" t="s">
        <v>55</v>
      </c>
      <c r="G92" s="60" t="s">
        <v>58</v>
      </c>
      <c r="H92" s="60" t="s">
        <v>56</v>
      </c>
      <c r="I92" s="60" t="s">
        <v>70</v>
      </c>
      <c r="J92" s="60" t="s">
        <v>58</v>
      </c>
      <c r="K92" s="61"/>
      <c r="L92" s="62" t="s">
        <v>56</v>
      </c>
      <c r="M92" s="63" t="str">
        <f t="shared" si="5"/>
        <v>✓ OK</v>
      </c>
      <c r="N92" s="64"/>
      <c r="O92" s="64"/>
      <c r="P92" s="64"/>
      <c r="Q92" s="64"/>
      <c r="R92" s="64"/>
      <c r="S92" s="64"/>
      <c r="T92" s="61"/>
      <c r="U92" s="65"/>
      <c r="V92" s="66" t="str">
        <f t="shared" si="6"/>
        <v/>
      </c>
      <c r="W92" s="67"/>
      <c r="X92" s="67"/>
      <c r="Y92" s="67"/>
      <c r="Z92" s="67"/>
      <c r="AA92" s="67"/>
      <c r="AB92" s="67"/>
      <c r="AC92" s="61"/>
      <c r="AD92" s="68"/>
      <c r="AE92" s="69" t="str">
        <f t="shared" si="7"/>
        <v/>
      </c>
      <c r="AF92" s="70"/>
      <c r="AG92" s="70"/>
      <c r="AH92" s="70"/>
      <c r="AI92" s="70"/>
      <c r="AJ92" s="70"/>
      <c r="AK92" s="70"/>
      <c r="AL92" s="61"/>
      <c r="AM92" s="71"/>
      <c r="AN92" s="72" t="str">
        <f t="shared" si="8"/>
        <v/>
      </c>
      <c r="AO92" s="73"/>
      <c r="AP92" s="73"/>
      <c r="AQ92" s="73"/>
      <c r="AR92" s="73"/>
      <c r="AS92" s="73"/>
      <c r="AT92" s="73"/>
      <c r="AU92" s="61"/>
      <c r="AV92" s="74"/>
      <c r="AW92" s="75" t="str">
        <f t="shared" si="9"/>
        <v/>
      </c>
    </row>
    <row r="93" spans="1:49" ht="14.25" customHeight="1" x14ac:dyDescent="0.3">
      <c r="A93" s="56">
        <v>89</v>
      </c>
      <c r="B93" s="57" t="s">
        <v>5762</v>
      </c>
      <c r="C93" s="58" t="s">
        <v>5763</v>
      </c>
      <c r="D93" s="56" t="s">
        <v>5693</v>
      </c>
      <c r="E93" s="59">
        <v>46126</v>
      </c>
      <c r="F93" s="60" t="s">
        <v>55</v>
      </c>
      <c r="G93" s="60" t="s">
        <v>58</v>
      </c>
      <c r="H93" s="60" t="s">
        <v>56</v>
      </c>
      <c r="I93" s="60" t="s">
        <v>70</v>
      </c>
      <c r="J93" s="60" t="s">
        <v>58</v>
      </c>
      <c r="K93" s="61"/>
      <c r="L93" s="62" t="s">
        <v>56</v>
      </c>
      <c r="M93" s="63" t="str">
        <f t="shared" si="5"/>
        <v>✓ OK</v>
      </c>
      <c r="N93" s="64"/>
      <c r="O93" s="64"/>
      <c r="P93" s="64"/>
      <c r="Q93" s="64"/>
      <c r="R93" s="64"/>
      <c r="S93" s="64"/>
      <c r="T93" s="61"/>
      <c r="U93" s="65"/>
      <c r="V93" s="66" t="str">
        <f t="shared" si="6"/>
        <v/>
      </c>
      <c r="W93" s="67"/>
      <c r="X93" s="67"/>
      <c r="Y93" s="67"/>
      <c r="Z93" s="67"/>
      <c r="AA93" s="67"/>
      <c r="AB93" s="67"/>
      <c r="AC93" s="61"/>
      <c r="AD93" s="68"/>
      <c r="AE93" s="69" t="str">
        <f t="shared" si="7"/>
        <v/>
      </c>
      <c r="AF93" s="70"/>
      <c r="AG93" s="70"/>
      <c r="AH93" s="70"/>
      <c r="AI93" s="70"/>
      <c r="AJ93" s="70"/>
      <c r="AK93" s="70"/>
      <c r="AL93" s="61"/>
      <c r="AM93" s="71"/>
      <c r="AN93" s="72" t="str">
        <f t="shared" si="8"/>
        <v/>
      </c>
      <c r="AO93" s="73"/>
      <c r="AP93" s="73"/>
      <c r="AQ93" s="73"/>
      <c r="AR93" s="73"/>
      <c r="AS93" s="73"/>
      <c r="AT93" s="73"/>
      <c r="AU93" s="61"/>
      <c r="AV93" s="74"/>
      <c r="AW93" s="75" t="str">
        <f t="shared" si="9"/>
        <v/>
      </c>
    </row>
    <row r="94" spans="1:49" ht="14.25" customHeight="1" x14ac:dyDescent="0.3">
      <c r="A94" s="76">
        <v>90</v>
      </c>
      <c r="B94" s="77" t="s">
        <v>5764</v>
      </c>
      <c r="C94" s="78" t="s">
        <v>5765</v>
      </c>
      <c r="D94" s="76" t="s">
        <v>5693</v>
      </c>
      <c r="E94" s="59">
        <v>46126</v>
      </c>
      <c r="F94" s="60" t="s">
        <v>55</v>
      </c>
      <c r="G94" s="60" t="s">
        <v>58</v>
      </c>
      <c r="H94" s="60" t="s">
        <v>56</v>
      </c>
      <c r="I94" s="60" t="s">
        <v>70</v>
      </c>
      <c r="J94" s="60" t="s">
        <v>58</v>
      </c>
      <c r="K94" s="61"/>
      <c r="L94" s="62" t="s">
        <v>56</v>
      </c>
      <c r="M94" s="63" t="str">
        <f t="shared" si="5"/>
        <v>✓ OK</v>
      </c>
      <c r="N94" s="64"/>
      <c r="O94" s="64"/>
      <c r="P94" s="64"/>
      <c r="Q94" s="64"/>
      <c r="R94" s="64"/>
      <c r="S94" s="64"/>
      <c r="T94" s="61"/>
      <c r="U94" s="65"/>
      <c r="V94" s="66" t="str">
        <f t="shared" si="6"/>
        <v/>
      </c>
      <c r="W94" s="67"/>
      <c r="X94" s="67"/>
      <c r="Y94" s="67"/>
      <c r="Z94" s="67"/>
      <c r="AA94" s="67"/>
      <c r="AB94" s="67"/>
      <c r="AC94" s="61"/>
      <c r="AD94" s="68"/>
      <c r="AE94" s="69" t="str">
        <f t="shared" si="7"/>
        <v/>
      </c>
      <c r="AF94" s="70"/>
      <c r="AG94" s="70"/>
      <c r="AH94" s="70"/>
      <c r="AI94" s="70"/>
      <c r="AJ94" s="70"/>
      <c r="AK94" s="70"/>
      <c r="AL94" s="61"/>
      <c r="AM94" s="71"/>
      <c r="AN94" s="72" t="str">
        <f t="shared" si="8"/>
        <v/>
      </c>
      <c r="AO94" s="73"/>
      <c r="AP94" s="73"/>
      <c r="AQ94" s="73"/>
      <c r="AR94" s="73"/>
      <c r="AS94" s="73"/>
      <c r="AT94" s="73"/>
      <c r="AU94" s="61"/>
      <c r="AV94" s="74"/>
      <c r="AW94" s="75" t="str">
        <f t="shared" si="9"/>
        <v/>
      </c>
    </row>
    <row r="95" spans="1:49" ht="14.25" customHeight="1" x14ac:dyDescent="0.3">
      <c r="A95" s="56">
        <v>91</v>
      </c>
      <c r="B95" s="57" t="s">
        <v>5766</v>
      </c>
      <c r="C95" s="58" t="s">
        <v>5767</v>
      </c>
      <c r="D95" s="56" t="s">
        <v>5693</v>
      </c>
      <c r="E95" s="59">
        <v>46126</v>
      </c>
      <c r="F95" s="60" t="s">
        <v>55</v>
      </c>
      <c r="G95" s="60" t="s">
        <v>58</v>
      </c>
      <c r="H95" s="60" t="s">
        <v>56</v>
      </c>
      <c r="I95" s="60" t="s">
        <v>70</v>
      </c>
      <c r="J95" s="60" t="s">
        <v>58</v>
      </c>
      <c r="K95" s="61"/>
      <c r="L95" s="62" t="s">
        <v>56</v>
      </c>
      <c r="M95" s="63" t="str">
        <f t="shared" si="5"/>
        <v>✓ OK</v>
      </c>
      <c r="N95" s="64"/>
      <c r="O95" s="64"/>
      <c r="P95" s="64"/>
      <c r="Q95" s="64"/>
      <c r="R95" s="64"/>
      <c r="S95" s="64"/>
      <c r="T95" s="61"/>
      <c r="U95" s="65"/>
      <c r="V95" s="66" t="str">
        <f t="shared" si="6"/>
        <v/>
      </c>
      <c r="W95" s="67"/>
      <c r="X95" s="67"/>
      <c r="Y95" s="67"/>
      <c r="Z95" s="67"/>
      <c r="AA95" s="67"/>
      <c r="AB95" s="67"/>
      <c r="AC95" s="61"/>
      <c r="AD95" s="68"/>
      <c r="AE95" s="69" t="str">
        <f t="shared" si="7"/>
        <v/>
      </c>
      <c r="AF95" s="70"/>
      <c r="AG95" s="70"/>
      <c r="AH95" s="70"/>
      <c r="AI95" s="70"/>
      <c r="AJ95" s="70"/>
      <c r="AK95" s="70"/>
      <c r="AL95" s="61"/>
      <c r="AM95" s="71"/>
      <c r="AN95" s="72" t="str">
        <f t="shared" si="8"/>
        <v/>
      </c>
      <c r="AO95" s="73"/>
      <c r="AP95" s="73"/>
      <c r="AQ95" s="73"/>
      <c r="AR95" s="73"/>
      <c r="AS95" s="73"/>
      <c r="AT95" s="73"/>
      <c r="AU95" s="61"/>
      <c r="AV95" s="74"/>
      <c r="AW95" s="75" t="str">
        <f t="shared" si="9"/>
        <v/>
      </c>
    </row>
    <row r="96" spans="1:49" ht="14.25" customHeight="1" x14ac:dyDescent="0.3">
      <c r="A96" s="76">
        <v>92</v>
      </c>
      <c r="B96" s="77" t="s">
        <v>5768</v>
      </c>
      <c r="C96" s="78" t="s">
        <v>5769</v>
      </c>
      <c r="D96" s="76" t="s">
        <v>5693</v>
      </c>
      <c r="E96" s="59">
        <v>46126</v>
      </c>
      <c r="F96" s="60" t="s">
        <v>55</v>
      </c>
      <c r="G96" s="60" t="s">
        <v>58</v>
      </c>
      <c r="H96" s="60" t="s">
        <v>56</v>
      </c>
      <c r="I96" s="60" t="s">
        <v>70</v>
      </c>
      <c r="J96" s="60" t="s">
        <v>58</v>
      </c>
      <c r="K96" s="61"/>
      <c r="L96" s="62" t="s">
        <v>56</v>
      </c>
      <c r="M96" s="63" t="str">
        <f t="shared" si="5"/>
        <v>✓ OK</v>
      </c>
      <c r="N96" s="64"/>
      <c r="O96" s="64"/>
      <c r="P96" s="64"/>
      <c r="Q96" s="64"/>
      <c r="R96" s="64"/>
      <c r="S96" s="64"/>
      <c r="T96" s="61"/>
      <c r="U96" s="65"/>
      <c r="V96" s="66" t="str">
        <f t="shared" si="6"/>
        <v/>
      </c>
      <c r="W96" s="67"/>
      <c r="X96" s="67"/>
      <c r="Y96" s="67"/>
      <c r="Z96" s="67"/>
      <c r="AA96" s="67"/>
      <c r="AB96" s="67"/>
      <c r="AC96" s="61"/>
      <c r="AD96" s="68"/>
      <c r="AE96" s="69" t="str">
        <f t="shared" si="7"/>
        <v/>
      </c>
      <c r="AF96" s="70"/>
      <c r="AG96" s="70"/>
      <c r="AH96" s="70"/>
      <c r="AI96" s="70"/>
      <c r="AJ96" s="70"/>
      <c r="AK96" s="70"/>
      <c r="AL96" s="61"/>
      <c r="AM96" s="71"/>
      <c r="AN96" s="72" t="str">
        <f t="shared" si="8"/>
        <v/>
      </c>
      <c r="AO96" s="73"/>
      <c r="AP96" s="73"/>
      <c r="AQ96" s="73"/>
      <c r="AR96" s="73"/>
      <c r="AS96" s="73"/>
      <c r="AT96" s="73"/>
      <c r="AU96" s="61"/>
      <c r="AV96" s="74"/>
      <c r="AW96" s="75" t="str">
        <f t="shared" si="9"/>
        <v/>
      </c>
    </row>
    <row r="97" spans="1:49" ht="14.25" customHeight="1" x14ac:dyDescent="0.3">
      <c r="A97" s="56">
        <v>93</v>
      </c>
      <c r="B97" s="57" t="s">
        <v>5770</v>
      </c>
      <c r="C97" s="58" t="s">
        <v>5771</v>
      </c>
      <c r="D97" s="56" t="s">
        <v>5693</v>
      </c>
      <c r="E97" s="59">
        <v>46126</v>
      </c>
      <c r="F97" s="60" t="s">
        <v>55</v>
      </c>
      <c r="G97" s="60" t="s">
        <v>58</v>
      </c>
      <c r="H97" s="60" t="s">
        <v>56</v>
      </c>
      <c r="I97" s="60" t="s">
        <v>70</v>
      </c>
      <c r="J97" s="60" t="s">
        <v>58</v>
      </c>
      <c r="K97" s="61"/>
      <c r="L97" s="62" t="s">
        <v>56</v>
      </c>
      <c r="M97" s="63" t="str">
        <f t="shared" si="5"/>
        <v>✓ OK</v>
      </c>
      <c r="N97" s="64"/>
      <c r="O97" s="64"/>
      <c r="P97" s="64"/>
      <c r="Q97" s="64"/>
      <c r="R97" s="64"/>
      <c r="S97" s="64"/>
      <c r="T97" s="61"/>
      <c r="U97" s="65"/>
      <c r="V97" s="66" t="str">
        <f t="shared" si="6"/>
        <v/>
      </c>
      <c r="W97" s="67"/>
      <c r="X97" s="67"/>
      <c r="Y97" s="67"/>
      <c r="Z97" s="67"/>
      <c r="AA97" s="67"/>
      <c r="AB97" s="67"/>
      <c r="AC97" s="61"/>
      <c r="AD97" s="68"/>
      <c r="AE97" s="69" t="str">
        <f t="shared" si="7"/>
        <v/>
      </c>
      <c r="AF97" s="70"/>
      <c r="AG97" s="70"/>
      <c r="AH97" s="70"/>
      <c r="AI97" s="70"/>
      <c r="AJ97" s="70"/>
      <c r="AK97" s="70"/>
      <c r="AL97" s="61"/>
      <c r="AM97" s="71"/>
      <c r="AN97" s="72" t="str">
        <f t="shared" si="8"/>
        <v/>
      </c>
      <c r="AO97" s="73"/>
      <c r="AP97" s="73"/>
      <c r="AQ97" s="73"/>
      <c r="AR97" s="73"/>
      <c r="AS97" s="73"/>
      <c r="AT97" s="73"/>
      <c r="AU97" s="61"/>
      <c r="AV97" s="74"/>
      <c r="AW97" s="75" t="str">
        <f t="shared" si="9"/>
        <v/>
      </c>
    </row>
    <row r="98" spans="1:49" ht="14.25" customHeight="1" x14ac:dyDescent="0.3">
      <c r="A98" s="76">
        <v>94</v>
      </c>
      <c r="B98" s="77" t="s">
        <v>5772</v>
      </c>
      <c r="C98" s="78" t="s">
        <v>5773</v>
      </c>
      <c r="D98" s="76" t="s">
        <v>5774</v>
      </c>
      <c r="E98" s="59">
        <v>46126</v>
      </c>
      <c r="F98" s="60" t="s">
        <v>55</v>
      </c>
      <c r="G98" s="60" t="s">
        <v>58</v>
      </c>
      <c r="H98" s="60" t="s">
        <v>56</v>
      </c>
      <c r="I98" s="60" t="s">
        <v>70</v>
      </c>
      <c r="J98" s="60" t="s">
        <v>58</v>
      </c>
      <c r="K98" s="61"/>
      <c r="L98" s="62" t="s">
        <v>56</v>
      </c>
      <c r="M98" s="63" t="str">
        <f t="shared" si="5"/>
        <v>✓ OK</v>
      </c>
      <c r="N98" s="64"/>
      <c r="O98" s="64"/>
      <c r="P98" s="64"/>
      <c r="Q98" s="64"/>
      <c r="R98" s="64"/>
      <c r="S98" s="64"/>
      <c r="T98" s="61"/>
      <c r="U98" s="65"/>
      <c r="V98" s="66" t="str">
        <f t="shared" si="6"/>
        <v/>
      </c>
      <c r="W98" s="67"/>
      <c r="X98" s="67"/>
      <c r="Y98" s="67"/>
      <c r="Z98" s="67"/>
      <c r="AA98" s="67"/>
      <c r="AB98" s="67"/>
      <c r="AC98" s="61"/>
      <c r="AD98" s="68"/>
      <c r="AE98" s="69" t="str">
        <f t="shared" si="7"/>
        <v/>
      </c>
      <c r="AF98" s="70"/>
      <c r="AG98" s="70"/>
      <c r="AH98" s="70"/>
      <c r="AI98" s="70"/>
      <c r="AJ98" s="70"/>
      <c r="AK98" s="70"/>
      <c r="AL98" s="61"/>
      <c r="AM98" s="71"/>
      <c r="AN98" s="72" t="str">
        <f t="shared" si="8"/>
        <v/>
      </c>
      <c r="AO98" s="73"/>
      <c r="AP98" s="73"/>
      <c r="AQ98" s="73"/>
      <c r="AR98" s="73"/>
      <c r="AS98" s="73"/>
      <c r="AT98" s="73"/>
      <c r="AU98" s="61"/>
      <c r="AV98" s="74"/>
      <c r="AW98" s="75" t="str">
        <f t="shared" si="9"/>
        <v/>
      </c>
    </row>
    <row r="99" spans="1:49" ht="14.25" customHeight="1" x14ac:dyDescent="0.3">
      <c r="A99" s="56">
        <v>95</v>
      </c>
      <c r="B99" s="57" t="s">
        <v>5775</v>
      </c>
      <c r="C99" s="58" t="s">
        <v>5776</v>
      </c>
      <c r="D99" s="56" t="s">
        <v>5774</v>
      </c>
      <c r="E99" s="59">
        <v>46126</v>
      </c>
      <c r="F99" s="60" t="s">
        <v>55</v>
      </c>
      <c r="G99" s="60" t="s">
        <v>58</v>
      </c>
      <c r="H99" s="60" t="s">
        <v>56</v>
      </c>
      <c r="I99" s="60" t="s">
        <v>70</v>
      </c>
      <c r="J99" s="60" t="s">
        <v>58</v>
      </c>
      <c r="K99" s="61"/>
      <c r="L99" s="62" t="s">
        <v>56</v>
      </c>
      <c r="M99" s="63" t="str">
        <f t="shared" si="5"/>
        <v>✓ OK</v>
      </c>
      <c r="N99" s="64"/>
      <c r="O99" s="64"/>
      <c r="P99" s="64"/>
      <c r="Q99" s="64"/>
      <c r="R99" s="64"/>
      <c r="S99" s="64"/>
      <c r="T99" s="61"/>
      <c r="U99" s="65"/>
      <c r="V99" s="66" t="str">
        <f t="shared" si="6"/>
        <v/>
      </c>
      <c r="W99" s="67"/>
      <c r="X99" s="67"/>
      <c r="Y99" s="67"/>
      <c r="Z99" s="67"/>
      <c r="AA99" s="67"/>
      <c r="AB99" s="67"/>
      <c r="AC99" s="61"/>
      <c r="AD99" s="68"/>
      <c r="AE99" s="69" t="str">
        <f t="shared" si="7"/>
        <v/>
      </c>
      <c r="AF99" s="70"/>
      <c r="AG99" s="70"/>
      <c r="AH99" s="70"/>
      <c r="AI99" s="70"/>
      <c r="AJ99" s="70"/>
      <c r="AK99" s="70"/>
      <c r="AL99" s="61"/>
      <c r="AM99" s="71"/>
      <c r="AN99" s="72" t="str">
        <f t="shared" si="8"/>
        <v/>
      </c>
      <c r="AO99" s="73"/>
      <c r="AP99" s="73"/>
      <c r="AQ99" s="73"/>
      <c r="AR99" s="73"/>
      <c r="AS99" s="73"/>
      <c r="AT99" s="73"/>
      <c r="AU99" s="61"/>
      <c r="AV99" s="74"/>
      <c r="AW99" s="75" t="str">
        <f t="shared" si="9"/>
        <v/>
      </c>
    </row>
    <row r="100" spans="1:49" ht="14.25" customHeight="1" x14ac:dyDescent="0.3">
      <c r="A100" s="76">
        <v>96</v>
      </c>
      <c r="B100" s="77" t="s">
        <v>5777</v>
      </c>
      <c r="C100" s="78" t="s">
        <v>5778</v>
      </c>
      <c r="D100" s="76" t="s">
        <v>5774</v>
      </c>
      <c r="E100" s="59">
        <v>46126</v>
      </c>
      <c r="F100" s="60" t="s">
        <v>55</v>
      </c>
      <c r="G100" s="60" t="s">
        <v>58</v>
      </c>
      <c r="H100" s="60" t="s">
        <v>56</v>
      </c>
      <c r="I100" s="60" t="s">
        <v>70</v>
      </c>
      <c r="J100" s="60" t="s">
        <v>58</v>
      </c>
      <c r="K100" s="61"/>
      <c r="L100" s="62" t="s">
        <v>56</v>
      </c>
      <c r="M100" s="63" t="str">
        <f t="shared" si="5"/>
        <v>✓ OK</v>
      </c>
      <c r="N100" s="64"/>
      <c r="O100" s="64"/>
      <c r="P100" s="64"/>
      <c r="Q100" s="64"/>
      <c r="R100" s="64"/>
      <c r="S100" s="64"/>
      <c r="T100" s="61"/>
      <c r="U100" s="65"/>
      <c r="V100" s="66" t="str">
        <f t="shared" si="6"/>
        <v/>
      </c>
      <c r="W100" s="67"/>
      <c r="X100" s="67"/>
      <c r="Y100" s="67"/>
      <c r="Z100" s="67"/>
      <c r="AA100" s="67"/>
      <c r="AB100" s="67"/>
      <c r="AC100" s="61"/>
      <c r="AD100" s="68"/>
      <c r="AE100" s="69" t="str">
        <f t="shared" si="7"/>
        <v/>
      </c>
      <c r="AF100" s="70"/>
      <c r="AG100" s="70"/>
      <c r="AH100" s="70"/>
      <c r="AI100" s="70"/>
      <c r="AJ100" s="70"/>
      <c r="AK100" s="70"/>
      <c r="AL100" s="61"/>
      <c r="AM100" s="71"/>
      <c r="AN100" s="72" t="str">
        <f t="shared" si="8"/>
        <v/>
      </c>
      <c r="AO100" s="73"/>
      <c r="AP100" s="73"/>
      <c r="AQ100" s="73"/>
      <c r="AR100" s="73"/>
      <c r="AS100" s="73"/>
      <c r="AT100" s="73"/>
      <c r="AU100" s="61"/>
      <c r="AV100" s="74"/>
      <c r="AW100" s="75" t="str">
        <f t="shared" si="9"/>
        <v/>
      </c>
    </row>
    <row r="101" spans="1:49" ht="14.25" customHeight="1" x14ac:dyDescent="0.3">
      <c r="A101" s="56">
        <v>97</v>
      </c>
      <c r="B101" s="57" t="s">
        <v>5779</v>
      </c>
      <c r="C101" s="58" t="s">
        <v>5780</v>
      </c>
      <c r="D101" s="56" t="s">
        <v>5774</v>
      </c>
      <c r="E101" s="59">
        <v>46126</v>
      </c>
      <c r="F101" s="60" t="s">
        <v>55</v>
      </c>
      <c r="G101" s="60" t="s">
        <v>58</v>
      </c>
      <c r="H101" s="60" t="s">
        <v>56</v>
      </c>
      <c r="I101" s="60" t="s">
        <v>70</v>
      </c>
      <c r="J101" s="60" t="s">
        <v>58</v>
      </c>
      <c r="K101" s="61"/>
      <c r="L101" s="62" t="s">
        <v>56</v>
      </c>
      <c r="M101" s="63" t="str">
        <f t="shared" si="5"/>
        <v>✓ OK</v>
      </c>
      <c r="N101" s="64"/>
      <c r="O101" s="64"/>
      <c r="P101" s="64"/>
      <c r="Q101" s="64"/>
      <c r="R101" s="64"/>
      <c r="S101" s="64"/>
      <c r="T101" s="61"/>
      <c r="U101" s="65"/>
      <c r="V101" s="66" t="str">
        <f t="shared" si="6"/>
        <v/>
      </c>
      <c r="W101" s="67"/>
      <c r="X101" s="67"/>
      <c r="Y101" s="67"/>
      <c r="Z101" s="67"/>
      <c r="AA101" s="67"/>
      <c r="AB101" s="67"/>
      <c r="AC101" s="61"/>
      <c r="AD101" s="68"/>
      <c r="AE101" s="69" t="str">
        <f t="shared" si="7"/>
        <v/>
      </c>
      <c r="AF101" s="70"/>
      <c r="AG101" s="70"/>
      <c r="AH101" s="70"/>
      <c r="AI101" s="70"/>
      <c r="AJ101" s="70"/>
      <c r="AK101" s="70"/>
      <c r="AL101" s="61"/>
      <c r="AM101" s="71"/>
      <c r="AN101" s="72" t="str">
        <f t="shared" si="8"/>
        <v/>
      </c>
      <c r="AO101" s="73"/>
      <c r="AP101" s="73"/>
      <c r="AQ101" s="73"/>
      <c r="AR101" s="73"/>
      <c r="AS101" s="73"/>
      <c r="AT101" s="73"/>
      <c r="AU101" s="61"/>
      <c r="AV101" s="74"/>
      <c r="AW101" s="75" t="str">
        <f t="shared" si="9"/>
        <v/>
      </c>
    </row>
    <row r="102" spans="1:49" ht="14.25" customHeight="1" x14ac:dyDescent="0.3">
      <c r="A102" s="76">
        <v>98</v>
      </c>
      <c r="B102" s="77" t="s">
        <v>5781</v>
      </c>
      <c r="C102" s="78" t="s">
        <v>5782</v>
      </c>
      <c r="D102" s="76" t="s">
        <v>5774</v>
      </c>
      <c r="E102" s="59">
        <v>46126</v>
      </c>
      <c r="F102" s="60" t="s">
        <v>55</v>
      </c>
      <c r="G102" s="60" t="s">
        <v>58</v>
      </c>
      <c r="H102" s="60" t="s">
        <v>56</v>
      </c>
      <c r="I102" s="60" t="s">
        <v>70</v>
      </c>
      <c r="J102" s="60" t="s">
        <v>58</v>
      </c>
      <c r="K102" s="61"/>
      <c r="L102" s="62" t="s">
        <v>56</v>
      </c>
      <c r="M102" s="63" t="str">
        <f t="shared" si="5"/>
        <v>✓ OK</v>
      </c>
      <c r="N102" s="64"/>
      <c r="O102" s="64"/>
      <c r="P102" s="64"/>
      <c r="Q102" s="64"/>
      <c r="R102" s="64"/>
      <c r="S102" s="64"/>
      <c r="T102" s="61"/>
      <c r="U102" s="65"/>
      <c r="V102" s="66" t="str">
        <f t="shared" si="6"/>
        <v/>
      </c>
      <c r="W102" s="67"/>
      <c r="X102" s="67"/>
      <c r="Y102" s="67"/>
      <c r="Z102" s="67"/>
      <c r="AA102" s="67"/>
      <c r="AB102" s="67"/>
      <c r="AC102" s="61"/>
      <c r="AD102" s="68"/>
      <c r="AE102" s="69" t="str">
        <f t="shared" si="7"/>
        <v/>
      </c>
      <c r="AF102" s="70"/>
      <c r="AG102" s="70"/>
      <c r="AH102" s="70"/>
      <c r="AI102" s="70"/>
      <c r="AJ102" s="70"/>
      <c r="AK102" s="70"/>
      <c r="AL102" s="61"/>
      <c r="AM102" s="71"/>
      <c r="AN102" s="72" t="str">
        <f t="shared" si="8"/>
        <v/>
      </c>
      <c r="AO102" s="73"/>
      <c r="AP102" s="73"/>
      <c r="AQ102" s="73"/>
      <c r="AR102" s="73"/>
      <c r="AS102" s="73"/>
      <c r="AT102" s="73"/>
      <c r="AU102" s="61"/>
      <c r="AV102" s="74"/>
      <c r="AW102" s="75" t="str">
        <f t="shared" si="9"/>
        <v/>
      </c>
    </row>
    <row r="103" spans="1:49" ht="14.25" customHeight="1" x14ac:dyDescent="0.3">
      <c r="A103" s="56">
        <v>99</v>
      </c>
      <c r="B103" s="57" t="s">
        <v>5783</v>
      </c>
      <c r="C103" s="58" t="s">
        <v>5784</v>
      </c>
      <c r="D103" s="56" t="s">
        <v>5774</v>
      </c>
      <c r="E103" s="59">
        <v>46126</v>
      </c>
      <c r="F103" s="60" t="s">
        <v>55</v>
      </c>
      <c r="G103" s="60" t="s">
        <v>58</v>
      </c>
      <c r="H103" s="60" t="s">
        <v>56</v>
      </c>
      <c r="I103" s="60" t="s">
        <v>70</v>
      </c>
      <c r="J103" s="60" t="s">
        <v>58</v>
      </c>
      <c r="K103" s="61"/>
      <c r="L103" s="62" t="s">
        <v>56</v>
      </c>
      <c r="M103" s="63" t="str">
        <f t="shared" si="5"/>
        <v>✓ OK</v>
      </c>
      <c r="N103" s="64"/>
      <c r="O103" s="64"/>
      <c r="P103" s="64"/>
      <c r="Q103" s="64"/>
      <c r="R103" s="64"/>
      <c r="S103" s="64"/>
      <c r="T103" s="61"/>
      <c r="U103" s="65"/>
      <c r="V103" s="66" t="str">
        <f t="shared" si="6"/>
        <v/>
      </c>
      <c r="W103" s="67"/>
      <c r="X103" s="67"/>
      <c r="Y103" s="67"/>
      <c r="Z103" s="67"/>
      <c r="AA103" s="67"/>
      <c r="AB103" s="67"/>
      <c r="AC103" s="61"/>
      <c r="AD103" s="68"/>
      <c r="AE103" s="69" t="str">
        <f t="shared" si="7"/>
        <v/>
      </c>
      <c r="AF103" s="70"/>
      <c r="AG103" s="70"/>
      <c r="AH103" s="70"/>
      <c r="AI103" s="70"/>
      <c r="AJ103" s="70"/>
      <c r="AK103" s="70"/>
      <c r="AL103" s="61"/>
      <c r="AM103" s="71"/>
      <c r="AN103" s="72" t="str">
        <f t="shared" si="8"/>
        <v/>
      </c>
      <c r="AO103" s="73"/>
      <c r="AP103" s="73"/>
      <c r="AQ103" s="73"/>
      <c r="AR103" s="73"/>
      <c r="AS103" s="73"/>
      <c r="AT103" s="73"/>
      <c r="AU103" s="61"/>
      <c r="AV103" s="74"/>
      <c r="AW103" s="75" t="str">
        <f t="shared" si="9"/>
        <v/>
      </c>
    </row>
    <row r="104" spans="1:49" ht="14.25" customHeight="1" x14ac:dyDescent="0.3">
      <c r="A104" s="76">
        <v>100</v>
      </c>
      <c r="B104" s="77" t="s">
        <v>5785</v>
      </c>
      <c r="C104" s="78" t="s">
        <v>5786</v>
      </c>
      <c r="D104" s="76" t="s">
        <v>5774</v>
      </c>
      <c r="E104" s="59">
        <v>46126</v>
      </c>
      <c r="F104" s="60" t="s">
        <v>55</v>
      </c>
      <c r="G104" s="60" t="s">
        <v>58</v>
      </c>
      <c r="H104" s="60" t="s">
        <v>56</v>
      </c>
      <c r="I104" s="60" t="s">
        <v>70</v>
      </c>
      <c r="J104" s="60" t="s">
        <v>58</v>
      </c>
      <c r="K104" s="61"/>
      <c r="L104" s="62" t="s">
        <v>56</v>
      </c>
      <c r="M104" s="63" t="str">
        <f t="shared" si="5"/>
        <v>✓ OK</v>
      </c>
      <c r="N104" s="64"/>
      <c r="O104" s="64"/>
      <c r="P104" s="64"/>
      <c r="Q104" s="64"/>
      <c r="R104" s="64"/>
      <c r="S104" s="64"/>
      <c r="T104" s="61"/>
      <c r="U104" s="65"/>
      <c r="V104" s="66" t="str">
        <f t="shared" si="6"/>
        <v/>
      </c>
      <c r="W104" s="67"/>
      <c r="X104" s="67"/>
      <c r="Y104" s="67"/>
      <c r="Z104" s="67"/>
      <c r="AA104" s="67"/>
      <c r="AB104" s="67"/>
      <c r="AC104" s="61"/>
      <c r="AD104" s="68"/>
      <c r="AE104" s="69" t="str">
        <f t="shared" si="7"/>
        <v/>
      </c>
      <c r="AF104" s="70"/>
      <c r="AG104" s="70"/>
      <c r="AH104" s="70"/>
      <c r="AI104" s="70"/>
      <c r="AJ104" s="70"/>
      <c r="AK104" s="70"/>
      <c r="AL104" s="61"/>
      <c r="AM104" s="71"/>
      <c r="AN104" s="72" t="str">
        <f t="shared" si="8"/>
        <v/>
      </c>
      <c r="AO104" s="73"/>
      <c r="AP104" s="73"/>
      <c r="AQ104" s="73"/>
      <c r="AR104" s="73"/>
      <c r="AS104" s="73"/>
      <c r="AT104" s="73"/>
      <c r="AU104" s="61"/>
      <c r="AV104" s="74"/>
      <c r="AW104" s="75" t="str">
        <f t="shared" si="9"/>
        <v/>
      </c>
    </row>
    <row r="105" spans="1:49" ht="14.25" customHeight="1" x14ac:dyDescent="0.3">
      <c r="A105" s="56">
        <v>101</v>
      </c>
      <c r="B105" s="57" t="s">
        <v>5787</v>
      </c>
      <c r="C105" s="58" t="s">
        <v>5788</v>
      </c>
      <c r="D105" s="56" t="s">
        <v>5774</v>
      </c>
      <c r="E105" s="59">
        <v>46126</v>
      </c>
      <c r="F105" s="60" t="s">
        <v>55</v>
      </c>
      <c r="G105" s="60" t="s">
        <v>58</v>
      </c>
      <c r="H105" s="60" t="s">
        <v>56</v>
      </c>
      <c r="I105" s="60" t="s">
        <v>70</v>
      </c>
      <c r="J105" s="60" t="s">
        <v>58</v>
      </c>
      <c r="K105" s="61"/>
      <c r="L105" s="62" t="s">
        <v>56</v>
      </c>
      <c r="M105" s="63" t="str">
        <f t="shared" si="5"/>
        <v>✓ OK</v>
      </c>
      <c r="N105" s="64"/>
      <c r="O105" s="64"/>
      <c r="P105" s="64"/>
      <c r="Q105" s="64"/>
      <c r="R105" s="64"/>
      <c r="S105" s="64"/>
      <c r="T105" s="61"/>
      <c r="U105" s="65"/>
      <c r="V105" s="66" t="str">
        <f t="shared" si="6"/>
        <v/>
      </c>
      <c r="W105" s="67"/>
      <c r="X105" s="67"/>
      <c r="Y105" s="67"/>
      <c r="Z105" s="67"/>
      <c r="AA105" s="67"/>
      <c r="AB105" s="67"/>
      <c r="AC105" s="61"/>
      <c r="AD105" s="68"/>
      <c r="AE105" s="69" t="str">
        <f t="shared" si="7"/>
        <v/>
      </c>
      <c r="AF105" s="70"/>
      <c r="AG105" s="70"/>
      <c r="AH105" s="70"/>
      <c r="AI105" s="70"/>
      <c r="AJ105" s="70"/>
      <c r="AK105" s="70"/>
      <c r="AL105" s="61"/>
      <c r="AM105" s="71"/>
      <c r="AN105" s="72" t="str">
        <f t="shared" si="8"/>
        <v/>
      </c>
      <c r="AO105" s="73"/>
      <c r="AP105" s="73"/>
      <c r="AQ105" s="73"/>
      <c r="AR105" s="73"/>
      <c r="AS105" s="73"/>
      <c r="AT105" s="73"/>
      <c r="AU105" s="61"/>
      <c r="AV105" s="74"/>
      <c r="AW105" s="75" t="str">
        <f t="shared" si="9"/>
        <v/>
      </c>
    </row>
    <row r="106" spans="1:49" ht="14.25" customHeight="1" x14ac:dyDescent="0.3">
      <c r="A106" s="76">
        <v>102</v>
      </c>
      <c r="B106" s="77" t="s">
        <v>5789</v>
      </c>
      <c r="C106" s="78" t="s">
        <v>5790</v>
      </c>
      <c r="D106" s="76" t="s">
        <v>5774</v>
      </c>
      <c r="E106" s="59">
        <v>46126</v>
      </c>
      <c r="F106" s="60" t="s">
        <v>55</v>
      </c>
      <c r="G106" s="60" t="s">
        <v>58</v>
      </c>
      <c r="H106" s="60" t="s">
        <v>56</v>
      </c>
      <c r="I106" s="60" t="s">
        <v>70</v>
      </c>
      <c r="J106" s="60" t="s">
        <v>58</v>
      </c>
      <c r="K106" s="61"/>
      <c r="L106" s="62" t="s">
        <v>56</v>
      </c>
      <c r="M106" s="63" t="str">
        <f t="shared" si="5"/>
        <v>✓ OK</v>
      </c>
      <c r="N106" s="64"/>
      <c r="O106" s="64"/>
      <c r="P106" s="64"/>
      <c r="Q106" s="64"/>
      <c r="R106" s="64"/>
      <c r="S106" s="64"/>
      <c r="T106" s="61"/>
      <c r="U106" s="65"/>
      <c r="V106" s="66" t="str">
        <f t="shared" si="6"/>
        <v/>
      </c>
      <c r="W106" s="67"/>
      <c r="X106" s="67"/>
      <c r="Y106" s="67"/>
      <c r="Z106" s="67"/>
      <c r="AA106" s="67"/>
      <c r="AB106" s="67"/>
      <c r="AC106" s="61"/>
      <c r="AD106" s="68"/>
      <c r="AE106" s="69" t="str">
        <f t="shared" si="7"/>
        <v/>
      </c>
      <c r="AF106" s="70"/>
      <c r="AG106" s="70"/>
      <c r="AH106" s="70"/>
      <c r="AI106" s="70"/>
      <c r="AJ106" s="70"/>
      <c r="AK106" s="70"/>
      <c r="AL106" s="61"/>
      <c r="AM106" s="71"/>
      <c r="AN106" s="72" t="str">
        <f t="shared" si="8"/>
        <v/>
      </c>
      <c r="AO106" s="73"/>
      <c r="AP106" s="73"/>
      <c r="AQ106" s="73"/>
      <c r="AR106" s="73"/>
      <c r="AS106" s="73"/>
      <c r="AT106" s="73"/>
      <c r="AU106" s="61"/>
      <c r="AV106" s="74"/>
      <c r="AW106" s="75" t="str">
        <f t="shared" si="9"/>
        <v/>
      </c>
    </row>
    <row r="107" spans="1:49" ht="14.25" customHeight="1" x14ac:dyDescent="0.3">
      <c r="A107" s="56">
        <v>103</v>
      </c>
      <c r="B107" s="57" t="s">
        <v>5791</v>
      </c>
      <c r="C107" s="58" t="s">
        <v>5792</v>
      </c>
      <c r="D107" s="56" t="s">
        <v>5774</v>
      </c>
      <c r="E107" s="59">
        <v>46126</v>
      </c>
      <c r="F107" s="60" t="s">
        <v>55</v>
      </c>
      <c r="G107" s="60" t="s">
        <v>58</v>
      </c>
      <c r="H107" s="60" t="s">
        <v>56</v>
      </c>
      <c r="I107" s="60" t="s">
        <v>70</v>
      </c>
      <c r="J107" s="60" t="s">
        <v>58</v>
      </c>
      <c r="K107" s="61"/>
      <c r="L107" s="62" t="s">
        <v>56</v>
      </c>
      <c r="M107" s="63" t="str">
        <f t="shared" si="5"/>
        <v>✓ OK</v>
      </c>
      <c r="N107" s="64"/>
      <c r="O107" s="64"/>
      <c r="P107" s="64"/>
      <c r="Q107" s="64"/>
      <c r="R107" s="64"/>
      <c r="S107" s="64"/>
      <c r="T107" s="61"/>
      <c r="U107" s="65"/>
      <c r="V107" s="66" t="str">
        <f t="shared" si="6"/>
        <v/>
      </c>
      <c r="W107" s="67"/>
      <c r="X107" s="67"/>
      <c r="Y107" s="67"/>
      <c r="Z107" s="67"/>
      <c r="AA107" s="67"/>
      <c r="AB107" s="67"/>
      <c r="AC107" s="61"/>
      <c r="AD107" s="68"/>
      <c r="AE107" s="69" t="str">
        <f t="shared" si="7"/>
        <v/>
      </c>
      <c r="AF107" s="70"/>
      <c r="AG107" s="70"/>
      <c r="AH107" s="70"/>
      <c r="AI107" s="70"/>
      <c r="AJ107" s="70"/>
      <c r="AK107" s="70"/>
      <c r="AL107" s="61"/>
      <c r="AM107" s="71"/>
      <c r="AN107" s="72" t="str">
        <f t="shared" si="8"/>
        <v/>
      </c>
      <c r="AO107" s="73"/>
      <c r="AP107" s="73"/>
      <c r="AQ107" s="73"/>
      <c r="AR107" s="73"/>
      <c r="AS107" s="73"/>
      <c r="AT107" s="73"/>
      <c r="AU107" s="61"/>
      <c r="AV107" s="74"/>
      <c r="AW107" s="75" t="str">
        <f t="shared" si="9"/>
        <v/>
      </c>
    </row>
    <row r="108" spans="1:49" ht="14.25" customHeight="1" x14ac:dyDescent="0.3">
      <c r="A108" s="76">
        <v>104</v>
      </c>
      <c r="B108" s="77" t="s">
        <v>5793</v>
      </c>
      <c r="C108" s="78" t="s">
        <v>5794</v>
      </c>
      <c r="D108" s="76" t="s">
        <v>5774</v>
      </c>
      <c r="E108" s="59">
        <v>46126</v>
      </c>
      <c r="F108" s="60" t="s">
        <v>55</v>
      </c>
      <c r="G108" s="60" t="s">
        <v>58</v>
      </c>
      <c r="H108" s="60" t="s">
        <v>56</v>
      </c>
      <c r="I108" s="60" t="s">
        <v>70</v>
      </c>
      <c r="J108" s="60" t="s">
        <v>58</v>
      </c>
      <c r="K108" s="61"/>
      <c r="L108" s="62" t="s">
        <v>56</v>
      </c>
      <c r="M108" s="63" t="str">
        <f t="shared" si="5"/>
        <v>✓ OK</v>
      </c>
      <c r="N108" s="64"/>
      <c r="O108" s="64"/>
      <c r="P108" s="64"/>
      <c r="Q108" s="64"/>
      <c r="R108" s="64"/>
      <c r="S108" s="64"/>
      <c r="T108" s="61"/>
      <c r="U108" s="65"/>
      <c r="V108" s="66" t="str">
        <f t="shared" si="6"/>
        <v/>
      </c>
      <c r="W108" s="67"/>
      <c r="X108" s="67"/>
      <c r="Y108" s="67"/>
      <c r="Z108" s="67"/>
      <c r="AA108" s="67"/>
      <c r="AB108" s="67"/>
      <c r="AC108" s="61"/>
      <c r="AD108" s="68"/>
      <c r="AE108" s="69" t="str">
        <f t="shared" si="7"/>
        <v/>
      </c>
      <c r="AF108" s="70"/>
      <c r="AG108" s="70"/>
      <c r="AH108" s="70"/>
      <c r="AI108" s="70"/>
      <c r="AJ108" s="70"/>
      <c r="AK108" s="70"/>
      <c r="AL108" s="61"/>
      <c r="AM108" s="71"/>
      <c r="AN108" s="72" t="str">
        <f t="shared" si="8"/>
        <v/>
      </c>
      <c r="AO108" s="73"/>
      <c r="AP108" s="73"/>
      <c r="AQ108" s="73"/>
      <c r="AR108" s="73"/>
      <c r="AS108" s="73"/>
      <c r="AT108" s="73"/>
      <c r="AU108" s="61"/>
      <c r="AV108" s="74"/>
      <c r="AW108" s="75" t="str">
        <f t="shared" si="9"/>
        <v/>
      </c>
    </row>
    <row r="109" spans="1:49" ht="14.25" customHeight="1" x14ac:dyDescent="0.3">
      <c r="A109" s="56">
        <v>105</v>
      </c>
      <c r="B109" s="57" t="s">
        <v>5795</v>
      </c>
      <c r="C109" s="58" t="s">
        <v>5796</v>
      </c>
      <c r="D109" s="56" t="s">
        <v>5774</v>
      </c>
      <c r="E109" s="59">
        <v>46126</v>
      </c>
      <c r="F109" s="60" t="s">
        <v>55</v>
      </c>
      <c r="G109" s="60" t="s">
        <v>58</v>
      </c>
      <c r="H109" s="60" t="s">
        <v>56</v>
      </c>
      <c r="I109" s="60" t="s">
        <v>70</v>
      </c>
      <c r="J109" s="60" t="s">
        <v>58</v>
      </c>
      <c r="K109" s="61"/>
      <c r="L109" s="62" t="s">
        <v>56</v>
      </c>
      <c r="M109" s="63" t="str">
        <f t="shared" si="5"/>
        <v>✓ OK</v>
      </c>
      <c r="N109" s="64"/>
      <c r="O109" s="64"/>
      <c r="P109" s="64"/>
      <c r="Q109" s="64"/>
      <c r="R109" s="64"/>
      <c r="S109" s="64"/>
      <c r="T109" s="61"/>
      <c r="U109" s="65"/>
      <c r="V109" s="66" t="str">
        <f t="shared" si="6"/>
        <v/>
      </c>
      <c r="W109" s="67"/>
      <c r="X109" s="67"/>
      <c r="Y109" s="67"/>
      <c r="Z109" s="67"/>
      <c r="AA109" s="67"/>
      <c r="AB109" s="67"/>
      <c r="AC109" s="61"/>
      <c r="AD109" s="68"/>
      <c r="AE109" s="69" t="str">
        <f t="shared" si="7"/>
        <v/>
      </c>
      <c r="AF109" s="70"/>
      <c r="AG109" s="70"/>
      <c r="AH109" s="70"/>
      <c r="AI109" s="70"/>
      <c r="AJ109" s="70"/>
      <c r="AK109" s="70"/>
      <c r="AL109" s="61"/>
      <c r="AM109" s="71"/>
      <c r="AN109" s="72" t="str">
        <f t="shared" si="8"/>
        <v/>
      </c>
      <c r="AO109" s="73"/>
      <c r="AP109" s="73"/>
      <c r="AQ109" s="73"/>
      <c r="AR109" s="73"/>
      <c r="AS109" s="73"/>
      <c r="AT109" s="73"/>
      <c r="AU109" s="61"/>
      <c r="AV109" s="74"/>
      <c r="AW109" s="75" t="str">
        <f t="shared" si="9"/>
        <v/>
      </c>
    </row>
    <row r="110" spans="1:49" ht="14.25" customHeight="1" x14ac:dyDescent="0.3">
      <c r="A110" s="76">
        <v>106</v>
      </c>
      <c r="B110" s="77" t="s">
        <v>5797</v>
      </c>
      <c r="C110" s="78" t="s">
        <v>5798</v>
      </c>
      <c r="D110" s="76" t="s">
        <v>5774</v>
      </c>
      <c r="E110" s="59">
        <v>46126</v>
      </c>
      <c r="F110" s="60" t="s">
        <v>55</v>
      </c>
      <c r="G110" s="60" t="s">
        <v>58</v>
      </c>
      <c r="H110" s="60" t="s">
        <v>56</v>
      </c>
      <c r="I110" s="60" t="s">
        <v>70</v>
      </c>
      <c r="J110" s="60" t="s">
        <v>58</v>
      </c>
      <c r="K110" s="61"/>
      <c r="L110" s="62" t="s">
        <v>56</v>
      </c>
      <c r="M110" s="63" t="str">
        <f t="shared" si="5"/>
        <v>✓ OK</v>
      </c>
      <c r="N110" s="64"/>
      <c r="O110" s="64"/>
      <c r="P110" s="64"/>
      <c r="Q110" s="64"/>
      <c r="R110" s="64"/>
      <c r="S110" s="64"/>
      <c r="T110" s="61"/>
      <c r="U110" s="65"/>
      <c r="V110" s="66" t="str">
        <f t="shared" si="6"/>
        <v/>
      </c>
      <c r="W110" s="67"/>
      <c r="X110" s="67"/>
      <c r="Y110" s="67"/>
      <c r="Z110" s="67"/>
      <c r="AA110" s="67"/>
      <c r="AB110" s="67"/>
      <c r="AC110" s="61"/>
      <c r="AD110" s="68"/>
      <c r="AE110" s="69" t="str">
        <f t="shared" si="7"/>
        <v/>
      </c>
      <c r="AF110" s="70"/>
      <c r="AG110" s="70"/>
      <c r="AH110" s="70"/>
      <c r="AI110" s="70"/>
      <c r="AJ110" s="70"/>
      <c r="AK110" s="70"/>
      <c r="AL110" s="61"/>
      <c r="AM110" s="71"/>
      <c r="AN110" s="72" t="str">
        <f t="shared" si="8"/>
        <v/>
      </c>
      <c r="AO110" s="73"/>
      <c r="AP110" s="73"/>
      <c r="AQ110" s="73"/>
      <c r="AR110" s="73"/>
      <c r="AS110" s="73"/>
      <c r="AT110" s="73"/>
      <c r="AU110" s="61"/>
      <c r="AV110" s="74"/>
      <c r="AW110" s="75" t="str">
        <f t="shared" si="9"/>
        <v/>
      </c>
    </row>
    <row r="111" spans="1:49" ht="14.25" customHeight="1" x14ac:dyDescent="0.3">
      <c r="A111" s="56">
        <v>107</v>
      </c>
      <c r="B111" s="57" t="s">
        <v>5799</v>
      </c>
      <c r="C111" s="58" t="s">
        <v>5800</v>
      </c>
      <c r="D111" s="56" t="s">
        <v>5774</v>
      </c>
      <c r="E111" s="59">
        <v>46126</v>
      </c>
      <c r="F111" s="60" t="s">
        <v>55</v>
      </c>
      <c r="G111" s="60" t="s">
        <v>58</v>
      </c>
      <c r="H111" s="60" t="s">
        <v>56</v>
      </c>
      <c r="I111" s="60" t="s">
        <v>70</v>
      </c>
      <c r="J111" s="60" t="s">
        <v>58</v>
      </c>
      <c r="K111" s="61"/>
      <c r="L111" s="62" t="s">
        <v>56</v>
      </c>
      <c r="M111" s="63" t="str">
        <f t="shared" si="5"/>
        <v>✓ OK</v>
      </c>
      <c r="N111" s="64"/>
      <c r="O111" s="64"/>
      <c r="P111" s="64"/>
      <c r="Q111" s="64"/>
      <c r="R111" s="64"/>
      <c r="S111" s="64"/>
      <c r="T111" s="61"/>
      <c r="U111" s="65"/>
      <c r="V111" s="66" t="str">
        <f t="shared" si="6"/>
        <v/>
      </c>
      <c r="W111" s="67"/>
      <c r="X111" s="67"/>
      <c r="Y111" s="67"/>
      <c r="Z111" s="67"/>
      <c r="AA111" s="67"/>
      <c r="AB111" s="67"/>
      <c r="AC111" s="61"/>
      <c r="AD111" s="68"/>
      <c r="AE111" s="69" t="str">
        <f t="shared" si="7"/>
        <v/>
      </c>
      <c r="AF111" s="70"/>
      <c r="AG111" s="70"/>
      <c r="AH111" s="70"/>
      <c r="AI111" s="70"/>
      <c r="AJ111" s="70"/>
      <c r="AK111" s="70"/>
      <c r="AL111" s="61"/>
      <c r="AM111" s="71"/>
      <c r="AN111" s="72" t="str">
        <f t="shared" si="8"/>
        <v/>
      </c>
      <c r="AO111" s="73"/>
      <c r="AP111" s="73"/>
      <c r="AQ111" s="73"/>
      <c r="AR111" s="73"/>
      <c r="AS111" s="73"/>
      <c r="AT111" s="73"/>
      <c r="AU111" s="61"/>
      <c r="AV111" s="74"/>
      <c r="AW111" s="75" t="str">
        <f t="shared" si="9"/>
        <v/>
      </c>
    </row>
    <row r="112" spans="1:49" ht="14.25" customHeight="1" x14ac:dyDescent="0.3">
      <c r="A112" s="76">
        <v>108</v>
      </c>
      <c r="B112" s="77" t="s">
        <v>5801</v>
      </c>
      <c r="C112" s="78" t="s">
        <v>5802</v>
      </c>
      <c r="D112" s="76" t="s">
        <v>5774</v>
      </c>
      <c r="E112" s="59">
        <v>46126</v>
      </c>
      <c r="F112" s="60" t="s">
        <v>55</v>
      </c>
      <c r="G112" s="60" t="s">
        <v>58</v>
      </c>
      <c r="H112" s="60" t="s">
        <v>56</v>
      </c>
      <c r="I112" s="60" t="s">
        <v>70</v>
      </c>
      <c r="J112" s="60" t="s">
        <v>58</v>
      </c>
      <c r="K112" s="61"/>
      <c r="L112" s="62" t="s">
        <v>56</v>
      </c>
      <c r="M112" s="63" t="str">
        <f t="shared" si="5"/>
        <v>✓ OK</v>
      </c>
      <c r="N112" s="64"/>
      <c r="O112" s="64"/>
      <c r="P112" s="64"/>
      <c r="Q112" s="64"/>
      <c r="R112" s="64"/>
      <c r="S112" s="64"/>
      <c r="T112" s="61"/>
      <c r="U112" s="65"/>
      <c r="V112" s="66" t="str">
        <f t="shared" si="6"/>
        <v/>
      </c>
      <c r="W112" s="67"/>
      <c r="X112" s="67"/>
      <c r="Y112" s="67"/>
      <c r="Z112" s="67"/>
      <c r="AA112" s="67"/>
      <c r="AB112" s="67"/>
      <c r="AC112" s="61"/>
      <c r="AD112" s="68"/>
      <c r="AE112" s="69" t="str">
        <f t="shared" si="7"/>
        <v/>
      </c>
      <c r="AF112" s="70"/>
      <c r="AG112" s="70"/>
      <c r="AH112" s="70"/>
      <c r="AI112" s="70"/>
      <c r="AJ112" s="70"/>
      <c r="AK112" s="70"/>
      <c r="AL112" s="61"/>
      <c r="AM112" s="71"/>
      <c r="AN112" s="72" t="str">
        <f t="shared" si="8"/>
        <v/>
      </c>
      <c r="AO112" s="73"/>
      <c r="AP112" s="73"/>
      <c r="AQ112" s="73"/>
      <c r="AR112" s="73"/>
      <c r="AS112" s="73"/>
      <c r="AT112" s="73"/>
      <c r="AU112" s="61"/>
      <c r="AV112" s="74"/>
      <c r="AW112" s="75" t="str">
        <f t="shared" si="9"/>
        <v/>
      </c>
    </row>
    <row r="113" spans="1:49" ht="14.25" customHeight="1" x14ac:dyDescent="0.3">
      <c r="A113" s="56">
        <v>109</v>
      </c>
      <c r="B113" s="57" t="s">
        <v>5803</v>
      </c>
      <c r="C113" s="58" t="s">
        <v>5804</v>
      </c>
      <c r="D113" s="56" t="s">
        <v>5774</v>
      </c>
      <c r="E113" s="59">
        <v>46126</v>
      </c>
      <c r="F113" s="60" t="s">
        <v>55</v>
      </c>
      <c r="G113" s="60" t="s">
        <v>58</v>
      </c>
      <c r="H113" s="60" t="s">
        <v>56</v>
      </c>
      <c r="I113" s="60" t="s">
        <v>70</v>
      </c>
      <c r="J113" s="60" t="s">
        <v>58</v>
      </c>
      <c r="K113" s="61"/>
      <c r="L113" s="62" t="s">
        <v>56</v>
      </c>
      <c r="M113" s="63" t="str">
        <f t="shared" si="5"/>
        <v>✓ OK</v>
      </c>
      <c r="N113" s="64"/>
      <c r="O113" s="64"/>
      <c r="P113" s="64"/>
      <c r="Q113" s="64"/>
      <c r="R113" s="64"/>
      <c r="S113" s="64"/>
      <c r="T113" s="61"/>
      <c r="U113" s="65"/>
      <c r="V113" s="66" t="str">
        <f t="shared" si="6"/>
        <v/>
      </c>
      <c r="W113" s="67"/>
      <c r="X113" s="67"/>
      <c r="Y113" s="67"/>
      <c r="Z113" s="67"/>
      <c r="AA113" s="67"/>
      <c r="AB113" s="67"/>
      <c r="AC113" s="61"/>
      <c r="AD113" s="68"/>
      <c r="AE113" s="69" t="str">
        <f t="shared" si="7"/>
        <v/>
      </c>
      <c r="AF113" s="70"/>
      <c r="AG113" s="70"/>
      <c r="AH113" s="70"/>
      <c r="AI113" s="70"/>
      <c r="AJ113" s="70"/>
      <c r="AK113" s="70"/>
      <c r="AL113" s="61"/>
      <c r="AM113" s="71"/>
      <c r="AN113" s="72" t="str">
        <f t="shared" si="8"/>
        <v/>
      </c>
      <c r="AO113" s="73"/>
      <c r="AP113" s="73"/>
      <c r="AQ113" s="73"/>
      <c r="AR113" s="73"/>
      <c r="AS113" s="73"/>
      <c r="AT113" s="73"/>
      <c r="AU113" s="61"/>
      <c r="AV113" s="74"/>
      <c r="AW113" s="75" t="str">
        <f t="shared" si="9"/>
        <v/>
      </c>
    </row>
    <row r="114" spans="1:49" ht="14.25" customHeight="1" x14ac:dyDescent="0.3">
      <c r="A114" s="76">
        <v>110</v>
      </c>
      <c r="B114" s="77" t="s">
        <v>5805</v>
      </c>
      <c r="C114" s="78" t="s">
        <v>5806</v>
      </c>
      <c r="D114" s="76" t="s">
        <v>5774</v>
      </c>
      <c r="E114" s="59">
        <v>46126</v>
      </c>
      <c r="F114" s="60" t="s">
        <v>55</v>
      </c>
      <c r="G114" s="60" t="s">
        <v>58</v>
      </c>
      <c r="H114" s="60" t="s">
        <v>56</v>
      </c>
      <c r="I114" s="60" t="s">
        <v>70</v>
      </c>
      <c r="J114" s="60" t="s">
        <v>58</v>
      </c>
      <c r="K114" s="61"/>
      <c r="L114" s="62" t="s">
        <v>56</v>
      </c>
      <c r="M114" s="63" t="str">
        <f t="shared" si="5"/>
        <v>✓ OK</v>
      </c>
      <c r="N114" s="64"/>
      <c r="O114" s="64"/>
      <c r="P114" s="64"/>
      <c r="Q114" s="64"/>
      <c r="R114" s="64"/>
      <c r="S114" s="64"/>
      <c r="T114" s="61"/>
      <c r="U114" s="65"/>
      <c r="V114" s="66" t="str">
        <f t="shared" si="6"/>
        <v/>
      </c>
      <c r="W114" s="67"/>
      <c r="X114" s="67"/>
      <c r="Y114" s="67"/>
      <c r="Z114" s="67"/>
      <c r="AA114" s="67"/>
      <c r="AB114" s="67"/>
      <c r="AC114" s="61"/>
      <c r="AD114" s="68"/>
      <c r="AE114" s="69" t="str">
        <f t="shared" si="7"/>
        <v/>
      </c>
      <c r="AF114" s="70"/>
      <c r="AG114" s="70"/>
      <c r="AH114" s="70"/>
      <c r="AI114" s="70"/>
      <c r="AJ114" s="70"/>
      <c r="AK114" s="70"/>
      <c r="AL114" s="61"/>
      <c r="AM114" s="71"/>
      <c r="AN114" s="72" t="str">
        <f t="shared" si="8"/>
        <v/>
      </c>
      <c r="AO114" s="73"/>
      <c r="AP114" s="73"/>
      <c r="AQ114" s="73"/>
      <c r="AR114" s="73"/>
      <c r="AS114" s="73"/>
      <c r="AT114" s="73"/>
      <c r="AU114" s="61"/>
      <c r="AV114" s="74"/>
      <c r="AW114" s="75" t="str">
        <f t="shared" si="9"/>
        <v/>
      </c>
    </row>
    <row r="115" spans="1:49" ht="14.25" customHeight="1" x14ac:dyDescent="0.3">
      <c r="A115" s="56">
        <v>111</v>
      </c>
      <c r="B115" s="57" t="s">
        <v>5807</v>
      </c>
      <c r="C115" s="58" t="s">
        <v>5808</v>
      </c>
      <c r="D115" s="56" t="s">
        <v>5774</v>
      </c>
      <c r="E115" s="59">
        <v>46126</v>
      </c>
      <c r="F115" s="60" t="s">
        <v>55</v>
      </c>
      <c r="G115" s="60" t="s">
        <v>58</v>
      </c>
      <c r="H115" s="60" t="s">
        <v>56</v>
      </c>
      <c r="I115" s="60" t="s">
        <v>70</v>
      </c>
      <c r="J115" s="60" t="s">
        <v>58</v>
      </c>
      <c r="K115" s="61"/>
      <c r="L115" s="62" t="s">
        <v>56</v>
      </c>
      <c r="M115" s="63" t="str">
        <f t="shared" si="5"/>
        <v>✓ OK</v>
      </c>
      <c r="N115" s="64"/>
      <c r="O115" s="64"/>
      <c r="P115" s="64"/>
      <c r="Q115" s="64"/>
      <c r="R115" s="64"/>
      <c r="S115" s="64"/>
      <c r="T115" s="61"/>
      <c r="U115" s="65"/>
      <c r="V115" s="66" t="str">
        <f t="shared" si="6"/>
        <v/>
      </c>
      <c r="W115" s="67"/>
      <c r="X115" s="67"/>
      <c r="Y115" s="67"/>
      <c r="Z115" s="67"/>
      <c r="AA115" s="67"/>
      <c r="AB115" s="67"/>
      <c r="AC115" s="61"/>
      <c r="AD115" s="68"/>
      <c r="AE115" s="69" t="str">
        <f t="shared" si="7"/>
        <v/>
      </c>
      <c r="AF115" s="70"/>
      <c r="AG115" s="70"/>
      <c r="AH115" s="70"/>
      <c r="AI115" s="70"/>
      <c r="AJ115" s="70"/>
      <c r="AK115" s="70"/>
      <c r="AL115" s="61"/>
      <c r="AM115" s="71"/>
      <c r="AN115" s="72" t="str">
        <f t="shared" si="8"/>
        <v/>
      </c>
      <c r="AO115" s="73"/>
      <c r="AP115" s="73"/>
      <c r="AQ115" s="73"/>
      <c r="AR115" s="73"/>
      <c r="AS115" s="73"/>
      <c r="AT115" s="73"/>
      <c r="AU115" s="61"/>
      <c r="AV115" s="74"/>
      <c r="AW115" s="75" t="str">
        <f t="shared" si="9"/>
        <v/>
      </c>
    </row>
    <row r="116" spans="1:49" ht="14.25" customHeight="1" x14ac:dyDescent="0.3">
      <c r="A116" s="76">
        <v>112</v>
      </c>
      <c r="B116" s="77" t="s">
        <v>5809</v>
      </c>
      <c r="C116" s="78" t="s">
        <v>5810</v>
      </c>
      <c r="D116" s="76" t="s">
        <v>5774</v>
      </c>
      <c r="E116" s="59">
        <v>46126</v>
      </c>
      <c r="F116" s="60" t="s">
        <v>55</v>
      </c>
      <c r="G116" s="60" t="s">
        <v>58</v>
      </c>
      <c r="H116" s="60" t="s">
        <v>56</v>
      </c>
      <c r="I116" s="60" t="s">
        <v>70</v>
      </c>
      <c r="J116" s="60" t="s">
        <v>58</v>
      </c>
      <c r="K116" s="61"/>
      <c r="L116" s="62" t="s">
        <v>56</v>
      </c>
      <c r="M116" s="63" t="str">
        <f t="shared" si="5"/>
        <v>✓ OK</v>
      </c>
      <c r="N116" s="64"/>
      <c r="O116" s="64"/>
      <c r="P116" s="64"/>
      <c r="Q116" s="64"/>
      <c r="R116" s="64"/>
      <c r="S116" s="64"/>
      <c r="T116" s="61"/>
      <c r="U116" s="65"/>
      <c r="V116" s="66" t="str">
        <f t="shared" si="6"/>
        <v/>
      </c>
      <c r="W116" s="67"/>
      <c r="X116" s="67"/>
      <c r="Y116" s="67"/>
      <c r="Z116" s="67"/>
      <c r="AA116" s="67"/>
      <c r="AB116" s="67"/>
      <c r="AC116" s="61"/>
      <c r="AD116" s="68"/>
      <c r="AE116" s="69" t="str">
        <f t="shared" si="7"/>
        <v/>
      </c>
      <c r="AF116" s="70"/>
      <c r="AG116" s="70"/>
      <c r="AH116" s="70"/>
      <c r="AI116" s="70"/>
      <c r="AJ116" s="70"/>
      <c r="AK116" s="70"/>
      <c r="AL116" s="61"/>
      <c r="AM116" s="71"/>
      <c r="AN116" s="72" t="str">
        <f t="shared" si="8"/>
        <v/>
      </c>
      <c r="AO116" s="73"/>
      <c r="AP116" s="73"/>
      <c r="AQ116" s="73"/>
      <c r="AR116" s="73"/>
      <c r="AS116" s="73"/>
      <c r="AT116" s="73"/>
      <c r="AU116" s="61"/>
      <c r="AV116" s="74"/>
      <c r="AW116" s="75" t="str">
        <f t="shared" si="9"/>
        <v/>
      </c>
    </row>
    <row r="117" spans="1:49" ht="14.25" customHeight="1" x14ac:dyDescent="0.3">
      <c r="A117" s="56">
        <v>113</v>
      </c>
      <c r="B117" s="57" t="s">
        <v>5811</v>
      </c>
      <c r="C117" s="58" t="s">
        <v>5812</v>
      </c>
      <c r="D117" s="56" t="s">
        <v>5774</v>
      </c>
      <c r="E117" s="59">
        <v>46126</v>
      </c>
      <c r="F117" s="60" t="s">
        <v>55</v>
      </c>
      <c r="G117" s="60" t="s">
        <v>58</v>
      </c>
      <c r="H117" s="60" t="s">
        <v>56</v>
      </c>
      <c r="I117" s="60" t="s">
        <v>70</v>
      </c>
      <c r="J117" s="60" t="s">
        <v>58</v>
      </c>
      <c r="K117" s="61"/>
      <c r="L117" s="62" t="s">
        <v>56</v>
      </c>
      <c r="M117" s="63" t="str">
        <f t="shared" si="5"/>
        <v>✓ OK</v>
      </c>
      <c r="N117" s="64"/>
      <c r="O117" s="64"/>
      <c r="P117" s="64"/>
      <c r="Q117" s="64"/>
      <c r="R117" s="64"/>
      <c r="S117" s="64"/>
      <c r="T117" s="61"/>
      <c r="U117" s="65"/>
      <c r="V117" s="66" t="str">
        <f t="shared" si="6"/>
        <v/>
      </c>
      <c r="W117" s="67"/>
      <c r="X117" s="67"/>
      <c r="Y117" s="67"/>
      <c r="Z117" s="67"/>
      <c r="AA117" s="67"/>
      <c r="AB117" s="67"/>
      <c r="AC117" s="61"/>
      <c r="AD117" s="68"/>
      <c r="AE117" s="69" t="str">
        <f t="shared" si="7"/>
        <v/>
      </c>
      <c r="AF117" s="70"/>
      <c r="AG117" s="70"/>
      <c r="AH117" s="70"/>
      <c r="AI117" s="70"/>
      <c r="AJ117" s="70"/>
      <c r="AK117" s="70"/>
      <c r="AL117" s="61"/>
      <c r="AM117" s="71"/>
      <c r="AN117" s="72" t="str">
        <f t="shared" si="8"/>
        <v/>
      </c>
      <c r="AO117" s="73"/>
      <c r="AP117" s="73"/>
      <c r="AQ117" s="73"/>
      <c r="AR117" s="73"/>
      <c r="AS117" s="73"/>
      <c r="AT117" s="73"/>
      <c r="AU117" s="61"/>
      <c r="AV117" s="74"/>
      <c r="AW117" s="75" t="str">
        <f t="shared" si="9"/>
        <v/>
      </c>
    </row>
    <row r="118" spans="1:49" ht="14.25" customHeight="1" x14ac:dyDescent="0.3">
      <c r="A118" s="76">
        <v>114</v>
      </c>
      <c r="B118" s="77" t="s">
        <v>5813</v>
      </c>
      <c r="C118" s="78" t="s">
        <v>5814</v>
      </c>
      <c r="D118" s="76" t="s">
        <v>5774</v>
      </c>
      <c r="E118" s="59">
        <v>46126</v>
      </c>
      <c r="F118" s="60" t="s">
        <v>55</v>
      </c>
      <c r="G118" s="60" t="s">
        <v>58</v>
      </c>
      <c r="H118" s="60" t="s">
        <v>56</v>
      </c>
      <c r="I118" s="60" t="s">
        <v>70</v>
      </c>
      <c r="J118" s="60" t="s">
        <v>58</v>
      </c>
      <c r="K118" s="61"/>
      <c r="L118" s="62" t="s">
        <v>56</v>
      </c>
      <c r="M118" s="63" t="str">
        <f t="shared" si="5"/>
        <v>✓ OK</v>
      </c>
      <c r="N118" s="64"/>
      <c r="O118" s="64"/>
      <c r="P118" s="64"/>
      <c r="Q118" s="64"/>
      <c r="R118" s="64"/>
      <c r="S118" s="64"/>
      <c r="T118" s="61"/>
      <c r="U118" s="65"/>
      <c r="V118" s="66" t="str">
        <f t="shared" si="6"/>
        <v/>
      </c>
      <c r="W118" s="67"/>
      <c r="X118" s="67"/>
      <c r="Y118" s="67"/>
      <c r="Z118" s="67"/>
      <c r="AA118" s="67"/>
      <c r="AB118" s="67"/>
      <c r="AC118" s="61"/>
      <c r="AD118" s="68"/>
      <c r="AE118" s="69" t="str">
        <f t="shared" si="7"/>
        <v/>
      </c>
      <c r="AF118" s="70"/>
      <c r="AG118" s="70"/>
      <c r="AH118" s="70"/>
      <c r="AI118" s="70"/>
      <c r="AJ118" s="70"/>
      <c r="AK118" s="70"/>
      <c r="AL118" s="61"/>
      <c r="AM118" s="71"/>
      <c r="AN118" s="72" t="str">
        <f t="shared" si="8"/>
        <v/>
      </c>
      <c r="AO118" s="73"/>
      <c r="AP118" s="73"/>
      <c r="AQ118" s="73"/>
      <c r="AR118" s="73"/>
      <c r="AS118" s="73"/>
      <c r="AT118" s="73"/>
      <c r="AU118" s="61"/>
      <c r="AV118" s="74"/>
      <c r="AW118" s="75" t="str">
        <f t="shared" si="9"/>
        <v/>
      </c>
    </row>
    <row r="119" spans="1:49" ht="14.25" customHeight="1" x14ac:dyDescent="0.3">
      <c r="A119" s="56">
        <v>115</v>
      </c>
      <c r="B119" s="57" t="s">
        <v>5815</v>
      </c>
      <c r="C119" s="58" t="s">
        <v>5816</v>
      </c>
      <c r="D119" s="56" t="s">
        <v>5774</v>
      </c>
      <c r="E119" s="59">
        <v>46126</v>
      </c>
      <c r="F119" s="60" t="s">
        <v>55</v>
      </c>
      <c r="G119" s="60" t="s">
        <v>58</v>
      </c>
      <c r="H119" s="60" t="s">
        <v>56</v>
      </c>
      <c r="I119" s="60" t="s">
        <v>70</v>
      </c>
      <c r="J119" s="60" t="s">
        <v>58</v>
      </c>
      <c r="K119" s="61"/>
      <c r="L119" s="62" t="s">
        <v>56</v>
      </c>
      <c r="M119" s="63" t="str">
        <f t="shared" si="5"/>
        <v>✓ OK</v>
      </c>
      <c r="N119" s="64"/>
      <c r="O119" s="64"/>
      <c r="P119" s="64"/>
      <c r="Q119" s="64"/>
      <c r="R119" s="64"/>
      <c r="S119" s="64"/>
      <c r="T119" s="61"/>
      <c r="U119" s="65"/>
      <c r="V119" s="66" t="str">
        <f t="shared" si="6"/>
        <v/>
      </c>
      <c r="W119" s="67"/>
      <c r="X119" s="67"/>
      <c r="Y119" s="67"/>
      <c r="Z119" s="67"/>
      <c r="AA119" s="67"/>
      <c r="AB119" s="67"/>
      <c r="AC119" s="61"/>
      <c r="AD119" s="68"/>
      <c r="AE119" s="69" t="str">
        <f t="shared" si="7"/>
        <v/>
      </c>
      <c r="AF119" s="70"/>
      <c r="AG119" s="70"/>
      <c r="AH119" s="70"/>
      <c r="AI119" s="70"/>
      <c r="AJ119" s="70"/>
      <c r="AK119" s="70"/>
      <c r="AL119" s="61"/>
      <c r="AM119" s="71"/>
      <c r="AN119" s="72" t="str">
        <f t="shared" si="8"/>
        <v/>
      </c>
      <c r="AO119" s="73"/>
      <c r="AP119" s="73"/>
      <c r="AQ119" s="73"/>
      <c r="AR119" s="73"/>
      <c r="AS119" s="73"/>
      <c r="AT119" s="73"/>
      <c r="AU119" s="61"/>
      <c r="AV119" s="74"/>
      <c r="AW119" s="75" t="str">
        <f t="shared" si="9"/>
        <v/>
      </c>
    </row>
    <row r="120" spans="1:49" ht="14.25" customHeight="1" x14ac:dyDescent="0.3">
      <c r="A120" s="76">
        <v>116</v>
      </c>
      <c r="B120" s="77" t="s">
        <v>5817</v>
      </c>
      <c r="C120" s="78" t="s">
        <v>5818</v>
      </c>
      <c r="D120" s="76" t="s">
        <v>5774</v>
      </c>
      <c r="E120" s="59">
        <v>46126</v>
      </c>
      <c r="F120" s="60" t="s">
        <v>55</v>
      </c>
      <c r="G120" s="60" t="s">
        <v>58</v>
      </c>
      <c r="H120" s="60" t="s">
        <v>56</v>
      </c>
      <c r="I120" s="60" t="s">
        <v>70</v>
      </c>
      <c r="J120" s="60" t="s">
        <v>58</v>
      </c>
      <c r="K120" s="61"/>
      <c r="L120" s="62" t="s">
        <v>56</v>
      </c>
      <c r="M120" s="63" t="str">
        <f t="shared" si="5"/>
        <v>✓ OK</v>
      </c>
      <c r="N120" s="64"/>
      <c r="O120" s="64"/>
      <c r="P120" s="64"/>
      <c r="Q120" s="64"/>
      <c r="R120" s="64"/>
      <c r="S120" s="64"/>
      <c r="T120" s="61"/>
      <c r="U120" s="65"/>
      <c r="V120" s="66" t="str">
        <f t="shared" si="6"/>
        <v/>
      </c>
      <c r="W120" s="67"/>
      <c r="X120" s="67"/>
      <c r="Y120" s="67"/>
      <c r="Z120" s="67"/>
      <c r="AA120" s="67"/>
      <c r="AB120" s="67"/>
      <c r="AC120" s="61"/>
      <c r="AD120" s="68"/>
      <c r="AE120" s="69" t="str">
        <f t="shared" si="7"/>
        <v/>
      </c>
      <c r="AF120" s="70"/>
      <c r="AG120" s="70"/>
      <c r="AH120" s="70"/>
      <c r="AI120" s="70"/>
      <c r="AJ120" s="70"/>
      <c r="AK120" s="70"/>
      <c r="AL120" s="61"/>
      <c r="AM120" s="71"/>
      <c r="AN120" s="72" t="str">
        <f t="shared" si="8"/>
        <v/>
      </c>
      <c r="AO120" s="73"/>
      <c r="AP120" s="73"/>
      <c r="AQ120" s="73"/>
      <c r="AR120" s="73"/>
      <c r="AS120" s="73"/>
      <c r="AT120" s="73"/>
      <c r="AU120" s="61"/>
      <c r="AV120" s="74"/>
      <c r="AW120" s="75" t="str">
        <f t="shared" si="9"/>
        <v/>
      </c>
    </row>
    <row r="121" spans="1:49" ht="14.25" customHeight="1" x14ac:dyDescent="0.3">
      <c r="A121" s="56">
        <v>117</v>
      </c>
      <c r="B121" s="57" t="s">
        <v>5819</v>
      </c>
      <c r="C121" s="58" t="s">
        <v>5820</v>
      </c>
      <c r="D121" s="56" t="s">
        <v>5774</v>
      </c>
      <c r="E121" s="59">
        <v>46126</v>
      </c>
      <c r="F121" s="60" t="s">
        <v>55</v>
      </c>
      <c r="G121" s="60" t="s">
        <v>58</v>
      </c>
      <c r="H121" s="60" t="s">
        <v>56</v>
      </c>
      <c r="I121" s="60" t="s">
        <v>70</v>
      </c>
      <c r="J121" s="60" t="s">
        <v>58</v>
      </c>
      <c r="K121" s="61"/>
      <c r="L121" s="62" t="s">
        <v>56</v>
      </c>
      <c r="M121" s="63" t="str">
        <f t="shared" si="5"/>
        <v>✓ OK</v>
      </c>
      <c r="N121" s="64"/>
      <c r="O121" s="64"/>
      <c r="P121" s="64"/>
      <c r="Q121" s="64"/>
      <c r="R121" s="64"/>
      <c r="S121" s="64"/>
      <c r="T121" s="61"/>
      <c r="U121" s="65"/>
      <c r="V121" s="66" t="str">
        <f t="shared" si="6"/>
        <v/>
      </c>
      <c r="W121" s="67"/>
      <c r="X121" s="67"/>
      <c r="Y121" s="67"/>
      <c r="Z121" s="67"/>
      <c r="AA121" s="67"/>
      <c r="AB121" s="67"/>
      <c r="AC121" s="61"/>
      <c r="AD121" s="68"/>
      <c r="AE121" s="69" t="str">
        <f t="shared" si="7"/>
        <v/>
      </c>
      <c r="AF121" s="70"/>
      <c r="AG121" s="70"/>
      <c r="AH121" s="70"/>
      <c r="AI121" s="70"/>
      <c r="AJ121" s="70"/>
      <c r="AK121" s="70"/>
      <c r="AL121" s="61"/>
      <c r="AM121" s="71"/>
      <c r="AN121" s="72" t="str">
        <f t="shared" si="8"/>
        <v/>
      </c>
      <c r="AO121" s="73"/>
      <c r="AP121" s="73"/>
      <c r="AQ121" s="73"/>
      <c r="AR121" s="73"/>
      <c r="AS121" s="73"/>
      <c r="AT121" s="73"/>
      <c r="AU121" s="61"/>
      <c r="AV121" s="74"/>
      <c r="AW121" s="75" t="str">
        <f t="shared" si="9"/>
        <v/>
      </c>
    </row>
    <row r="122" spans="1:49" ht="14.25" customHeight="1" x14ac:dyDescent="0.3">
      <c r="A122" s="76">
        <v>118</v>
      </c>
      <c r="B122" s="77" t="s">
        <v>5821</v>
      </c>
      <c r="C122" s="78" t="s">
        <v>5822</v>
      </c>
      <c r="D122" s="76" t="s">
        <v>5774</v>
      </c>
      <c r="E122" s="59">
        <v>46126</v>
      </c>
      <c r="F122" s="60" t="s">
        <v>55</v>
      </c>
      <c r="G122" s="60" t="s">
        <v>58</v>
      </c>
      <c r="H122" s="60" t="s">
        <v>56</v>
      </c>
      <c r="I122" s="60" t="s">
        <v>70</v>
      </c>
      <c r="J122" s="60" t="s">
        <v>58</v>
      </c>
      <c r="K122" s="61"/>
      <c r="L122" s="62" t="s">
        <v>56</v>
      </c>
      <c r="M122" s="63" t="str">
        <f t="shared" si="5"/>
        <v>✓ OK</v>
      </c>
      <c r="N122" s="64"/>
      <c r="O122" s="64"/>
      <c r="P122" s="64"/>
      <c r="Q122" s="64"/>
      <c r="R122" s="64"/>
      <c r="S122" s="64"/>
      <c r="T122" s="61"/>
      <c r="U122" s="65"/>
      <c r="V122" s="66" t="str">
        <f t="shared" si="6"/>
        <v/>
      </c>
      <c r="W122" s="67"/>
      <c r="X122" s="67"/>
      <c r="Y122" s="67"/>
      <c r="Z122" s="67"/>
      <c r="AA122" s="67"/>
      <c r="AB122" s="67"/>
      <c r="AC122" s="61"/>
      <c r="AD122" s="68"/>
      <c r="AE122" s="69" t="str">
        <f t="shared" si="7"/>
        <v/>
      </c>
      <c r="AF122" s="70"/>
      <c r="AG122" s="70"/>
      <c r="AH122" s="70"/>
      <c r="AI122" s="70"/>
      <c r="AJ122" s="70"/>
      <c r="AK122" s="70"/>
      <c r="AL122" s="61"/>
      <c r="AM122" s="71"/>
      <c r="AN122" s="72" t="str">
        <f t="shared" si="8"/>
        <v/>
      </c>
      <c r="AO122" s="73"/>
      <c r="AP122" s="73"/>
      <c r="AQ122" s="73"/>
      <c r="AR122" s="73"/>
      <c r="AS122" s="73"/>
      <c r="AT122" s="73"/>
      <c r="AU122" s="61"/>
      <c r="AV122" s="74"/>
      <c r="AW122" s="75" t="str">
        <f t="shared" si="9"/>
        <v/>
      </c>
    </row>
    <row r="123" spans="1:49" ht="14.25" customHeight="1" x14ac:dyDescent="0.3">
      <c r="A123" s="56">
        <v>119</v>
      </c>
      <c r="B123" s="57" t="s">
        <v>5823</v>
      </c>
      <c r="C123" s="58" t="s">
        <v>5824</v>
      </c>
      <c r="D123" s="56" t="s">
        <v>5774</v>
      </c>
      <c r="E123" s="59">
        <v>46126</v>
      </c>
      <c r="F123" s="60" t="s">
        <v>55</v>
      </c>
      <c r="G123" s="60" t="s">
        <v>58</v>
      </c>
      <c r="H123" s="60" t="s">
        <v>56</v>
      </c>
      <c r="I123" s="60" t="s">
        <v>70</v>
      </c>
      <c r="J123" s="60" t="s">
        <v>58</v>
      </c>
      <c r="K123" s="61"/>
      <c r="L123" s="62" t="s">
        <v>56</v>
      </c>
      <c r="M123" s="63" t="str">
        <f t="shared" si="5"/>
        <v>✓ OK</v>
      </c>
      <c r="N123" s="64"/>
      <c r="O123" s="64"/>
      <c r="P123" s="64"/>
      <c r="Q123" s="64"/>
      <c r="R123" s="64"/>
      <c r="S123" s="64"/>
      <c r="T123" s="61"/>
      <c r="U123" s="65"/>
      <c r="V123" s="66" t="str">
        <f t="shared" si="6"/>
        <v/>
      </c>
      <c r="W123" s="67"/>
      <c r="X123" s="67"/>
      <c r="Y123" s="67"/>
      <c r="Z123" s="67"/>
      <c r="AA123" s="67"/>
      <c r="AB123" s="67"/>
      <c r="AC123" s="61"/>
      <c r="AD123" s="68"/>
      <c r="AE123" s="69" t="str">
        <f t="shared" si="7"/>
        <v/>
      </c>
      <c r="AF123" s="70"/>
      <c r="AG123" s="70"/>
      <c r="AH123" s="70"/>
      <c r="AI123" s="70"/>
      <c r="AJ123" s="70"/>
      <c r="AK123" s="70"/>
      <c r="AL123" s="61"/>
      <c r="AM123" s="71"/>
      <c r="AN123" s="72" t="str">
        <f t="shared" si="8"/>
        <v/>
      </c>
      <c r="AO123" s="73"/>
      <c r="AP123" s="73"/>
      <c r="AQ123" s="73"/>
      <c r="AR123" s="73"/>
      <c r="AS123" s="73"/>
      <c r="AT123" s="73"/>
      <c r="AU123" s="61"/>
      <c r="AV123" s="74"/>
      <c r="AW123" s="75" t="str">
        <f t="shared" si="9"/>
        <v/>
      </c>
    </row>
    <row r="124" spans="1:49" ht="14.25" customHeight="1" x14ac:dyDescent="0.3">
      <c r="A124" s="76">
        <v>120</v>
      </c>
      <c r="B124" s="77" t="s">
        <v>5825</v>
      </c>
      <c r="C124" s="78" t="s">
        <v>5826</v>
      </c>
      <c r="D124" s="76" t="s">
        <v>5774</v>
      </c>
      <c r="E124" s="59">
        <v>46126</v>
      </c>
      <c r="F124" s="60" t="s">
        <v>55</v>
      </c>
      <c r="G124" s="60" t="s">
        <v>58</v>
      </c>
      <c r="H124" s="60" t="s">
        <v>56</v>
      </c>
      <c r="I124" s="60" t="s">
        <v>70</v>
      </c>
      <c r="J124" s="60" t="s">
        <v>58</v>
      </c>
      <c r="K124" s="61"/>
      <c r="L124" s="62" t="s">
        <v>56</v>
      </c>
      <c r="M124" s="63" t="str">
        <f t="shared" si="5"/>
        <v>✓ OK</v>
      </c>
      <c r="N124" s="64"/>
      <c r="O124" s="64"/>
      <c r="P124" s="64"/>
      <c r="Q124" s="64"/>
      <c r="R124" s="64"/>
      <c r="S124" s="64"/>
      <c r="T124" s="61"/>
      <c r="U124" s="65"/>
      <c r="V124" s="66" t="str">
        <f t="shared" si="6"/>
        <v/>
      </c>
      <c r="W124" s="67"/>
      <c r="X124" s="67"/>
      <c r="Y124" s="67"/>
      <c r="Z124" s="67"/>
      <c r="AA124" s="67"/>
      <c r="AB124" s="67"/>
      <c r="AC124" s="61"/>
      <c r="AD124" s="68"/>
      <c r="AE124" s="69" t="str">
        <f t="shared" si="7"/>
        <v/>
      </c>
      <c r="AF124" s="70"/>
      <c r="AG124" s="70"/>
      <c r="AH124" s="70"/>
      <c r="AI124" s="70"/>
      <c r="AJ124" s="70"/>
      <c r="AK124" s="70"/>
      <c r="AL124" s="61"/>
      <c r="AM124" s="71"/>
      <c r="AN124" s="72" t="str">
        <f t="shared" si="8"/>
        <v/>
      </c>
      <c r="AO124" s="73"/>
      <c r="AP124" s="73"/>
      <c r="AQ124" s="73"/>
      <c r="AR124" s="73"/>
      <c r="AS124" s="73"/>
      <c r="AT124" s="73"/>
      <c r="AU124" s="61"/>
      <c r="AV124" s="74"/>
      <c r="AW124" s="75" t="str">
        <f t="shared" si="9"/>
        <v/>
      </c>
    </row>
    <row r="125" spans="1:49" ht="14.25" customHeight="1" x14ac:dyDescent="0.3">
      <c r="A125" s="56">
        <v>121</v>
      </c>
      <c r="B125" s="57" t="s">
        <v>5827</v>
      </c>
      <c r="C125" s="58" t="s">
        <v>5828</v>
      </c>
      <c r="D125" s="56" t="s">
        <v>5774</v>
      </c>
      <c r="E125" s="59">
        <v>46126</v>
      </c>
      <c r="F125" s="60" t="s">
        <v>55</v>
      </c>
      <c r="G125" s="60" t="s">
        <v>58</v>
      </c>
      <c r="H125" s="60" t="s">
        <v>56</v>
      </c>
      <c r="I125" s="60" t="s">
        <v>70</v>
      </c>
      <c r="J125" s="60" t="s">
        <v>58</v>
      </c>
      <c r="K125" s="61"/>
      <c r="L125" s="62" t="s">
        <v>56</v>
      </c>
      <c r="M125" s="63" t="str">
        <f t="shared" si="5"/>
        <v>✓ OK</v>
      </c>
      <c r="N125" s="64"/>
      <c r="O125" s="64"/>
      <c r="P125" s="64"/>
      <c r="Q125" s="64"/>
      <c r="R125" s="64"/>
      <c r="S125" s="64"/>
      <c r="T125" s="61"/>
      <c r="U125" s="65"/>
      <c r="V125" s="66" t="str">
        <f t="shared" si="6"/>
        <v/>
      </c>
      <c r="W125" s="67"/>
      <c r="X125" s="67"/>
      <c r="Y125" s="67"/>
      <c r="Z125" s="67"/>
      <c r="AA125" s="67"/>
      <c r="AB125" s="67"/>
      <c r="AC125" s="61"/>
      <c r="AD125" s="68"/>
      <c r="AE125" s="69" t="str">
        <f t="shared" si="7"/>
        <v/>
      </c>
      <c r="AF125" s="70"/>
      <c r="AG125" s="70"/>
      <c r="AH125" s="70"/>
      <c r="AI125" s="70"/>
      <c r="AJ125" s="70"/>
      <c r="AK125" s="70"/>
      <c r="AL125" s="61"/>
      <c r="AM125" s="71"/>
      <c r="AN125" s="72" t="str">
        <f t="shared" si="8"/>
        <v/>
      </c>
      <c r="AO125" s="73"/>
      <c r="AP125" s="73"/>
      <c r="AQ125" s="73"/>
      <c r="AR125" s="73"/>
      <c r="AS125" s="73"/>
      <c r="AT125" s="73"/>
      <c r="AU125" s="61"/>
      <c r="AV125" s="74"/>
      <c r="AW125" s="75" t="str">
        <f t="shared" si="9"/>
        <v/>
      </c>
    </row>
    <row r="126" spans="1:49" ht="14.25" customHeight="1" x14ac:dyDescent="0.3">
      <c r="A126" s="76">
        <v>122</v>
      </c>
      <c r="B126" s="77" t="s">
        <v>5829</v>
      </c>
      <c r="C126" s="78" t="s">
        <v>5830</v>
      </c>
      <c r="D126" s="76" t="s">
        <v>5774</v>
      </c>
      <c r="E126" s="59">
        <v>46126</v>
      </c>
      <c r="F126" s="60" t="s">
        <v>55</v>
      </c>
      <c r="G126" s="60" t="s">
        <v>58</v>
      </c>
      <c r="H126" s="60" t="s">
        <v>56</v>
      </c>
      <c r="I126" s="60" t="s">
        <v>70</v>
      </c>
      <c r="J126" s="60" t="s">
        <v>58</v>
      </c>
      <c r="K126" s="61"/>
      <c r="L126" s="62" t="s">
        <v>56</v>
      </c>
      <c r="M126" s="63" t="str">
        <f t="shared" si="5"/>
        <v>✓ OK</v>
      </c>
      <c r="N126" s="64"/>
      <c r="O126" s="64"/>
      <c r="P126" s="64"/>
      <c r="Q126" s="64"/>
      <c r="R126" s="64"/>
      <c r="S126" s="64"/>
      <c r="T126" s="61"/>
      <c r="U126" s="65"/>
      <c r="V126" s="66" t="str">
        <f t="shared" si="6"/>
        <v/>
      </c>
      <c r="W126" s="67"/>
      <c r="X126" s="67"/>
      <c r="Y126" s="67"/>
      <c r="Z126" s="67"/>
      <c r="AA126" s="67"/>
      <c r="AB126" s="67"/>
      <c r="AC126" s="61"/>
      <c r="AD126" s="68"/>
      <c r="AE126" s="69" t="str">
        <f t="shared" si="7"/>
        <v/>
      </c>
      <c r="AF126" s="70"/>
      <c r="AG126" s="70"/>
      <c r="AH126" s="70"/>
      <c r="AI126" s="70"/>
      <c r="AJ126" s="70"/>
      <c r="AK126" s="70"/>
      <c r="AL126" s="61"/>
      <c r="AM126" s="71"/>
      <c r="AN126" s="72" t="str">
        <f t="shared" si="8"/>
        <v/>
      </c>
      <c r="AO126" s="73"/>
      <c r="AP126" s="73"/>
      <c r="AQ126" s="73"/>
      <c r="AR126" s="73"/>
      <c r="AS126" s="73"/>
      <c r="AT126" s="73"/>
      <c r="AU126" s="61"/>
      <c r="AV126" s="74"/>
      <c r="AW126" s="75" t="str">
        <f t="shared" si="9"/>
        <v/>
      </c>
    </row>
    <row r="127" spans="1:49" ht="14.25" customHeight="1" x14ac:dyDescent="0.3">
      <c r="A127" s="56">
        <v>123</v>
      </c>
      <c r="B127" s="57" t="s">
        <v>5831</v>
      </c>
      <c r="C127" s="58" t="s">
        <v>5832</v>
      </c>
      <c r="D127" s="56" t="s">
        <v>5774</v>
      </c>
      <c r="E127" s="59">
        <v>46126</v>
      </c>
      <c r="F127" s="60" t="s">
        <v>55</v>
      </c>
      <c r="G127" s="60" t="s">
        <v>58</v>
      </c>
      <c r="H127" s="60" t="s">
        <v>56</v>
      </c>
      <c r="I127" s="60" t="s">
        <v>70</v>
      </c>
      <c r="J127" s="60" t="s">
        <v>58</v>
      </c>
      <c r="K127" s="61"/>
      <c r="L127" s="62" t="s">
        <v>56</v>
      </c>
      <c r="M127" s="63" t="str">
        <f t="shared" si="5"/>
        <v>✓ OK</v>
      </c>
      <c r="N127" s="64"/>
      <c r="O127" s="64"/>
      <c r="P127" s="64"/>
      <c r="Q127" s="64"/>
      <c r="R127" s="64"/>
      <c r="S127" s="64"/>
      <c r="T127" s="61"/>
      <c r="U127" s="65"/>
      <c r="V127" s="66" t="str">
        <f t="shared" si="6"/>
        <v/>
      </c>
      <c r="W127" s="67"/>
      <c r="X127" s="67"/>
      <c r="Y127" s="67"/>
      <c r="Z127" s="67"/>
      <c r="AA127" s="67"/>
      <c r="AB127" s="67"/>
      <c r="AC127" s="61"/>
      <c r="AD127" s="68"/>
      <c r="AE127" s="69" t="str">
        <f t="shared" si="7"/>
        <v/>
      </c>
      <c r="AF127" s="70"/>
      <c r="AG127" s="70"/>
      <c r="AH127" s="70"/>
      <c r="AI127" s="70"/>
      <c r="AJ127" s="70"/>
      <c r="AK127" s="70"/>
      <c r="AL127" s="61"/>
      <c r="AM127" s="71"/>
      <c r="AN127" s="72" t="str">
        <f t="shared" si="8"/>
        <v/>
      </c>
      <c r="AO127" s="73"/>
      <c r="AP127" s="73"/>
      <c r="AQ127" s="73"/>
      <c r="AR127" s="73"/>
      <c r="AS127" s="73"/>
      <c r="AT127" s="73"/>
      <c r="AU127" s="61"/>
      <c r="AV127" s="74"/>
      <c r="AW127" s="75" t="str">
        <f t="shared" si="9"/>
        <v/>
      </c>
    </row>
    <row r="128" spans="1:49" ht="14.25" customHeight="1" x14ac:dyDescent="0.3">
      <c r="A128" s="76">
        <v>124</v>
      </c>
      <c r="B128" s="77" t="s">
        <v>5833</v>
      </c>
      <c r="C128" s="78" t="s">
        <v>5834</v>
      </c>
      <c r="D128" s="76" t="s">
        <v>5774</v>
      </c>
      <c r="E128" s="59">
        <v>46126</v>
      </c>
      <c r="F128" s="60" t="s">
        <v>55</v>
      </c>
      <c r="G128" s="60" t="s">
        <v>58</v>
      </c>
      <c r="H128" s="60" t="s">
        <v>56</v>
      </c>
      <c r="I128" s="60" t="s">
        <v>70</v>
      </c>
      <c r="J128" s="60" t="s">
        <v>58</v>
      </c>
      <c r="K128" s="61"/>
      <c r="L128" s="62" t="s">
        <v>56</v>
      </c>
      <c r="M128" s="63" t="str">
        <f t="shared" si="5"/>
        <v>✓ OK</v>
      </c>
      <c r="N128" s="64"/>
      <c r="O128" s="64"/>
      <c r="P128" s="64"/>
      <c r="Q128" s="64"/>
      <c r="R128" s="64"/>
      <c r="S128" s="64"/>
      <c r="T128" s="61"/>
      <c r="U128" s="65"/>
      <c r="V128" s="66" t="str">
        <f t="shared" si="6"/>
        <v/>
      </c>
      <c r="W128" s="67"/>
      <c r="X128" s="67"/>
      <c r="Y128" s="67"/>
      <c r="Z128" s="67"/>
      <c r="AA128" s="67"/>
      <c r="AB128" s="67"/>
      <c r="AC128" s="61"/>
      <c r="AD128" s="68"/>
      <c r="AE128" s="69" t="str">
        <f t="shared" si="7"/>
        <v/>
      </c>
      <c r="AF128" s="70"/>
      <c r="AG128" s="70"/>
      <c r="AH128" s="70"/>
      <c r="AI128" s="70"/>
      <c r="AJ128" s="70"/>
      <c r="AK128" s="70"/>
      <c r="AL128" s="61"/>
      <c r="AM128" s="71"/>
      <c r="AN128" s="72" t="str">
        <f t="shared" si="8"/>
        <v/>
      </c>
      <c r="AO128" s="73"/>
      <c r="AP128" s="73"/>
      <c r="AQ128" s="73"/>
      <c r="AR128" s="73"/>
      <c r="AS128" s="73"/>
      <c r="AT128" s="73"/>
      <c r="AU128" s="61"/>
      <c r="AV128" s="74"/>
      <c r="AW128" s="75" t="str">
        <f t="shared" si="9"/>
        <v/>
      </c>
    </row>
    <row r="129" spans="1:49" ht="14.25" customHeight="1" x14ac:dyDescent="0.3">
      <c r="A129" s="56">
        <v>125</v>
      </c>
      <c r="B129" s="57" t="s">
        <v>5835</v>
      </c>
      <c r="C129" s="58" t="s">
        <v>5836</v>
      </c>
      <c r="D129" s="56" t="s">
        <v>5774</v>
      </c>
      <c r="E129" s="59">
        <v>46126</v>
      </c>
      <c r="F129" s="60" t="s">
        <v>55</v>
      </c>
      <c r="G129" s="60" t="s">
        <v>58</v>
      </c>
      <c r="H129" s="60" t="s">
        <v>56</v>
      </c>
      <c r="I129" s="60" t="s">
        <v>70</v>
      </c>
      <c r="J129" s="60" t="s">
        <v>58</v>
      </c>
      <c r="K129" s="61"/>
      <c r="L129" s="62" t="s">
        <v>56</v>
      </c>
      <c r="M129" s="63" t="str">
        <f t="shared" si="5"/>
        <v>✓ OK</v>
      </c>
      <c r="N129" s="64"/>
      <c r="O129" s="64"/>
      <c r="P129" s="64"/>
      <c r="Q129" s="64"/>
      <c r="R129" s="64"/>
      <c r="S129" s="64"/>
      <c r="T129" s="61"/>
      <c r="U129" s="65"/>
      <c r="V129" s="66" t="str">
        <f t="shared" si="6"/>
        <v/>
      </c>
      <c r="W129" s="67"/>
      <c r="X129" s="67"/>
      <c r="Y129" s="67"/>
      <c r="Z129" s="67"/>
      <c r="AA129" s="67"/>
      <c r="AB129" s="67"/>
      <c r="AC129" s="61"/>
      <c r="AD129" s="68"/>
      <c r="AE129" s="69" t="str">
        <f t="shared" si="7"/>
        <v/>
      </c>
      <c r="AF129" s="70"/>
      <c r="AG129" s="70"/>
      <c r="AH129" s="70"/>
      <c r="AI129" s="70"/>
      <c r="AJ129" s="70"/>
      <c r="AK129" s="70"/>
      <c r="AL129" s="61"/>
      <c r="AM129" s="71"/>
      <c r="AN129" s="72" t="str">
        <f t="shared" si="8"/>
        <v/>
      </c>
      <c r="AO129" s="73"/>
      <c r="AP129" s="73"/>
      <c r="AQ129" s="73"/>
      <c r="AR129" s="73"/>
      <c r="AS129" s="73"/>
      <c r="AT129" s="73"/>
      <c r="AU129" s="61"/>
      <c r="AV129" s="74"/>
      <c r="AW129" s="75" t="str">
        <f t="shared" si="9"/>
        <v/>
      </c>
    </row>
    <row r="130" spans="1:49" ht="14.25" customHeight="1" x14ac:dyDescent="0.3">
      <c r="A130" s="76">
        <v>126</v>
      </c>
      <c r="B130" s="77" t="s">
        <v>5837</v>
      </c>
      <c r="C130" s="78" t="s">
        <v>5838</v>
      </c>
      <c r="D130" s="76" t="s">
        <v>5774</v>
      </c>
      <c r="E130" s="59">
        <v>46126</v>
      </c>
      <c r="F130" s="60" t="s">
        <v>55</v>
      </c>
      <c r="G130" s="60" t="s">
        <v>58</v>
      </c>
      <c r="H130" s="60" t="s">
        <v>56</v>
      </c>
      <c r="I130" s="60" t="s">
        <v>70</v>
      </c>
      <c r="J130" s="60" t="s">
        <v>58</v>
      </c>
      <c r="K130" s="61"/>
      <c r="L130" s="62" t="s">
        <v>56</v>
      </c>
      <c r="M130" s="63" t="str">
        <f t="shared" si="5"/>
        <v>✓ OK</v>
      </c>
      <c r="N130" s="64"/>
      <c r="O130" s="64"/>
      <c r="P130" s="64"/>
      <c r="Q130" s="64"/>
      <c r="R130" s="64"/>
      <c r="S130" s="64"/>
      <c r="T130" s="61"/>
      <c r="U130" s="65"/>
      <c r="V130" s="66" t="str">
        <f t="shared" si="6"/>
        <v/>
      </c>
      <c r="W130" s="67"/>
      <c r="X130" s="67"/>
      <c r="Y130" s="67"/>
      <c r="Z130" s="67"/>
      <c r="AA130" s="67"/>
      <c r="AB130" s="67"/>
      <c r="AC130" s="61"/>
      <c r="AD130" s="68"/>
      <c r="AE130" s="69" t="str">
        <f t="shared" si="7"/>
        <v/>
      </c>
      <c r="AF130" s="70"/>
      <c r="AG130" s="70"/>
      <c r="AH130" s="70"/>
      <c r="AI130" s="70"/>
      <c r="AJ130" s="70"/>
      <c r="AK130" s="70"/>
      <c r="AL130" s="61"/>
      <c r="AM130" s="71"/>
      <c r="AN130" s="72" t="str">
        <f t="shared" si="8"/>
        <v/>
      </c>
      <c r="AO130" s="73"/>
      <c r="AP130" s="73"/>
      <c r="AQ130" s="73"/>
      <c r="AR130" s="73"/>
      <c r="AS130" s="73"/>
      <c r="AT130" s="73"/>
      <c r="AU130" s="61"/>
      <c r="AV130" s="74"/>
      <c r="AW130" s="75" t="str">
        <f t="shared" si="9"/>
        <v/>
      </c>
    </row>
    <row r="131" spans="1:49" ht="14.25" customHeight="1" x14ac:dyDescent="0.3">
      <c r="A131" s="56">
        <v>127</v>
      </c>
      <c r="B131" s="57" t="s">
        <v>5839</v>
      </c>
      <c r="C131" s="58" t="s">
        <v>5840</v>
      </c>
      <c r="D131" s="56" t="s">
        <v>5774</v>
      </c>
      <c r="E131" s="59">
        <v>46126</v>
      </c>
      <c r="F131" s="60" t="s">
        <v>55</v>
      </c>
      <c r="G131" s="60" t="s">
        <v>58</v>
      </c>
      <c r="H131" s="60" t="s">
        <v>56</v>
      </c>
      <c r="I131" s="60" t="s">
        <v>70</v>
      </c>
      <c r="J131" s="60" t="s">
        <v>58</v>
      </c>
      <c r="K131" s="61"/>
      <c r="L131" s="62" t="s">
        <v>56</v>
      </c>
      <c r="M131" s="63" t="str">
        <f t="shared" si="5"/>
        <v>✓ OK</v>
      </c>
      <c r="N131" s="64"/>
      <c r="O131" s="64"/>
      <c r="P131" s="64"/>
      <c r="Q131" s="64"/>
      <c r="R131" s="64"/>
      <c r="S131" s="64"/>
      <c r="T131" s="61"/>
      <c r="U131" s="65"/>
      <c r="V131" s="66" t="str">
        <f t="shared" si="6"/>
        <v/>
      </c>
      <c r="W131" s="67"/>
      <c r="X131" s="67"/>
      <c r="Y131" s="67"/>
      <c r="Z131" s="67"/>
      <c r="AA131" s="67"/>
      <c r="AB131" s="67"/>
      <c r="AC131" s="61"/>
      <c r="AD131" s="68"/>
      <c r="AE131" s="69" t="str">
        <f t="shared" si="7"/>
        <v/>
      </c>
      <c r="AF131" s="70"/>
      <c r="AG131" s="70"/>
      <c r="AH131" s="70"/>
      <c r="AI131" s="70"/>
      <c r="AJ131" s="70"/>
      <c r="AK131" s="70"/>
      <c r="AL131" s="61"/>
      <c r="AM131" s="71"/>
      <c r="AN131" s="72" t="str">
        <f t="shared" si="8"/>
        <v/>
      </c>
      <c r="AO131" s="73"/>
      <c r="AP131" s="73"/>
      <c r="AQ131" s="73"/>
      <c r="AR131" s="73"/>
      <c r="AS131" s="73"/>
      <c r="AT131" s="73"/>
      <c r="AU131" s="61"/>
      <c r="AV131" s="74"/>
      <c r="AW131" s="75" t="str">
        <f t="shared" si="9"/>
        <v/>
      </c>
    </row>
    <row r="132" spans="1:49" ht="14.25" customHeight="1" x14ac:dyDescent="0.3">
      <c r="A132" s="76">
        <v>128</v>
      </c>
      <c r="B132" s="77" t="s">
        <v>5841</v>
      </c>
      <c r="C132" s="78" t="s">
        <v>5842</v>
      </c>
      <c r="D132" s="76" t="s">
        <v>5774</v>
      </c>
      <c r="E132" s="59">
        <v>46126</v>
      </c>
      <c r="F132" s="60" t="s">
        <v>55</v>
      </c>
      <c r="G132" s="60" t="s">
        <v>58</v>
      </c>
      <c r="H132" s="60" t="s">
        <v>56</v>
      </c>
      <c r="I132" s="60" t="s">
        <v>70</v>
      </c>
      <c r="J132" s="60" t="s">
        <v>58</v>
      </c>
      <c r="K132" s="61"/>
      <c r="L132" s="62" t="s">
        <v>56</v>
      </c>
      <c r="M132" s="63" t="str">
        <f t="shared" si="5"/>
        <v>✓ OK</v>
      </c>
      <c r="N132" s="64"/>
      <c r="O132" s="64"/>
      <c r="P132" s="64"/>
      <c r="Q132" s="64"/>
      <c r="R132" s="64"/>
      <c r="S132" s="64"/>
      <c r="T132" s="61"/>
      <c r="U132" s="65"/>
      <c r="V132" s="66" t="str">
        <f t="shared" si="6"/>
        <v/>
      </c>
      <c r="W132" s="67"/>
      <c r="X132" s="67"/>
      <c r="Y132" s="67"/>
      <c r="Z132" s="67"/>
      <c r="AA132" s="67"/>
      <c r="AB132" s="67"/>
      <c r="AC132" s="61"/>
      <c r="AD132" s="68"/>
      <c r="AE132" s="69" t="str">
        <f t="shared" si="7"/>
        <v/>
      </c>
      <c r="AF132" s="70"/>
      <c r="AG132" s="70"/>
      <c r="AH132" s="70"/>
      <c r="AI132" s="70"/>
      <c r="AJ132" s="70"/>
      <c r="AK132" s="70"/>
      <c r="AL132" s="61"/>
      <c r="AM132" s="71"/>
      <c r="AN132" s="72" t="str">
        <f t="shared" si="8"/>
        <v/>
      </c>
      <c r="AO132" s="73"/>
      <c r="AP132" s="73"/>
      <c r="AQ132" s="73"/>
      <c r="AR132" s="73"/>
      <c r="AS132" s="73"/>
      <c r="AT132" s="73"/>
      <c r="AU132" s="61"/>
      <c r="AV132" s="74"/>
      <c r="AW132" s="75" t="str">
        <f t="shared" si="9"/>
        <v/>
      </c>
    </row>
    <row r="133" spans="1:49" ht="14.25" customHeight="1" x14ac:dyDescent="0.3">
      <c r="A133" s="56">
        <v>129</v>
      </c>
      <c r="B133" s="57" t="s">
        <v>5843</v>
      </c>
      <c r="C133" s="58" t="s">
        <v>5844</v>
      </c>
      <c r="D133" s="56" t="s">
        <v>5774</v>
      </c>
      <c r="E133" s="59">
        <v>46126</v>
      </c>
      <c r="F133" s="60" t="s">
        <v>55</v>
      </c>
      <c r="G133" s="60" t="s">
        <v>58</v>
      </c>
      <c r="H133" s="60" t="s">
        <v>56</v>
      </c>
      <c r="I133" s="60" t="s">
        <v>70</v>
      </c>
      <c r="J133" s="60" t="s">
        <v>58</v>
      </c>
      <c r="K133" s="61"/>
      <c r="L133" s="62" t="s">
        <v>56</v>
      </c>
      <c r="M133" s="63" t="str">
        <f t="shared" ref="M133:M196" si="10">IF(E133="","",IF(H133="Yes","❌ Disc",IF(G133="No","⚠ Missing",IF(J133="Yes","✓ OK","⚠ Check"))))</f>
        <v>✓ OK</v>
      </c>
      <c r="N133" s="64"/>
      <c r="O133" s="64"/>
      <c r="P133" s="64"/>
      <c r="Q133" s="64"/>
      <c r="R133" s="64"/>
      <c r="S133" s="64"/>
      <c r="T133" s="61"/>
      <c r="U133" s="65"/>
      <c r="V133" s="66" t="str">
        <f t="shared" ref="V133:V196" si="11">IF(N133="","",IF(Q133="Yes","❌ Disc",IF(P133="No","⚠ Missing",IF(S133="Yes","✓ OK","⚠ Check"))))</f>
        <v/>
      </c>
      <c r="W133" s="67"/>
      <c r="X133" s="67"/>
      <c r="Y133" s="67"/>
      <c r="Z133" s="67"/>
      <c r="AA133" s="67"/>
      <c r="AB133" s="67"/>
      <c r="AC133" s="61"/>
      <c r="AD133" s="68"/>
      <c r="AE133" s="69" t="str">
        <f t="shared" ref="AE133:AE196" si="12">IF(W133="","",IF(Z133="Yes","❌ Disc",IF(Y133="No","⚠ Missing",IF(AB133="Yes","✓ OK","⚠ Check"))))</f>
        <v/>
      </c>
      <c r="AF133" s="70"/>
      <c r="AG133" s="70"/>
      <c r="AH133" s="70"/>
      <c r="AI133" s="70"/>
      <c r="AJ133" s="70"/>
      <c r="AK133" s="70"/>
      <c r="AL133" s="61"/>
      <c r="AM133" s="71"/>
      <c r="AN133" s="72" t="str">
        <f t="shared" ref="AN133:AN196" si="13">IF(AF133="","",IF(AI133="Yes","❌ Disc",IF(AH133="No","⚠ Missing",IF(AK133="Yes","✓ OK","⚠ Check"))))</f>
        <v/>
      </c>
      <c r="AO133" s="73"/>
      <c r="AP133" s="73"/>
      <c r="AQ133" s="73"/>
      <c r="AR133" s="73"/>
      <c r="AS133" s="73"/>
      <c r="AT133" s="73"/>
      <c r="AU133" s="61"/>
      <c r="AV133" s="74"/>
      <c r="AW133" s="75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76">
        <v>130</v>
      </c>
      <c r="B134" s="77" t="s">
        <v>5845</v>
      </c>
      <c r="C134" s="78" t="s">
        <v>5846</v>
      </c>
      <c r="D134" s="76" t="s">
        <v>5774</v>
      </c>
      <c r="E134" s="59">
        <v>46126</v>
      </c>
      <c r="F134" s="60" t="s">
        <v>55</v>
      </c>
      <c r="G134" s="60" t="s">
        <v>58</v>
      </c>
      <c r="H134" s="60" t="s">
        <v>56</v>
      </c>
      <c r="I134" s="60" t="s">
        <v>70</v>
      </c>
      <c r="J134" s="60" t="s">
        <v>58</v>
      </c>
      <c r="K134" s="61"/>
      <c r="L134" s="62" t="s">
        <v>56</v>
      </c>
      <c r="M134" s="63" t="str">
        <f t="shared" si="10"/>
        <v>✓ OK</v>
      </c>
      <c r="N134" s="64"/>
      <c r="O134" s="64"/>
      <c r="P134" s="64"/>
      <c r="Q134" s="64"/>
      <c r="R134" s="64"/>
      <c r="S134" s="64"/>
      <c r="T134" s="61"/>
      <c r="U134" s="65"/>
      <c r="V134" s="66" t="str">
        <f t="shared" si="11"/>
        <v/>
      </c>
      <c r="W134" s="67"/>
      <c r="X134" s="67"/>
      <c r="Y134" s="67"/>
      <c r="Z134" s="67"/>
      <c r="AA134" s="67"/>
      <c r="AB134" s="67"/>
      <c r="AC134" s="61"/>
      <c r="AD134" s="68"/>
      <c r="AE134" s="69" t="str">
        <f t="shared" si="12"/>
        <v/>
      </c>
      <c r="AF134" s="70"/>
      <c r="AG134" s="70"/>
      <c r="AH134" s="70"/>
      <c r="AI134" s="70"/>
      <c r="AJ134" s="70"/>
      <c r="AK134" s="70"/>
      <c r="AL134" s="61"/>
      <c r="AM134" s="71"/>
      <c r="AN134" s="72" t="str">
        <f t="shared" si="13"/>
        <v/>
      </c>
      <c r="AO134" s="73"/>
      <c r="AP134" s="73"/>
      <c r="AQ134" s="73"/>
      <c r="AR134" s="73"/>
      <c r="AS134" s="73"/>
      <c r="AT134" s="73"/>
      <c r="AU134" s="61"/>
      <c r="AV134" s="74"/>
      <c r="AW134" s="75" t="str">
        <f t="shared" si="14"/>
        <v/>
      </c>
    </row>
    <row r="135" spans="1:49" ht="14.25" customHeight="1" x14ac:dyDescent="0.3">
      <c r="A135" s="56">
        <v>131</v>
      </c>
      <c r="B135" s="57" t="s">
        <v>5847</v>
      </c>
      <c r="C135" s="58" t="s">
        <v>5848</v>
      </c>
      <c r="D135" s="56" t="s">
        <v>5774</v>
      </c>
      <c r="E135" s="59">
        <v>46126</v>
      </c>
      <c r="F135" s="60" t="s">
        <v>55</v>
      </c>
      <c r="G135" s="60" t="s">
        <v>58</v>
      </c>
      <c r="H135" s="60" t="s">
        <v>56</v>
      </c>
      <c r="I135" s="60" t="s">
        <v>70</v>
      </c>
      <c r="J135" s="60" t="s">
        <v>58</v>
      </c>
      <c r="K135" s="61"/>
      <c r="L135" s="62" t="s">
        <v>56</v>
      </c>
      <c r="M135" s="63" t="str">
        <f t="shared" si="10"/>
        <v>✓ OK</v>
      </c>
      <c r="N135" s="64"/>
      <c r="O135" s="64"/>
      <c r="P135" s="64"/>
      <c r="Q135" s="64"/>
      <c r="R135" s="64"/>
      <c r="S135" s="64"/>
      <c r="T135" s="61"/>
      <c r="U135" s="65"/>
      <c r="V135" s="66" t="str">
        <f t="shared" si="11"/>
        <v/>
      </c>
      <c r="W135" s="67"/>
      <c r="X135" s="67"/>
      <c r="Y135" s="67"/>
      <c r="Z135" s="67"/>
      <c r="AA135" s="67"/>
      <c r="AB135" s="67"/>
      <c r="AC135" s="61"/>
      <c r="AD135" s="68"/>
      <c r="AE135" s="69" t="str">
        <f t="shared" si="12"/>
        <v/>
      </c>
      <c r="AF135" s="70"/>
      <c r="AG135" s="70"/>
      <c r="AH135" s="70"/>
      <c r="AI135" s="70"/>
      <c r="AJ135" s="70"/>
      <c r="AK135" s="70"/>
      <c r="AL135" s="61"/>
      <c r="AM135" s="71"/>
      <c r="AN135" s="72" t="str">
        <f t="shared" si="13"/>
        <v/>
      </c>
      <c r="AO135" s="73"/>
      <c r="AP135" s="73"/>
      <c r="AQ135" s="73"/>
      <c r="AR135" s="73"/>
      <c r="AS135" s="73"/>
      <c r="AT135" s="73"/>
      <c r="AU135" s="61"/>
      <c r="AV135" s="74"/>
      <c r="AW135" s="75" t="str">
        <f t="shared" si="14"/>
        <v/>
      </c>
    </row>
    <row r="136" spans="1:49" ht="14.25" customHeight="1" x14ac:dyDescent="0.3">
      <c r="A136" s="76">
        <v>132</v>
      </c>
      <c r="B136" s="77" t="s">
        <v>5849</v>
      </c>
      <c r="C136" s="78" t="s">
        <v>5850</v>
      </c>
      <c r="D136" s="76" t="s">
        <v>5774</v>
      </c>
      <c r="E136" s="59">
        <v>46126</v>
      </c>
      <c r="F136" s="60" t="s">
        <v>55</v>
      </c>
      <c r="G136" s="60" t="s">
        <v>58</v>
      </c>
      <c r="H136" s="60" t="s">
        <v>56</v>
      </c>
      <c r="I136" s="60" t="s">
        <v>70</v>
      </c>
      <c r="J136" s="60" t="s">
        <v>58</v>
      </c>
      <c r="K136" s="61"/>
      <c r="L136" s="62" t="s">
        <v>56</v>
      </c>
      <c r="M136" s="63" t="str">
        <f t="shared" si="10"/>
        <v>✓ OK</v>
      </c>
      <c r="N136" s="64"/>
      <c r="O136" s="64"/>
      <c r="P136" s="64"/>
      <c r="Q136" s="64"/>
      <c r="R136" s="64"/>
      <c r="S136" s="64"/>
      <c r="T136" s="61"/>
      <c r="U136" s="65"/>
      <c r="V136" s="66" t="str">
        <f t="shared" si="11"/>
        <v/>
      </c>
      <c r="W136" s="67"/>
      <c r="X136" s="67"/>
      <c r="Y136" s="67"/>
      <c r="Z136" s="67"/>
      <c r="AA136" s="67"/>
      <c r="AB136" s="67"/>
      <c r="AC136" s="61"/>
      <c r="AD136" s="68"/>
      <c r="AE136" s="69" t="str">
        <f t="shared" si="12"/>
        <v/>
      </c>
      <c r="AF136" s="70"/>
      <c r="AG136" s="70"/>
      <c r="AH136" s="70"/>
      <c r="AI136" s="70"/>
      <c r="AJ136" s="70"/>
      <c r="AK136" s="70"/>
      <c r="AL136" s="61"/>
      <c r="AM136" s="71"/>
      <c r="AN136" s="72" t="str">
        <f t="shared" si="13"/>
        <v/>
      </c>
      <c r="AO136" s="73"/>
      <c r="AP136" s="73"/>
      <c r="AQ136" s="73"/>
      <c r="AR136" s="73"/>
      <c r="AS136" s="73"/>
      <c r="AT136" s="73"/>
      <c r="AU136" s="61"/>
      <c r="AV136" s="74"/>
      <c r="AW136" s="75" t="str">
        <f t="shared" si="14"/>
        <v/>
      </c>
    </row>
    <row r="137" spans="1:49" ht="14.25" customHeight="1" x14ac:dyDescent="0.3">
      <c r="A137" s="56">
        <v>133</v>
      </c>
      <c r="B137" s="57" t="s">
        <v>5851</v>
      </c>
      <c r="C137" s="58" t="s">
        <v>5852</v>
      </c>
      <c r="D137" s="56" t="s">
        <v>5774</v>
      </c>
      <c r="E137" s="59">
        <v>46126</v>
      </c>
      <c r="F137" s="60" t="s">
        <v>55</v>
      </c>
      <c r="G137" s="60" t="s">
        <v>58</v>
      </c>
      <c r="H137" s="60" t="s">
        <v>56</v>
      </c>
      <c r="I137" s="60" t="s">
        <v>70</v>
      </c>
      <c r="J137" s="60" t="s">
        <v>58</v>
      </c>
      <c r="K137" s="61"/>
      <c r="L137" s="62" t="s">
        <v>56</v>
      </c>
      <c r="M137" s="63" t="str">
        <f t="shared" si="10"/>
        <v>✓ OK</v>
      </c>
      <c r="N137" s="64"/>
      <c r="O137" s="64"/>
      <c r="P137" s="64"/>
      <c r="Q137" s="64"/>
      <c r="R137" s="64"/>
      <c r="S137" s="64"/>
      <c r="T137" s="61"/>
      <c r="U137" s="65"/>
      <c r="V137" s="66" t="str">
        <f t="shared" si="11"/>
        <v/>
      </c>
      <c r="W137" s="67"/>
      <c r="X137" s="67"/>
      <c r="Y137" s="67"/>
      <c r="Z137" s="67"/>
      <c r="AA137" s="67"/>
      <c r="AB137" s="67"/>
      <c r="AC137" s="61"/>
      <c r="AD137" s="68"/>
      <c r="AE137" s="69" t="str">
        <f t="shared" si="12"/>
        <v/>
      </c>
      <c r="AF137" s="70"/>
      <c r="AG137" s="70"/>
      <c r="AH137" s="70"/>
      <c r="AI137" s="70"/>
      <c r="AJ137" s="70"/>
      <c r="AK137" s="70"/>
      <c r="AL137" s="61"/>
      <c r="AM137" s="71"/>
      <c r="AN137" s="72" t="str">
        <f t="shared" si="13"/>
        <v/>
      </c>
      <c r="AO137" s="73"/>
      <c r="AP137" s="73"/>
      <c r="AQ137" s="73"/>
      <c r="AR137" s="73"/>
      <c r="AS137" s="73"/>
      <c r="AT137" s="73"/>
      <c r="AU137" s="61"/>
      <c r="AV137" s="74"/>
      <c r="AW137" s="75" t="str">
        <f t="shared" si="14"/>
        <v/>
      </c>
    </row>
    <row r="138" spans="1:49" ht="14.25" customHeight="1" x14ac:dyDescent="0.3">
      <c r="A138" s="76">
        <v>134</v>
      </c>
      <c r="B138" s="77" t="s">
        <v>5853</v>
      </c>
      <c r="C138" s="78" t="s">
        <v>5854</v>
      </c>
      <c r="D138" s="76" t="s">
        <v>5774</v>
      </c>
      <c r="E138" s="59">
        <v>46126</v>
      </c>
      <c r="F138" s="60" t="s">
        <v>55</v>
      </c>
      <c r="G138" s="60" t="s">
        <v>58</v>
      </c>
      <c r="H138" s="60" t="s">
        <v>56</v>
      </c>
      <c r="I138" s="60" t="s">
        <v>70</v>
      </c>
      <c r="J138" s="60" t="s">
        <v>58</v>
      </c>
      <c r="K138" s="61"/>
      <c r="L138" s="62" t="s">
        <v>56</v>
      </c>
      <c r="M138" s="63" t="str">
        <f t="shared" si="10"/>
        <v>✓ OK</v>
      </c>
      <c r="N138" s="64"/>
      <c r="O138" s="64"/>
      <c r="P138" s="64"/>
      <c r="Q138" s="64"/>
      <c r="R138" s="64"/>
      <c r="S138" s="64"/>
      <c r="T138" s="61"/>
      <c r="U138" s="65"/>
      <c r="V138" s="66" t="str">
        <f t="shared" si="11"/>
        <v/>
      </c>
      <c r="W138" s="67"/>
      <c r="X138" s="67"/>
      <c r="Y138" s="67"/>
      <c r="Z138" s="67"/>
      <c r="AA138" s="67"/>
      <c r="AB138" s="67"/>
      <c r="AC138" s="61"/>
      <c r="AD138" s="68"/>
      <c r="AE138" s="69" t="str">
        <f t="shared" si="12"/>
        <v/>
      </c>
      <c r="AF138" s="70"/>
      <c r="AG138" s="70"/>
      <c r="AH138" s="70"/>
      <c r="AI138" s="70"/>
      <c r="AJ138" s="70"/>
      <c r="AK138" s="70"/>
      <c r="AL138" s="61"/>
      <c r="AM138" s="71"/>
      <c r="AN138" s="72" t="str">
        <f t="shared" si="13"/>
        <v/>
      </c>
      <c r="AO138" s="73"/>
      <c r="AP138" s="73"/>
      <c r="AQ138" s="73"/>
      <c r="AR138" s="73"/>
      <c r="AS138" s="73"/>
      <c r="AT138" s="73"/>
      <c r="AU138" s="61"/>
      <c r="AV138" s="74"/>
      <c r="AW138" s="75" t="str">
        <f t="shared" si="14"/>
        <v/>
      </c>
    </row>
    <row r="139" spans="1:49" ht="14.25" customHeight="1" x14ac:dyDescent="0.3">
      <c r="A139" s="56">
        <v>135</v>
      </c>
      <c r="B139" s="57" t="s">
        <v>5855</v>
      </c>
      <c r="C139" s="58" t="s">
        <v>5856</v>
      </c>
      <c r="D139" s="56" t="s">
        <v>5774</v>
      </c>
      <c r="E139" s="59">
        <v>46126</v>
      </c>
      <c r="F139" s="60" t="s">
        <v>55</v>
      </c>
      <c r="G139" s="60" t="s">
        <v>58</v>
      </c>
      <c r="H139" s="60" t="s">
        <v>56</v>
      </c>
      <c r="I139" s="60" t="s">
        <v>70</v>
      </c>
      <c r="J139" s="60" t="s">
        <v>58</v>
      </c>
      <c r="K139" s="61"/>
      <c r="L139" s="62" t="s">
        <v>56</v>
      </c>
      <c r="M139" s="63" t="str">
        <f t="shared" si="10"/>
        <v>✓ OK</v>
      </c>
      <c r="N139" s="64"/>
      <c r="O139" s="64"/>
      <c r="P139" s="64"/>
      <c r="Q139" s="64"/>
      <c r="R139" s="64"/>
      <c r="S139" s="64"/>
      <c r="T139" s="61"/>
      <c r="U139" s="65"/>
      <c r="V139" s="66" t="str">
        <f t="shared" si="11"/>
        <v/>
      </c>
      <c r="W139" s="67"/>
      <c r="X139" s="67"/>
      <c r="Y139" s="67"/>
      <c r="Z139" s="67"/>
      <c r="AA139" s="67"/>
      <c r="AB139" s="67"/>
      <c r="AC139" s="61"/>
      <c r="AD139" s="68"/>
      <c r="AE139" s="69" t="str">
        <f t="shared" si="12"/>
        <v/>
      </c>
      <c r="AF139" s="70"/>
      <c r="AG139" s="70"/>
      <c r="AH139" s="70"/>
      <c r="AI139" s="70"/>
      <c r="AJ139" s="70"/>
      <c r="AK139" s="70"/>
      <c r="AL139" s="61"/>
      <c r="AM139" s="71"/>
      <c r="AN139" s="72" t="str">
        <f t="shared" si="13"/>
        <v/>
      </c>
      <c r="AO139" s="73"/>
      <c r="AP139" s="73"/>
      <c r="AQ139" s="73"/>
      <c r="AR139" s="73"/>
      <c r="AS139" s="73"/>
      <c r="AT139" s="73"/>
      <c r="AU139" s="61"/>
      <c r="AV139" s="74"/>
      <c r="AW139" s="75" t="str">
        <f t="shared" si="14"/>
        <v/>
      </c>
    </row>
    <row r="140" spans="1:49" ht="14.25" customHeight="1" x14ac:dyDescent="0.3">
      <c r="A140" s="76">
        <v>136</v>
      </c>
      <c r="B140" s="77" t="s">
        <v>5857</v>
      </c>
      <c r="C140" s="78" t="s">
        <v>5858</v>
      </c>
      <c r="D140" s="76" t="s">
        <v>5774</v>
      </c>
      <c r="E140" s="59">
        <v>46126</v>
      </c>
      <c r="F140" s="60" t="s">
        <v>55</v>
      </c>
      <c r="G140" s="60" t="s">
        <v>58</v>
      </c>
      <c r="H140" s="60" t="s">
        <v>56</v>
      </c>
      <c r="I140" s="60" t="s">
        <v>70</v>
      </c>
      <c r="J140" s="60" t="s">
        <v>58</v>
      </c>
      <c r="K140" s="61"/>
      <c r="L140" s="62" t="s">
        <v>56</v>
      </c>
      <c r="M140" s="63" t="str">
        <f t="shared" si="10"/>
        <v>✓ OK</v>
      </c>
      <c r="N140" s="64"/>
      <c r="O140" s="64"/>
      <c r="P140" s="64"/>
      <c r="Q140" s="64"/>
      <c r="R140" s="64"/>
      <c r="S140" s="64"/>
      <c r="T140" s="61"/>
      <c r="U140" s="65"/>
      <c r="V140" s="66" t="str">
        <f t="shared" si="11"/>
        <v/>
      </c>
      <c r="W140" s="67"/>
      <c r="X140" s="67"/>
      <c r="Y140" s="67"/>
      <c r="Z140" s="67"/>
      <c r="AA140" s="67"/>
      <c r="AB140" s="67"/>
      <c r="AC140" s="61"/>
      <c r="AD140" s="68"/>
      <c r="AE140" s="69" t="str">
        <f t="shared" si="12"/>
        <v/>
      </c>
      <c r="AF140" s="70"/>
      <c r="AG140" s="70"/>
      <c r="AH140" s="70"/>
      <c r="AI140" s="70"/>
      <c r="AJ140" s="70"/>
      <c r="AK140" s="70"/>
      <c r="AL140" s="61"/>
      <c r="AM140" s="71"/>
      <c r="AN140" s="72" t="str">
        <f t="shared" si="13"/>
        <v/>
      </c>
      <c r="AO140" s="73"/>
      <c r="AP140" s="73"/>
      <c r="AQ140" s="73"/>
      <c r="AR140" s="73"/>
      <c r="AS140" s="73"/>
      <c r="AT140" s="73"/>
      <c r="AU140" s="61"/>
      <c r="AV140" s="74"/>
      <c r="AW140" s="75" t="str">
        <f t="shared" si="14"/>
        <v/>
      </c>
    </row>
    <row r="141" spans="1:49" ht="14.25" customHeight="1" x14ac:dyDescent="0.3">
      <c r="A141" s="56">
        <v>137</v>
      </c>
      <c r="B141" s="57" t="s">
        <v>5859</v>
      </c>
      <c r="C141" s="58" t="s">
        <v>5860</v>
      </c>
      <c r="D141" s="56" t="s">
        <v>5774</v>
      </c>
      <c r="E141" s="59">
        <v>46126</v>
      </c>
      <c r="F141" s="60" t="s">
        <v>55</v>
      </c>
      <c r="G141" s="60" t="s">
        <v>58</v>
      </c>
      <c r="H141" s="60" t="s">
        <v>56</v>
      </c>
      <c r="I141" s="60" t="s">
        <v>70</v>
      </c>
      <c r="J141" s="60" t="s">
        <v>58</v>
      </c>
      <c r="K141" s="61"/>
      <c r="L141" s="62" t="s">
        <v>56</v>
      </c>
      <c r="M141" s="63" t="str">
        <f t="shared" si="10"/>
        <v>✓ OK</v>
      </c>
      <c r="N141" s="64"/>
      <c r="O141" s="64"/>
      <c r="P141" s="64"/>
      <c r="Q141" s="64"/>
      <c r="R141" s="64"/>
      <c r="S141" s="64"/>
      <c r="T141" s="61"/>
      <c r="U141" s="65"/>
      <c r="V141" s="66" t="str">
        <f t="shared" si="11"/>
        <v/>
      </c>
      <c r="W141" s="67"/>
      <c r="X141" s="67"/>
      <c r="Y141" s="67"/>
      <c r="Z141" s="67"/>
      <c r="AA141" s="67"/>
      <c r="AB141" s="67"/>
      <c r="AC141" s="61"/>
      <c r="AD141" s="68"/>
      <c r="AE141" s="69" t="str">
        <f t="shared" si="12"/>
        <v/>
      </c>
      <c r="AF141" s="70"/>
      <c r="AG141" s="70"/>
      <c r="AH141" s="70"/>
      <c r="AI141" s="70"/>
      <c r="AJ141" s="70"/>
      <c r="AK141" s="70"/>
      <c r="AL141" s="61"/>
      <c r="AM141" s="71"/>
      <c r="AN141" s="72" t="str">
        <f t="shared" si="13"/>
        <v/>
      </c>
      <c r="AO141" s="73"/>
      <c r="AP141" s="73"/>
      <c r="AQ141" s="73"/>
      <c r="AR141" s="73"/>
      <c r="AS141" s="73"/>
      <c r="AT141" s="73"/>
      <c r="AU141" s="61"/>
      <c r="AV141" s="74"/>
      <c r="AW141" s="75" t="str">
        <f t="shared" si="14"/>
        <v/>
      </c>
    </row>
    <row r="142" spans="1:49" ht="14.25" customHeight="1" x14ac:dyDescent="0.3">
      <c r="A142" s="76">
        <v>138</v>
      </c>
      <c r="B142" s="77" t="s">
        <v>5861</v>
      </c>
      <c r="C142" s="78" t="s">
        <v>5862</v>
      </c>
      <c r="D142" s="76" t="s">
        <v>5774</v>
      </c>
      <c r="E142" s="59">
        <v>46126</v>
      </c>
      <c r="F142" s="60" t="s">
        <v>55</v>
      </c>
      <c r="G142" s="60" t="s">
        <v>58</v>
      </c>
      <c r="H142" s="60" t="s">
        <v>56</v>
      </c>
      <c r="I142" s="60" t="s">
        <v>70</v>
      </c>
      <c r="J142" s="60" t="s">
        <v>58</v>
      </c>
      <c r="K142" s="61"/>
      <c r="L142" s="62" t="s">
        <v>56</v>
      </c>
      <c r="M142" s="63" t="str">
        <f t="shared" si="10"/>
        <v>✓ OK</v>
      </c>
      <c r="N142" s="64"/>
      <c r="O142" s="64"/>
      <c r="P142" s="64"/>
      <c r="Q142" s="64"/>
      <c r="R142" s="64"/>
      <c r="S142" s="64"/>
      <c r="T142" s="61"/>
      <c r="U142" s="65"/>
      <c r="V142" s="66" t="str">
        <f t="shared" si="11"/>
        <v/>
      </c>
      <c r="W142" s="67"/>
      <c r="X142" s="67"/>
      <c r="Y142" s="67"/>
      <c r="Z142" s="67"/>
      <c r="AA142" s="67"/>
      <c r="AB142" s="67"/>
      <c r="AC142" s="61"/>
      <c r="AD142" s="68"/>
      <c r="AE142" s="69" t="str">
        <f t="shared" si="12"/>
        <v/>
      </c>
      <c r="AF142" s="70"/>
      <c r="AG142" s="70"/>
      <c r="AH142" s="70"/>
      <c r="AI142" s="70"/>
      <c r="AJ142" s="70"/>
      <c r="AK142" s="70"/>
      <c r="AL142" s="61"/>
      <c r="AM142" s="71"/>
      <c r="AN142" s="72" t="str">
        <f t="shared" si="13"/>
        <v/>
      </c>
      <c r="AO142" s="73"/>
      <c r="AP142" s="73"/>
      <c r="AQ142" s="73"/>
      <c r="AR142" s="73"/>
      <c r="AS142" s="73"/>
      <c r="AT142" s="73"/>
      <c r="AU142" s="61"/>
      <c r="AV142" s="74"/>
      <c r="AW142" s="75" t="str">
        <f t="shared" si="14"/>
        <v/>
      </c>
    </row>
    <row r="143" spans="1:49" ht="14.25" customHeight="1" x14ac:dyDescent="0.3">
      <c r="A143" s="56">
        <v>139</v>
      </c>
      <c r="B143" s="57" t="s">
        <v>5863</v>
      </c>
      <c r="C143" s="58" t="s">
        <v>5864</v>
      </c>
      <c r="D143" s="56" t="s">
        <v>5774</v>
      </c>
      <c r="E143" s="59">
        <v>46126</v>
      </c>
      <c r="F143" s="60" t="s">
        <v>55</v>
      </c>
      <c r="G143" s="60" t="s">
        <v>58</v>
      </c>
      <c r="H143" s="60" t="s">
        <v>56</v>
      </c>
      <c r="I143" s="60" t="s">
        <v>70</v>
      </c>
      <c r="J143" s="60" t="s">
        <v>58</v>
      </c>
      <c r="K143" s="61"/>
      <c r="L143" s="62" t="s">
        <v>56</v>
      </c>
      <c r="M143" s="63" t="str">
        <f t="shared" si="10"/>
        <v>✓ OK</v>
      </c>
      <c r="N143" s="64"/>
      <c r="O143" s="64"/>
      <c r="P143" s="64"/>
      <c r="Q143" s="64"/>
      <c r="R143" s="64"/>
      <c r="S143" s="64"/>
      <c r="T143" s="61"/>
      <c r="U143" s="65"/>
      <c r="V143" s="66" t="str">
        <f t="shared" si="11"/>
        <v/>
      </c>
      <c r="W143" s="67"/>
      <c r="X143" s="67"/>
      <c r="Y143" s="67"/>
      <c r="Z143" s="67"/>
      <c r="AA143" s="67"/>
      <c r="AB143" s="67"/>
      <c r="AC143" s="61"/>
      <c r="AD143" s="68"/>
      <c r="AE143" s="69" t="str">
        <f t="shared" si="12"/>
        <v/>
      </c>
      <c r="AF143" s="70"/>
      <c r="AG143" s="70"/>
      <c r="AH143" s="70"/>
      <c r="AI143" s="70"/>
      <c r="AJ143" s="70"/>
      <c r="AK143" s="70"/>
      <c r="AL143" s="61"/>
      <c r="AM143" s="71"/>
      <c r="AN143" s="72" t="str">
        <f t="shared" si="13"/>
        <v/>
      </c>
      <c r="AO143" s="73"/>
      <c r="AP143" s="73"/>
      <c r="AQ143" s="73"/>
      <c r="AR143" s="73"/>
      <c r="AS143" s="73"/>
      <c r="AT143" s="73"/>
      <c r="AU143" s="61"/>
      <c r="AV143" s="74"/>
      <c r="AW143" s="75" t="str">
        <f t="shared" si="14"/>
        <v/>
      </c>
    </row>
    <row r="144" spans="1:49" ht="14.25" customHeight="1" x14ac:dyDescent="0.3">
      <c r="A144" s="76">
        <v>140</v>
      </c>
      <c r="B144" s="77" t="s">
        <v>5865</v>
      </c>
      <c r="C144" s="78" t="s">
        <v>5866</v>
      </c>
      <c r="D144" s="76" t="s">
        <v>5774</v>
      </c>
      <c r="E144" s="59">
        <v>46126</v>
      </c>
      <c r="F144" s="60" t="s">
        <v>55</v>
      </c>
      <c r="G144" s="60" t="s">
        <v>58</v>
      </c>
      <c r="H144" s="60" t="s">
        <v>56</v>
      </c>
      <c r="I144" s="60" t="s">
        <v>70</v>
      </c>
      <c r="J144" s="60" t="s">
        <v>58</v>
      </c>
      <c r="K144" s="61"/>
      <c r="L144" s="62" t="s">
        <v>56</v>
      </c>
      <c r="M144" s="63" t="str">
        <f t="shared" si="10"/>
        <v>✓ OK</v>
      </c>
      <c r="N144" s="64"/>
      <c r="O144" s="64"/>
      <c r="P144" s="64"/>
      <c r="Q144" s="64"/>
      <c r="R144" s="64"/>
      <c r="S144" s="64"/>
      <c r="T144" s="61"/>
      <c r="U144" s="65"/>
      <c r="V144" s="66" t="str">
        <f t="shared" si="11"/>
        <v/>
      </c>
      <c r="W144" s="67"/>
      <c r="X144" s="67"/>
      <c r="Y144" s="67"/>
      <c r="Z144" s="67"/>
      <c r="AA144" s="67"/>
      <c r="AB144" s="67"/>
      <c r="AC144" s="61"/>
      <c r="AD144" s="68"/>
      <c r="AE144" s="69" t="str">
        <f t="shared" si="12"/>
        <v/>
      </c>
      <c r="AF144" s="70"/>
      <c r="AG144" s="70"/>
      <c r="AH144" s="70"/>
      <c r="AI144" s="70"/>
      <c r="AJ144" s="70"/>
      <c r="AK144" s="70"/>
      <c r="AL144" s="61"/>
      <c r="AM144" s="71"/>
      <c r="AN144" s="72" t="str">
        <f t="shared" si="13"/>
        <v/>
      </c>
      <c r="AO144" s="73"/>
      <c r="AP144" s="73"/>
      <c r="AQ144" s="73"/>
      <c r="AR144" s="73"/>
      <c r="AS144" s="73"/>
      <c r="AT144" s="73"/>
      <c r="AU144" s="61"/>
      <c r="AV144" s="74"/>
      <c r="AW144" s="75" t="str">
        <f t="shared" si="14"/>
        <v/>
      </c>
    </row>
    <row r="145" spans="1:49" ht="14.25" customHeight="1" x14ac:dyDescent="0.3">
      <c r="A145" s="56">
        <v>141</v>
      </c>
      <c r="B145" s="57" t="s">
        <v>5867</v>
      </c>
      <c r="C145" s="58" t="s">
        <v>5868</v>
      </c>
      <c r="D145" s="56" t="s">
        <v>5774</v>
      </c>
      <c r="E145" s="59">
        <v>46126</v>
      </c>
      <c r="F145" s="60" t="s">
        <v>55</v>
      </c>
      <c r="G145" s="60" t="s">
        <v>58</v>
      </c>
      <c r="H145" s="60" t="s">
        <v>56</v>
      </c>
      <c r="I145" s="60" t="s">
        <v>70</v>
      </c>
      <c r="J145" s="60" t="s">
        <v>58</v>
      </c>
      <c r="K145" s="61"/>
      <c r="L145" s="62" t="s">
        <v>56</v>
      </c>
      <c r="M145" s="63" t="str">
        <f t="shared" si="10"/>
        <v>✓ OK</v>
      </c>
      <c r="N145" s="64"/>
      <c r="O145" s="64"/>
      <c r="P145" s="64"/>
      <c r="Q145" s="64"/>
      <c r="R145" s="64"/>
      <c r="S145" s="64"/>
      <c r="T145" s="61"/>
      <c r="U145" s="65"/>
      <c r="V145" s="66" t="str">
        <f t="shared" si="11"/>
        <v/>
      </c>
      <c r="W145" s="67"/>
      <c r="X145" s="67"/>
      <c r="Y145" s="67"/>
      <c r="Z145" s="67"/>
      <c r="AA145" s="67"/>
      <c r="AB145" s="67"/>
      <c r="AC145" s="61"/>
      <c r="AD145" s="68"/>
      <c r="AE145" s="69" t="str">
        <f t="shared" si="12"/>
        <v/>
      </c>
      <c r="AF145" s="70"/>
      <c r="AG145" s="70"/>
      <c r="AH145" s="70"/>
      <c r="AI145" s="70"/>
      <c r="AJ145" s="70"/>
      <c r="AK145" s="70"/>
      <c r="AL145" s="61"/>
      <c r="AM145" s="71"/>
      <c r="AN145" s="72" t="str">
        <f t="shared" si="13"/>
        <v/>
      </c>
      <c r="AO145" s="73"/>
      <c r="AP145" s="73"/>
      <c r="AQ145" s="73"/>
      <c r="AR145" s="73"/>
      <c r="AS145" s="73"/>
      <c r="AT145" s="73"/>
      <c r="AU145" s="61"/>
      <c r="AV145" s="74"/>
      <c r="AW145" s="75" t="str">
        <f t="shared" si="14"/>
        <v/>
      </c>
    </row>
    <row r="146" spans="1:49" ht="14.25" customHeight="1" x14ac:dyDescent="0.3">
      <c r="A146" s="76">
        <v>142</v>
      </c>
      <c r="B146" s="77" t="s">
        <v>5869</v>
      </c>
      <c r="C146" s="78" t="s">
        <v>5870</v>
      </c>
      <c r="D146" s="76" t="s">
        <v>5774</v>
      </c>
      <c r="E146" s="59">
        <v>46126</v>
      </c>
      <c r="F146" s="60" t="s">
        <v>55</v>
      </c>
      <c r="G146" s="60" t="s">
        <v>58</v>
      </c>
      <c r="H146" s="60" t="s">
        <v>56</v>
      </c>
      <c r="I146" s="60" t="s">
        <v>70</v>
      </c>
      <c r="J146" s="60" t="s">
        <v>58</v>
      </c>
      <c r="K146" s="61"/>
      <c r="L146" s="62" t="s">
        <v>56</v>
      </c>
      <c r="M146" s="63" t="str">
        <f t="shared" si="10"/>
        <v>✓ OK</v>
      </c>
      <c r="N146" s="64"/>
      <c r="O146" s="64"/>
      <c r="P146" s="64"/>
      <c r="Q146" s="64"/>
      <c r="R146" s="64"/>
      <c r="S146" s="64"/>
      <c r="T146" s="61"/>
      <c r="U146" s="65"/>
      <c r="V146" s="66" t="str">
        <f t="shared" si="11"/>
        <v/>
      </c>
      <c r="W146" s="67"/>
      <c r="X146" s="67"/>
      <c r="Y146" s="67"/>
      <c r="Z146" s="67"/>
      <c r="AA146" s="67"/>
      <c r="AB146" s="67"/>
      <c r="AC146" s="61"/>
      <c r="AD146" s="68"/>
      <c r="AE146" s="69" t="str">
        <f t="shared" si="12"/>
        <v/>
      </c>
      <c r="AF146" s="70"/>
      <c r="AG146" s="70"/>
      <c r="AH146" s="70"/>
      <c r="AI146" s="70"/>
      <c r="AJ146" s="70"/>
      <c r="AK146" s="70"/>
      <c r="AL146" s="61"/>
      <c r="AM146" s="71"/>
      <c r="AN146" s="72" t="str">
        <f t="shared" si="13"/>
        <v/>
      </c>
      <c r="AO146" s="73"/>
      <c r="AP146" s="73"/>
      <c r="AQ146" s="73"/>
      <c r="AR146" s="73"/>
      <c r="AS146" s="73"/>
      <c r="AT146" s="73"/>
      <c r="AU146" s="61"/>
      <c r="AV146" s="74"/>
      <c r="AW146" s="75" t="str">
        <f t="shared" si="14"/>
        <v/>
      </c>
    </row>
    <row r="147" spans="1:49" ht="14.25" customHeight="1" x14ac:dyDescent="0.3">
      <c r="A147" s="56">
        <v>143</v>
      </c>
      <c r="B147" s="57" t="s">
        <v>5871</v>
      </c>
      <c r="C147" s="58" t="s">
        <v>5872</v>
      </c>
      <c r="D147" s="56" t="s">
        <v>5774</v>
      </c>
      <c r="E147" s="59">
        <v>46126</v>
      </c>
      <c r="F147" s="60" t="s">
        <v>55</v>
      </c>
      <c r="G147" s="60" t="s">
        <v>58</v>
      </c>
      <c r="H147" s="60" t="s">
        <v>56</v>
      </c>
      <c r="I147" s="60" t="s">
        <v>70</v>
      </c>
      <c r="J147" s="60" t="s">
        <v>58</v>
      </c>
      <c r="K147" s="61"/>
      <c r="L147" s="62" t="s">
        <v>56</v>
      </c>
      <c r="M147" s="63" t="str">
        <f t="shared" si="10"/>
        <v>✓ OK</v>
      </c>
      <c r="N147" s="64"/>
      <c r="O147" s="64"/>
      <c r="P147" s="64"/>
      <c r="Q147" s="64"/>
      <c r="R147" s="64"/>
      <c r="S147" s="64"/>
      <c r="T147" s="61"/>
      <c r="U147" s="65"/>
      <c r="V147" s="66" t="str">
        <f t="shared" si="11"/>
        <v/>
      </c>
      <c r="W147" s="67"/>
      <c r="X147" s="67"/>
      <c r="Y147" s="67"/>
      <c r="Z147" s="67"/>
      <c r="AA147" s="67"/>
      <c r="AB147" s="67"/>
      <c r="AC147" s="61"/>
      <c r="AD147" s="68"/>
      <c r="AE147" s="69" t="str">
        <f t="shared" si="12"/>
        <v/>
      </c>
      <c r="AF147" s="70"/>
      <c r="AG147" s="70"/>
      <c r="AH147" s="70"/>
      <c r="AI147" s="70"/>
      <c r="AJ147" s="70"/>
      <c r="AK147" s="70"/>
      <c r="AL147" s="61"/>
      <c r="AM147" s="71"/>
      <c r="AN147" s="72" t="str">
        <f t="shared" si="13"/>
        <v/>
      </c>
      <c r="AO147" s="73"/>
      <c r="AP147" s="73"/>
      <c r="AQ147" s="73"/>
      <c r="AR147" s="73"/>
      <c r="AS147" s="73"/>
      <c r="AT147" s="73"/>
      <c r="AU147" s="61"/>
      <c r="AV147" s="74"/>
      <c r="AW147" s="75" t="str">
        <f t="shared" si="14"/>
        <v/>
      </c>
    </row>
    <row r="148" spans="1:49" ht="14.25" customHeight="1" x14ac:dyDescent="0.3">
      <c r="A148" s="76">
        <v>144</v>
      </c>
      <c r="B148" s="77" t="s">
        <v>5873</v>
      </c>
      <c r="C148" s="78" t="s">
        <v>5874</v>
      </c>
      <c r="D148" s="76" t="s">
        <v>5774</v>
      </c>
      <c r="E148" s="59">
        <v>46126</v>
      </c>
      <c r="F148" s="60" t="s">
        <v>55</v>
      </c>
      <c r="G148" s="60" t="s">
        <v>58</v>
      </c>
      <c r="H148" s="60" t="s">
        <v>56</v>
      </c>
      <c r="I148" s="60" t="s">
        <v>70</v>
      </c>
      <c r="J148" s="60" t="s">
        <v>58</v>
      </c>
      <c r="K148" s="61"/>
      <c r="L148" s="62" t="s">
        <v>56</v>
      </c>
      <c r="M148" s="63" t="str">
        <f t="shared" si="10"/>
        <v>✓ OK</v>
      </c>
      <c r="N148" s="64"/>
      <c r="O148" s="64"/>
      <c r="P148" s="64"/>
      <c r="Q148" s="64"/>
      <c r="R148" s="64"/>
      <c r="S148" s="64"/>
      <c r="T148" s="61"/>
      <c r="U148" s="65"/>
      <c r="V148" s="66" t="str">
        <f t="shared" si="11"/>
        <v/>
      </c>
      <c r="W148" s="67"/>
      <c r="X148" s="67"/>
      <c r="Y148" s="67"/>
      <c r="Z148" s="67"/>
      <c r="AA148" s="67"/>
      <c r="AB148" s="67"/>
      <c r="AC148" s="61"/>
      <c r="AD148" s="68"/>
      <c r="AE148" s="69" t="str">
        <f t="shared" si="12"/>
        <v/>
      </c>
      <c r="AF148" s="70"/>
      <c r="AG148" s="70"/>
      <c r="AH148" s="70"/>
      <c r="AI148" s="70"/>
      <c r="AJ148" s="70"/>
      <c r="AK148" s="70"/>
      <c r="AL148" s="61"/>
      <c r="AM148" s="71"/>
      <c r="AN148" s="72" t="str">
        <f t="shared" si="13"/>
        <v/>
      </c>
      <c r="AO148" s="73"/>
      <c r="AP148" s="73"/>
      <c r="AQ148" s="73"/>
      <c r="AR148" s="73"/>
      <c r="AS148" s="73"/>
      <c r="AT148" s="73"/>
      <c r="AU148" s="61"/>
      <c r="AV148" s="74"/>
      <c r="AW148" s="75" t="str">
        <f t="shared" si="14"/>
        <v/>
      </c>
    </row>
    <row r="149" spans="1:49" ht="14.25" customHeight="1" x14ac:dyDescent="0.3">
      <c r="A149" s="56">
        <v>145</v>
      </c>
      <c r="B149" s="57" t="s">
        <v>5875</v>
      </c>
      <c r="C149" s="58" t="s">
        <v>5876</v>
      </c>
      <c r="D149" s="56" t="s">
        <v>5774</v>
      </c>
      <c r="E149" s="59">
        <v>46126</v>
      </c>
      <c r="F149" s="60" t="s">
        <v>55</v>
      </c>
      <c r="G149" s="60" t="s">
        <v>58</v>
      </c>
      <c r="H149" s="60" t="s">
        <v>56</v>
      </c>
      <c r="I149" s="60" t="s">
        <v>70</v>
      </c>
      <c r="J149" s="60" t="s">
        <v>58</v>
      </c>
      <c r="K149" s="61"/>
      <c r="L149" s="62" t="s">
        <v>56</v>
      </c>
      <c r="M149" s="63" t="str">
        <f t="shared" si="10"/>
        <v>✓ OK</v>
      </c>
      <c r="N149" s="64"/>
      <c r="O149" s="64"/>
      <c r="P149" s="64"/>
      <c r="Q149" s="64"/>
      <c r="R149" s="64"/>
      <c r="S149" s="64"/>
      <c r="T149" s="61"/>
      <c r="U149" s="65"/>
      <c r="V149" s="66" t="str">
        <f t="shared" si="11"/>
        <v/>
      </c>
      <c r="W149" s="67"/>
      <c r="X149" s="67"/>
      <c r="Y149" s="67"/>
      <c r="Z149" s="67"/>
      <c r="AA149" s="67"/>
      <c r="AB149" s="67"/>
      <c r="AC149" s="61"/>
      <c r="AD149" s="68"/>
      <c r="AE149" s="69" t="str">
        <f t="shared" si="12"/>
        <v/>
      </c>
      <c r="AF149" s="70"/>
      <c r="AG149" s="70"/>
      <c r="AH149" s="70"/>
      <c r="AI149" s="70"/>
      <c r="AJ149" s="70"/>
      <c r="AK149" s="70"/>
      <c r="AL149" s="61"/>
      <c r="AM149" s="71"/>
      <c r="AN149" s="72" t="str">
        <f t="shared" si="13"/>
        <v/>
      </c>
      <c r="AO149" s="73"/>
      <c r="AP149" s="73"/>
      <c r="AQ149" s="73"/>
      <c r="AR149" s="73"/>
      <c r="AS149" s="73"/>
      <c r="AT149" s="73"/>
      <c r="AU149" s="61"/>
      <c r="AV149" s="74"/>
      <c r="AW149" s="75" t="str">
        <f t="shared" si="14"/>
        <v/>
      </c>
    </row>
    <row r="150" spans="1:49" ht="14.25" customHeight="1" x14ac:dyDescent="0.3">
      <c r="A150" s="76">
        <v>146</v>
      </c>
      <c r="B150" s="77" t="s">
        <v>5877</v>
      </c>
      <c r="C150" s="78" t="s">
        <v>5878</v>
      </c>
      <c r="D150" s="76" t="s">
        <v>5774</v>
      </c>
      <c r="E150" s="59">
        <v>46126</v>
      </c>
      <c r="F150" s="60" t="s">
        <v>55</v>
      </c>
      <c r="G150" s="60" t="s">
        <v>58</v>
      </c>
      <c r="H150" s="60" t="s">
        <v>56</v>
      </c>
      <c r="I150" s="60" t="s">
        <v>70</v>
      </c>
      <c r="J150" s="60" t="s">
        <v>58</v>
      </c>
      <c r="K150" s="61"/>
      <c r="L150" s="62" t="s">
        <v>56</v>
      </c>
      <c r="M150" s="63" t="str">
        <f t="shared" si="10"/>
        <v>✓ OK</v>
      </c>
      <c r="N150" s="64"/>
      <c r="O150" s="64"/>
      <c r="P150" s="64"/>
      <c r="Q150" s="64"/>
      <c r="R150" s="64"/>
      <c r="S150" s="64"/>
      <c r="T150" s="61"/>
      <c r="U150" s="65"/>
      <c r="V150" s="66" t="str">
        <f t="shared" si="11"/>
        <v/>
      </c>
      <c r="W150" s="67"/>
      <c r="X150" s="67"/>
      <c r="Y150" s="67"/>
      <c r="Z150" s="67"/>
      <c r="AA150" s="67"/>
      <c r="AB150" s="67"/>
      <c r="AC150" s="61"/>
      <c r="AD150" s="68"/>
      <c r="AE150" s="69" t="str">
        <f t="shared" si="12"/>
        <v/>
      </c>
      <c r="AF150" s="70"/>
      <c r="AG150" s="70"/>
      <c r="AH150" s="70"/>
      <c r="AI150" s="70"/>
      <c r="AJ150" s="70"/>
      <c r="AK150" s="70"/>
      <c r="AL150" s="61"/>
      <c r="AM150" s="71"/>
      <c r="AN150" s="72" t="str">
        <f t="shared" si="13"/>
        <v/>
      </c>
      <c r="AO150" s="73"/>
      <c r="AP150" s="73"/>
      <c r="AQ150" s="73"/>
      <c r="AR150" s="73"/>
      <c r="AS150" s="73"/>
      <c r="AT150" s="73"/>
      <c r="AU150" s="61"/>
      <c r="AV150" s="74"/>
      <c r="AW150" s="75" t="str">
        <f t="shared" si="14"/>
        <v/>
      </c>
    </row>
    <row r="151" spans="1:49" ht="14.25" customHeight="1" x14ac:dyDescent="0.3">
      <c r="A151" s="56">
        <v>147</v>
      </c>
      <c r="B151" s="57" t="s">
        <v>5879</v>
      </c>
      <c r="C151" s="58" t="s">
        <v>5880</v>
      </c>
      <c r="D151" s="56" t="s">
        <v>5774</v>
      </c>
      <c r="E151" s="59">
        <v>46126</v>
      </c>
      <c r="F151" s="60" t="s">
        <v>55</v>
      </c>
      <c r="G151" s="60" t="s">
        <v>58</v>
      </c>
      <c r="H151" s="60" t="s">
        <v>56</v>
      </c>
      <c r="I151" s="60" t="s">
        <v>70</v>
      </c>
      <c r="J151" s="60" t="s">
        <v>58</v>
      </c>
      <c r="K151" s="61"/>
      <c r="L151" s="62" t="s">
        <v>56</v>
      </c>
      <c r="M151" s="63" t="str">
        <f t="shared" si="10"/>
        <v>✓ OK</v>
      </c>
      <c r="N151" s="64"/>
      <c r="O151" s="64"/>
      <c r="P151" s="64"/>
      <c r="Q151" s="64"/>
      <c r="R151" s="64"/>
      <c r="S151" s="64"/>
      <c r="T151" s="61"/>
      <c r="U151" s="65"/>
      <c r="V151" s="66" t="str">
        <f t="shared" si="11"/>
        <v/>
      </c>
      <c r="W151" s="67"/>
      <c r="X151" s="67"/>
      <c r="Y151" s="67"/>
      <c r="Z151" s="67"/>
      <c r="AA151" s="67"/>
      <c r="AB151" s="67"/>
      <c r="AC151" s="61"/>
      <c r="AD151" s="68"/>
      <c r="AE151" s="69" t="str">
        <f t="shared" si="12"/>
        <v/>
      </c>
      <c r="AF151" s="70"/>
      <c r="AG151" s="70"/>
      <c r="AH151" s="70"/>
      <c r="AI151" s="70"/>
      <c r="AJ151" s="70"/>
      <c r="AK151" s="70"/>
      <c r="AL151" s="61"/>
      <c r="AM151" s="71"/>
      <c r="AN151" s="72" t="str">
        <f t="shared" si="13"/>
        <v/>
      </c>
      <c r="AO151" s="73"/>
      <c r="AP151" s="73"/>
      <c r="AQ151" s="73"/>
      <c r="AR151" s="73"/>
      <c r="AS151" s="73"/>
      <c r="AT151" s="73"/>
      <c r="AU151" s="61"/>
      <c r="AV151" s="74"/>
      <c r="AW151" s="75" t="str">
        <f t="shared" si="14"/>
        <v/>
      </c>
    </row>
    <row r="152" spans="1:49" ht="14.25" customHeight="1" x14ac:dyDescent="0.3">
      <c r="A152" s="76">
        <v>148</v>
      </c>
      <c r="B152" s="77" t="s">
        <v>5881</v>
      </c>
      <c r="C152" s="78" t="s">
        <v>5882</v>
      </c>
      <c r="D152" s="76" t="s">
        <v>5774</v>
      </c>
      <c r="E152" s="59">
        <v>46126</v>
      </c>
      <c r="F152" s="60" t="s">
        <v>55</v>
      </c>
      <c r="G152" s="60" t="s">
        <v>58</v>
      </c>
      <c r="H152" s="60" t="s">
        <v>56</v>
      </c>
      <c r="I152" s="60" t="s">
        <v>70</v>
      </c>
      <c r="J152" s="60" t="s">
        <v>58</v>
      </c>
      <c r="K152" s="61"/>
      <c r="L152" s="62" t="s">
        <v>56</v>
      </c>
      <c r="M152" s="63" t="str">
        <f t="shared" si="10"/>
        <v>✓ OK</v>
      </c>
      <c r="N152" s="64"/>
      <c r="O152" s="64"/>
      <c r="P152" s="64"/>
      <c r="Q152" s="64"/>
      <c r="R152" s="64"/>
      <c r="S152" s="64"/>
      <c r="T152" s="61"/>
      <c r="U152" s="65"/>
      <c r="V152" s="66" t="str">
        <f t="shared" si="11"/>
        <v/>
      </c>
      <c r="W152" s="67"/>
      <c r="X152" s="67"/>
      <c r="Y152" s="67"/>
      <c r="Z152" s="67"/>
      <c r="AA152" s="67"/>
      <c r="AB152" s="67"/>
      <c r="AC152" s="61"/>
      <c r="AD152" s="68"/>
      <c r="AE152" s="69" t="str">
        <f t="shared" si="12"/>
        <v/>
      </c>
      <c r="AF152" s="70"/>
      <c r="AG152" s="70"/>
      <c r="AH152" s="70"/>
      <c r="AI152" s="70"/>
      <c r="AJ152" s="70"/>
      <c r="AK152" s="70"/>
      <c r="AL152" s="61"/>
      <c r="AM152" s="71"/>
      <c r="AN152" s="72" t="str">
        <f t="shared" si="13"/>
        <v/>
      </c>
      <c r="AO152" s="73"/>
      <c r="AP152" s="73"/>
      <c r="AQ152" s="73"/>
      <c r="AR152" s="73"/>
      <c r="AS152" s="73"/>
      <c r="AT152" s="73"/>
      <c r="AU152" s="61"/>
      <c r="AV152" s="74"/>
      <c r="AW152" s="75" t="str">
        <f t="shared" si="14"/>
        <v/>
      </c>
    </row>
    <row r="153" spans="1:49" ht="14.25" customHeight="1" x14ac:dyDescent="0.3">
      <c r="A153" s="56">
        <v>149</v>
      </c>
      <c r="B153" s="57" t="s">
        <v>5883</v>
      </c>
      <c r="C153" s="58" t="s">
        <v>5884</v>
      </c>
      <c r="D153" s="56" t="s">
        <v>5774</v>
      </c>
      <c r="E153" s="59">
        <v>46126</v>
      </c>
      <c r="F153" s="60" t="s">
        <v>55</v>
      </c>
      <c r="G153" s="60" t="s">
        <v>58</v>
      </c>
      <c r="H153" s="60" t="s">
        <v>56</v>
      </c>
      <c r="I153" s="60" t="s">
        <v>70</v>
      </c>
      <c r="J153" s="60" t="s">
        <v>58</v>
      </c>
      <c r="K153" s="61"/>
      <c r="L153" s="62" t="s">
        <v>56</v>
      </c>
      <c r="M153" s="63" t="str">
        <f t="shared" si="10"/>
        <v>✓ OK</v>
      </c>
      <c r="N153" s="64"/>
      <c r="O153" s="64"/>
      <c r="P153" s="64"/>
      <c r="Q153" s="64"/>
      <c r="R153" s="64"/>
      <c r="S153" s="64"/>
      <c r="T153" s="61"/>
      <c r="U153" s="65"/>
      <c r="V153" s="66" t="str">
        <f t="shared" si="11"/>
        <v/>
      </c>
      <c r="W153" s="67"/>
      <c r="X153" s="67"/>
      <c r="Y153" s="67"/>
      <c r="Z153" s="67"/>
      <c r="AA153" s="67"/>
      <c r="AB153" s="67"/>
      <c r="AC153" s="61"/>
      <c r="AD153" s="68"/>
      <c r="AE153" s="69" t="str">
        <f t="shared" si="12"/>
        <v/>
      </c>
      <c r="AF153" s="70"/>
      <c r="AG153" s="70"/>
      <c r="AH153" s="70"/>
      <c r="AI153" s="70"/>
      <c r="AJ153" s="70"/>
      <c r="AK153" s="70"/>
      <c r="AL153" s="61"/>
      <c r="AM153" s="71"/>
      <c r="AN153" s="72" t="str">
        <f t="shared" si="13"/>
        <v/>
      </c>
      <c r="AO153" s="73"/>
      <c r="AP153" s="73"/>
      <c r="AQ153" s="73"/>
      <c r="AR153" s="73"/>
      <c r="AS153" s="73"/>
      <c r="AT153" s="73"/>
      <c r="AU153" s="61"/>
      <c r="AV153" s="74"/>
      <c r="AW153" s="75" t="str">
        <f t="shared" si="14"/>
        <v/>
      </c>
    </row>
    <row r="154" spans="1:49" ht="14.25" customHeight="1" x14ac:dyDescent="0.3">
      <c r="A154" s="76">
        <v>150</v>
      </c>
      <c r="B154" s="77" t="s">
        <v>5885</v>
      </c>
      <c r="C154" s="78" t="s">
        <v>5886</v>
      </c>
      <c r="D154" s="76" t="s">
        <v>5774</v>
      </c>
      <c r="E154" s="59">
        <v>46126</v>
      </c>
      <c r="F154" s="60" t="s">
        <v>55</v>
      </c>
      <c r="G154" s="60" t="s">
        <v>58</v>
      </c>
      <c r="H154" s="60" t="s">
        <v>56</v>
      </c>
      <c r="I154" s="60" t="s">
        <v>70</v>
      </c>
      <c r="J154" s="60" t="s">
        <v>58</v>
      </c>
      <c r="K154" s="61"/>
      <c r="L154" s="62" t="s">
        <v>56</v>
      </c>
      <c r="M154" s="63" t="str">
        <f t="shared" si="10"/>
        <v>✓ OK</v>
      </c>
      <c r="N154" s="64"/>
      <c r="O154" s="64"/>
      <c r="P154" s="64"/>
      <c r="Q154" s="64"/>
      <c r="R154" s="64"/>
      <c r="S154" s="64"/>
      <c r="T154" s="61"/>
      <c r="U154" s="65"/>
      <c r="V154" s="66" t="str">
        <f t="shared" si="11"/>
        <v/>
      </c>
      <c r="W154" s="67"/>
      <c r="X154" s="67"/>
      <c r="Y154" s="67"/>
      <c r="Z154" s="67"/>
      <c r="AA154" s="67"/>
      <c r="AB154" s="67"/>
      <c r="AC154" s="61"/>
      <c r="AD154" s="68"/>
      <c r="AE154" s="69" t="str">
        <f t="shared" si="12"/>
        <v/>
      </c>
      <c r="AF154" s="70"/>
      <c r="AG154" s="70"/>
      <c r="AH154" s="70"/>
      <c r="AI154" s="70"/>
      <c r="AJ154" s="70"/>
      <c r="AK154" s="70"/>
      <c r="AL154" s="61"/>
      <c r="AM154" s="71"/>
      <c r="AN154" s="72" t="str">
        <f t="shared" si="13"/>
        <v/>
      </c>
      <c r="AO154" s="73"/>
      <c r="AP154" s="73"/>
      <c r="AQ154" s="73"/>
      <c r="AR154" s="73"/>
      <c r="AS154" s="73"/>
      <c r="AT154" s="73"/>
      <c r="AU154" s="61"/>
      <c r="AV154" s="74"/>
      <c r="AW154" s="75" t="str">
        <f t="shared" si="14"/>
        <v/>
      </c>
    </row>
    <row r="155" spans="1:49" ht="14.25" customHeight="1" x14ac:dyDescent="0.3">
      <c r="A155" s="56">
        <v>151</v>
      </c>
      <c r="B155" s="57" t="s">
        <v>5887</v>
      </c>
      <c r="C155" s="58" t="s">
        <v>5888</v>
      </c>
      <c r="D155" s="56" t="s">
        <v>5774</v>
      </c>
      <c r="E155" s="59">
        <v>46126</v>
      </c>
      <c r="F155" s="60" t="s">
        <v>55</v>
      </c>
      <c r="G155" s="60" t="s">
        <v>58</v>
      </c>
      <c r="H155" s="60" t="s">
        <v>56</v>
      </c>
      <c r="I155" s="60" t="s">
        <v>70</v>
      </c>
      <c r="J155" s="60" t="s">
        <v>58</v>
      </c>
      <c r="K155" s="61"/>
      <c r="L155" s="62" t="s">
        <v>56</v>
      </c>
      <c r="M155" s="63" t="str">
        <f t="shared" si="10"/>
        <v>✓ OK</v>
      </c>
      <c r="N155" s="64"/>
      <c r="O155" s="64"/>
      <c r="P155" s="64"/>
      <c r="Q155" s="64"/>
      <c r="R155" s="64"/>
      <c r="S155" s="64"/>
      <c r="T155" s="61"/>
      <c r="U155" s="65"/>
      <c r="V155" s="66" t="str">
        <f t="shared" si="11"/>
        <v/>
      </c>
      <c r="W155" s="67"/>
      <c r="X155" s="67"/>
      <c r="Y155" s="67"/>
      <c r="Z155" s="67"/>
      <c r="AA155" s="67"/>
      <c r="AB155" s="67"/>
      <c r="AC155" s="61"/>
      <c r="AD155" s="68"/>
      <c r="AE155" s="69" t="str">
        <f t="shared" si="12"/>
        <v/>
      </c>
      <c r="AF155" s="70"/>
      <c r="AG155" s="70"/>
      <c r="AH155" s="70"/>
      <c r="AI155" s="70"/>
      <c r="AJ155" s="70"/>
      <c r="AK155" s="70"/>
      <c r="AL155" s="61"/>
      <c r="AM155" s="71"/>
      <c r="AN155" s="72" t="str">
        <f t="shared" si="13"/>
        <v/>
      </c>
      <c r="AO155" s="73"/>
      <c r="AP155" s="73"/>
      <c r="AQ155" s="73"/>
      <c r="AR155" s="73"/>
      <c r="AS155" s="73"/>
      <c r="AT155" s="73"/>
      <c r="AU155" s="61"/>
      <c r="AV155" s="74"/>
      <c r="AW155" s="75" t="str">
        <f t="shared" si="14"/>
        <v/>
      </c>
    </row>
    <row r="156" spans="1:49" ht="14.25" customHeight="1" x14ac:dyDescent="0.3">
      <c r="A156" s="76">
        <v>152</v>
      </c>
      <c r="B156" s="77" t="s">
        <v>5889</v>
      </c>
      <c r="C156" s="78" t="s">
        <v>5890</v>
      </c>
      <c r="D156" s="76" t="s">
        <v>5774</v>
      </c>
      <c r="E156" s="59">
        <v>46126</v>
      </c>
      <c r="F156" s="60" t="s">
        <v>55</v>
      </c>
      <c r="G156" s="60" t="s">
        <v>58</v>
      </c>
      <c r="H156" s="60" t="s">
        <v>56</v>
      </c>
      <c r="I156" s="60" t="s">
        <v>70</v>
      </c>
      <c r="J156" s="60" t="s">
        <v>58</v>
      </c>
      <c r="K156" s="61"/>
      <c r="L156" s="62" t="s">
        <v>56</v>
      </c>
      <c r="M156" s="63" t="str">
        <f t="shared" si="10"/>
        <v>✓ OK</v>
      </c>
      <c r="N156" s="64"/>
      <c r="O156" s="64"/>
      <c r="P156" s="64"/>
      <c r="Q156" s="64"/>
      <c r="R156" s="64"/>
      <c r="S156" s="64"/>
      <c r="T156" s="61"/>
      <c r="U156" s="65"/>
      <c r="V156" s="66" t="str">
        <f t="shared" si="11"/>
        <v/>
      </c>
      <c r="W156" s="67"/>
      <c r="X156" s="67"/>
      <c r="Y156" s="67"/>
      <c r="Z156" s="67"/>
      <c r="AA156" s="67"/>
      <c r="AB156" s="67"/>
      <c r="AC156" s="61"/>
      <c r="AD156" s="68"/>
      <c r="AE156" s="69" t="str">
        <f t="shared" si="12"/>
        <v/>
      </c>
      <c r="AF156" s="70"/>
      <c r="AG156" s="70"/>
      <c r="AH156" s="70"/>
      <c r="AI156" s="70"/>
      <c r="AJ156" s="70"/>
      <c r="AK156" s="70"/>
      <c r="AL156" s="61"/>
      <c r="AM156" s="71"/>
      <c r="AN156" s="72" t="str">
        <f t="shared" si="13"/>
        <v/>
      </c>
      <c r="AO156" s="73"/>
      <c r="AP156" s="73"/>
      <c r="AQ156" s="73"/>
      <c r="AR156" s="73"/>
      <c r="AS156" s="73"/>
      <c r="AT156" s="73"/>
      <c r="AU156" s="61"/>
      <c r="AV156" s="74"/>
      <c r="AW156" s="75" t="str">
        <f t="shared" si="14"/>
        <v/>
      </c>
    </row>
    <row r="157" spans="1:49" ht="14.25" customHeight="1" x14ac:dyDescent="0.3">
      <c r="A157" s="56">
        <v>153</v>
      </c>
      <c r="B157" s="57" t="s">
        <v>5891</v>
      </c>
      <c r="C157" s="58" t="s">
        <v>5892</v>
      </c>
      <c r="D157" s="56" t="s">
        <v>5774</v>
      </c>
      <c r="E157" s="59">
        <v>46126</v>
      </c>
      <c r="F157" s="60" t="s">
        <v>55</v>
      </c>
      <c r="G157" s="60" t="s">
        <v>58</v>
      </c>
      <c r="H157" s="60" t="s">
        <v>56</v>
      </c>
      <c r="I157" s="60" t="s">
        <v>70</v>
      </c>
      <c r="J157" s="60" t="s">
        <v>58</v>
      </c>
      <c r="K157" s="61"/>
      <c r="L157" s="62" t="s">
        <v>56</v>
      </c>
      <c r="M157" s="63" t="str">
        <f t="shared" si="10"/>
        <v>✓ OK</v>
      </c>
      <c r="N157" s="64"/>
      <c r="O157" s="64"/>
      <c r="P157" s="64"/>
      <c r="Q157" s="64"/>
      <c r="R157" s="64"/>
      <c r="S157" s="64"/>
      <c r="T157" s="61"/>
      <c r="U157" s="65"/>
      <c r="V157" s="66" t="str">
        <f t="shared" si="11"/>
        <v/>
      </c>
      <c r="W157" s="67"/>
      <c r="X157" s="67"/>
      <c r="Y157" s="67"/>
      <c r="Z157" s="67"/>
      <c r="AA157" s="67"/>
      <c r="AB157" s="67"/>
      <c r="AC157" s="61"/>
      <c r="AD157" s="68"/>
      <c r="AE157" s="69" t="str">
        <f t="shared" si="12"/>
        <v/>
      </c>
      <c r="AF157" s="70"/>
      <c r="AG157" s="70"/>
      <c r="AH157" s="70"/>
      <c r="AI157" s="70"/>
      <c r="AJ157" s="70"/>
      <c r="AK157" s="70"/>
      <c r="AL157" s="61"/>
      <c r="AM157" s="71"/>
      <c r="AN157" s="72" t="str">
        <f t="shared" si="13"/>
        <v/>
      </c>
      <c r="AO157" s="73"/>
      <c r="AP157" s="73"/>
      <c r="AQ157" s="73"/>
      <c r="AR157" s="73"/>
      <c r="AS157" s="73"/>
      <c r="AT157" s="73"/>
      <c r="AU157" s="61"/>
      <c r="AV157" s="74"/>
      <c r="AW157" s="75" t="str">
        <f t="shared" si="14"/>
        <v/>
      </c>
    </row>
    <row r="158" spans="1:49" ht="14.25" customHeight="1" x14ac:dyDescent="0.3">
      <c r="A158" s="76">
        <v>154</v>
      </c>
      <c r="B158" s="77" t="s">
        <v>5893</v>
      </c>
      <c r="C158" s="78" t="s">
        <v>5894</v>
      </c>
      <c r="D158" s="76" t="s">
        <v>5774</v>
      </c>
      <c r="E158" s="59">
        <v>46126</v>
      </c>
      <c r="F158" s="60" t="s">
        <v>55</v>
      </c>
      <c r="G158" s="60" t="s">
        <v>58</v>
      </c>
      <c r="H158" s="60" t="s">
        <v>56</v>
      </c>
      <c r="I158" s="60" t="s">
        <v>70</v>
      </c>
      <c r="J158" s="60" t="s">
        <v>58</v>
      </c>
      <c r="K158" s="61"/>
      <c r="L158" s="62" t="s">
        <v>56</v>
      </c>
      <c r="M158" s="63" t="str">
        <f t="shared" si="10"/>
        <v>✓ OK</v>
      </c>
      <c r="N158" s="64"/>
      <c r="O158" s="64"/>
      <c r="P158" s="64"/>
      <c r="Q158" s="64"/>
      <c r="R158" s="64"/>
      <c r="S158" s="64"/>
      <c r="T158" s="61"/>
      <c r="U158" s="65"/>
      <c r="V158" s="66" t="str">
        <f t="shared" si="11"/>
        <v/>
      </c>
      <c r="W158" s="67"/>
      <c r="X158" s="67"/>
      <c r="Y158" s="67"/>
      <c r="Z158" s="67"/>
      <c r="AA158" s="67"/>
      <c r="AB158" s="67"/>
      <c r="AC158" s="61"/>
      <c r="AD158" s="68"/>
      <c r="AE158" s="69" t="str">
        <f t="shared" si="12"/>
        <v/>
      </c>
      <c r="AF158" s="70"/>
      <c r="AG158" s="70"/>
      <c r="AH158" s="70"/>
      <c r="AI158" s="70"/>
      <c r="AJ158" s="70"/>
      <c r="AK158" s="70"/>
      <c r="AL158" s="61"/>
      <c r="AM158" s="71"/>
      <c r="AN158" s="72" t="str">
        <f t="shared" si="13"/>
        <v/>
      </c>
      <c r="AO158" s="73"/>
      <c r="AP158" s="73"/>
      <c r="AQ158" s="73"/>
      <c r="AR158" s="73"/>
      <c r="AS158" s="73"/>
      <c r="AT158" s="73"/>
      <c r="AU158" s="61"/>
      <c r="AV158" s="74"/>
      <c r="AW158" s="75" t="str">
        <f t="shared" si="14"/>
        <v/>
      </c>
    </row>
    <row r="159" spans="1:49" ht="14.25" customHeight="1" x14ac:dyDescent="0.3">
      <c r="A159" s="56">
        <v>155</v>
      </c>
      <c r="B159" s="57" t="s">
        <v>5895</v>
      </c>
      <c r="C159" s="58" t="s">
        <v>5896</v>
      </c>
      <c r="D159" s="56" t="s">
        <v>5774</v>
      </c>
      <c r="E159" s="59">
        <v>46126</v>
      </c>
      <c r="F159" s="60" t="s">
        <v>55</v>
      </c>
      <c r="G159" s="60" t="s">
        <v>58</v>
      </c>
      <c r="H159" s="60" t="s">
        <v>56</v>
      </c>
      <c r="I159" s="60" t="s">
        <v>70</v>
      </c>
      <c r="J159" s="60" t="s">
        <v>58</v>
      </c>
      <c r="K159" s="61"/>
      <c r="L159" s="62" t="s">
        <v>56</v>
      </c>
      <c r="M159" s="63" t="str">
        <f t="shared" si="10"/>
        <v>✓ OK</v>
      </c>
      <c r="N159" s="64"/>
      <c r="O159" s="64"/>
      <c r="P159" s="64"/>
      <c r="Q159" s="64"/>
      <c r="R159" s="64"/>
      <c r="S159" s="64"/>
      <c r="T159" s="61"/>
      <c r="U159" s="65"/>
      <c r="V159" s="66" t="str">
        <f t="shared" si="11"/>
        <v/>
      </c>
      <c r="W159" s="67"/>
      <c r="X159" s="67"/>
      <c r="Y159" s="67"/>
      <c r="Z159" s="67"/>
      <c r="AA159" s="67"/>
      <c r="AB159" s="67"/>
      <c r="AC159" s="61"/>
      <c r="AD159" s="68"/>
      <c r="AE159" s="69" t="str">
        <f t="shared" si="12"/>
        <v/>
      </c>
      <c r="AF159" s="70"/>
      <c r="AG159" s="70"/>
      <c r="AH159" s="70"/>
      <c r="AI159" s="70"/>
      <c r="AJ159" s="70"/>
      <c r="AK159" s="70"/>
      <c r="AL159" s="61"/>
      <c r="AM159" s="71"/>
      <c r="AN159" s="72" t="str">
        <f t="shared" si="13"/>
        <v/>
      </c>
      <c r="AO159" s="73"/>
      <c r="AP159" s="73"/>
      <c r="AQ159" s="73"/>
      <c r="AR159" s="73"/>
      <c r="AS159" s="73"/>
      <c r="AT159" s="73"/>
      <c r="AU159" s="61"/>
      <c r="AV159" s="74"/>
      <c r="AW159" s="75" t="str">
        <f t="shared" si="14"/>
        <v/>
      </c>
    </row>
    <row r="160" spans="1:49" ht="14.25" customHeight="1" x14ac:dyDescent="0.3">
      <c r="A160" s="76">
        <v>156</v>
      </c>
      <c r="B160" s="77" t="s">
        <v>5897</v>
      </c>
      <c r="C160" s="78" t="s">
        <v>5898</v>
      </c>
      <c r="D160" s="76" t="s">
        <v>5774</v>
      </c>
      <c r="E160" s="59">
        <v>46126</v>
      </c>
      <c r="F160" s="60" t="s">
        <v>55</v>
      </c>
      <c r="G160" s="60" t="s">
        <v>58</v>
      </c>
      <c r="H160" s="60" t="s">
        <v>56</v>
      </c>
      <c r="I160" s="60" t="s">
        <v>70</v>
      </c>
      <c r="J160" s="60" t="s">
        <v>58</v>
      </c>
      <c r="K160" s="61"/>
      <c r="L160" s="62" t="s">
        <v>56</v>
      </c>
      <c r="M160" s="63" t="str">
        <f t="shared" si="10"/>
        <v>✓ OK</v>
      </c>
      <c r="N160" s="64"/>
      <c r="O160" s="64"/>
      <c r="P160" s="64"/>
      <c r="Q160" s="64"/>
      <c r="R160" s="64"/>
      <c r="S160" s="64"/>
      <c r="T160" s="61"/>
      <c r="U160" s="65"/>
      <c r="V160" s="66" t="str">
        <f t="shared" si="11"/>
        <v/>
      </c>
      <c r="W160" s="67"/>
      <c r="X160" s="67"/>
      <c r="Y160" s="67"/>
      <c r="Z160" s="67"/>
      <c r="AA160" s="67"/>
      <c r="AB160" s="67"/>
      <c r="AC160" s="61"/>
      <c r="AD160" s="68"/>
      <c r="AE160" s="69" t="str">
        <f t="shared" si="12"/>
        <v/>
      </c>
      <c r="AF160" s="70"/>
      <c r="AG160" s="70"/>
      <c r="AH160" s="70"/>
      <c r="AI160" s="70"/>
      <c r="AJ160" s="70"/>
      <c r="AK160" s="70"/>
      <c r="AL160" s="61"/>
      <c r="AM160" s="71"/>
      <c r="AN160" s="72" t="str">
        <f t="shared" si="13"/>
        <v/>
      </c>
      <c r="AO160" s="73"/>
      <c r="AP160" s="73"/>
      <c r="AQ160" s="73"/>
      <c r="AR160" s="73"/>
      <c r="AS160" s="73"/>
      <c r="AT160" s="73"/>
      <c r="AU160" s="61"/>
      <c r="AV160" s="74"/>
      <c r="AW160" s="75" t="str">
        <f t="shared" si="14"/>
        <v/>
      </c>
    </row>
    <row r="161" spans="1:49" ht="14.25" customHeight="1" x14ac:dyDescent="0.3">
      <c r="A161" s="56">
        <v>157</v>
      </c>
      <c r="B161" s="57" t="s">
        <v>5899</v>
      </c>
      <c r="C161" s="58" t="s">
        <v>5900</v>
      </c>
      <c r="D161" s="56" t="s">
        <v>5774</v>
      </c>
      <c r="E161" s="59">
        <v>46126</v>
      </c>
      <c r="F161" s="60" t="s">
        <v>55</v>
      </c>
      <c r="G161" s="60" t="s">
        <v>58</v>
      </c>
      <c r="H161" s="60" t="s">
        <v>56</v>
      </c>
      <c r="I161" s="60" t="s">
        <v>70</v>
      </c>
      <c r="J161" s="60" t="s">
        <v>58</v>
      </c>
      <c r="K161" s="61"/>
      <c r="L161" s="62" t="s">
        <v>56</v>
      </c>
      <c r="M161" s="63" t="str">
        <f t="shared" si="10"/>
        <v>✓ OK</v>
      </c>
      <c r="N161" s="64"/>
      <c r="O161" s="64"/>
      <c r="P161" s="64"/>
      <c r="Q161" s="64"/>
      <c r="R161" s="64"/>
      <c r="S161" s="64"/>
      <c r="T161" s="61"/>
      <c r="U161" s="65"/>
      <c r="V161" s="66" t="str">
        <f t="shared" si="11"/>
        <v/>
      </c>
      <c r="W161" s="67"/>
      <c r="X161" s="67"/>
      <c r="Y161" s="67"/>
      <c r="Z161" s="67"/>
      <c r="AA161" s="67"/>
      <c r="AB161" s="67"/>
      <c r="AC161" s="61"/>
      <c r="AD161" s="68"/>
      <c r="AE161" s="69" t="str">
        <f t="shared" si="12"/>
        <v/>
      </c>
      <c r="AF161" s="70"/>
      <c r="AG161" s="70"/>
      <c r="AH161" s="70"/>
      <c r="AI161" s="70"/>
      <c r="AJ161" s="70"/>
      <c r="AK161" s="70"/>
      <c r="AL161" s="61"/>
      <c r="AM161" s="71"/>
      <c r="AN161" s="72" t="str">
        <f t="shared" si="13"/>
        <v/>
      </c>
      <c r="AO161" s="73"/>
      <c r="AP161" s="73"/>
      <c r="AQ161" s="73"/>
      <c r="AR161" s="73"/>
      <c r="AS161" s="73"/>
      <c r="AT161" s="73"/>
      <c r="AU161" s="61"/>
      <c r="AV161" s="74"/>
      <c r="AW161" s="75" t="str">
        <f t="shared" si="14"/>
        <v/>
      </c>
    </row>
    <row r="162" spans="1:49" ht="14.25" customHeight="1" x14ac:dyDescent="0.3">
      <c r="A162" s="76">
        <v>158</v>
      </c>
      <c r="B162" s="77" t="s">
        <v>5901</v>
      </c>
      <c r="C162" s="78" t="s">
        <v>5902</v>
      </c>
      <c r="D162" s="76" t="s">
        <v>5774</v>
      </c>
      <c r="E162" s="59">
        <v>46126</v>
      </c>
      <c r="F162" s="60" t="s">
        <v>55</v>
      </c>
      <c r="G162" s="60" t="s">
        <v>58</v>
      </c>
      <c r="H162" s="60" t="s">
        <v>56</v>
      </c>
      <c r="I162" s="60" t="s">
        <v>70</v>
      </c>
      <c r="J162" s="60" t="s">
        <v>58</v>
      </c>
      <c r="K162" s="61"/>
      <c r="L162" s="62" t="s">
        <v>56</v>
      </c>
      <c r="M162" s="63" t="str">
        <f t="shared" si="10"/>
        <v>✓ OK</v>
      </c>
      <c r="N162" s="64"/>
      <c r="O162" s="64"/>
      <c r="P162" s="64"/>
      <c r="Q162" s="64"/>
      <c r="R162" s="64"/>
      <c r="S162" s="64"/>
      <c r="T162" s="61"/>
      <c r="U162" s="65"/>
      <c r="V162" s="66" t="str">
        <f t="shared" si="11"/>
        <v/>
      </c>
      <c r="W162" s="67"/>
      <c r="X162" s="67"/>
      <c r="Y162" s="67"/>
      <c r="Z162" s="67"/>
      <c r="AA162" s="67"/>
      <c r="AB162" s="67"/>
      <c r="AC162" s="61"/>
      <c r="AD162" s="68"/>
      <c r="AE162" s="69" t="str">
        <f t="shared" si="12"/>
        <v/>
      </c>
      <c r="AF162" s="70"/>
      <c r="AG162" s="70"/>
      <c r="AH162" s="70"/>
      <c r="AI162" s="70"/>
      <c r="AJ162" s="70"/>
      <c r="AK162" s="70"/>
      <c r="AL162" s="61"/>
      <c r="AM162" s="71"/>
      <c r="AN162" s="72" t="str">
        <f t="shared" si="13"/>
        <v/>
      </c>
      <c r="AO162" s="73"/>
      <c r="AP162" s="73"/>
      <c r="AQ162" s="73"/>
      <c r="AR162" s="73"/>
      <c r="AS162" s="73"/>
      <c r="AT162" s="73"/>
      <c r="AU162" s="61"/>
      <c r="AV162" s="74"/>
      <c r="AW162" s="75" t="str">
        <f t="shared" si="14"/>
        <v/>
      </c>
    </row>
    <row r="163" spans="1:49" ht="14.25" customHeight="1" x14ac:dyDescent="0.3">
      <c r="A163" s="56">
        <v>159</v>
      </c>
      <c r="B163" s="57" t="s">
        <v>5903</v>
      </c>
      <c r="C163" s="58" t="s">
        <v>5904</v>
      </c>
      <c r="D163" s="56" t="s">
        <v>5774</v>
      </c>
      <c r="E163" s="59">
        <v>46126</v>
      </c>
      <c r="F163" s="60" t="s">
        <v>55</v>
      </c>
      <c r="G163" s="60" t="s">
        <v>58</v>
      </c>
      <c r="H163" s="60" t="s">
        <v>56</v>
      </c>
      <c r="I163" s="60" t="s">
        <v>70</v>
      </c>
      <c r="J163" s="60" t="s">
        <v>58</v>
      </c>
      <c r="K163" s="61"/>
      <c r="L163" s="62" t="s">
        <v>56</v>
      </c>
      <c r="M163" s="63" t="str">
        <f t="shared" si="10"/>
        <v>✓ OK</v>
      </c>
      <c r="N163" s="64"/>
      <c r="O163" s="64"/>
      <c r="P163" s="64"/>
      <c r="Q163" s="64"/>
      <c r="R163" s="64"/>
      <c r="S163" s="64"/>
      <c r="T163" s="61"/>
      <c r="U163" s="65"/>
      <c r="V163" s="66" t="str">
        <f t="shared" si="11"/>
        <v/>
      </c>
      <c r="W163" s="67"/>
      <c r="X163" s="67"/>
      <c r="Y163" s="67"/>
      <c r="Z163" s="67"/>
      <c r="AA163" s="67"/>
      <c r="AB163" s="67"/>
      <c r="AC163" s="61"/>
      <c r="AD163" s="68"/>
      <c r="AE163" s="69" t="str">
        <f t="shared" si="12"/>
        <v/>
      </c>
      <c r="AF163" s="70"/>
      <c r="AG163" s="70"/>
      <c r="AH163" s="70"/>
      <c r="AI163" s="70"/>
      <c r="AJ163" s="70"/>
      <c r="AK163" s="70"/>
      <c r="AL163" s="61"/>
      <c r="AM163" s="71"/>
      <c r="AN163" s="72" t="str">
        <f t="shared" si="13"/>
        <v/>
      </c>
      <c r="AO163" s="73"/>
      <c r="AP163" s="73"/>
      <c r="AQ163" s="73"/>
      <c r="AR163" s="73"/>
      <c r="AS163" s="73"/>
      <c r="AT163" s="73"/>
      <c r="AU163" s="61"/>
      <c r="AV163" s="74"/>
      <c r="AW163" s="75" t="str">
        <f t="shared" si="14"/>
        <v/>
      </c>
    </row>
    <row r="164" spans="1:49" ht="14.25" customHeight="1" x14ac:dyDescent="0.3">
      <c r="A164" s="76">
        <v>160</v>
      </c>
      <c r="B164" s="77" t="s">
        <v>5905</v>
      </c>
      <c r="C164" s="78" t="s">
        <v>5906</v>
      </c>
      <c r="D164" s="76" t="s">
        <v>5774</v>
      </c>
      <c r="E164" s="59">
        <v>46126</v>
      </c>
      <c r="F164" s="60" t="s">
        <v>55</v>
      </c>
      <c r="G164" s="60" t="s">
        <v>58</v>
      </c>
      <c r="H164" s="60" t="s">
        <v>56</v>
      </c>
      <c r="I164" s="60" t="s">
        <v>70</v>
      </c>
      <c r="J164" s="60" t="s">
        <v>58</v>
      </c>
      <c r="K164" s="61"/>
      <c r="L164" s="62" t="s">
        <v>56</v>
      </c>
      <c r="M164" s="63" t="str">
        <f t="shared" si="10"/>
        <v>✓ OK</v>
      </c>
      <c r="N164" s="64"/>
      <c r="O164" s="64"/>
      <c r="P164" s="64"/>
      <c r="Q164" s="64"/>
      <c r="R164" s="64"/>
      <c r="S164" s="64"/>
      <c r="T164" s="61"/>
      <c r="U164" s="65"/>
      <c r="V164" s="66" t="str">
        <f t="shared" si="11"/>
        <v/>
      </c>
      <c r="W164" s="67"/>
      <c r="X164" s="67"/>
      <c r="Y164" s="67"/>
      <c r="Z164" s="67"/>
      <c r="AA164" s="67"/>
      <c r="AB164" s="67"/>
      <c r="AC164" s="61"/>
      <c r="AD164" s="68"/>
      <c r="AE164" s="69" t="str">
        <f t="shared" si="12"/>
        <v/>
      </c>
      <c r="AF164" s="70"/>
      <c r="AG164" s="70"/>
      <c r="AH164" s="70"/>
      <c r="AI164" s="70"/>
      <c r="AJ164" s="70"/>
      <c r="AK164" s="70"/>
      <c r="AL164" s="61"/>
      <c r="AM164" s="71"/>
      <c r="AN164" s="72" t="str">
        <f t="shared" si="13"/>
        <v/>
      </c>
      <c r="AO164" s="73"/>
      <c r="AP164" s="73"/>
      <c r="AQ164" s="73"/>
      <c r="AR164" s="73"/>
      <c r="AS164" s="73"/>
      <c r="AT164" s="73"/>
      <c r="AU164" s="61"/>
      <c r="AV164" s="74"/>
      <c r="AW164" s="75" t="str">
        <f t="shared" si="14"/>
        <v/>
      </c>
    </row>
    <row r="165" spans="1:49" ht="14.25" customHeight="1" x14ac:dyDescent="0.3">
      <c r="A165" s="56">
        <v>161</v>
      </c>
      <c r="B165" s="57" t="s">
        <v>5907</v>
      </c>
      <c r="C165" s="58" t="s">
        <v>5908</v>
      </c>
      <c r="D165" s="56" t="s">
        <v>5774</v>
      </c>
      <c r="E165" s="59">
        <v>46126</v>
      </c>
      <c r="F165" s="60" t="s">
        <v>55</v>
      </c>
      <c r="G165" s="60" t="s">
        <v>58</v>
      </c>
      <c r="H165" s="60" t="s">
        <v>56</v>
      </c>
      <c r="I165" s="60" t="s">
        <v>70</v>
      </c>
      <c r="J165" s="60" t="s">
        <v>58</v>
      </c>
      <c r="K165" s="61"/>
      <c r="L165" s="62" t="s">
        <v>56</v>
      </c>
      <c r="M165" s="63" t="str">
        <f t="shared" si="10"/>
        <v>✓ OK</v>
      </c>
      <c r="N165" s="64"/>
      <c r="O165" s="64"/>
      <c r="P165" s="64"/>
      <c r="Q165" s="64"/>
      <c r="R165" s="64"/>
      <c r="S165" s="64"/>
      <c r="T165" s="61"/>
      <c r="U165" s="65"/>
      <c r="V165" s="66" t="str">
        <f t="shared" si="11"/>
        <v/>
      </c>
      <c r="W165" s="67"/>
      <c r="X165" s="67"/>
      <c r="Y165" s="67"/>
      <c r="Z165" s="67"/>
      <c r="AA165" s="67"/>
      <c r="AB165" s="67"/>
      <c r="AC165" s="61"/>
      <c r="AD165" s="68"/>
      <c r="AE165" s="69" t="str">
        <f t="shared" si="12"/>
        <v/>
      </c>
      <c r="AF165" s="70"/>
      <c r="AG165" s="70"/>
      <c r="AH165" s="70"/>
      <c r="AI165" s="70"/>
      <c r="AJ165" s="70"/>
      <c r="AK165" s="70"/>
      <c r="AL165" s="61"/>
      <c r="AM165" s="71"/>
      <c r="AN165" s="72" t="str">
        <f t="shared" si="13"/>
        <v/>
      </c>
      <c r="AO165" s="73"/>
      <c r="AP165" s="73"/>
      <c r="AQ165" s="73"/>
      <c r="AR165" s="73"/>
      <c r="AS165" s="73"/>
      <c r="AT165" s="73"/>
      <c r="AU165" s="61"/>
      <c r="AV165" s="74"/>
      <c r="AW165" s="75" t="str">
        <f t="shared" si="14"/>
        <v/>
      </c>
    </row>
    <row r="166" spans="1:49" ht="14.25" customHeight="1" x14ac:dyDescent="0.3">
      <c r="A166" s="76">
        <v>162</v>
      </c>
      <c r="B166" s="77" t="s">
        <v>5909</v>
      </c>
      <c r="C166" s="78" t="s">
        <v>5910</v>
      </c>
      <c r="D166" s="76" t="s">
        <v>5774</v>
      </c>
      <c r="E166" s="59">
        <v>46126</v>
      </c>
      <c r="F166" s="60" t="s">
        <v>55</v>
      </c>
      <c r="G166" s="60" t="s">
        <v>58</v>
      </c>
      <c r="H166" s="60" t="s">
        <v>56</v>
      </c>
      <c r="I166" s="60" t="s">
        <v>70</v>
      </c>
      <c r="J166" s="60" t="s">
        <v>58</v>
      </c>
      <c r="K166" s="61"/>
      <c r="L166" s="62" t="s">
        <v>56</v>
      </c>
      <c r="M166" s="63" t="str">
        <f t="shared" si="10"/>
        <v>✓ OK</v>
      </c>
      <c r="N166" s="64"/>
      <c r="O166" s="64"/>
      <c r="P166" s="64"/>
      <c r="Q166" s="64"/>
      <c r="R166" s="64"/>
      <c r="S166" s="64"/>
      <c r="T166" s="61"/>
      <c r="U166" s="65"/>
      <c r="V166" s="66" t="str">
        <f t="shared" si="11"/>
        <v/>
      </c>
      <c r="W166" s="67"/>
      <c r="X166" s="67"/>
      <c r="Y166" s="67"/>
      <c r="Z166" s="67"/>
      <c r="AA166" s="67"/>
      <c r="AB166" s="67"/>
      <c r="AC166" s="61"/>
      <c r="AD166" s="68"/>
      <c r="AE166" s="69" t="str">
        <f t="shared" si="12"/>
        <v/>
      </c>
      <c r="AF166" s="70"/>
      <c r="AG166" s="70"/>
      <c r="AH166" s="70"/>
      <c r="AI166" s="70"/>
      <c r="AJ166" s="70"/>
      <c r="AK166" s="70"/>
      <c r="AL166" s="61"/>
      <c r="AM166" s="71"/>
      <c r="AN166" s="72" t="str">
        <f t="shared" si="13"/>
        <v/>
      </c>
      <c r="AO166" s="73"/>
      <c r="AP166" s="73"/>
      <c r="AQ166" s="73"/>
      <c r="AR166" s="73"/>
      <c r="AS166" s="73"/>
      <c r="AT166" s="73"/>
      <c r="AU166" s="61"/>
      <c r="AV166" s="74"/>
      <c r="AW166" s="75" t="str">
        <f t="shared" si="14"/>
        <v/>
      </c>
    </row>
    <row r="167" spans="1:49" ht="14.25" customHeight="1" x14ac:dyDescent="0.3">
      <c r="A167" s="56">
        <v>163</v>
      </c>
      <c r="B167" s="57" t="s">
        <v>5911</v>
      </c>
      <c r="C167" s="58" t="s">
        <v>5912</v>
      </c>
      <c r="D167" s="56" t="s">
        <v>5774</v>
      </c>
      <c r="E167" s="59">
        <v>46126</v>
      </c>
      <c r="F167" s="60" t="s">
        <v>55</v>
      </c>
      <c r="G167" s="60" t="s">
        <v>58</v>
      </c>
      <c r="H167" s="60" t="s">
        <v>56</v>
      </c>
      <c r="I167" s="60" t="s">
        <v>70</v>
      </c>
      <c r="J167" s="60" t="s">
        <v>58</v>
      </c>
      <c r="K167" s="61"/>
      <c r="L167" s="62" t="s">
        <v>56</v>
      </c>
      <c r="M167" s="63" t="str">
        <f t="shared" si="10"/>
        <v>✓ OK</v>
      </c>
      <c r="N167" s="64"/>
      <c r="O167" s="64"/>
      <c r="P167" s="64"/>
      <c r="Q167" s="64"/>
      <c r="R167" s="64"/>
      <c r="S167" s="64"/>
      <c r="T167" s="61"/>
      <c r="U167" s="65"/>
      <c r="V167" s="66" t="str">
        <f t="shared" si="11"/>
        <v/>
      </c>
      <c r="W167" s="67"/>
      <c r="X167" s="67"/>
      <c r="Y167" s="67"/>
      <c r="Z167" s="67"/>
      <c r="AA167" s="67"/>
      <c r="AB167" s="67"/>
      <c r="AC167" s="61"/>
      <c r="AD167" s="68"/>
      <c r="AE167" s="69" t="str">
        <f t="shared" si="12"/>
        <v/>
      </c>
      <c r="AF167" s="70"/>
      <c r="AG167" s="70"/>
      <c r="AH167" s="70"/>
      <c r="AI167" s="70"/>
      <c r="AJ167" s="70"/>
      <c r="AK167" s="70"/>
      <c r="AL167" s="61"/>
      <c r="AM167" s="71"/>
      <c r="AN167" s="72" t="str">
        <f t="shared" si="13"/>
        <v/>
      </c>
      <c r="AO167" s="73"/>
      <c r="AP167" s="73"/>
      <c r="AQ167" s="73"/>
      <c r="AR167" s="73"/>
      <c r="AS167" s="73"/>
      <c r="AT167" s="73"/>
      <c r="AU167" s="61"/>
      <c r="AV167" s="74"/>
      <c r="AW167" s="75" t="str">
        <f t="shared" si="14"/>
        <v/>
      </c>
    </row>
    <row r="168" spans="1:49" ht="14.25" customHeight="1" x14ac:dyDescent="0.3">
      <c r="A168" s="76">
        <v>164</v>
      </c>
      <c r="B168" s="77" t="s">
        <v>5913</v>
      </c>
      <c r="C168" s="78" t="s">
        <v>5914</v>
      </c>
      <c r="D168" s="76" t="s">
        <v>5774</v>
      </c>
      <c r="E168" s="59">
        <v>46126</v>
      </c>
      <c r="F168" s="60" t="s">
        <v>55</v>
      </c>
      <c r="G168" s="60" t="s">
        <v>58</v>
      </c>
      <c r="H168" s="60" t="s">
        <v>56</v>
      </c>
      <c r="I168" s="60" t="s">
        <v>70</v>
      </c>
      <c r="J168" s="60" t="s">
        <v>58</v>
      </c>
      <c r="K168" s="61"/>
      <c r="L168" s="62" t="s">
        <v>56</v>
      </c>
      <c r="M168" s="63" t="str">
        <f t="shared" si="10"/>
        <v>✓ OK</v>
      </c>
      <c r="N168" s="64"/>
      <c r="O168" s="64"/>
      <c r="P168" s="64"/>
      <c r="Q168" s="64"/>
      <c r="R168" s="64"/>
      <c r="S168" s="64"/>
      <c r="T168" s="61"/>
      <c r="U168" s="65"/>
      <c r="V168" s="66" t="str">
        <f t="shared" si="11"/>
        <v/>
      </c>
      <c r="W168" s="67"/>
      <c r="X168" s="67"/>
      <c r="Y168" s="67"/>
      <c r="Z168" s="67"/>
      <c r="AA168" s="67"/>
      <c r="AB168" s="67"/>
      <c r="AC168" s="61"/>
      <c r="AD168" s="68"/>
      <c r="AE168" s="69" t="str">
        <f t="shared" si="12"/>
        <v/>
      </c>
      <c r="AF168" s="70"/>
      <c r="AG168" s="70"/>
      <c r="AH168" s="70"/>
      <c r="AI168" s="70"/>
      <c r="AJ168" s="70"/>
      <c r="AK168" s="70"/>
      <c r="AL168" s="61"/>
      <c r="AM168" s="71"/>
      <c r="AN168" s="72" t="str">
        <f t="shared" si="13"/>
        <v/>
      </c>
      <c r="AO168" s="73"/>
      <c r="AP168" s="73"/>
      <c r="AQ168" s="73"/>
      <c r="AR168" s="73"/>
      <c r="AS168" s="73"/>
      <c r="AT168" s="73"/>
      <c r="AU168" s="61"/>
      <c r="AV168" s="74"/>
      <c r="AW168" s="75" t="str">
        <f t="shared" si="14"/>
        <v/>
      </c>
    </row>
    <row r="169" spans="1:49" ht="14.25" customHeight="1" x14ac:dyDescent="0.3">
      <c r="A169" s="56">
        <v>165</v>
      </c>
      <c r="B169" s="57" t="s">
        <v>5915</v>
      </c>
      <c r="C169" s="58" t="s">
        <v>5916</v>
      </c>
      <c r="D169" s="56" t="s">
        <v>5774</v>
      </c>
      <c r="E169" s="59">
        <v>46126</v>
      </c>
      <c r="F169" s="60" t="s">
        <v>55</v>
      </c>
      <c r="G169" s="60" t="s">
        <v>58</v>
      </c>
      <c r="H169" s="60" t="s">
        <v>56</v>
      </c>
      <c r="I169" s="60" t="s">
        <v>70</v>
      </c>
      <c r="J169" s="60" t="s">
        <v>58</v>
      </c>
      <c r="K169" s="61"/>
      <c r="L169" s="62" t="s">
        <v>56</v>
      </c>
      <c r="M169" s="63" t="str">
        <f t="shared" si="10"/>
        <v>✓ OK</v>
      </c>
      <c r="N169" s="64"/>
      <c r="O169" s="64"/>
      <c r="P169" s="64"/>
      <c r="Q169" s="64"/>
      <c r="R169" s="64"/>
      <c r="S169" s="64"/>
      <c r="T169" s="61"/>
      <c r="U169" s="65"/>
      <c r="V169" s="66" t="str">
        <f t="shared" si="11"/>
        <v/>
      </c>
      <c r="W169" s="67"/>
      <c r="X169" s="67"/>
      <c r="Y169" s="67"/>
      <c r="Z169" s="67"/>
      <c r="AA169" s="67"/>
      <c r="AB169" s="67"/>
      <c r="AC169" s="61"/>
      <c r="AD169" s="68"/>
      <c r="AE169" s="69" t="str">
        <f t="shared" si="12"/>
        <v/>
      </c>
      <c r="AF169" s="70"/>
      <c r="AG169" s="70"/>
      <c r="AH169" s="70"/>
      <c r="AI169" s="70"/>
      <c r="AJ169" s="70"/>
      <c r="AK169" s="70"/>
      <c r="AL169" s="61"/>
      <c r="AM169" s="71"/>
      <c r="AN169" s="72" t="str">
        <f t="shared" si="13"/>
        <v/>
      </c>
      <c r="AO169" s="73"/>
      <c r="AP169" s="73"/>
      <c r="AQ169" s="73"/>
      <c r="AR169" s="73"/>
      <c r="AS169" s="73"/>
      <c r="AT169" s="73"/>
      <c r="AU169" s="61"/>
      <c r="AV169" s="74"/>
      <c r="AW169" s="75" t="str">
        <f t="shared" si="14"/>
        <v/>
      </c>
    </row>
    <row r="170" spans="1:49" ht="14.25" customHeight="1" x14ac:dyDescent="0.3">
      <c r="A170" s="76">
        <v>166</v>
      </c>
      <c r="B170" s="77" t="s">
        <v>5917</v>
      </c>
      <c r="C170" s="78" t="s">
        <v>5918</v>
      </c>
      <c r="D170" s="76" t="s">
        <v>5774</v>
      </c>
      <c r="E170" s="59">
        <v>46126</v>
      </c>
      <c r="F170" s="60" t="s">
        <v>55</v>
      </c>
      <c r="G170" s="60" t="s">
        <v>58</v>
      </c>
      <c r="H170" s="60" t="s">
        <v>56</v>
      </c>
      <c r="I170" s="60" t="s">
        <v>70</v>
      </c>
      <c r="J170" s="60" t="s">
        <v>58</v>
      </c>
      <c r="K170" s="61"/>
      <c r="L170" s="62" t="s">
        <v>56</v>
      </c>
      <c r="M170" s="63" t="str">
        <f t="shared" si="10"/>
        <v>✓ OK</v>
      </c>
      <c r="N170" s="64"/>
      <c r="O170" s="64"/>
      <c r="P170" s="64"/>
      <c r="Q170" s="64"/>
      <c r="R170" s="64"/>
      <c r="S170" s="64"/>
      <c r="T170" s="61"/>
      <c r="U170" s="65"/>
      <c r="V170" s="66" t="str">
        <f t="shared" si="11"/>
        <v/>
      </c>
      <c r="W170" s="67"/>
      <c r="X170" s="67"/>
      <c r="Y170" s="67"/>
      <c r="Z170" s="67"/>
      <c r="AA170" s="67"/>
      <c r="AB170" s="67"/>
      <c r="AC170" s="61"/>
      <c r="AD170" s="68"/>
      <c r="AE170" s="69" t="str">
        <f t="shared" si="12"/>
        <v/>
      </c>
      <c r="AF170" s="70"/>
      <c r="AG170" s="70"/>
      <c r="AH170" s="70"/>
      <c r="AI170" s="70"/>
      <c r="AJ170" s="70"/>
      <c r="AK170" s="70"/>
      <c r="AL170" s="61"/>
      <c r="AM170" s="71"/>
      <c r="AN170" s="72" t="str">
        <f t="shared" si="13"/>
        <v/>
      </c>
      <c r="AO170" s="73"/>
      <c r="AP170" s="73"/>
      <c r="AQ170" s="73"/>
      <c r="AR170" s="73"/>
      <c r="AS170" s="73"/>
      <c r="AT170" s="73"/>
      <c r="AU170" s="61"/>
      <c r="AV170" s="74"/>
      <c r="AW170" s="75" t="str">
        <f t="shared" si="14"/>
        <v/>
      </c>
    </row>
    <row r="171" spans="1:49" ht="14.25" customHeight="1" x14ac:dyDescent="0.3">
      <c r="A171" s="56">
        <v>167</v>
      </c>
      <c r="B171" s="57" t="s">
        <v>5919</v>
      </c>
      <c r="C171" s="58" t="s">
        <v>5920</v>
      </c>
      <c r="D171" s="56" t="s">
        <v>5774</v>
      </c>
      <c r="E171" s="59">
        <v>46126</v>
      </c>
      <c r="F171" s="60" t="s">
        <v>55</v>
      </c>
      <c r="G171" s="60" t="s">
        <v>58</v>
      </c>
      <c r="H171" s="60" t="s">
        <v>56</v>
      </c>
      <c r="I171" s="60" t="s">
        <v>70</v>
      </c>
      <c r="J171" s="60" t="s">
        <v>58</v>
      </c>
      <c r="K171" s="61"/>
      <c r="L171" s="62" t="s">
        <v>56</v>
      </c>
      <c r="M171" s="63" t="str">
        <f t="shared" si="10"/>
        <v>✓ OK</v>
      </c>
      <c r="N171" s="64"/>
      <c r="O171" s="64"/>
      <c r="P171" s="64"/>
      <c r="Q171" s="64"/>
      <c r="R171" s="64"/>
      <c r="S171" s="64"/>
      <c r="T171" s="61"/>
      <c r="U171" s="65"/>
      <c r="V171" s="66" t="str">
        <f t="shared" si="11"/>
        <v/>
      </c>
      <c r="W171" s="67"/>
      <c r="X171" s="67"/>
      <c r="Y171" s="67"/>
      <c r="Z171" s="67"/>
      <c r="AA171" s="67"/>
      <c r="AB171" s="67"/>
      <c r="AC171" s="61"/>
      <c r="AD171" s="68"/>
      <c r="AE171" s="69" t="str">
        <f t="shared" si="12"/>
        <v/>
      </c>
      <c r="AF171" s="70"/>
      <c r="AG171" s="70"/>
      <c r="AH171" s="70"/>
      <c r="AI171" s="70"/>
      <c r="AJ171" s="70"/>
      <c r="AK171" s="70"/>
      <c r="AL171" s="61"/>
      <c r="AM171" s="71"/>
      <c r="AN171" s="72" t="str">
        <f t="shared" si="13"/>
        <v/>
      </c>
      <c r="AO171" s="73"/>
      <c r="AP171" s="73"/>
      <c r="AQ171" s="73"/>
      <c r="AR171" s="73"/>
      <c r="AS171" s="73"/>
      <c r="AT171" s="73"/>
      <c r="AU171" s="61"/>
      <c r="AV171" s="74"/>
      <c r="AW171" s="75" t="str">
        <f t="shared" si="14"/>
        <v/>
      </c>
    </row>
    <row r="172" spans="1:49" ht="14.25" customHeight="1" x14ac:dyDescent="0.3">
      <c r="A172" s="76">
        <v>168</v>
      </c>
      <c r="B172" s="77" t="s">
        <v>5921</v>
      </c>
      <c r="C172" s="78" t="s">
        <v>5922</v>
      </c>
      <c r="D172" s="76" t="s">
        <v>5774</v>
      </c>
      <c r="E172" s="59">
        <v>46126</v>
      </c>
      <c r="F172" s="60" t="s">
        <v>55</v>
      </c>
      <c r="G172" s="60" t="s">
        <v>58</v>
      </c>
      <c r="H172" s="60" t="s">
        <v>56</v>
      </c>
      <c r="I172" s="60" t="s">
        <v>70</v>
      </c>
      <c r="J172" s="60" t="s">
        <v>58</v>
      </c>
      <c r="K172" s="61"/>
      <c r="L172" s="62" t="s">
        <v>56</v>
      </c>
      <c r="M172" s="63" t="str">
        <f t="shared" si="10"/>
        <v>✓ OK</v>
      </c>
      <c r="N172" s="64"/>
      <c r="O172" s="64"/>
      <c r="P172" s="64"/>
      <c r="Q172" s="64"/>
      <c r="R172" s="64"/>
      <c r="S172" s="64"/>
      <c r="T172" s="61"/>
      <c r="U172" s="65"/>
      <c r="V172" s="66" t="str">
        <f t="shared" si="11"/>
        <v/>
      </c>
      <c r="W172" s="67"/>
      <c r="X172" s="67"/>
      <c r="Y172" s="67"/>
      <c r="Z172" s="67"/>
      <c r="AA172" s="67"/>
      <c r="AB172" s="67"/>
      <c r="AC172" s="61"/>
      <c r="AD172" s="68"/>
      <c r="AE172" s="69" t="str">
        <f t="shared" si="12"/>
        <v/>
      </c>
      <c r="AF172" s="70"/>
      <c r="AG172" s="70"/>
      <c r="AH172" s="70"/>
      <c r="AI172" s="70"/>
      <c r="AJ172" s="70"/>
      <c r="AK172" s="70"/>
      <c r="AL172" s="61"/>
      <c r="AM172" s="71"/>
      <c r="AN172" s="72" t="str">
        <f t="shared" si="13"/>
        <v/>
      </c>
      <c r="AO172" s="73"/>
      <c r="AP172" s="73"/>
      <c r="AQ172" s="73"/>
      <c r="AR172" s="73"/>
      <c r="AS172" s="73"/>
      <c r="AT172" s="73"/>
      <c r="AU172" s="61"/>
      <c r="AV172" s="74"/>
      <c r="AW172" s="75" t="str">
        <f t="shared" si="14"/>
        <v/>
      </c>
    </row>
    <row r="173" spans="1:49" ht="14.25" customHeight="1" x14ac:dyDescent="0.3">
      <c r="A173" s="56">
        <v>169</v>
      </c>
      <c r="B173" s="57" t="s">
        <v>5923</v>
      </c>
      <c r="C173" s="58" t="s">
        <v>5924</v>
      </c>
      <c r="D173" s="56" t="s">
        <v>5774</v>
      </c>
      <c r="E173" s="59">
        <v>46126</v>
      </c>
      <c r="F173" s="60" t="s">
        <v>55</v>
      </c>
      <c r="G173" s="60" t="s">
        <v>58</v>
      </c>
      <c r="H173" s="60" t="s">
        <v>56</v>
      </c>
      <c r="I173" s="60" t="s">
        <v>70</v>
      </c>
      <c r="J173" s="60" t="s">
        <v>58</v>
      </c>
      <c r="K173" s="61"/>
      <c r="L173" s="62" t="s">
        <v>56</v>
      </c>
      <c r="M173" s="63" t="str">
        <f t="shared" si="10"/>
        <v>✓ OK</v>
      </c>
      <c r="N173" s="64"/>
      <c r="O173" s="64"/>
      <c r="P173" s="64"/>
      <c r="Q173" s="64"/>
      <c r="R173" s="64"/>
      <c r="S173" s="64"/>
      <c r="T173" s="61"/>
      <c r="U173" s="65"/>
      <c r="V173" s="66" t="str">
        <f t="shared" si="11"/>
        <v/>
      </c>
      <c r="W173" s="67"/>
      <c r="X173" s="67"/>
      <c r="Y173" s="67"/>
      <c r="Z173" s="67"/>
      <c r="AA173" s="67"/>
      <c r="AB173" s="67"/>
      <c r="AC173" s="61"/>
      <c r="AD173" s="68"/>
      <c r="AE173" s="69" t="str">
        <f t="shared" si="12"/>
        <v/>
      </c>
      <c r="AF173" s="70"/>
      <c r="AG173" s="70"/>
      <c r="AH173" s="70"/>
      <c r="AI173" s="70"/>
      <c r="AJ173" s="70"/>
      <c r="AK173" s="70"/>
      <c r="AL173" s="61"/>
      <c r="AM173" s="71"/>
      <c r="AN173" s="72" t="str">
        <f t="shared" si="13"/>
        <v/>
      </c>
      <c r="AO173" s="73"/>
      <c r="AP173" s="73"/>
      <c r="AQ173" s="73"/>
      <c r="AR173" s="73"/>
      <c r="AS173" s="73"/>
      <c r="AT173" s="73"/>
      <c r="AU173" s="61"/>
      <c r="AV173" s="74"/>
      <c r="AW173" s="75" t="str">
        <f t="shared" si="14"/>
        <v/>
      </c>
    </row>
    <row r="174" spans="1:49" ht="14.25" customHeight="1" x14ac:dyDescent="0.3">
      <c r="A174" s="76">
        <v>170</v>
      </c>
      <c r="B174" s="77" t="s">
        <v>5925</v>
      </c>
      <c r="C174" s="78" t="s">
        <v>5926</v>
      </c>
      <c r="D174" s="76" t="s">
        <v>5774</v>
      </c>
      <c r="E174" s="59">
        <v>46126</v>
      </c>
      <c r="F174" s="60" t="s">
        <v>55</v>
      </c>
      <c r="G174" s="60" t="s">
        <v>58</v>
      </c>
      <c r="H174" s="60" t="s">
        <v>56</v>
      </c>
      <c r="I174" s="60" t="s">
        <v>70</v>
      </c>
      <c r="J174" s="60" t="s">
        <v>58</v>
      </c>
      <c r="K174" s="61"/>
      <c r="L174" s="62" t="s">
        <v>56</v>
      </c>
      <c r="M174" s="63" t="str">
        <f t="shared" si="10"/>
        <v>✓ OK</v>
      </c>
      <c r="N174" s="64"/>
      <c r="O174" s="64"/>
      <c r="P174" s="64"/>
      <c r="Q174" s="64"/>
      <c r="R174" s="64"/>
      <c r="S174" s="64"/>
      <c r="T174" s="61"/>
      <c r="U174" s="65"/>
      <c r="V174" s="66" t="str">
        <f t="shared" si="11"/>
        <v/>
      </c>
      <c r="W174" s="67"/>
      <c r="X174" s="67"/>
      <c r="Y174" s="67"/>
      <c r="Z174" s="67"/>
      <c r="AA174" s="67"/>
      <c r="AB174" s="67"/>
      <c r="AC174" s="61"/>
      <c r="AD174" s="68"/>
      <c r="AE174" s="69" t="str">
        <f t="shared" si="12"/>
        <v/>
      </c>
      <c r="AF174" s="70"/>
      <c r="AG174" s="70"/>
      <c r="AH174" s="70"/>
      <c r="AI174" s="70"/>
      <c r="AJ174" s="70"/>
      <c r="AK174" s="70"/>
      <c r="AL174" s="61"/>
      <c r="AM174" s="71"/>
      <c r="AN174" s="72" t="str">
        <f t="shared" si="13"/>
        <v/>
      </c>
      <c r="AO174" s="73"/>
      <c r="AP174" s="73"/>
      <c r="AQ174" s="73"/>
      <c r="AR174" s="73"/>
      <c r="AS174" s="73"/>
      <c r="AT174" s="73"/>
      <c r="AU174" s="61"/>
      <c r="AV174" s="74"/>
      <c r="AW174" s="75" t="str">
        <f t="shared" si="14"/>
        <v/>
      </c>
    </row>
    <row r="175" spans="1:49" ht="14.25" customHeight="1" x14ac:dyDescent="0.3">
      <c r="A175" s="56">
        <v>171</v>
      </c>
      <c r="B175" s="57" t="s">
        <v>5927</v>
      </c>
      <c r="C175" s="58" t="s">
        <v>5928</v>
      </c>
      <c r="D175" s="56" t="s">
        <v>5774</v>
      </c>
      <c r="E175" s="59">
        <v>46126</v>
      </c>
      <c r="F175" s="60" t="s">
        <v>55</v>
      </c>
      <c r="G175" s="60" t="s">
        <v>58</v>
      </c>
      <c r="H175" s="60" t="s">
        <v>56</v>
      </c>
      <c r="I175" s="60" t="s">
        <v>70</v>
      </c>
      <c r="J175" s="60" t="s">
        <v>58</v>
      </c>
      <c r="K175" s="61"/>
      <c r="L175" s="62" t="s">
        <v>56</v>
      </c>
      <c r="M175" s="63" t="str">
        <f t="shared" si="10"/>
        <v>✓ OK</v>
      </c>
      <c r="N175" s="64"/>
      <c r="O175" s="64"/>
      <c r="P175" s="64"/>
      <c r="Q175" s="64"/>
      <c r="R175" s="64"/>
      <c r="S175" s="64"/>
      <c r="T175" s="61"/>
      <c r="U175" s="65"/>
      <c r="V175" s="66" t="str">
        <f t="shared" si="11"/>
        <v/>
      </c>
      <c r="W175" s="67"/>
      <c r="X175" s="67"/>
      <c r="Y175" s="67"/>
      <c r="Z175" s="67"/>
      <c r="AA175" s="67"/>
      <c r="AB175" s="67"/>
      <c r="AC175" s="61"/>
      <c r="AD175" s="68"/>
      <c r="AE175" s="69" t="str">
        <f t="shared" si="12"/>
        <v/>
      </c>
      <c r="AF175" s="70"/>
      <c r="AG175" s="70"/>
      <c r="AH175" s="70"/>
      <c r="AI175" s="70"/>
      <c r="AJ175" s="70"/>
      <c r="AK175" s="70"/>
      <c r="AL175" s="61"/>
      <c r="AM175" s="71"/>
      <c r="AN175" s="72" t="str">
        <f t="shared" si="13"/>
        <v/>
      </c>
      <c r="AO175" s="73"/>
      <c r="AP175" s="73"/>
      <c r="AQ175" s="73"/>
      <c r="AR175" s="73"/>
      <c r="AS175" s="73"/>
      <c r="AT175" s="73"/>
      <c r="AU175" s="61"/>
      <c r="AV175" s="74"/>
      <c r="AW175" s="75" t="str">
        <f t="shared" si="14"/>
        <v/>
      </c>
    </row>
    <row r="176" spans="1:49" ht="14.25" customHeight="1" x14ac:dyDescent="0.3">
      <c r="A176" s="76">
        <v>172</v>
      </c>
      <c r="B176" s="77" t="s">
        <v>5929</v>
      </c>
      <c r="C176" s="78" t="s">
        <v>5930</v>
      </c>
      <c r="D176" s="76" t="s">
        <v>5774</v>
      </c>
      <c r="E176" s="59">
        <v>46126</v>
      </c>
      <c r="F176" s="60" t="s">
        <v>55</v>
      </c>
      <c r="G176" s="60" t="s">
        <v>58</v>
      </c>
      <c r="H176" s="60" t="s">
        <v>56</v>
      </c>
      <c r="I176" s="60" t="s">
        <v>70</v>
      </c>
      <c r="J176" s="60" t="s">
        <v>58</v>
      </c>
      <c r="K176" s="61"/>
      <c r="L176" s="62" t="s">
        <v>56</v>
      </c>
      <c r="M176" s="63" t="str">
        <f t="shared" si="10"/>
        <v>✓ OK</v>
      </c>
      <c r="N176" s="64"/>
      <c r="O176" s="64"/>
      <c r="P176" s="64"/>
      <c r="Q176" s="64"/>
      <c r="R176" s="64"/>
      <c r="S176" s="64"/>
      <c r="T176" s="61"/>
      <c r="U176" s="65"/>
      <c r="V176" s="66" t="str">
        <f t="shared" si="11"/>
        <v/>
      </c>
      <c r="W176" s="67"/>
      <c r="X176" s="67"/>
      <c r="Y176" s="67"/>
      <c r="Z176" s="67"/>
      <c r="AA176" s="67"/>
      <c r="AB176" s="67"/>
      <c r="AC176" s="61"/>
      <c r="AD176" s="68"/>
      <c r="AE176" s="69" t="str">
        <f t="shared" si="12"/>
        <v/>
      </c>
      <c r="AF176" s="70"/>
      <c r="AG176" s="70"/>
      <c r="AH176" s="70"/>
      <c r="AI176" s="70"/>
      <c r="AJ176" s="70"/>
      <c r="AK176" s="70"/>
      <c r="AL176" s="61"/>
      <c r="AM176" s="71"/>
      <c r="AN176" s="72" t="str">
        <f t="shared" si="13"/>
        <v/>
      </c>
      <c r="AO176" s="73"/>
      <c r="AP176" s="73"/>
      <c r="AQ176" s="73"/>
      <c r="AR176" s="73"/>
      <c r="AS176" s="73"/>
      <c r="AT176" s="73"/>
      <c r="AU176" s="61"/>
      <c r="AV176" s="74"/>
      <c r="AW176" s="75" t="str">
        <f t="shared" si="14"/>
        <v/>
      </c>
    </row>
    <row r="177" spans="1:49" ht="14.25" customHeight="1" x14ac:dyDescent="0.3">
      <c r="A177" s="56">
        <v>173</v>
      </c>
      <c r="B177" s="57" t="s">
        <v>5931</v>
      </c>
      <c r="C177" s="58" t="s">
        <v>5932</v>
      </c>
      <c r="D177" s="56" t="s">
        <v>5774</v>
      </c>
      <c r="E177" s="59">
        <v>46126</v>
      </c>
      <c r="F177" s="60" t="s">
        <v>55</v>
      </c>
      <c r="G177" s="60" t="s">
        <v>58</v>
      </c>
      <c r="H177" s="60" t="s">
        <v>56</v>
      </c>
      <c r="I177" s="60" t="s">
        <v>70</v>
      </c>
      <c r="J177" s="60" t="s">
        <v>58</v>
      </c>
      <c r="K177" s="61"/>
      <c r="L177" s="62" t="s">
        <v>56</v>
      </c>
      <c r="M177" s="63" t="str">
        <f t="shared" si="10"/>
        <v>✓ OK</v>
      </c>
      <c r="N177" s="64"/>
      <c r="O177" s="64"/>
      <c r="P177" s="64"/>
      <c r="Q177" s="64"/>
      <c r="R177" s="64"/>
      <c r="S177" s="64"/>
      <c r="T177" s="61"/>
      <c r="U177" s="65"/>
      <c r="V177" s="66" t="str">
        <f t="shared" si="11"/>
        <v/>
      </c>
      <c r="W177" s="67"/>
      <c r="X177" s="67"/>
      <c r="Y177" s="67"/>
      <c r="Z177" s="67"/>
      <c r="AA177" s="67"/>
      <c r="AB177" s="67"/>
      <c r="AC177" s="61"/>
      <c r="AD177" s="68"/>
      <c r="AE177" s="69" t="str">
        <f t="shared" si="12"/>
        <v/>
      </c>
      <c r="AF177" s="70"/>
      <c r="AG177" s="70"/>
      <c r="AH177" s="70"/>
      <c r="AI177" s="70"/>
      <c r="AJ177" s="70"/>
      <c r="AK177" s="70"/>
      <c r="AL177" s="61"/>
      <c r="AM177" s="71"/>
      <c r="AN177" s="72" t="str">
        <f t="shared" si="13"/>
        <v/>
      </c>
      <c r="AO177" s="73"/>
      <c r="AP177" s="73"/>
      <c r="AQ177" s="73"/>
      <c r="AR177" s="73"/>
      <c r="AS177" s="73"/>
      <c r="AT177" s="73"/>
      <c r="AU177" s="61"/>
      <c r="AV177" s="74"/>
      <c r="AW177" s="75" t="str">
        <f t="shared" si="14"/>
        <v/>
      </c>
    </row>
    <row r="178" spans="1:49" ht="14.25" customHeight="1" x14ac:dyDescent="0.3">
      <c r="A178" s="76">
        <v>174</v>
      </c>
      <c r="B178" s="77" t="s">
        <v>5933</v>
      </c>
      <c r="C178" s="78" t="s">
        <v>5934</v>
      </c>
      <c r="D178" s="76" t="s">
        <v>5774</v>
      </c>
      <c r="E178" s="59">
        <v>46126</v>
      </c>
      <c r="F178" s="60" t="s">
        <v>55</v>
      </c>
      <c r="G178" s="60" t="s">
        <v>58</v>
      </c>
      <c r="H178" s="60" t="s">
        <v>56</v>
      </c>
      <c r="I178" s="60" t="s">
        <v>70</v>
      </c>
      <c r="J178" s="60" t="s">
        <v>58</v>
      </c>
      <c r="K178" s="61"/>
      <c r="L178" s="62" t="s">
        <v>56</v>
      </c>
      <c r="M178" s="63" t="str">
        <f t="shared" si="10"/>
        <v>✓ OK</v>
      </c>
      <c r="N178" s="64"/>
      <c r="O178" s="64"/>
      <c r="P178" s="64"/>
      <c r="Q178" s="64"/>
      <c r="R178" s="64"/>
      <c r="S178" s="64"/>
      <c r="T178" s="61"/>
      <c r="U178" s="65"/>
      <c r="V178" s="66" t="str">
        <f t="shared" si="11"/>
        <v/>
      </c>
      <c r="W178" s="67"/>
      <c r="X178" s="67"/>
      <c r="Y178" s="67"/>
      <c r="Z178" s="67"/>
      <c r="AA178" s="67"/>
      <c r="AB178" s="67"/>
      <c r="AC178" s="61"/>
      <c r="AD178" s="68"/>
      <c r="AE178" s="69" t="str">
        <f t="shared" si="12"/>
        <v/>
      </c>
      <c r="AF178" s="70"/>
      <c r="AG178" s="70"/>
      <c r="AH178" s="70"/>
      <c r="AI178" s="70"/>
      <c r="AJ178" s="70"/>
      <c r="AK178" s="70"/>
      <c r="AL178" s="61"/>
      <c r="AM178" s="71"/>
      <c r="AN178" s="72" t="str">
        <f t="shared" si="13"/>
        <v/>
      </c>
      <c r="AO178" s="73"/>
      <c r="AP178" s="73"/>
      <c r="AQ178" s="73"/>
      <c r="AR178" s="73"/>
      <c r="AS178" s="73"/>
      <c r="AT178" s="73"/>
      <c r="AU178" s="61"/>
      <c r="AV178" s="74"/>
      <c r="AW178" s="75" t="str">
        <f t="shared" si="14"/>
        <v/>
      </c>
    </row>
    <row r="179" spans="1:49" ht="14.25" customHeight="1" x14ac:dyDescent="0.3">
      <c r="A179" s="56">
        <v>175</v>
      </c>
      <c r="B179" s="57" t="s">
        <v>5935</v>
      </c>
      <c r="C179" s="58" t="s">
        <v>5936</v>
      </c>
      <c r="D179" s="56" t="s">
        <v>5774</v>
      </c>
      <c r="E179" s="59">
        <v>46126</v>
      </c>
      <c r="F179" s="60" t="s">
        <v>55</v>
      </c>
      <c r="G179" s="60" t="s">
        <v>58</v>
      </c>
      <c r="H179" s="60" t="s">
        <v>56</v>
      </c>
      <c r="I179" s="60" t="s">
        <v>70</v>
      </c>
      <c r="J179" s="60" t="s">
        <v>58</v>
      </c>
      <c r="K179" s="61"/>
      <c r="L179" s="62" t="s">
        <v>56</v>
      </c>
      <c r="M179" s="63" t="str">
        <f t="shared" si="10"/>
        <v>✓ OK</v>
      </c>
      <c r="N179" s="64"/>
      <c r="O179" s="64"/>
      <c r="P179" s="64"/>
      <c r="Q179" s="64"/>
      <c r="R179" s="64"/>
      <c r="S179" s="64"/>
      <c r="T179" s="61"/>
      <c r="U179" s="65"/>
      <c r="V179" s="66" t="str">
        <f t="shared" si="11"/>
        <v/>
      </c>
      <c r="W179" s="67"/>
      <c r="X179" s="67"/>
      <c r="Y179" s="67"/>
      <c r="Z179" s="67"/>
      <c r="AA179" s="67"/>
      <c r="AB179" s="67"/>
      <c r="AC179" s="61"/>
      <c r="AD179" s="68"/>
      <c r="AE179" s="69" t="str">
        <f t="shared" si="12"/>
        <v/>
      </c>
      <c r="AF179" s="70"/>
      <c r="AG179" s="70"/>
      <c r="AH179" s="70"/>
      <c r="AI179" s="70"/>
      <c r="AJ179" s="70"/>
      <c r="AK179" s="70"/>
      <c r="AL179" s="61"/>
      <c r="AM179" s="71"/>
      <c r="AN179" s="72" t="str">
        <f t="shared" si="13"/>
        <v/>
      </c>
      <c r="AO179" s="73"/>
      <c r="AP179" s="73"/>
      <c r="AQ179" s="73"/>
      <c r="AR179" s="73"/>
      <c r="AS179" s="73"/>
      <c r="AT179" s="73"/>
      <c r="AU179" s="61"/>
      <c r="AV179" s="74"/>
      <c r="AW179" s="75" t="str">
        <f t="shared" si="14"/>
        <v/>
      </c>
    </row>
    <row r="180" spans="1:49" ht="14.25" customHeight="1" x14ac:dyDescent="0.3">
      <c r="A180" s="76">
        <v>176</v>
      </c>
      <c r="B180" s="77" t="s">
        <v>5937</v>
      </c>
      <c r="C180" s="78" t="s">
        <v>5938</v>
      </c>
      <c r="D180" s="76" t="s">
        <v>5774</v>
      </c>
      <c r="E180" s="59">
        <v>46126</v>
      </c>
      <c r="F180" s="60" t="s">
        <v>55</v>
      </c>
      <c r="G180" s="60" t="s">
        <v>58</v>
      </c>
      <c r="H180" s="60" t="s">
        <v>56</v>
      </c>
      <c r="I180" s="60" t="s">
        <v>70</v>
      </c>
      <c r="J180" s="60" t="s">
        <v>58</v>
      </c>
      <c r="K180" s="61"/>
      <c r="L180" s="62" t="s">
        <v>56</v>
      </c>
      <c r="M180" s="63" t="str">
        <f t="shared" si="10"/>
        <v>✓ OK</v>
      </c>
      <c r="N180" s="64"/>
      <c r="O180" s="64"/>
      <c r="P180" s="64"/>
      <c r="Q180" s="64"/>
      <c r="R180" s="64"/>
      <c r="S180" s="64"/>
      <c r="T180" s="61"/>
      <c r="U180" s="65"/>
      <c r="V180" s="66" t="str">
        <f t="shared" si="11"/>
        <v/>
      </c>
      <c r="W180" s="67"/>
      <c r="X180" s="67"/>
      <c r="Y180" s="67"/>
      <c r="Z180" s="67"/>
      <c r="AA180" s="67"/>
      <c r="AB180" s="67"/>
      <c r="AC180" s="61"/>
      <c r="AD180" s="68"/>
      <c r="AE180" s="69" t="str">
        <f t="shared" si="12"/>
        <v/>
      </c>
      <c r="AF180" s="70"/>
      <c r="AG180" s="70"/>
      <c r="AH180" s="70"/>
      <c r="AI180" s="70"/>
      <c r="AJ180" s="70"/>
      <c r="AK180" s="70"/>
      <c r="AL180" s="61"/>
      <c r="AM180" s="71"/>
      <c r="AN180" s="72" t="str">
        <f t="shared" si="13"/>
        <v/>
      </c>
      <c r="AO180" s="73"/>
      <c r="AP180" s="73"/>
      <c r="AQ180" s="73"/>
      <c r="AR180" s="73"/>
      <c r="AS180" s="73"/>
      <c r="AT180" s="73"/>
      <c r="AU180" s="61"/>
      <c r="AV180" s="74"/>
      <c r="AW180" s="75" t="str">
        <f t="shared" si="14"/>
        <v/>
      </c>
    </row>
    <row r="181" spans="1:49" ht="14.25" customHeight="1" x14ac:dyDescent="0.3">
      <c r="A181" s="56">
        <v>177</v>
      </c>
      <c r="B181" s="57" t="s">
        <v>5939</v>
      </c>
      <c r="C181" s="58" t="s">
        <v>5940</v>
      </c>
      <c r="D181" s="56" t="s">
        <v>5774</v>
      </c>
      <c r="E181" s="59">
        <v>46126</v>
      </c>
      <c r="F181" s="60" t="s">
        <v>55</v>
      </c>
      <c r="G181" s="60" t="s">
        <v>58</v>
      </c>
      <c r="H181" s="60" t="s">
        <v>56</v>
      </c>
      <c r="I181" s="60" t="s">
        <v>70</v>
      </c>
      <c r="J181" s="60" t="s">
        <v>58</v>
      </c>
      <c r="K181" s="61"/>
      <c r="L181" s="62" t="s">
        <v>56</v>
      </c>
      <c r="M181" s="63" t="str">
        <f t="shared" si="10"/>
        <v>✓ OK</v>
      </c>
      <c r="N181" s="64"/>
      <c r="O181" s="64"/>
      <c r="P181" s="64"/>
      <c r="Q181" s="64"/>
      <c r="R181" s="64"/>
      <c r="S181" s="64"/>
      <c r="T181" s="61"/>
      <c r="U181" s="65"/>
      <c r="V181" s="66" t="str">
        <f t="shared" si="11"/>
        <v/>
      </c>
      <c r="W181" s="67"/>
      <c r="X181" s="67"/>
      <c r="Y181" s="67"/>
      <c r="Z181" s="67"/>
      <c r="AA181" s="67"/>
      <c r="AB181" s="67"/>
      <c r="AC181" s="61"/>
      <c r="AD181" s="68"/>
      <c r="AE181" s="69" t="str">
        <f t="shared" si="12"/>
        <v/>
      </c>
      <c r="AF181" s="70"/>
      <c r="AG181" s="70"/>
      <c r="AH181" s="70"/>
      <c r="AI181" s="70"/>
      <c r="AJ181" s="70"/>
      <c r="AK181" s="70"/>
      <c r="AL181" s="61"/>
      <c r="AM181" s="71"/>
      <c r="AN181" s="72" t="str">
        <f t="shared" si="13"/>
        <v/>
      </c>
      <c r="AO181" s="73"/>
      <c r="AP181" s="73"/>
      <c r="AQ181" s="73"/>
      <c r="AR181" s="73"/>
      <c r="AS181" s="73"/>
      <c r="AT181" s="73"/>
      <c r="AU181" s="61"/>
      <c r="AV181" s="74"/>
      <c r="AW181" s="75" t="str">
        <f t="shared" si="14"/>
        <v/>
      </c>
    </row>
    <row r="182" spans="1:49" ht="14.25" customHeight="1" x14ac:dyDescent="0.3">
      <c r="A182" s="76">
        <v>178</v>
      </c>
      <c r="B182" s="77" t="s">
        <v>5941</v>
      </c>
      <c r="C182" s="78" t="s">
        <v>5942</v>
      </c>
      <c r="D182" s="76" t="s">
        <v>5774</v>
      </c>
      <c r="E182" s="59">
        <v>46126</v>
      </c>
      <c r="F182" s="60" t="s">
        <v>55</v>
      </c>
      <c r="G182" s="60" t="s">
        <v>58</v>
      </c>
      <c r="H182" s="60" t="s">
        <v>56</v>
      </c>
      <c r="I182" s="60" t="s">
        <v>70</v>
      </c>
      <c r="J182" s="60" t="s">
        <v>58</v>
      </c>
      <c r="K182" s="61"/>
      <c r="L182" s="62" t="s">
        <v>56</v>
      </c>
      <c r="M182" s="63" t="str">
        <f t="shared" si="10"/>
        <v>✓ OK</v>
      </c>
      <c r="N182" s="64"/>
      <c r="O182" s="64"/>
      <c r="P182" s="64"/>
      <c r="Q182" s="64"/>
      <c r="R182" s="64"/>
      <c r="S182" s="64"/>
      <c r="T182" s="61"/>
      <c r="U182" s="65"/>
      <c r="V182" s="66" t="str">
        <f t="shared" si="11"/>
        <v/>
      </c>
      <c r="W182" s="67"/>
      <c r="X182" s="67"/>
      <c r="Y182" s="67"/>
      <c r="Z182" s="67"/>
      <c r="AA182" s="67"/>
      <c r="AB182" s="67"/>
      <c r="AC182" s="61"/>
      <c r="AD182" s="68"/>
      <c r="AE182" s="69" t="str">
        <f t="shared" si="12"/>
        <v/>
      </c>
      <c r="AF182" s="70"/>
      <c r="AG182" s="70"/>
      <c r="AH182" s="70"/>
      <c r="AI182" s="70"/>
      <c r="AJ182" s="70"/>
      <c r="AK182" s="70"/>
      <c r="AL182" s="61"/>
      <c r="AM182" s="71"/>
      <c r="AN182" s="72" t="str">
        <f t="shared" si="13"/>
        <v/>
      </c>
      <c r="AO182" s="73"/>
      <c r="AP182" s="73"/>
      <c r="AQ182" s="73"/>
      <c r="AR182" s="73"/>
      <c r="AS182" s="73"/>
      <c r="AT182" s="73"/>
      <c r="AU182" s="61"/>
      <c r="AV182" s="74"/>
      <c r="AW182" s="75" t="str">
        <f t="shared" si="14"/>
        <v/>
      </c>
    </row>
    <row r="183" spans="1:49" ht="14.25" customHeight="1" x14ac:dyDescent="0.3">
      <c r="A183" s="56">
        <v>179</v>
      </c>
      <c r="B183" s="57" t="s">
        <v>5943</v>
      </c>
      <c r="C183" s="58" t="s">
        <v>5944</v>
      </c>
      <c r="D183" s="56" t="s">
        <v>5774</v>
      </c>
      <c r="E183" s="59">
        <v>46126</v>
      </c>
      <c r="F183" s="60" t="s">
        <v>55</v>
      </c>
      <c r="G183" s="60" t="s">
        <v>58</v>
      </c>
      <c r="H183" s="60" t="s">
        <v>56</v>
      </c>
      <c r="I183" s="60" t="s">
        <v>70</v>
      </c>
      <c r="J183" s="60" t="s">
        <v>58</v>
      </c>
      <c r="K183" s="61"/>
      <c r="L183" s="62" t="s">
        <v>56</v>
      </c>
      <c r="M183" s="63" t="str">
        <f t="shared" si="10"/>
        <v>✓ OK</v>
      </c>
      <c r="N183" s="64"/>
      <c r="O183" s="64"/>
      <c r="P183" s="64"/>
      <c r="Q183" s="64"/>
      <c r="R183" s="64"/>
      <c r="S183" s="64"/>
      <c r="T183" s="61"/>
      <c r="U183" s="65"/>
      <c r="V183" s="66" t="str">
        <f t="shared" si="11"/>
        <v/>
      </c>
      <c r="W183" s="67"/>
      <c r="X183" s="67"/>
      <c r="Y183" s="67"/>
      <c r="Z183" s="67"/>
      <c r="AA183" s="67"/>
      <c r="AB183" s="67"/>
      <c r="AC183" s="61"/>
      <c r="AD183" s="68"/>
      <c r="AE183" s="69" t="str">
        <f t="shared" si="12"/>
        <v/>
      </c>
      <c r="AF183" s="70"/>
      <c r="AG183" s="70"/>
      <c r="AH183" s="70"/>
      <c r="AI183" s="70"/>
      <c r="AJ183" s="70"/>
      <c r="AK183" s="70"/>
      <c r="AL183" s="61"/>
      <c r="AM183" s="71"/>
      <c r="AN183" s="72" t="str">
        <f t="shared" si="13"/>
        <v/>
      </c>
      <c r="AO183" s="73"/>
      <c r="AP183" s="73"/>
      <c r="AQ183" s="73"/>
      <c r="AR183" s="73"/>
      <c r="AS183" s="73"/>
      <c r="AT183" s="73"/>
      <c r="AU183" s="61"/>
      <c r="AV183" s="74"/>
      <c r="AW183" s="75" t="str">
        <f t="shared" si="14"/>
        <v/>
      </c>
    </row>
    <row r="184" spans="1:49" ht="14.25" customHeight="1" x14ac:dyDescent="0.3">
      <c r="A184" s="76">
        <v>180</v>
      </c>
      <c r="B184" s="77" t="s">
        <v>5945</v>
      </c>
      <c r="C184" s="78" t="s">
        <v>5946</v>
      </c>
      <c r="D184" s="76" t="s">
        <v>5774</v>
      </c>
      <c r="E184" s="59">
        <v>46126</v>
      </c>
      <c r="F184" s="60" t="s">
        <v>55</v>
      </c>
      <c r="G184" s="60" t="s">
        <v>58</v>
      </c>
      <c r="H184" s="60" t="s">
        <v>56</v>
      </c>
      <c r="I184" s="60" t="s">
        <v>70</v>
      </c>
      <c r="J184" s="60" t="s">
        <v>58</v>
      </c>
      <c r="K184" s="61"/>
      <c r="L184" s="62" t="s">
        <v>56</v>
      </c>
      <c r="M184" s="63" t="str">
        <f t="shared" si="10"/>
        <v>✓ OK</v>
      </c>
      <c r="N184" s="64"/>
      <c r="O184" s="64"/>
      <c r="P184" s="64"/>
      <c r="Q184" s="64"/>
      <c r="R184" s="64"/>
      <c r="S184" s="64"/>
      <c r="T184" s="61"/>
      <c r="U184" s="65"/>
      <c r="V184" s="66" t="str">
        <f t="shared" si="11"/>
        <v/>
      </c>
      <c r="W184" s="67"/>
      <c r="X184" s="67"/>
      <c r="Y184" s="67"/>
      <c r="Z184" s="67"/>
      <c r="AA184" s="67"/>
      <c r="AB184" s="67"/>
      <c r="AC184" s="61"/>
      <c r="AD184" s="68"/>
      <c r="AE184" s="69" t="str">
        <f t="shared" si="12"/>
        <v/>
      </c>
      <c r="AF184" s="70"/>
      <c r="AG184" s="70"/>
      <c r="AH184" s="70"/>
      <c r="AI184" s="70"/>
      <c r="AJ184" s="70"/>
      <c r="AK184" s="70"/>
      <c r="AL184" s="61"/>
      <c r="AM184" s="71"/>
      <c r="AN184" s="72" t="str">
        <f t="shared" si="13"/>
        <v/>
      </c>
      <c r="AO184" s="73"/>
      <c r="AP184" s="73"/>
      <c r="AQ184" s="73"/>
      <c r="AR184" s="73"/>
      <c r="AS184" s="73"/>
      <c r="AT184" s="73"/>
      <c r="AU184" s="61"/>
      <c r="AV184" s="74"/>
      <c r="AW184" s="75" t="str">
        <f t="shared" si="14"/>
        <v/>
      </c>
    </row>
    <row r="185" spans="1:49" ht="14.25" customHeight="1" x14ac:dyDescent="0.3">
      <c r="A185" s="56">
        <v>181</v>
      </c>
      <c r="B185" s="57" t="s">
        <v>5947</v>
      </c>
      <c r="C185" s="58" t="s">
        <v>5948</v>
      </c>
      <c r="D185" s="56" t="s">
        <v>5774</v>
      </c>
      <c r="E185" s="59">
        <v>46126</v>
      </c>
      <c r="F185" s="60" t="s">
        <v>55</v>
      </c>
      <c r="G185" s="60" t="s">
        <v>58</v>
      </c>
      <c r="H185" s="60" t="s">
        <v>56</v>
      </c>
      <c r="I185" s="60" t="s">
        <v>70</v>
      </c>
      <c r="J185" s="60" t="s">
        <v>58</v>
      </c>
      <c r="K185" s="61"/>
      <c r="L185" s="62" t="s">
        <v>56</v>
      </c>
      <c r="M185" s="63" t="str">
        <f t="shared" si="10"/>
        <v>✓ OK</v>
      </c>
      <c r="N185" s="64"/>
      <c r="O185" s="64"/>
      <c r="P185" s="64"/>
      <c r="Q185" s="64"/>
      <c r="R185" s="64"/>
      <c r="S185" s="64"/>
      <c r="T185" s="61"/>
      <c r="U185" s="65"/>
      <c r="V185" s="66" t="str">
        <f t="shared" si="11"/>
        <v/>
      </c>
      <c r="W185" s="67"/>
      <c r="X185" s="67"/>
      <c r="Y185" s="67"/>
      <c r="Z185" s="67"/>
      <c r="AA185" s="67"/>
      <c r="AB185" s="67"/>
      <c r="AC185" s="61"/>
      <c r="AD185" s="68"/>
      <c r="AE185" s="69" t="str">
        <f t="shared" si="12"/>
        <v/>
      </c>
      <c r="AF185" s="70"/>
      <c r="AG185" s="70"/>
      <c r="AH185" s="70"/>
      <c r="AI185" s="70"/>
      <c r="AJ185" s="70"/>
      <c r="AK185" s="70"/>
      <c r="AL185" s="61"/>
      <c r="AM185" s="71"/>
      <c r="AN185" s="72" t="str">
        <f t="shared" si="13"/>
        <v/>
      </c>
      <c r="AO185" s="73"/>
      <c r="AP185" s="73"/>
      <c r="AQ185" s="73"/>
      <c r="AR185" s="73"/>
      <c r="AS185" s="73"/>
      <c r="AT185" s="73"/>
      <c r="AU185" s="61"/>
      <c r="AV185" s="74"/>
      <c r="AW185" s="75" t="str">
        <f t="shared" si="14"/>
        <v/>
      </c>
    </row>
    <row r="186" spans="1:49" ht="14.25" customHeight="1" x14ac:dyDescent="0.3">
      <c r="A186" s="76">
        <v>182</v>
      </c>
      <c r="B186" s="77" t="s">
        <v>5949</v>
      </c>
      <c r="C186" s="78" t="s">
        <v>5950</v>
      </c>
      <c r="D186" s="76" t="s">
        <v>5774</v>
      </c>
      <c r="E186" s="59">
        <v>46126</v>
      </c>
      <c r="F186" s="60" t="s">
        <v>55</v>
      </c>
      <c r="G186" s="60" t="s">
        <v>58</v>
      </c>
      <c r="H186" s="60" t="s">
        <v>56</v>
      </c>
      <c r="I186" s="60" t="s">
        <v>70</v>
      </c>
      <c r="J186" s="60" t="s">
        <v>58</v>
      </c>
      <c r="K186" s="61"/>
      <c r="L186" s="62" t="s">
        <v>56</v>
      </c>
      <c r="M186" s="63" t="str">
        <f t="shared" si="10"/>
        <v>✓ OK</v>
      </c>
      <c r="N186" s="64"/>
      <c r="O186" s="64"/>
      <c r="P186" s="64"/>
      <c r="Q186" s="64"/>
      <c r="R186" s="64"/>
      <c r="S186" s="64"/>
      <c r="T186" s="61"/>
      <c r="U186" s="65"/>
      <c r="V186" s="66" t="str">
        <f t="shared" si="11"/>
        <v/>
      </c>
      <c r="W186" s="67"/>
      <c r="X186" s="67"/>
      <c r="Y186" s="67"/>
      <c r="Z186" s="67"/>
      <c r="AA186" s="67"/>
      <c r="AB186" s="67"/>
      <c r="AC186" s="61"/>
      <c r="AD186" s="68"/>
      <c r="AE186" s="69" t="str">
        <f t="shared" si="12"/>
        <v/>
      </c>
      <c r="AF186" s="70"/>
      <c r="AG186" s="70"/>
      <c r="AH186" s="70"/>
      <c r="AI186" s="70"/>
      <c r="AJ186" s="70"/>
      <c r="AK186" s="70"/>
      <c r="AL186" s="61"/>
      <c r="AM186" s="71"/>
      <c r="AN186" s="72" t="str">
        <f t="shared" si="13"/>
        <v/>
      </c>
      <c r="AO186" s="73"/>
      <c r="AP186" s="73"/>
      <c r="AQ186" s="73"/>
      <c r="AR186" s="73"/>
      <c r="AS186" s="73"/>
      <c r="AT186" s="73"/>
      <c r="AU186" s="61"/>
      <c r="AV186" s="74"/>
      <c r="AW186" s="75" t="str">
        <f t="shared" si="14"/>
        <v/>
      </c>
    </row>
    <row r="187" spans="1:49" ht="14.25" customHeight="1" x14ac:dyDescent="0.3">
      <c r="A187" s="56">
        <v>183</v>
      </c>
      <c r="B187" s="57" t="s">
        <v>5951</v>
      </c>
      <c r="C187" s="58" t="s">
        <v>5952</v>
      </c>
      <c r="D187" s="56" t="s">
        <v>5774</v>
      </c>
      <c r="E187" s="59">
        <v>46126</v>
      </c>
      <c r="F187" s="60" t="s">
        <v>55</v>
      </c>
      <c r="G187" s="60" t="s">
        <v>58</v>
      </c>
      <c r="H187" s="60" t="s">
        <v>56</v>
      </c>
      <c r="I187" s="60" t="s">
        <v>70</v>
      </c>
      <c r="J187" s="60" t="s">
        <v>58</v>
      </c>
      <c r="K187" s="61"/>
      <c r="L187" s="62" t="s">
        <v>56</v>
      </c>
      <c r="M187" s="63" t="str">
        <f t="shared" si="10"/>
        <v>✓ OK</v>
      </c>
      <c r="N187" s="64"/>
      <c r="O187" s="64"/>
      <c r="P187" s="64"/>
      <c r="Q187" s="64"/>
      <c r="R187" s="64"/>
      <c r="S187" s="64"/>
      <c r="T187" s="61"/>
      <c r="U187" s="65"/>
      <c r="V187" s="66" t="str">
        <f t="shared" si="11"/>
        <v/>
      </c>
      <c r="W187" s="67"/>
      <c r="X187" s="67"/>
      <c r="Y187" s="67"/>
      <c r="Z187" s="67"/>
      <c r="AA187" s="67"/>
      <c r="AB187" s="67"/>
      <c r="AC187" s="61"/>
      <c r="AD187" s="68"/>
      <c r="AE187" s="69" t="str">
        <f t="shared" si="12"/>
        <v/>
      </c>
      <c r="AF187" s="70"/>
      <c r="AG187" s="70"/>
      <c r="AH187" s="70"/>
      <c r="AI187" s="70"/>
      <c r="AJ187" s="70"/>
      <c r="AK187" s="70"/>
      <c r="AL187" s="61"/>
      <c r="AM187" s="71"/>
      <c r="AN187" s="72" t="str">
        <f t="shared" si="13"/>
        <v/>
      </c>
      <c r="AO187" s="73"/>
      <c r="AP187" s="73"/>
      <c r="AQ187" s="73"/>
      <c r="AR187" s="73"/>
      <c r="AS187" s="73"/>
      <c r="AT187" s="73"/>
      <c r="AU187" s="61"/>
      <c r="AV187" s="74"/>
      <c r="AW187" s="75" t="str">
        <f t="shared" si="14"/>
        <v/>
      </c>
    </row>
    <row r="188" spans="1:49" ht="14.25" customHeight="1" x14ac:dyDescent="0.3">
      <c r="A188" s="76">
        <v>184</v>
      </c>
      <c r="B188" s="77" t="s">
        <v>5953</v>
      </c>
      <c r="C188" s="78" t="s">
        <v>5954</v>
      </c>
      <c r="D188" s="76" t="s">
        <v>5774</v>
      </c>
      <c r="E188" s="59">
        <v>46126</v>
      </c>
      <c r="F188" s="60" t="s">
        <v>55</v>
      </c>
      <c r="G188" s="60" t="s">
        <v>58</v>
      </c>
      <c r="H188" s="60" t="s">
        <v>56</v>
      </c>
      <c r="I188" s="60" t="s">
        <v>70</v>
      </c>
      <c r="J188" s="60" t="s">
        <v>58</v>
      </c>
      <c r="K188" s="61"/>
      <c r="L188" s="62" t="s">
        <v>56</v>
      </c>
      <c r="M188" s="63" t="str">
        <f t="shared" si="10"/>
        <v>✓ OK</v>
      </c>
      <c r="N188" s="64"/>
      <c r="O188" s="64"/>
      <c r="P188" s="64"/>
      <c r="Q188" s="64"/>
      <c r="R188" s="64"/>
      <c r="S188" s="64"/>
      <c r="T188" s="61"/>
      <c r="U188" s="65"/>
      <c r="V188" s="66" t="str">
        <f t="shared" si="11"/>
        <v/>
      </c>
      <c r="W188" s="67"/>
      <c r="X188" s="67"/>
      <c r="Y188" s="67"/>
      <c r="Z188" s="67"/>
      <c r="AA188" s="67"/>
      <c r="AB188" s="67"/>
      <c r="AC188" s="61"/>
      <c r="AD188" s="68"/>
      <c r="AE188" s="69" t="str">
        <f t="shared" si="12"/>
        <v/>
      </c>
      <c r="AF188" s="70"/>
      <c r="AG188" s="70"/>
      <c r="AH188" s="70"/>
      <c r="AI188" s="70"/>
      <c r="AJ188" s="70"/>
      <c r="AK188" s="70"/>
      <c r="AL188" s="61"/>
      <c r="AM188" s="71"/>
      <c r="AN188" s="72" t="str">
        <f t="shared" si="13"/>
        <v/>
      </c>
      <c r="AO188" s="73"/>
      <c r="AP188" s="73"/>
      <c r="AQ188" s="73"/>
      <c r="AR188" s="73"/>
      <c r="AS188" s="73"/>
      <c r="AT188" s="73"/>
      <c r="AU188" s="61"/>
      <c r="AV188" s="74"/>
      <c r="AW188" s="75" t="str">
        <f t="shared" si="14"/>
        <v/>
      </c>
    </row>
    <row r="189" spans="1:49" ht="14.25" customHeight="1" x14ac:dyDescent="0.3">
      <c r="A189" s="56">
        <v>185</v>
      </c>
      <c r="B189" s="57" t="s">
        <v>5955</v>
      </c>
      <c r="C189" s="58" t="s">
        <v>5956</v>
      </c>
      <c r="D189" s="56" t="s">
        <v>5774</v>
      </c>
      <c r="E189" s="59">
        <v>46126</v>
      </c>
      <c r="F189" s="60" t="s">
        <v>55</v>
      </c>
      <c r="G189" s="60" t="s">
        <v>58</v>
      </c>
      <c r="H189" s="60" t="s">
        <v>56</v>
      </c>
      <c r="I189" s="60" t="s">
        <v>70</v>
      </c>
      <c r="J189" s="60" t="s">
        <v>58</v>
      </c>
      <c r="K189" s="61"/>
      <c r="L189" s="62" t="s">
        <v>56</v>
      </c>
      <c r="M189" s="63" t="str">
        <f t="shared" si="10"/>
        <v>✓ OK</v>
      </c>
      <c r="N189" s="64"/>
      <c r="O189" s="64"/>
      <c r="P189" s="64"/>
      <c r="Q189" s="64"/>
      <c r="R189" s="64"/>
      <c r="S189" s="64"/>
      <c r="T189" s="61"/>
      <c r="U189" s="65"/>
      <c r="V189" s="66" t="str">
        <f t="shared" si="11"/>
        <v/>
      </c>
      <c r="W189" s="67"/>
      <c r="X189" s="67"/>
      <c r="Y189" s="67"/>
      <c r="Z189" s="67"/>
      <c r="AA189" s="67"/>
      <c r="AB189" s="67"/>
      <c r="AC189" s="61"/>
      <c r="AD189" s="68"/>
      <c r="AE189" s="69" t="str">
        <f t="shared" si="12"/>
        <v/>
      </c>
      <c r="AF189" s="70"/>
      <c r="AG189" s="70"/>
      <c r="AH189" s="70"/>
      <c r="AI189" s="70"/>
      <c r="AJ189" s="70"/>
      <c r="AK189" s="70"/>
      <c r="AL189" s="61"/>
      <c r="AM189" s="71"/>
      <c r="AN189" s="72" t="str">
        <f t="shared" si="13"/>
        <v/>
      </c>
      <c r="AO189" s="73"/>
      <c r="AP189" s="73"/>
      <c r="AQ189" s="73"/>
      <c r="AR189" s="73"/>
      <c r="AS189" s="73"/>
      <c r="AT189" s="73"/>
      <c r="AU189" s="61"/>
      <c r="AV189" s="74"/>
      <c r="AW189" s="75" t="str">
        <f t="shared" si="14"/>
        <v/>
      </c>
    </row>
    <row r="190" spans="1:49" ht="14.25" customHeight="1" x14ac:dyDescent="0.3">
      <c r="A190" s="76">
        <v>186</v>
      </c>
      <c r="B190" s="77" t="s">
        <v>5957</v>
      </c>
      <c r="C190" s="78" t="s">
        <v>5958</v>
      </c>
      <c r="D190" s="76" t="s">
        <v>5774</v>
      </c>
      <c r="E190" s="59">
        <v>46126</v>
      </c>
      <c r="F190" s="60" t="s">
        <v>55</v>
      </c>
      <c r="G190" s="60" t="s">
        <v>58</v>
      </c>
      <c r="H190" s="60" t="s">
        <v>56</v>
      </c>
      <c r="I190" s="60" t="s">
        <v>70</v>
      </c>
      <c r="J190" s="60" t="s">
        <v>58</v>
      </c>
      <c r="K190" s="61"/>
      <c r="L190" s="62" t="s">
        <v>56</v>
      </c>
      <c r="M190" s="63" t="str">
        <f t="shared" si="10"/>
        <v>✓ OK</v>
      </c>
      <c r="N190" s="64"/>
      <c r="O190" s="64"/>
      <c r="P190" s="64"/>
      <c r="Q190" s="64"/>
      <c r="R190" s="64"/>
      <c r="S190" s="64"/>
      <c r="T190" s="61"/>
      <c r="U190" s="65"/>
      <c r="V190" s="66" t="str">
        <f t="shared" si="11"/>
        <v/>
      </c>
      <c r="W190" s="67"/>
      <c r="X190" s="67"/>
      <c r="Y190" s="67"/>
      <c r="Z190" s="67"/>
      <c r="AA190" s="67"/>
      <c r="AB190" s="67"/>
      <c r="AC190" s="61"/>
      <c r="AD190" s="68"/>
      <c r="AE190" s="69" t="str">
        <f t="shared" si="12"/>
        <v/>
      </c>
      <c r="AF190" s="70"/>
      <c r="AG190" s="70"/>
      <c r="AH190" s="70"/>
      <c r="AI190" s="70"/>
      <c r="AJ190" s="70"/>
      <c r="AK190" s="70"/>
      <c r="AL190" s="61"/>
      <c r="AM190" s="71"/>
      <c r="AN190" s="72" t="str">
        <f t="shared" si="13"/>
        <v/>
      </c>
      <c r="AO190" s="73"/>
      <c r="AP190" s="73"/>
      <c r="AQ190" s="73"/>
      <c r="AR190" s="73"/>
      <c r="AS190" s="73"/>
      <c r="AT190" s="73"/>
      <c r="AU190" s="61"/>
      <c r="AV190" s="74"/>
      <c r="AW190" s="75" t="str">
        <f t="shared" si="14"/>
        <v/>
      </c>
    </row>
    <row r="191" spans="1:49" ht="14.25" customHeight="1" x14ac:dyDescent="0.3">
      <c r="A191" s="56">
        <v>187</v>
      </c>
      <c r="B191" s="57" t="s">
        <v>5959</v>
      </c>
      <c r="C191" s="58" t="s">
        <v>5960</v>
      </c>
      <c r="D191" s="56" t="s">
        <v>5774</v>
      </c>
      <c r="E191" s="59">
        <v>46126</v>
      </c>
      <c r="F191" s="60" t="s">
        <v>55</v>
      </c>
      <c r="G191" s="60" t="s">
        <v>58</v>
      </c>
      <c r="H191" s="60" t="s">
        <v>56</v>
      </c>
      <c r="I191" s="60" t="s">
        <v>70</v>
      </c>
      <c r="J191" s="60" t="s">
        <v>58</v>
      </c>
      <c r="K191" s="61"/>
      <c r="L191" s="62" t="s">
        <v>56</v>
      </c>
      <c r="M191" s="63" t="str">
        <f t="shared" si="10"/>
        <v>✓ OK</v>
      </c>
      <c r="N191" s="64"/>
      <c r="O191" s="64"/>
      <c r="P191" s="64"/>
      <c r="Q191" s="64"/>
      <c r="R191" s="64"/>
      <c r="S191" s="64"/>
      <c r="T191" s="61"/>
      <c r="U191" s="65"/>
      <c r="V191" s="66" t="str">
        <f t="shared" si="11"/>
        <v/>
      </c>
      <c r="W191" s="67"/>
      <c r="X191" s="67"/>
      <c r="Y191" s="67"/>
      <c r="Z191" s="67"/>
      <c r="AA191" s="67"/>
      <c r="AB191" s="67"/>
      <c r="AC191" s="61"/>
      <c r="AD191" s="68"/>
      <c r="AE191" s="69" t="str">
        <f t="shared" si="12"/>
        <v/>
      </c>
      <c r="AF191" s="70"/>
      <c r="AG191" s="70"/>
      <c r="AH191" s="70"/>
      <c r="AI191" s="70"/>
      <c r="AJ191" s="70"/>
      <c r="AK191" s="70"/>
      <c r="AL191" s="61"/>
      <c r="AM191" s="71"/>
      <c r="AN191" s="72" t="str">
        <f t="shared" si="13"/>
        <v/>
      </c>
      <c r="AO191" s="73"/>
      <c r="AP191" s="73"/>
      <c r="AQ191" s="73"/>
      <c r="AR191" s="73"/>
      <c r="AS191" s="73"/>
      <c r="AT191" s="73"/>
      <c r="AU191" s="61"/>
      <c r="AV191" s="74"/>
      <c r="AW191" s="75" t="str">
        <f t="shared" si="14"/>
        <v/>
      </c>
    </row>
    <row r="192" spans="1:49" ht="14.25" customHeight="1" x14ac:dyDescent="0.3">
      <c r="A192" s="76">
        <v>188</v>
      </c>
      <c r="B192" s="77" t="s">
        <v>5961</v>
      </c>
      <c r="C192" s="78" t="s">
        <v>5962</v>
      </c>
      <c r="D192" s="76" t="s">
        <v>5774</v>
      </c>
      <c r="E192" s="59">
        <v>46126</v>
      </c>
      <c r="F192" s="60" t="s">
        <v>55</v>
      </c>
      <c r="G192" s="60" t="s">
        <v>58</v>
      </c>
      <c r="H192" s="60" t="s">
        <v>56</v>
      </c>
      <c r="I192" s="60" t="s">
        <v>70</v>
      </c>
      <c r="J192" s="60" t="s">
        <v>58</v>
      </c>
      <c r="K192" s="61"/>
      <c r="L192" s="62" t="s">
        <v>56</v>
      </c>
      <c r="M192" s="63" t="str">
        <f t="shared" si="10"/>
        <v>✓ OK</v>
      </c>
      <c r="N192" s="64"/>
      <c r="O192" s="64"/>
      <c r="P192" s="64"/>
      <c r="Q192" s="64"/>
      <c r="R192" s="64"/>
      <c r="S192" s="64"/>
      <c r="T192" s="61"/>
      <c r="U192" s="65"/>
      <c r="V192" s="66" t="str">
        <f t="shared" si="11"/>
        <v/>
      </c>
      <c r="W192" s="67"/>
      <c r="X192" s="67"/>
      <c r="Y192" s="67"/>
      <c r="Z192" s="67"/>
      <c r="AA192" s="67"/>
      <c r="AB192" s="67"/>
      <c r="AC192" s="61"/>
      <c r="AD192" s="68"/>
      <c r="AE192" s="69" t="str">
        <f t="shared" si="12"/>
        <v/>
      </c>
      <c r="AF192" s="70"/>
      <c r="AG192" s="70"/>
      <c r="AH192" s="70"/>
      <c r="AI192" s="70"/>
      <c r="AJ192" s="70"/>
      <c r="AK192" s="70"/>
      <c r="AL192" s="61"/>
      <c r="AM192" s="71"/>
      <c r="AN192" s="72" t="str">
        <f t="shared" si="13"/>
        <v/>
      </c>
      <c r="AO192" s="73"/>
      <c r="AP192" s="73"/>
      <c r="AQ192" s="73"/>
      <c r="AR192" s="73"/>
      <c r="AS192" s="73"/>
      <c r="AT192" s="73"/>
      <c r="AU192" s="61"/>
      <c r="AV192" s="74"/>
      <c r="AW192" s="75" t="str">
        <f t="shared" si="14"/>
        <v/>
      </c>
    </row>
    <row r="193" spans="1:49" ht="14.25" customHeight="1" x14ac:dyDescent="0.3">
      <c r="A193" s="56">
        <v>189</v>
      </c>
      <c r="B193" s="57" t="s">
        <v>5963</v>
      </c>
      <c r="C193" s="58" t="s">
        <v>5964</v>
      </c>
      <c r="D193" s="56" t="s">
        <v>5774</v>
      </c>
      <c r="E193" s="59">
        <v>46126</v>
      </c>
      <c r="F193" s="60" t="s">
        <v>55</v>
      </c>
      <c r="G193" s="60" t="s">
        <v>58</v>
      </c>
      <c r="H193" s="60" t="s">
        <v>56</v>
      </c>
      <c r="I193" s="60" t="s">
        <v>70</v>
      </c>
      <c r="J193" s="60" t="s">
        <v>58</v>
      </c>
      <c r="K193" s="61"/>
      <c r="L193" s="62" t="s">
        <v>56</v>
      </c>
      <c r="M193" s="63" t="str">
        <f t="shared" si="10"/>
        <v>✓ OK</v>
      </c>
      <c r="N193" s="64"/>
      <c r="O193" s="64"/>
      <c r="P193" s="64"/>
      <c r="Q193" s="64"/>
      <c r="R193" s="64"/>
      <c r="S193" s="64"/>
      <c r="T193" s="61"/>
      <c r="U193" s="65"/>
      <c r="V193" s="66" t="str">
        <f t="shared" si="11"/>
        <v/>
      </c>
      <c r="W193" s="67"/>
      <c r="X193" s="67"/>
      <c r="Y193" s="67"/>
      <c r="Z193" s="67"/>
      <c r="AA193" s="67"/>
      <c r="AB193" s="67"/>
      <c r="AC193" s="61"/>
      <c r="AD193" s="68"/>
      <c r="AE193" s="69" t="str">
        <f t="shared" si="12"/>
        <v/>
      </c>
      <c r="AF193" s="70"/>
      <c r="AG193" s="70"/>
      <c r="AH193" s="70"/>
      <c r="AI193" s="70"/>
      <c r="AJ193" s="70"/>
      <c r="AK193" s="70"/>
      <c r="AL193" s="61"/>
      <c r="AM193" s="71"/>
      <c r="AN193" s="72" t="str">
        <f t="shared" si="13"/>
        <v/>
      </c>
      <c r="AO193" s="73"/>
      <c r="AP193" s="73"/>
      <c r="AQ193" s="73"/>
      <c r="AR193" s="73"/>
      <c r="AS193" s="73"/>
      <c r="AT193" s="73"/>
      <c r="AU193" s="61"/>
      <c r="AV193" s="74"/>
      <c r="AW193" s="75" t="str">
        <f t="shared" si="14"/>
        <v/>
      </c>
    </row>
    <row r="194" spans="1:49" ht="14.25" customHeight="1" x14ac:dyDescent="0.3">
      <c r="A194" s="76">
        <v>190</v>
      </c>
      <c r="B194" s="77" t="s">
        <v>5965</v>
      </c>
      <c r="C194" s="78" t="s">
        <v>5966</v>
      </c>
      <c r="D194" s="76" t="s">
        <v>5774</v>
      </c>
      <c r="E194" s="59">
        <v>46126</v>
      </c>
      <c r="F194" s="60" t="s">
        <v>55</v>
      </c>
      <c r="G194" s="60" t="s">
        <v>58</v>
      </c>
      <c r="H194" s="60" t="s">
        <v>56</v>
      </c>
      <c r="I194" s="60" t="s">
        <v>70</v>
      </c>
      <c r="J194" s="60" t="s">
        <v>58</v>
      </c>
      <c r="K194" s="61"/>
      <c r="L194" s="62" t="s">
        <v>56</v>
      </c>
      <c r="M194" s="63" t="str">
        <f t="shared" si="10"/>
        <v>✓ OK</v>
      </c>
      <c r="N194" s="64"/>
      <c r="O194" s="64"/>
      <c r="P194" s="64"/>
      <c r="Q194" s="64"/>
      <c r="R194" s="64"/>
      <c r="S194" s="64"/>
      <c r="T194" s="61"/>
      <c r="U194" s="65"/>
      <c r="V194" s="66" t="str">
        <f t="shared" si="11"/>
        <v/>
      </c>
      <c r="W194" s="67"/>
      <c r="X194" s="67"/>
      <c r="Y194" s="67"/>
      <c r="Z194" s="67"/>
      <c r="AA194" s="67"/>
      <c r="AB194" s="67"/>
      <c r="AC194" s="61"/>
      <c r="AD194" s="68"/>
      <c r="AE194" s="69" t="str">
        <f t="shared" si="12"/>
        <v/>
      </c>
      <c r="AF194" s="70"/>
      <c r="AG194" s="70"/>
      <c r="AH194" s="70"/>
      <c r="AI194" s="70"/>
      <c r="AJ194" s="70"/>
      <c r="AK194" s="70"/>
      <c r="AL194" s="61"/>
      <c r="AM194" s="71"/>
      <c r="AN194" s="72" t="str">
        <f t="shared" si="13"/>
        <v/>
      </c>
      <c r="AO194" s="73"/>
      <c r="AP194" s="73"/>
      <c r="AQ194" s="73"/>
      <c r="AR194" s="73"/>
      <c r="AS194" s="73"/>
      <c r="AT194" s="73"/>
      <c r="AU194" s="61"/>
      <c r="AV194" s="74"/>
      <c r="AW194" s="75" t="str">
        <f t="shared" si="14"/>
        <v/>
      </c>
    </row>
    <row r="195" spans="1:49" ht="14.25" customHeight="1" x14ac:dyDescent="0.3">
      <c r="A195" s="56">
        <v>191</v>
      </c>
      <c r="B195" s="57" t="s">
        <v>5967</v>
      </c>
      <c r="C195" s="58" t="s">
        <v>5968</v>
      </c>
      <c r="D195" s="56" t="s">
        <v>5774</v>
      </c>
      <c r="E195" s="59">
        <v>46126</v>
      </c>
      <c r="F195" s="60" t="s">
        <v>55</v>
      </c>
      <c r="G195" s="60" t="s">
        <v>58</v>
      </c>
      <c r="H195" s="60" t="s">
        <v>56</v>
      </c>
      <c r="I195" s="60" t="s">
        <v>70</v>
      </c>
      <c r="J195" s="60" t="s">
        <v>58</v>
      </c>
      <c r="K195" s="61"/>
      <c r="L195" s="62" t="s">
        <v>56</v>
      </c>
      <c r="M195" s="63" t="str">
        <f t="shared" si="10"/>
        <v>✓ OK</v>
      </c>
      <c r="N195" s="64"/>
      <c r="O195" s="64"/>
      <c r="P195" s="64"/>
      <c r="Q195" s="64"/>
      <c r="R195" s="64"/>
      <c r="S195" s="64"/>
      <c r="T195" s="61"/>
      <c r="U195" s="65"/>
      <c r="V195" s="66" t="str">
        <f t="shared" si="11"/>
        <v/>
      </c>
      <c r="W195" s="67"/>
      <c r="X195" s="67"/>
      <c r="Y195" s="67"/>
      <c r="Z195" s="67"/>
      <c r="AA195" s="67"/>
      <c r="AB195" s="67"/>
      <c r="AC195" s="61"/>
      <c r="AD195" s="68"/>
      <c r="AE195" s="69" t="str">
        <f t="shared" si="12"/>
        <v/>
      </c>
      <c r="AF195" s="70"/>
      <c r="AG195" s="70"/>
      <c r="AH195" s="70"/>
      <c r="AI195" s="70"/>
      <c r="AJ195" s="70"/>
      <c r="AK195" s="70"/>
      <c r="AL195" s="61"/>
      <c r="AM195" s="71"/>
      <c r="AN195" s="72" t="str">
        <f t="shared" si="13"/>
        <v/>
      </c>
      <c r="AO195" s="73"/>
      <c r="AP195" s="73"/>
      <c r="AQ195" s="73"/>
      <c r="AR195" s="73"/>
      <c r="AS195" s="73"/>
      <c r="AT195" s="73"/>
      <c r="AU195" s="61"/>
      <c r="AV195" s="74"/>
      <c r="AW195" s="75" t="str">
        <f t="shared" si="14"/>
        <v/>
      </c>
    </row>
    <row r="196" spans="1:49" ht="14.25" customHeight="1" x14ac:dyDescent="0.3">
      <c r="A196" s="76">
        <v>192</v>
      </c>
      <c r="B196" s="77" t="s">
        <v>5969</v>
      </c>
      <c r="C196" s="78" t="s">
        <v>5970</v>
      </c>
      <c r="D196" s="76" t="s">
        <v>5774</v>
      </c>
      <c r="E196" s="59">
        <v>46126</v>
      </c>
      <c r="F196" s="60" t="s">
        <v>55</v>
      </c>
      <c r="G196" s="60" t="s">
        <v>58</v>
      </c>
      <c r="H196" s="60" t="s">
        <v>56</v>
      </c>
      <c r="I196" s="60" t="s">
        <v>70</v>
      </c>
      <c r="J196" s="60" t="s">
        <v>58</v>
      </c>
      <c r="K196" s="61"/>
      <c r="L196" s="62" t="s">
        <v>56</v>
      </c>
      <c r="M196" s="63" t="str">
        <f t="shared" si="10"/>
        <v>✓ OK</v>
      </c>
      <c r="N196" s="64"/>
      <c r="O196" s="64"/>
      <c r="P196" s="64"/>
      <c r="Q196" s="64"/>
      <c r="R196" s="64"/>
      <c r="S196" s="64"/>
      <c r="T196" s="61"/>
      <c r="U196" s="65"/>
      <c r="V196" s="66" t="str">
        <f t="shared" si="11"/>
        <v/>
      </c>
      <c r="W196" s="67"/>
      <c r="X196" s="67"/>
      <c r="Y196" s="67"/>
      <c r="Z196" s="67"/>
      <c r="AA196" s="67"/>
      <c r="AB196" s="67"/>
      <c r="AC196" s="61"/>
      <c r="AD196" s="68"/>
      <c r="AE196" s="69" t="str">
        <f t="shared" si="12"/>
        <v/>
      </c>
      <c r="AF196" s="70"/>
      <c r="AG196" s="70"/>
      <c r="AH196" s="70"/>
      <c r="AI196" s="70"/>
      <c r="AJ196" s="70"/>
      <c r="AK196" s="70"/>
      <c r="AL196" s="61"/>
      <c r="AM196" s="71"/>
      <c r="AN196" s="72" t="str">
        <f t="shared" si="13"/>
        <v/>
      </c>
      <c r="AO196" s="73"/>
      <c r="AP196" s="73"/>
      <c r="AQ196" s="73"/>
      <c r="AR196" s="73"/>
      <c r="AS196" s="73"/>
      <c r="AT196" s="73"/>
      <c r="AU196" s="61"/>
      <c r="AV196" s="74"/>
      <c r="AW196" s="75" t="str">
        <f t="shared" si="14"/>
        <v/>
      </c>
    </row>
    <row r="197" spans="1:49" ht="14.25" customHeight="1" x14ac:dyDescent="0.3">
      <c r="A197" s="56">
        <v>193</v>
      </c>
      <c r="B197" s="57" t="s">
        <v>5971</v>
      </c>
      <c r="C197" s="58" t="s">
        <v>5972</v>
      </c>
      <c r="D197" s="56" t="s">
        <v>5774</v>
      </c>
      <c r="E197" s="59">
        <v>46126</v>
      </c>
      <c r="F197" s="60" t="s">
        <v>55</v>
      </c>
      <c r="G197" s="60" t="s">
        <v>58</v>
      </c>
      <c r="H197" s="60" t="s">
        <v>56</v>
      </c>
      <c r="I197" s="60" t="s">
        <v>70</v>
      </c>
      <c r="J197" s="60" t="s">
        <v>58</v>
      </c>
      <c r="K197" s="61"/>
      <c r="L197" s="62" t="s">
        <v>56</v>
      </c>
      <c r="M197" s="63" t="str">
        <f t="shared" ref="M197:M260" si="15">IF(E197="","",IF(H197="Yes","❌ Disc",IF(G197="No","⚠ Missing",IF(J197="Yes","✓ OK","⚠ Check"))))</f>
        <v>✓ OK</v>
      </c>
      <c r="N197" s="64"/>
      <c r="O197" s="64"/>
      <c r="P197" s="64"/>
      <c r="Q197" s="64"/>
      <c r="R197" s="64"/>
      <c r="S197" s="64"/>
      <c r="T197" s="61"/>
      <c r="U197" s="65"/>
      <c r="V197" s="66" t="str">
        <f t="shared" ref="V197:V260" si="16">IF(N197="","",IF(Q197="Yes","❌ Disc",IF(P197="No","⚠ Missing",IF(S197="Yes","✓ OK","⚠ Check"))))</f>
        <v/>
      </c>
      <c r="W197" s="67"/>
      <c r="X197" s="67"/>
      <c r="Y197" s="67"/>
      <c r="Z197" s="67"/>
      <c r="AA197" s="67"/>
      <c r="AB197" s="67"/>
      <c r="AC197" s="61"/>
      <c r="AD197" s="68"/>
      <c r="AE197" s="69" t="str">
        <f t="shared" ref="AE197:AE260" si="17">IF(W197="","",IF(Z197="Yes","❌ Disc",IF(Y197="No","⚠ Missing",IF(AB197="Yes","✓ OK","⚠ Check"))))</f>
        <v/>
      </c>
      <c r="AF197" s="70"/>
      <c r="AG197" s="70"/>
      <c r="AH197" s="70"/>
      <c r="AI197" s="70"/>
      <c r="AJ197" s="70"/>
      <c r="AK197" s="70"/>
      <c r="AL197" s="61"/>
      <c r="AM197" s="71"/>
      <c r="AN197" s="72" t="str">
        <f t="shared" ref="AN197:AN260" si="18">IF(AF197="","",IF(AI197="Yes","❌ Disc",IF(AH197="No","⚠ Missing",IF(AK197="Yes","✓ OK","⚠ Check"))))</f>
        <v/>
      </c>
      <c r="AO197" s="73"/>
      <c r="AP197" s="73"/>
      <c r="AQ197" s="73"/>
      <c r="AR197" s="73"/>
      <c r="AS197" s="73"/>
      <c r="AT197" s="73"/>
      <c r="AU197" s="61"/>
      <c r="AV197" s="74"/>
      <c r="AW197" s="75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76">
        <v>194</v>
      </c>
      <c r="B198" s="77" t="s">
        <v>5973</v>
      </c>
      <c r="C198" s="78" t="s">
        <v>5974</v>
      </c>
      <c r="D198" s="76" t="s">
        <v>5774</v>
      </c>
      <c r="E198" s="59">
        <v>46126</v>
      </c>
      <c r="F198" s="60" t="s">
        <v>55</v>
      </c>
      <c r="G198" s="60" t="s">
        <v>58</v>
      </c>
      <c r="H198" s="60" t="s">
        <v>56</v>
      </c>
      <c r="I198" s="60" t="s">
        <v>70</v>
      </c>
      <c r="J198" s="60" t="s">
        <v>58</v>
      </c>
      <c r="K198" s="61"/>
      <c r="L198" s="62" t="s">
        <v>56</v>
      </c>
      <c r="M198" s="63" t="str">
        <f t="shared" si="15"/>
        <v>✓ OK</v>
      </c>
      <c r="N198" s="64"/>
      <c r="O198" s="64"/>
      <c r="P198" s="64"/>
      <c r="Q198" s="64"/>
      <c r="R198" s="64"/>
      <c r="S198" s="64"/>
      <c r="T198" s="61"/>
      <c r="U198" s="65"/>
      <c r="V198" s="66" t="str">
        <f t="shared" si="16"/>
        <v/>
      </c>
      <c r="W198" s="67"/>
      <c r="X198" s="67"/>
      <c r="Y198" s="67"/>
      <c r="Z198" s="67"/>
      <c r="AA198" s="67"/>
      <c r="AB198" s="67"/>
      <c r="AC198" s="61"/>
      <c r="AD198" s="68"/>
      <c r="AE198" s="69" t="str">
        <f t="shared" si="17"/>
        <v/>
      </c>
      <c r="AF198" s="70"/>
      <c r="AG198" s="70"/>
      <c r="AH198" s="70"/>
      <c r="AI198" s="70"/>
      <c r="AJ198" s="70"/>
      <c r="AK198" s="70"/>
      <c r="AL198" s="61"/>
      <c r="AM198" s="71"/>
      <c r="AN198" s="72" t="str">
        <f t="shared" si="18"/>
        <v/>
      </c>
      <c r="AO198" s="73"/>
      <c r="AP198" s="73"/>
      <c r="AQ198" s="73"/>
      <c r="AR198" s="73"/>
      <c r="AS198" s="73"/>
      <c r="AT198" s="73"/>
      <c r="AU198" s="61"/>
      <c r="AV198" s="74"/>
      <c r="AW198" s="75" t="str">
        <f t="shared" si="19"/>
        <v/>
      </c>
    </row>
    <row r="199" spans="1:49" ht="14.25" customHeight="1" x14ac:dyDescent="0.3">
      <c r="A199" s="56">
        <v>195</v>
      </c>
      <c r="B199" s="57" t="s">
        <v>5975</v>
      </c>
      <c r="C199" s="58" t="s">
        <v>5976</v>
      </c>
      <c r="D199" s="56" t="s">
        <v>5774</v>
      </c>
      <c r="E199" s="59">
        <v>46126</v>
      </c>
      <c r="F199" s="60" t="s">
        <v>55</v>
      </c>
      <c r="G199" s="60" t="s">
        <v>58</v>
      </c>
      <c r="H199" s="60" t="s">
        <v>56</v>
      </c>
      <c r="I199" s="60" t="s">
        <v>70</v>
      </c>
      <c r="J199" s="60" t="s">
        <v>58</v>
      </c>
      <c r="K199" s="61"/>
      <c r="L199" s="62" t="s">
        <v>56</v>
      </c>
      <c r="M199" s="63" t="str">
        <f t="shared" si="15"/>
        <v>✓ OK</v>
      </c>
      <c r="N199" s="64"/>
      <c r="O199" s="64"/>
      <c r="P199" s="64"/>
      <c r="Q199" s="64"/>
      <c r="R199" s="64"/>
      <c r="S199" s="64"/>
      <c r="T199" s="61"/>
      <c r="U199" s="65"/>
      <c r="V199" s="66" t="str">
        <f t="shared" si="16"/>
        <v/>
      </c>
      <c r="W199" s="67"/>
      <c r="X199" s="67"/>
      <c r="Y199" s="67"/>
      <c r="Z199" s="67"/>
      <c r="AA199" s="67"/>
      <c r="AB199" s="67"/>
      <c r="AC199" s="61"/>
      <c r="AD199" s="68"/>
      <c r="AE199" s="69" t="str">
        <f t="shared" si="17"/>
        <v/>
      </c>
      <c r="AF199" s="70"/>
      <c r="AG199" s="70"/>
      <c r="AH199" s="70"/>
      <c r="AI199" s="70"/>
      <c r="AJ199" s="70"/>
      <c r="AK199" s="70"/>
      <c r="AL199" s="61"/>
      <c r="AM199" s="71"/>
      <c r="AN199" s="72" t="str">
        <f t="shared" si="18"/>
        <v/>
      </c>
      <c r="AO199" s="73"/>
      <c r="AP199" s="73"/>
      <c r="AQ199" s="73"/>
      <c r="AR199" s="73"/>
      <c r="AS199" s="73"/>
      <c r="AT199" s="73"/>
      <c r="AU199" s="61"/>
      <c r="AV199" s="74"/>
      <c r="AW199" s="75" t="str">
        <f t="shared" si="19"/>
        <v/>
      </c>
    </row>
    <row r="200" spans="1:49" ht="14.25" customHeight="1" x14ac:dyDescent="0.3">
      <c r="A200" s="76">
        <v>196</v>
      </c>
      <c r="B200" s="77" t="s">
        <v>5977</v>
      </c>
      <c r="C200" s="78" t="s">
        <v>5978</v>
      </c>
      <c r="D200" s="76" t="s">
        <v>5774</v>
      </c>
      <c r="E200" s="59">
        <v>46126</v>
      </c>
      <c r="F200" s="60" t="s">
        <v>55</v>
      </c>
      <c r="G200" s="60" t="s">
        <v>58</v>
      </c>
      <c r="H200" s="60" t="s">
        <v>56</v>
      </c>
      <c r="I200" s="60" t="s">
        <v>70</v>
      </c>
      <c r="J200" s="60" t="s">
        <v>58</v>
      </c>
      <c r="K200" s="61"/>
      <c r="L200" s="62" t="s">
        <v>56</v>
      </c>
      <c r="M200" s="63" t="str">
        <f t="shared" si="15"/>
        <v>✓ OK</v>
      </c>
      <c r="N200" s="64"/>
      <c r="O200" s="64"/>
      <c r="P200" s="64"/>
      <c r="Q200" s="64"/>
      <c r="R200" s="64"/>
      <c r="S200" s="64"/>
      <c r="T200" s="61"/>
      <c r="U200" s="65"/>
      <c r="V200" s="66" t="str">
        <f t="shared" si="16"/>
        <v/>
      </c>
      <c r="W200" s="67"/>
      <c r="X200" s="67"/>
      <c r="Y200" s="67"/>
      <c r="Z200" s="67"/>
      <c r="AA200" s="67"/>
      <c r="AB200" s="67"/>
      <c r="AC200" s="61"/>
      <c r="AD200" s="68"/>
      <c r="AE200" s="69" t="str">
        <f t="shared" si="17"/>
        <v/>
      </c>
      <c r="AF200" s="70"/>
      <c r="AG200" s="70"/>
      <c r="AH200" s="70"/>
      <c r="AI200" s="70"/>
      <c r="AJ200" s="70"/>
      <c r="AK200" s="70"/>
      <c r="AL200" s="61"/>
      <c r="AM200" s="71"/>
      <c r="AN200" s="72" t="str">
        <f t="shared" si="18"/>
        <v/>
      </c>
      <c r="AO200" s="73"/>
      <c r="AP200" s="73"/>
      <c r="AQ200" s="73"/>
      <c r="AR200" s="73"/>
      <c r="AS200" s="73"/>
      <c r="AT200" s="73"/>
      <c r="AU200" s="61"/>
      <c r="AV200" s="74"/>
      <c r="AW200" s="75" t="str">
        <f t="shared" si="19"/>
        <v/>
      </c>
    </row>
    <row r="201" spans="1:49" ht="14.25" customHeight="1" x14ac:dyDescent="0.3">
      <c r="A201" s="56">
        <v>197</v>
      </c>
      <c r="B201" s="57" t="s">
        <v>5979</v>
      </c>
      <c r="C201" s="58" t="s">
        <v>5980</v>
      </c>
      <c r="D201" s="56" t="s">
        <v>5774</v>
      </c>
      <c r="E201" s="59">
        <v>46126</v>
      </c>
      <c r="F201" s="60" t="s">
        <v>55</v>
      </c>
      <c r="G201" s="60" t="s">
        <v>58</v>
      </c>
      <c r="H201" s="60" t="s">
        <v>56</v>
      </c>
      <c r="I201" s="60" t="s">
        <v>70</v>
      </c>
      <c r="J201" s="60" t="s">
        <v>58</v>
      </c>
      <c r="K201" s="61"/>
      <c r="L201" s="62" t="s">
        <v>56</v>
      </c>
      <c r="M201" s="63" t="str">
        <f t="shared" si="15"/>
        <v>✓ OK</v>
      </c>
      <c r="N201" s="64"/>
      <c r="O201" s="64"/>
      <c r="P201" s="64"/>
      <c r="Q201" s="64"/>
      <c r="R201" s="64"/>
      <c r="S201" s="64"/>
      <c r="T201" s="61"/>
      <c r="U201" s="65"/>
      <c r="V201" s="66" t="str">
        <f t="shared" si="16"/>
        <v/>
      </c>
      <c r="W201" s="67"/>
      <c r="X201" s="67"/>
      <c r="Y201" s="67"/>
      <c r="Z201" s="67"/>
      <c r="AA201" s="67"/>
      <c r="AB201" s="67"/>
      <c r="AC201" s="61"/>
      <c r="AD201" s="68"/>
      <c r="AE201" s="69" t="str">
        <f t="shared" si="17"/>
        <v/>
      </c>
      <c r="AF201" s="70"/>
      <c r="AG201" s="70"/>
      <c r="AH201" s="70"/>
      <c r="AI201" s="70"/>
      <c r="AJ201" s="70"/>
      <c r="AK201" s="70"/>
      <c r="AL201" s="61"/>
      <c r="AM201" s="71"/>
      <c r="AN201" s="72" t="str">
        <f t="shared" si="18"/>
        <v/>
      </c>
      <c r="AO201" s="73"/>
      <c r="AP201" s="73"/>
      <c r="AQ201" s="73"/>
      <c r="AR201" s="73"/>
      <c r="AS201" s="73"/>
      <c r="AT201" s="73"/>
      <c r="AU201" s="61"/>
      <c r="AV201" s="74"/>
      <c r="AW201" s="75" t="str">
        <f t="shared" si="19"/>
        <v/>
      </c>
    </row>
    <row r="202" spans="1:49" ht="14.25" customHeight="1" x14ac:dyDescent="0.3">
      <c r="A202" s="76">
        <v>198</v>
      </c>
      <c r="B202" s="77" t="s">
        <v>5981</v>
      </c>
      <c r="C202" s="78" t="s">
        <v>5982</v>
      </c>
      <c r="D202" s="76" t="s">
        <v>5774</v>
      </c>
      <c r="E202" s="59">
        <v>46126</v>
      </c>
      <c r="F202" s="60" t="s">
        <v>55</v>
      </c>
      <c r="G202" s="60" t="s">
        <v>58</v>
      </c>
      <c r="H202" s="60" t="s">
        <v>56</v>
      </c>
      <c r="I202" s="60" t="s">
        <v>70</v>
      </c>
      <c r="J202" s="60" t="s">
        <v>58</v>
      </c>
      <c r="K202" s="61"/>
      <c r="L202" s="62" t="s">
        <v>56</v>
      </c>
      <c r="M202" s="63" t="str">
        <f t="shared" si="15"/>
        <v>✓ OK</v>
      </c>
      <c r="N202" s="64"/>
      <c r="O202" s="64"/>
      <c r="P202" s="64"/>
      <c r="Q202" s="64"/>
      <c r="R202" s="64"/>
      <c r="S202" s="64"/>
      <c r="T202" s="61"/>
      <c r="U202" s="65"/>
      <c r="V202" s="66" t="str">
        <f t="shared" si="16"/>
        <v/>
      </c>
      <c r="W202" s="67"/>
      <c r="X202" s="67"/>
      <c r="Y202" s="67"/>
      <c r="Z202" s="67"/>
      <c r="AA202" s="67"/>
      <c r="AB202" s="67"/>
      <c r="AC202" s="61"/>
      <c r="AD202" s="68"/>
      <c r="AE202" s="69" t="str">
        <f t="shared" si="17"/>
        <v/>
      </c>
      <c r="AF202" s="70"/>
      <c r="AG202" s="70"/>
      <c r="AH202" s="70"/>
      <c r="AI202" s="70"/>
      <c r="AJ202" s="70"/>
      <c r="AK202" s="70"/>
      <c r="AL202" s="61"/>
      <c r="AM202" s="71"/>
      <c r="AN202" s="72" t="str">
        <f t="shared" si="18"/>
        <v/>
      </c>
      <c r="AO202" s="73"/>
      <c r="AP202" s="73"/>
      <c r="AQ202" s="73"/>
      <c r="AR202" s="73"/>
      <c r="AS202" s="73"/>
      <c r="AT202" s="73"/>
      <c r="AU202" s="61"/>
      <c r="AV202" s="74"/>
      <c r="AW202" s="75" t="str">
        <f t="shared" si="19"/>
        <v/>
      </c>
    </row>
    <row r="203" spans="1:49" ht="14.25" customHeight="1" x14ac:dyDescent="0.3">
      <c r="A203" s="56">
        <v>199</v>
      </c>
      <c r="B203" s="57" t="s">
        <v>5983</v>
      </c>
      <c r="C203" s="58" t="s">
        <v>5984</v>
      </c>
      <c r="D203" s="56" t="s">
        <v>5774</v>
      </c>
      <c r="E203" s="59">
        <v>46126</v>
      </c>
      <c r="F203" s="60" t="s">
        <v>55</v>
      </c>
      <c r="G203" s="60" t="s">
        <v>58</v>
      </c>
      <c r="H203" s="60" t="s">
        <v>56</v>
      </c>
      <c r="I203" s="60" t="s">
        <v>70</v>
      </c>
      <c r="J203" s="60" t="s">
        <v>58</v>
      </c>
      <c r="K203" s="61"/>
      <c r="L203" s="62" t="s">
        <v>56</v>
      </c>
      <c r="M203" s="63" t="str">
        <f t="shared" si="15"/>
        <v>✓ OK</v>
      </c>
      <c r="N203" s="64"/>
      <c r="O203" s="64"/>
      <c r="P203" s="64"/>
      <c r="Q203" s="64"/>
      <c r="R203" s="64"/>
      <c r="S203" s="64"/>
      <c r="T203" s="61"/>
      <c r="U203" s="65"/>
      <c r="V203" s="66" t="str">
        <f t="shared" si="16"/>
        <v/>
      </c>
      <c r="W203" s="67"/>
      <c r="X203" s="67"/>
      <c r="Y203" s="67"/>
      <c r="Z203" s="67"/>
      <c r="AA203" s="67"/>
      <c r="AB203" s="67"/>
      <c r="AC203" s="61"/>
      <c r="AD203" s="68"/>
      <c r="AE203" s="69" t="str">
        <f t="shared" si="17"/>
        <v/>
      </c>
      <c r="AF203" s="70"/>
      <c r="AG203" s="70"/>
      <c r="AH203" s="70"/>
      <c r="AI203" s="70"/>
      <c r="AJ203" s="70"/>
      <c r="AK203" s="70"/>
      <c r="AL203" s="61"/>
      <c r="AM203" s="71"/>
      <c r="AN203" s="72" t="str">
        <f t="shared" si="18"/>
        <v/>
      </c>
      <c r="AO203" s="73"/>
      <c r="AP203" s="73"/>
      <c r="AQ203" s="73"/>
      <c r="AR203" s="73"/>
      <c r="AS203" s="73"/>
      <c r="AT203" s="73"/>
      <c r="AU203" s="61"/>
      <c r="AV203" s="74"/>
      <c r="AW203" s="75" t="str">
        <f t="shared" si="19"/>
        <v/>
      </c>
    </row>
    <row r="204" spans="1:49" ht="14.25" customHeight="1" x14ac:dyDescent="0.3">
      <c r="A204" s="76">
        <v>200</v>
      </c>
      <c r="B204" s="77" t="s">
        <v>5985</v>
      </c>
      <c r="C204" s="78" t="s">
        <v>5986</v>
      </c>
      <c r="D204" s="76" t="s">
        <v>5774</v>
      </c>
      <c r="E204" s="59">
        <v>46126</v>
      </c>
      <c r="F204" s="60" t="s">
        <v>55</v>
      </c>
      <c r="G204" s="60" t="s">
        <v>58</v>
      </c>
      <c r="H204" s="60" t="s">
        <v>56</v>
      </c>
      <c r="I204" s="60" t="s">
        <v>70</v>
      </c>
      <c r="J204" s="60" t="s">
        <v>58</v>
      </c>
      <c r="K204" s="61"/>
      <c r="L204" s="62" t="s">
        <v>56</v>
      </c>
      <c r="M204" s="63" t="str">
        <f t="shared" si="15"/>
        <v>✓ OK</v>
      </c>
      <c r="N204" s="64"/>
      <c r="O204" s="64"/>
      <c r="P204" s="64"/>
      <c r="Q204" s="64"/>
      <c r="R204" s="64"/>
      <c r="S204" s="64"/>
      <c r="T204" s="61"/>
      <c r="U204" s="65"/>
      <c r="V204" s="66" t="str">
        <f t="shared" si="16"/>
        <v/>
      </c>
      <c r="W204" s="67"/>
      <c r="X204" s="67"/>
      <c r="Y204" s="67"/>
      <c r="Z204" s="67"/>
      <c r="AA204" s="67"/>
      <c r="AB204" s="67"/>
      <c r="AC204" s="61"/>
      <c r="AD204" s="68"/>
      <c r="AE204" s="69" t="str">
        <f t="shared" si="17"/>
        <v/>
      </c>
      <c r="AF204" s="70"/>
      <c r="AG204" s="70"/>
      <c r="AH204" s="70"/>
      <c r="AI204" s="70"/>
      <c r="AJ204" s="70"/>
      <c r="AK204" s="70"/>
      <c r="AL204" s="61"/>
      <c r="AM204" s="71"/>
      <c r="AN204" s="72" t="str">
        <f t="shared" si="18"/>
        <v/>
      </c>
      <c r="AO204" s="73"/>
      <c r="AP204" s="73"/>
      <c r="AQ204" s="73"/>
      <c r="AR204" s="73"/>
      <c r="AS204" s="73"/>
      <c r="AT204" s="73"/>
      <c r="AU204" s="61"/>
      <c r="AV204" s="74"/>
      <c r="AW204" s="75" t="str">
        <f t="shared" si="19"/>
        <v/>
      </c>
    </row>
    <row r="205" spans="1:49" ht="14.25" customHeight="1" x14ac:dyDescent="0.3">
      <c r="A205" s="56">
        <v>201</v>
      </c>
      <c r="B205" s="57" t="s">
        <v>5987</v>
      </c>
      <c r="C205" s="58" t="s">
        <v>5988</v>
      </c>
      <c r="D205" s="56" t="s">
        <v>5774</v>
      </c>
      <c r="E205" s="59">
        <v>46126</v>
      </c>
      <c r="F205" s="60" t="s">
        <v>55</v>
      </c>
      <c r="G205" s="60" t="s">
        <v>58</v>
      </c>
      <c r="H205" s="60" t="s">
        <v>56</v>
      </c>
      <c r="I205" s="60" t="s">
        <v>70</v>
      </c>
      <c r="J205" s="60" t="s">
        <v>58</v>
      </c>
      <c r="K205" s="61"/>
      <c r="L205" s="62" t="s">
        <v>56</v>
      </c>
      <c r="M205" s="63" t="str">
        <f t="shared" si="15"/>
        <v>✓ OK</v>
      </c>
      <c r="N205" s="64"/>
      <c r="O205" s="64"/>
      <c r="P205" s="64"/>
      <c r="Q205" s="64"/>
      <c r="R205" s="64"/>
      <c r="S205" s="64"/>
      <c r="T205" s="61"/>
      <c r="U205" s="65"/>
      <c r="V205" s="66" t="str">
        <f t="shared" si="16"/>
        <v/>
      </c>
      <c r="W205" s="67"/>
      <c r="X205" s="67"/>
      <c r="Y205" s="67"/>
      <c r="Z205" s="67"/>
      <c r="AA205" s="67"/>
      <c r="AB205" s="67"/>
      <c r="AC205" s="61"/>
      <c r="AD205" s="68"/>
      <c r="AE205" s="69" t="str">
        <f t="shared" si="17"/>
        <v/>
      </c>
      <c r="AF205" s="70"/>
      <c r="AG205" s="70"/>
      <c r="AH205" s="70"/>
      <c r="AI205" s="70"/>
      <c r="AJ205" s="70"/>
      <c r="AK205" s="70"/>
      <c r="AL205" s="61"/>
      <c r="AM205" s="71"/>
      <c r="AN205" s="72" t="str">
        <f t="shared" si="18"/>
        <v/>
      </c>
      <c r="AO205" s="73"/>
      <c r="AP205" s="73"/>
      <c r="AQ205" s="73"/>
      <c r="AR205" s="73"/>
      <c r="AS205" s="73"/>
      <c r="AT205" s="73"/>
      <c r="AU205" s="61"/>
      <c r="AV205" s="74"/>
      <c r="AW205" s="75" t="str">
        <f t="shared" si="19"/>
        <v/>
      </c>
    </row>
    <row r="206" spans="1:49" ht="14.25" customHeight="1" x14ac:dyDescent="0.3">
      <c r="A206" s="76">
        <v>202</v>
      </c>
      <c r="B206" s="77" t="s">
        <v>5989</v>
      </c>
      <c r="C206" s="78" t="s">
        <v>5990</v>
      </c>
      <c r="D206" s="76" t="s">
        <v>5774</v>
      </c>
      <c r="E206" s="59">
        <v>46126</v>
      </c>
      <c r="F206" s="60" t="s">
        <v>55</v>
      </c>
      <c r="G206" s="60" t="s">
        <v>58</v>
      </c>
      <c r="H206" s="60" t="s">
        <v>56</v>
      </c>
      <c r="I206" s="60" t="s">
        <v>70</v>
      </c>
      <c r="J206" s="60" t="s">
        <v>58</v>
      </c>
      <c r="K206" s="61"/>
      <c r="L206" s="62" t="s">
        <v>56</v>
      </c>
      <c r="M206" s="63" t="str">
        <f t="shared" si="15"/>
        <v>✓ OK</v>
      </c>
      <c r="N206" s="64"/>
      <c r="O206" s="64"/>
      <c r="P206" s="64"/>
      <c r="Q206" s="64"/>
      <c r="R206" s="64"/>
      <c r="S206" s="64"/>
      <c r="T206" s="61"/>
      <c r="U206" s="65"/>
      <c r="V206" s="66" t="str">
        <f t="shared" si="16"/>
        <v/>
      </c>
      <c r="W206" s="67"/>
      <c r="X206" s="67"/>
      <c r="Y206" s="67"/>
      <c r="Z206" s="67"/>
      <c r="AA206" s="67"/>
      <c r="AB206" s="67"/>
      <c r="AC206" s="61"/>
      <c r="AD206" s="68"/>
      <c r="AE206" s="69" t="str">
        <f t="shared" si="17"/>
        <v/>
      </c>
      <c r="AF206" s="70"/>
      <c r="AG206" s="70"/>
      <c r="AH206" s="70"/>
      <c r="AI206" s="70"/>
      <c r="AJ206" s="70"/>
      <c r="AK206" s="70"/>
      <c r="AL206" s="61"/>
      <c r="AM206" s="71"/>
      <c r="AN206" s="72" t="str">
        <f t="shared" si="18"/>
        <v/>
      </c>
      <c r="AO206" s="73"/>
      <c r="AP206" s="73"/>
      <c r="AQ206" s="73"/>
      <c r="AR206" s="73"/>
      <c r="AS206" s="73"/>
      <c r="AT206" s="73"/>
      <c r="AU206" s="61"/>
      <c r="AV206" s="74"/>
      <c r="AW206" s="75" t="str">
        <f t="shared" si="19"/>
        <v/>
      </c>
    </row>
    <row r="207" spans="1:49" ht="14.25" customHeight="1" x14ac:dyDescent="0.3">
      <c r="A207" s="56">
        <v>203</v>
      </c>
      <c r="B207" s="57" t="s">
        <v>5991</v>
      </c>
      <c r="C207" s="58" t="s">
        <v>5992</v>
      </c>
      <c r="D207" s="56" t="s">
        <v>5774</v>
      </c>
      <c r="E207" s="59">
        <v>46126</v>
      </c>
      <c r="F207" s="60" t="s">
        <v>55</v>
      </c>
      <c r="G207" s="60" t="s">
        <v>58</v>
      </c>
      <c r="H207" s="60" t="s">
        <v>56</v>
      </c>
      <c r="I207" s="60" t="s">
        <v>70</v>
      </c>
      <c r="J207" s="60" t="s">
        <v>58</v>
      </c>
      <c r="K207" s="61"/>
      <c r="L207" s="62" t="s">
        <v>56</v>
      </c>
      <c r="M207" s="63" t="str">
        <f t="shared" si="15"/>
        <v>✓ OK</v>
      </c>
      <c r="N207" s="64"/>
      <c r="O207" s="64"/>
      <c r="P207" s="64"/>
      <c r="Q207" s="64"/>
      <c r="R207" s="64"/>
      <c r="S207" s="64"/>
      <c r="T207" s="61"/>
      <c r="U207" s="65"/>
      <c r="V207" s="66" t="str">
        <f t="shared" si="16"/>
        <v/>
      </c>
      <c r="W207" s="67"/>
      <c r="X207" s="67"/>
      <c r="Y207" s="67"/>
      <c r="Z207" s="67"/>
      <c r="AA207" s="67"/>
      <c r="AB207" s="67"/>
      <c r="AC207" s="61"/>
      <c r="AD207" s="68"/>
      <c r="AE207" s="69" t="str">
        <f t="shared" si="17"/>
        <v/>
      </c>
      <c r="AF207" s="70"/>
      <c r="AG207" s="70"/>
      <c r="AH207" s="70"/>
      <c r="AI207" s="70"/>
      <c r="AJ207" s="70"/>
      <c r="AK207" s="70"/>
      <c r="AL207" s="61"/>
      <c r="AM207" s="71"/>
      <c r="AN207" s="72" t="str">
        <f t="shared" si="18"/>
        <v/>
      </c>
      <c r="AO207" s="73"/>
      <c r="AP207" s="73"/>
      <c r="AQ207" s="73"/>
      <c r="AR207" s="73"/>
      <c r="AS207" s="73"/>
      <c r="AT207" s="73"/>
      <c r="AU207" s="61"/>
      <c r="AV207" s="74"/>
      <c r="AW207" s="75" t="str">
        <f t="shared" si="19"/>
        <v/>
      </c>
    </row>
    <row r="208" spans="1:49" ht="14.25" customHeight="1" x14ac:dyDescent="0.3">
      <c r="A208" s="76">
        <v>204</v>
      </c>
      <c r="B208" s="77" t="s">
        <v>5993</v>
      </c>
      <c r="C208" s="78" t="s">
        <v>5994</v>
      </c>
      <c r="D208" s="76" t="s">
        <v>5774</v>
      </c>
      <c r="E208" s="59">
        <v>46126</v>
      </c>
      <c r="F208" s="60" t="s">
        <v>55</v>
      </c>
      <c r="G208" s="60" t="s">
        <v>58</v>
      </c>
      <c r="H208" s="60" t="s">
        <v>56</v>
      </c>
      <c r="I208" s="60" t="s">
        <v>70</v>
      </c>
      <c r="J208" s="60" t="s">
        <v>58</v>
      </c>
      <c r="K208" s="61"/>
      <c r="L208" s="62" t="s">
        <v>56</v>
      </c>
      <c r="M208" s="63" t="str">
        <f t="shared" si="15"/>
        <v>✓ OK</v>
      </c>
      <c r="N208" s="64"/>
      <c r="O208" s="64"/>
      <c r="P208" s="64"/>
      <c r="Q208" s="64"/>
      <c r="R208" s="64"/>
      <c r="S208" s="64"/>
      <c r="T208" s="61"/>
      <c r="U208" s="65"/>
      <c r="V208" s="66" t="str">
        <f t="shared" si="16"/>
        <v/>
      </c>
      <c r="W208" s="67"/>
      <c r="X208" s="67"/>
      <c r="Y208" s="67"/>
      <c r="Z208" s="67"/>
      <c r="AA208" s="67"/>
      <c r="AB208" s="67"/>
      <c r="AC208" s="61"/>
      <c r="AD208" s="68"/>
      <c r="AE208" s="69" t="str">
        <f t="shared" si="17"/>
        <v/>
      </c>
      <c r="AF208" s="70"/>
      <c r="AG208" s="70"/>
      <c r="AH208" s="70"/>
      <c r="AI208" s="70"/>
      <c r="AJ208" s="70"/>
      <c r="AK208" s="70"/>
      <c r="AL208" s="61"/>
      <c r="AM208" s="71"/>
      <c r="AN208" s="72" t="str">
        <f t="shared" si="18"/>
        <v/>
      </c>
      <c r="AO208" s="73"/>
      <c r="AP208" s="73"/>
      <c r="AQ208" s="73"/>
      <c r="AR208" s="73"/>
      <c r="AS208" s="73"/>
      <c r="AT208" s="73"/>
      <c r="AU208" s="61"/>
      <c r="AV208" s="74"/>
      <c r="AW208" s="75" t="str">
        <f t="shared" si="19"/>
        <v/>
      </c>
    </row>
    <row r="209" spans="1:49" ht="14.25" customHeight="1" x14ac:dyDescent="0.3">
      <c r="A209" s="56">
        <v>205</v>
      </c>
      <c r="B209" s="57" t="s">
        <v>5995</v>
      </c>
      <c r="C209" s="58" t="s">
        <v>5996</v>
      </c>
      <c r="D209" s="56" t="s">
        <v>5774</v>
      </c>
      <c r="E209" s="59">
        <v>46126</v>
      </c>
      <c r="F209" s="60" t="s">
        <v>55</v>
      </c>
      <c r="G209" s="60" t="s">
        <v>58</v>
      </c>
      <c r="H209" s="60" t="s">
        <v>56</v>
      </c>
      <c r="I209" s="60" t="s">
        <v>70</v>
      </c>
      <c r="J209" s="60" t="s">
        <v>58</v>
      </c>
      <c r="K209" s="61"/>
      <c r="L209" s="62" t="s">
        <v>56</v>
      </c>
      <c r="M209" s="63" t="str">
        <f t="shared" si="15"/>
        <v>✓ OK</v>
      </c>
      <c r="N209" s="64"/>
      <c r="O209" s="64"/>
      <c r="P209" s="64"/>
      <c r="Q209" s="64"/>
      <c r="R209" s="64"/>
      <c r="S209" s="64"/>
      <c r="T209" s="61"/>
      <c r="U209" s="65"/>
      <c r="V209" s="66" t="str">
        <f t="shared" si="16"/>
        <v/>
      </c>
      <c r="W209" s="67"/>
      <c r="X209" s="67"/>
      <c r="Y209" s="67"/>
      <c r="Z209" s="67"/>
      <c r="AA209" s="67"/>
      <c r="AB209" s="67"/>
      <c r="AC209" s="61"/>
      <c r="AD209" s="68"/>
      <c r="AE209" s="69" t="str">
        <f t="shared" si="17"/>
        <v/>
      </c>
      <c r="AF209" s="70"/>
      <c r="AG209" s="70"/>
      <c r="AH209" s="70"/>
      <c r="AI209" s="70"/>
      <c r="AJ209" s="70"/>
      <c r="AK209" s="70"/>
      <c r="AL209" s="61"/>
      <c r="AM209" s="71"/>
      <c r="AN209" s="72" t="str">
        <f t="shared" si="18"/>
        <v/>
      </c>
      <c r="AO209" s="73"/>
      <c r="AP209" s="73"/>
      <c r="AQ209" s="73"/>
      <c r="AR209" s="73"/>
      <c r="AS209" s="73"/>
      <c r="AT209" s="73"/>
      <c r="AU209" s="61"/>
      <c r="AV209" s="74"/>
      <c r="AW209" s="75" t="str">
        <f t="shared" si="19"/>
        <v/>
      </c>
    </row>
    <row r="210" spans="1:49" ht="14.25" customHeight="1" x14ac:dyDescent="0.3">
      <c r="A210" s="76">
        <v>206</v>
      </c>
      <c r="B210" s="77" t="s">
        <v>5997</v>
      </c>
      <c r="C210" s="78" t="s">
        <v>5998</v>
      </c>
      <c r="D210" s="76" t="s">
        <v>5774</v>
      </c>
      <c r="E210" s="59">
        <v>46126</v>
      </c>
      <c r="F210" s="60" t="s">
        <v>55</v>
      </c>
      <c r="G210" s="60" t="s">
        <v>58</v>
      </c>
      <c r="H210" s="60" t="s">
        <v>56</v>
      </c>
      <c r="I210" s="60" t="s">
        <v>70</v>
      </c>
      <c r="J210" s="60" t="s">
        <v>58</v>
      </c>
      <c r="K210" s="61"/>
      <c r="L210" s="62" t="s">
        <v>56</v>
      </c>
      <c r="M210" s="63" t="str">
        <f t="shared" si="15"/>
        <v>✓ OK</v>
      </c>
      <c r="N210" s="64"/>
      <c r="O210" s="64"/>
      <c r="P210" s="64"/>
      <c r="Q210" s="64"/>
      <c r="R210" s="64"/>
      <c r="S210" s="64"/>
      <c r="T210" s="61"/>
      <c r="U210" s="65"/>
      <c r="V210" s="66" t="str">
        <f t="shared" si="16"/>
        <v/>
      </c>
      <c r="W210" s="67"/>
      <c r="X210" s="67"/>
      <c r="Y210" s="67"/>
      <c r="Z210" s="67"/>
      <c r="AA210" s="67"/>
      <c r="AB210" s="67"/>
      <c r="AC210" s="61"/>
      <c r="AD210" s="68"/>
      <c r="AE210" s="69" t="str">
        <f t="shared" si="17"/>
        <v/>
      </c>
      <c r="AF210" s="70"/>
      <c r="AG210" s="70"/>
      <c r="AH210" s="70"/>
      <c r="AI210" s="70"/>
      <c r="AJ210" s="70"/>
      <c r="AK210" s="70"/>
      <c r="AL210" s="61"/>
      <c r="AM210" s="71"/>
      <c r="AN210" s="72" t="str">
        <f t="shared" si="18"/>
        <v/>
      </c>
      <c r="AO210" s="73"/>
      <c r="AP210" s="73"/>
      <c r="AQ210" s="73"/>
      <c r="AR210" s="73"/>
      <c r="AS210" s="73"/>
      <c r="AT210" s="73"/>
      <c r="AU210" s="61"/>
      <c r="AV210" s="74"/>
      <c r="AW210" s="75" t="str">
        <f t="shared" si="19"/>
        <v/>
      </c>
    </row>
    <row r="211" spans="1:49" ht="14.25" customHeight="1" x14ac:dyDescent="0.3">
      <c r="A211" s="56">
        <v>207</v>
      </c>
      <c r="B211" s="57" t="s">
        <v>5999</v>
      </c>
      <c r="C211" s="58" t="s">
        <v>6000</v>
      </c>
      <c r="D211" s="56" t="s">
        <v>5774</v>
      </c>
      <c r="E211" s="59">
        <v>46126</v>
      </c>
      <c r="F211" s="60" t="s">
        <v>55</v>
      </c>
      <c r="G211" s="60" t="s">
        <v>58</v>
      </c>
      <c r="H211" s="60" t="s">
        <v>56</v>
      </c>
      <c r="I211" s="60" t="s">
        <v>70</v>
      </c>
      <c r="J211" s="60" t="s">
        <v>58</v>
      </c>
      <c r="K211" s="61"/>
      <c r="L211" s="62" t="s">
        <v>56</v>
      </c>
      <c r="M211" s="63" t="str">
        <f t="shared" si="15"/>
        <v>✓ OK</v>
      </c>
      <c r="N211" s="64"/>
      <c r="O211" s="64"/>
      <c r="P211" s="64"/>
      <c r="Q211" s="64"/>
      <c r="R211" s="64"/>
      <c r="S211" s="64"/>
      <c r="T211" s="61"/>
      <c r="U211" s="65"/>
      <c r="V211" s="66" t="str">
        <f t="shared" si="16"/>
        <v/>
      </c>
      <c r="W211" s="67"/>
      <c r="X211" s="67"/>
      <c r="Y211" s="67"/>
      <c r="Z211" s="67"/>
      <c r="AA211" s="67"/>
      <c r="AB211" s="67"/>
      <c r="AC211" s="61"/>
      <c r="AD211" s="68"/>
      <c r="AE211" s="69" t="str">
        <f t="shared" si="17"/>
        <v/>
      </c>
      <c r="AF211" s="70"/>
      <c r="AG211" s="70"/>
      <c r="AH211" s="70"/>
      <c r="AI211" s="70"/>
      <c r="AJ211" s="70"/>
      <c r="AK211" s="70"/>
      <c r="AL211" s="61"/>
      <c r="AM211" s="71"/>
      <c r="AN211" s="72" t="str">
        <f t="shared" si="18"/>
        <v/>
      </c>
      <c r="AO211" s="73"/>
      <c r="AP211" s="73"/>
      <c r="AQ211" s="73"/>
      <c r="AR211" s="73"/>
      <c r="AS211" s="73"/>
      <c r="AT211" s="73"/>
      <c r="AU211" s="61"/>
      <c r="AV211" s="74"/>
      <c r="AW211" s="75" t="str">
        <f t="shared" si="19"/>
        <v/>
      </c>
    </row>
    <row r="212" spans="1:49" ht="14.25" customHeight="1" x14ac:dyDescent="0.3">
      <c r="A212" s="76">
        <v>208</v>
      </c>
      <c r="B212" s="77" t="s">
        <v>6001</v>
      </c>
      <c r="C212" s="78" t="s">
        <v>6002</v>
      </c>
      <c r="D212" s="76" t="s">
        <v>5774</v>
      </c>
      <c r="E212" s="59">
        <v>46126</v>
      </c>
      <c r="F212" s="60" t="s">
        <v>55</v>
      </c>
      <c r="G212" s="60" t="s">
        <v>58</v>
      </c>
      <c r="H212" s="60" t="s">
        <v>56</v>
      </c>
      <c r="I212" s="60" t="s">
        <v>70</v>
      </c>
      <c r="J212" s="60" t="s">
        <v>58</v>
      </c>
      <c r="K212" s="61"/>
      <c r="L212" s="62" t="s">
        <v>56</v>
      </c>
      <c r="M212" s="63" t="str">
        <f t="shared" si="15"/>
        <v>✓ OK</v>
      </c>
      <c r="N212" s="64"/>
      <c r="O212" s="64"/>
      <c r="P212" s="64"/>
      <c r="Q212" s="64"/>
      <c r="R212" s="64"/>
      <c r="S212" s="64"/>
      <c r="T212" s="61"/>
      <c r="U212" s="65"/>
      <c r="V212" s="66" t="str">
        <f t="shared" si="16"/>
        <v/>
      </c>
      <c r="W212" s="67"/>
      <c r="X212" s="67"/>
      <c r="Y212" s="67"/>
      <c r="Z212" s="67"/>
      <c r="AA212" s="67"/>
      <c r="AB212" s="67"/>
      <c r="AC212" s="61"/>
      <c r="AD212" s="68"/>
      <c r="AE212" s="69" t="str">
        <f t="shared" si="17"/>
        <v/>
      </c>
      <c r="AF212" s="70"/>
      <c r="AG212" s="70"/>
      <c r="AH212" s="70"/>
      <c r="AI212" s="70"/>
      <c r="AJ212" s="70"/>
      <c r="AK212" s="70"/>
      <c r="AL212" s="61"/>
      <c r="AM212" s="71"/>
      <c r="AN212" s="72" t="str">
        <f t="shared" si="18"/>
        <v/>
      </c>
      <c r="AO212" s="73"/>
      <c r="AP212" s="73"/>
      <c r="AQ212" s="73"/>
      <c r="AR212" s="73"/>
      <c r="AS212" s="73"/>
      <c r="AT212" s="73"/>
      <c r="AU212" s="61"/>
      <c r="AV212" s="74"/>
      <c r="AW212" s="75" t="str">
        <f t="shared" si="19"/>
        <v/>
      </c>
    </row>
    <row r="213" spans="1:49" ht="14.25" customHeight="1" x14ac:dyDescent="0.3">
      <c r="A213" s="56">
        <v>209</v>
      </c>
      <c r="B213" s="57" t="s">
        <v>6003</v>
      </c>
      <c r="C213" s="58" t="s">
        <v>6004</v>
      </c>
      <c r="D213" s="56" t="s">
        <v>5774</v>
      </c>
      <c r="E213" s="59">
        <v>46126</v>
      </c>
      <c r="F213" s="60" t="s">
        <v>55</v>
      </c>
      <c r="G213" s="60" t="s">
        <v>58</v>
      </c>
      <c r="H213" s="60" t="s">
        <v>56</v>
      </c>
      <c r="I213" s="60" t="s">
        <v>70</v>
      </c>
      <c r="J213" s="60" t="s">
        <v>58</v>
      </c>
      <c r="K213" s="61"/>
      <c r="L213" s="62" t="s">
        <v>56</v>
      </c>
      <c r="M213" s="63" t="str">
        <f t="shared" si="15"/>
        <v>✓ OK</v>
      </c>
      <c r="N213" s="64"/>
      <c r="O213" s="64"/>
      <c r="P213" s="64"/>
      <c r="Q213" s="64"/>
      <c r="R213" s="64"/>
      <c r="S213" s="64"/>
      <c r="T213" s="61"/>
      <c r="U213" s="65"/>
      <c r="V213" s="66" t="str">
        <f t="shared" si="16"/>
        <v/>
      </c>
      <c r="W213" s="67"/>
      <c r="X213" s="67"/>
      <c r="Y213" s="67"/>
      <c r="Z213" s="67"/>
      <c r="AA213" s="67"/>
      <c r="AB213" s="67"/>
      <c r="AC213" s="61"/>
      <c r="AD213" s="68"/>
      <c r="AE213" s="69" t="str">
        <f t="shared" si="17"/>
        <v/>
      </c>
      <c r="AF213" s="70"/>
      <c r="AG213" s="70"/>
      <c r="AH213" s="70"/>
      <c r="AI213" s="70"/>
      <c r="AJ213" s="70"/>
      <c r="AK213" s="70"/>
      <c r="AL213" s="61"/>
      <c r="AM213" s="71"/>
      <c r="AN213" s="72" t="str">
        <f t="shared" si="18"/>
        <v/>
      </c>
      <c r="AO213" s="73"/>
      <c r="AP213" s="73"/>
      <c r="AQ213" s="73"/>
      <c r="AR213" s="73"/>
      <c r="AS213" s="73"/>
      <c r="AT213" s="73"/>
      <c r="AU213" s="61"/>
      <c r="AV213" s="74"/>
      <c r="AW213" s="75" t="str">
        <f t="shared" si="19"/>
        <v/>
      </c>
    </row>
    <row r="214" spans="1:49" ht="14.25" customHeight="1" x14ac:dyDescent="0.3">
      <c r="A214" s="76">
        <v>210</v>
      </c>
      <c r="B214" s="77" t="s">
        <v>6005</v>
      </c>
      <c r="C214" s="78" t="s">
        <v>6006</v>
      </c>
      <c r="D214" s="76" t="s">
        <v>5774</v>
      </c>
      <c r="E214" s="59">
        <v>46126</v>
      </c>
      <c r="F214" s="60" t="s">
        <v>55</v>
      </c>
      <c r="G214" s="60" t="s">
        <v>58</v>
      </c>
      <c r="H214" s="60" t="s">
        <v>56</v>
      </c>
      <c r="I214" s="60" t="s">
        <v>70</v>
      </c>
      <c r="J214" s="60" t="s">
        <v>58</v>
      </c>
      <c r="K214" s="61"/>
      <c r="L214" s="62" t="s">
        <v>56</v>
      </c>
      <c r="M214" s="63" t="str">
        <f t="shared" si="15"/>
        <v>✓ OK</v>
      </c>
      <c r="N214" s="64"/>
      <c r="O214" s="64"/>
      <c r="P214" s="64"/>
      <c r="Q214" s="64"/>
      <c r="R214" s="64"/>
      <c r="S214" s="64"/>
      <c r="T214" s="61"/>
      <c r="U214" s="65"/>
      <c r="V214" s="66" t="str">
        <f t="shared" si="16"/>
        <v/>
      </c>
      <c r="W214" s="67"/>
      <c r="X214" s="67"/>
      <c r="Y214" s="67"/>
      <c r="Z214" s="67"/>
      <c r="AA214" s="67"/>
      <c r="AB214" s="67"/>
      <c r="AC214" s="61"/>
      <c r="AD214" s="68"/>
      <c r="AE214" s="69" t="str">
        <f t="shared" si="17"/>
        <v/>
      </c>
      <c r="AF214" s="70"/>
      <c r="AG214" s="70"/>
      <c r="AH214" s="70"/>
      <c r="AI214" s="70"/>
      <c r="AJ214" s="70"/>
      <c r="AK214" s="70"/>
      <c r="AL214" s="61"/>
      <c r="AM214" s="71"/>
      <c r="AN214" s="72" t="str">
        <f t="shared" si="18"/>
        <v/>
      </c>
      <c r="AO214" s="73"/>
      <c r="AP214" s="73"/>
      <c r="AQ214" s="73"/>
      <c r="AR214" s="73"/>
      <c r="AS214" s="73"/>
      <c r="AT214" s="73"/>
      <c r="AU214" s="61"/>
      <c r="AV214" s="74"/>
      <c r="AW214" s="75" t="str">
        <f t="shared" si="19"/>
        <v/>
      </c>
    </row>
    <row r="215" spans="1:49" ht="14.25" customHeight="1" x14ac:dyDescent="0.3">
      <c r="A215" s="56">
        <v>211</v>
      </c>
      <c r="B215" s="57" t="s">
        <v>6007</v>
      </c>
      <c r="C215" s="58" t="s">
        <v>6008</v>
      </c>
      <c r="D215" s="56" t="s">
        <v>5774</v>
      </c>
      <c r="E215" s="59">
        <v>46126</v>
      </c>
      <c r="F215" s="60" t="s">
        <v>55</v>
      </c>
      <c r="G215" s="60" t="s">
        <v>58</v>
      </c>
      <c r="H215" s="60" t="s">
        <v>56</v>
      </c>
      <c r="I215" s="60" t="s">
        <v>70</v>
      </c>
      <c r="J215" s="60" t="s">
        <v>58</v>
      </c>
      <c r="K215" s="61"/>
      <c r="L215" s="62" t="s">
        <v>56</v>
      </c>
      <c r="M215" s="63" t="str">
        <f t="shared" si="15"/>
        <v>✓ OK</v>
      </c>
      <c r="N215" s="64"/>
      <c r="O215" s="64"/>
      <c r="P215" s="64"/>
      <c r="Q215" s="64"/>
      <c r="R215" s="64"/>
      <c r="S215" s="64"/>
      <c r="T215" s="61"/>
      <c r="U215" s="65"/>
      <c r="V215" s="66" t="str">
        <f t="shared" si="16"/>
        <v/>
      </c>
      <c r="W215" s="67"/>
      <c r="X215" s="67"/>
      <c r="Y215" s="67"/>
      <c r="Z215" s="67"/>
      <c r="AA215" s="67"/>
      <c r="AB215" s="67"/>
      <c r="AC215" s="61"/>
      <c r="AD215" s="68"/>
      <c r="AE215" s="69" t="str">
        <f t="shared" si="17"/>
        <v/>
      </c>
      <c r="AF215" s="70"/>
      <c r="AG215" s="70"/>
      <c r="AH215" s="70"/>
      <c r="AI215" s="70"/>
      <c r="AJ215" s="70"/>
      <c r="AK215" s="70"/>
      <c r="AL215" s="61"/>
      <c r="AM215" s="71"/>
      <c r="AN215" s="72" t="str">
        <f t="shared" si="18"/>
        <v/>
      </c>
      <c r="AO215" s="73"/>
      <c r="AP215" s="73"/>
      <c r="AQ215" s="73"/>
      <c r="AR215" s="73"/>
      <c r="AS215" s="73"/>
      <c r="AT215" s="73"/>
      <c r="AU215" s="61"/>
      <c r="AV215" s="74"/>
      <c r="AW215" s="75" t="str">
        <f t="shared" si="19"/>
        <v/>
      </c>
    </row>
    <row r="216" spans="1:49" ht="14.25" customHeight="1" x14ac:dyDescent="0.3">
      <c r="A216" s="76">
        <v>212</v>
      </c>
      <c r="B216" s="77" t="s">
        <v>6009</v>
      </c>
      <c r="C216" s="78" t="s">
        <v>6010</v>
      </c>
      <c r="D216" s="76" t="s">
        <v>5774</v>
      </c>
      <c r="E216" s="59">
        <v>46126</v>
      </c>
      <c r="F216" s="60" t="s">
        <v>55</v>
      </c>
      <c r="G216" s="60" t="s">
        <v>58</v>
      </c>
      <c r="H216" s="60" t="s">
        <v>56</v>
      </c>
      <c r="I216" s="60" t="s">
        <v>70</v>
      </c>
      <c r="J216" s="60" t="s">
        <v>58</v>
      </c>
      <c r="K216" s="61"/>
      <c r="L216" s="62" t="s">
        <v>56</v>
      </c>
      <c r="M216" s="63" t="str">
        <f t="shared" si="15"/>
        <v>✓ OK</v>
      </c>
      <c r="N216" s="64"/>
      <c r="O216" s="64"/>
      <c r="P216" s="64"/>
      <c r="Q216" s="64"/>
      <c r="R216" s="64"/>
      <c r="S216" s="64"/>
      <c r="T216" s="61"/>
      <c r="U216" s="65"/>
      <c r="V216" s="66" t="str">
        <f t="shared" si="16"/>
        <v/>
      </c>
      <c r="W216" s="67"/>
      <c r="X216" s="67"/>
      <c r="Y216" s="67"/>
      <c r="Z216" s="67"/>
      <c r="AA216" s="67"/>
      <c r="AB216" s="67"/>
      <c r="AC216" s="61"/>
      <c r="AD216" s="68"/>
      <c r="AE216" s="69" t="str">
        <f t="shared" si="17"/>
        <v/>
      </c>
      <c r="AF216" s="70"/>
      <c r="AG216" s="70"/>
      <c r="AH216" s="70"/>
      <c r="AI216" s="70"/>
      <c r="AJ216" s="70"/>
      <c r="AK216" s="70"/>
      <c r="AL216" s="61"/>
      <c r="AM216" s="71"/>
      <c r="AN216" s="72" t="str">
        <f t="shared" si="18"/>
        <v/>
      </c>
      <c r="AO216" s="73"/>
      <c r="AP216" s="73"/>
      <c r="AQ216" s="73"/>
      <c r="AR216" s="73"/>
      <c r="AS216" s="73"/>
      <c r="AT216" s="73"/>
      <c r="AU216" s="61"/>
      <c r="AV216" s="74"/>
      <c r="AW216" s="75" t="str">
        <f t="shared" si="19"/>
        <v/>
      </c>
    </row>
    <row r="217" spans="1:49" ht="14.25" customHeight="1" x14ac:dyDescent="0.3">
      <c r="A217" s="56">
        <v>213</v>
      </c>
      <c r="B217" s="57" t="s">
        <v>6011</v>
      </c>
      <c r="C217" s="58" t="s">
        <v>6012</v>
      </c>
      <c r="D217" s="56" t="s">
        <v>5774</v>
      </c>
      <c r="E217" s="59">
        <v>46126</v>
      </c>
      <c r="F217" s="60" t="s">
        <v>55</v>
      </c>
      <c r="G217" s="60" t="s">
        <v>58</v>
      </c>
      <c r="H217" s="60" t="s">
        <v>56</v>
      </c>
      <c r="I217" s="60" t="s">
        <v>70</v>
      </c>
      <c r="J217" s="60" t="s">
        <v>58</v>
      </c>
      <c r="K217" s="61"/>
      <c r="L217" s="62" t="s">
        <v>56</v>
      </c>
      <c r="M217" s="63" t="str">
        <f t="shared" si="15"/>
        <v>✓ OK</v>
      </c>
      <c r="N217" s="64"/>
      <c r="O217" s="64"/>
      <c r="P217" s="64"/>
      <c r="Q217" s="64"/>
      <c r="R217" s="64"/>
      <c r="S217" s="64"/>
      <c r="T217" s="61"/>
      <c r="U217" s="65"/>
      <c r="V217" s="66" t="str">
        <f t="shared" si="16"/>
        <v/>
      </c>
      <c r="W217" s="67"/>
      <c r="X217" s="67"/>
      <c r="Y217" s="67"/>
      <c r="Z217" s="67"/>
      <c r="AA217" s="67"/>
      <c r="AB217" s="67"/>
      <c r="AC217" s="61"/>
      <c r="AD217" s="68"/>
      <c r="AE217" s="69" t="str">
        <f t="shared" si="17"/>
        <v/>
      </c>
      <c r="AF217" s="70"/>
      <c r="AG217" s="70"/>
      <c r="AH217" s="70"/>
      <c r="AI217" s="70"/>
      <c r="AJ217" s="70"/>
      <c r="AK217" s="70"/>
      <c r="AL217" s="61"/>
      <c r="AM217" s="71"/>
      <c r="AN217" s="72" t="str">
        <f t="shared" si="18"/>
        <v/>
      </c>
      <c r="AO217" s="73"/>
      <c r="AP217" s="73"/>
      <c r="AQ217" s="73"/>
      <c r="AR217" s="73"/>
      <c r="AS217" s="73"/>
      <c r="AT217" s="73"/>
      <c r="AU217" s="61"/>
      <c r="AV217" s="74"/>
      <c r="AW217" s="75" t="str">
        <f t="shared" si="19"/>
        <v/>
      </c>
    </row>
    <row r="218" spans="1:49" ht="14.25" customHeight="1" x14ac:dyDescent="0.3">
      <c r="A218" s="76">
        <v>214</v>
      </c>
      <c r="B218" s="77" t="s">
        <v>6013</v>
      </c>
      <c r="C218" s="78" t="s">
        <v>6014</v>
      </c>
      <c r="D218" s="76" t="s">
        <v>5774</v>
      </c>
      <c r="E218" s="59">
        <v>46126</v>
      </c>
      <c r="F218" s="60" t="s">
        <v>55</v>
      </c>
      <c r="G218" s="60" t="s">
        <v>58</v>
      </c>
      <c r="H218" s="60" t="s">
        <v>56</v>
      </c>
      <c r="I218" s="60" t="s">
        <v>70</v>
      </c>
      <c r="J218" s="60" t="s">
        <v>58</v>
      </c>
      <c r="K218" s="61"/>
      <c r="L218" s="62" t="s">
        <v>56</v>
      </c>
      <c r="M218" s="63" t="str">
        <f t="shared" si="15"/>
        <v>✓ OK</v>
      </c>
      <c r="N218" s="64"/>
      <c r="O218" s="64"/>
      <c r="P218" s="64"/>
      <c r="Q218" s="64"/>
      <c r="R218" s="64"/>
      <c r="S218" s="64"/>
      <c r="T218" s="61"/>
      <c r="U218" s="65"/>
      <c r="V218" s="66" t="str">
        <f t="shared" si="16"/>
        <v/>
      </c>
      <c r="W218" s="67"/>
      <c r="X218" s="67"/>
      <c r="Y218" s="67"/>
      <c r="Z218" s="67"/>
      <c r="AA218" s="67"/>
      <c r="AB218" s="67"/>
      <c r="AC218" s="61"/>
      <c r="AD218" s="68"/>
      <c r="AE218" s="69" t="str">
        <f t="shared" si="17"/>
        <v/>
      </c>
      <c r="AF218" s="70"/>
      <c r="AG218" s="70"/>
      <c r="AH218" s="70"/>
      <c r="AI218" s="70"/>
      <c r="AJ218" s="70"/>
      <c r="AK218" s="70"/>
      <c r="AL218" s="61"/>
      <c r="AM218" s="71"/>
      <c r="AN218" s="72" t="str">
        <f t="shared" si="18"/>
        <v/>
      </c>
      <c r="AO218" s="73"/>
      <c r="AP218" s="73"/>
      <c r="AQ218" s="73"/>
      <c r="AR218" s="73"/>
      <c r="AS218" s="73"/>
      <c r="AT218" s="73"/>
      <c r="AU218" s="61"/>
      <c r="AV218" s="74"/>
      <c r="AW218" s="75" t="str">
        <f t="shared" si="19"/>
        <v/>
      </c>
    </row>
    <row r="219" spans="1:49" ht="14.25" customHeight="1" x14ac:dyDescent="0.3">
      <c r="A219" s="56">
        <v>215</v>
      </c>
      <c r="B219" s="57" t="s">
        <v>6015</v>
      </c>
      <c r="C219" s="58" t="s">
        <v>6016</v>
      </c>
      <c r="D219" s="56" t="s">
        <v>5774</v>
      </c>
      <c r="E219" s="59">
        <v>46126</v>
      </c>
      <c r="F219" s="60" t="s">
        <v>55</v>
      </c>
      <c r="G219" s="60" t="s">
        <v>58</v>
      </c>
      <c r="H219" s="60" t="s">
        <v>56</v>
      </c>
      <c r="I219" s="60" t="s">
        <v>70</v>
      </c>
      <c r="J219" s="60" t="s">
        <v>58</v>
      </c>
      <c r="K219" s="61"/>
      <c r="L219" s="62" t="s">
        <v>56</v>
      </c>
      <c r="M219" s="63" t="str">
        <f t="shared" si="15"/>
        <v>✓ OK</v>
      </c>
      <c r="N219" s="64"/>
      <c r="O219" s="64"/>
      <c r="P219" s="64"/>
      <c r="Q219" s="64"/>
      <c r="R219" s="64"/>
      <c r="S219" s="64"/>
      <c r="T219" s="61"/>
      <c r="U219" s="65"/>
      <c r="V219" s="66" t="str">
        <f t="shared" si="16"/>
        <v/>
      </c>
      <c r="W219" s="67"/>
      <c r="X219" s="67"/>
      <c r="Y219" s="67"/>
      <c r="Z219" s="67"/>
      <c r="AA219" s="67"/>
      <c r="AB219" s="67"/>
      <c r="AC219" s="61"/>
      <c r="AD219" s="68"/>
      <c r="AE219" s="69" t="str">
        <f t="shared" si="17"/>
        <v/>
      </c>
      <c r="AF219" s="70"/>
      <c r="AG219" s="70"/>
      <c r="AH219" s="70"/>
      <c r="AI219" s="70"/>
      <c r="AJ219" s="70"/>
      <c r="AK219" s="70"/>
      <c r="AL219" s="61"/>
      <c r="AM219" s="71"/>
      <c r="AN219" s="72" t="str">
        <f t="shared" si="18"/>
        <v/>
      </c>
      <c r="AO219" s="73"/>
      <c r="AP219" s="73"/>
      <c r="AQ219" s="73"/>
      <c r="AR219" s="73"/>
      <c r="AS219" s="73"/>
      <c r="AT219" s="73"/>
      <c r="AU219" s="61"/>
      <c r="AV219" s="74"/>
      <c r="AW219" s="75" t="str">
        <f t="shared" si="19"/>
        <v/>
      </c>
    </row>
    <row r="220" spans="1:49" ht="14.25" customHeight="1" x14ac:dyDescent="0.3">
      <c r="A220" s="76">
        <v>216</v>
      </c>
      <c r="B220" s="77" t="s">
        <v>6017</v>
      </c>
      <c r="C220" s="78" t="s">
        <v>6018</v>
      </c>
      <c r="D220" s="76" t="s">
        <v>5774</v>
      </c>
      <c r="E220" s="59">
        <v>46126</v>
      </c>
      <c r="F220" s="60" t="s">
        <v>55</v>
      </c>
      <c r="G220" s="60" t="s">
        <v>58</v>
      </c>
      <c r="H220" s="60" t="s">
        <v>56</v>
      </c>
      <c r="I220" s="60" t="s">
        <v>70</v>
      </c>
      <c r="J220" s="60" t="s">
        <v>58</v>
      </c>
      <c r="K220" s="61"/>
      <c r="L220" s="62" t="s">
        <v>56</v>
      </c>
      <c r="M220" s="63" t="str">
        <f t="shared" si="15"/>
        <v>✓ OK</v>
      </c>
      <c r="N220" s="64"/>
      <c r="O220" s="64"/>
      <c r="P220" s="64"/>
      <c r="Q220" s="64"/>
      <c r="R220" s="64"/>
      <c r="S220" s="64"/>
      <c r="T220" s="61"/>
      <c r="U220" s="65"/>
      <c r="V220" s="66" t="str">
        <f t="shared" si="16"/>
        <v/>
      </c>
      <c r="W220" s="67"/>
      <c r="X220" s="67"/>
      <c r="Y220" s="67"/>
      <c r="Z220" s="67"/>
      <c r="AA220" s="67"/>
      <c r="AB220" s="67"/>
      <c r="AC220" s="61"/>
      <c r="AD220" s="68"/>
      <c r="AE220" s="69" t="str">
        <f t="shared" si="17"/>
        <v/>
      </c>
      <c r="AF220" s="70"/>
      <c r="AG220" s="70"/>
      <c r="AH220" s="70"/>
      <c r="AI220" s="70"/>
      <c r="AJ220" s="70"/>
      <c r="AK220" s="70"/>
      <c r="AL220" s="61"/>
      <c r="AM220" s="71"/>
      <c r="AN220" s="72" t="str">
        <f t="shared" si="18"/>
        <v/>
      </c>
      <c r="AO220" s="73"/>
      <c r="AP220" s="73"/>
      <c r="AQ220" s="73"/>
      <c r="AR220" s="73"/>
      <c r="AS220" s="73"/>
      <c r="AT220" s="73"/>
      <c r="AU220" s="61"/>
      <c r="AV220" s="74"/>
      <c r="AW220" s="75" t="str">
        <f t="shared" si="19"/>
        <v/>
      </c>
    </row>
    <row r="221" spans="1:49" ht="14.25" customHeight="1" x14ac:dyDescent="0.3">
      <c r="A221" s="56">
        <v>217</v>
      </c>
      <c r="B221" s="57" t="s">
        <v>6019</v>
      </c>
      <c r="C221" s="58" t="s">
        <v>6020</v>
      </c>
      <c r="D221" s="56" t="s">
        <v>5774</v>
      </c>
      <c r="E221" s="59">
        <v>46126</v>
      </c>
      <c r="F221" s="60" t="s">
        <v>55</v>
      </c>
      <c r="G221" s="60" t="s">
        <v>58</v>
      </c>
      <c r="H221" s="60" t="s">
        <v>56</v>
      </c>
      <c r="I221" s="60" t="s">
        <v>70</v>
      </c>
      <c r="J221" s="60" t="s">
        <v>58</v>
      </c>
      <c r="K221" s="61"/>
      <c r="L221" s="62" t="s">
        <v>56</v>
      </c>
      <c r="M221" s="63" t="str">
        <f t="shared" si="15"/>
        <v>✓ OK</v>
      </c>
      <c r="N221" s="64"/>
      <c r="O221" s="64"/>
      <c r="P221" s="64"/>
      <c r="Q221" s="64"/>
      <c r="R221" s="64"/>
      <c r="S221" s="64"/>
      <c r="T221" s="61"/>
      <c r="U221" s="65"/>
      <c r="V221" s="66" t="str">
        <f t="shared" si="16"/>
        <v/>
      </c>
      <c r="W221" s="67"/>
      <c r="X221" s="67"/>
      <c r="Y221" s="67"/>
      <c r="Z221" s="67"/>
      <c r="AA221" s="67"/>
      <c r="AB221" s="67"/>
      <c r="AC221" s="61"/>
      <c r="AD221" s="68"/>
      <c r="AE221" s="69" t="str">
        <f t="shared" si="17"/>
        <v/>
      </c>
      <c r="AF221" s="70"/>
      <c r="AG221" s="70"/>
      <c r="AH221" s="70"/>
      <c r="AI221" s="70"/>
      <c r="AJ221" s="70"/>
      <c r="AK221" s="70"/>
      <c r="AL221" s="61"/>
      <c r="AM221" s="71"/>
      <c r="AN221" s="72" t="str">
        <f t="shared" si="18"/>
        <v/>
      </c>
      <c r="AO221" s="73"/>
      <c r="AP221" s="73"/>
      <c r="AQ221" s="73"/>
      <c r="AR221" s="73"/>
      <c r="AS221" s="73"/>
      <c r="AT221" s="73"/>
      <c r="AU221" s="61"/>
      <c r="AV221" s="74"/>
      <c r="AW221" s="75" t="str">
        <f t="shared" si="19"/>
        <v/>
      </c>
    </row>
    <row r="222" spans="1:49" ht="14.25" customHeight="1" x14ac:dyDescent="0.3">
      <c r="A222" s="76">
        <v>218</v>
      </c>
      <c r="B222" s="77" t="s">
        <v>6021</v>
      </c>
      <c r="C222" s="78" t="s">
        <v>6022</v>
      </c>
      <c r="D222" s="76" t="s">
        <v>5774</v>
      </c>
      <c r="E222" s="59">
        <v>46126</v>
      </c>
      <c r="F222" s="60" t="s">
        <v>55</v>
      </c>
      <c r="G222" s="60" t="s">
        <v>58</v>
      </c>
      <c r="H222" s="60" t="s">
        <v>56</v>
      </c>
      <c r="I222" s="60" t="s">
        <v>70</v>
      </c>
      <c r="J222" s="60" t="s">
        <v>58</v>
      </c>
      <c r="K222" s="61"/>
      <c r="L222" s="62" t="s">
        <v>56</v>
      </c>
      <c r="M222" s="63" t="str">
        <f t="shared" si="15"/>
        <v>✓ OK</v>
      </c>
      <c r="N222" s="64"/>
      <c r="O222" s="64"/>
      <c r="P222" s="64"/>
      <c r="Q222" s="64"/>
      <c r="R222" s="64"/>
      <c r="S222" s="64"/>
      <c r="T222" s="61"/>
      <c r="U222" s="65"/>
      <c r="V222" s="66" t="str">
        <f t="shared" si="16"/>
        <v/>
      </c>
      <c r="W222" s="67"/>
      <c r="X222" s="67"/>
      <c r="Y222" s="67"/>
      <c r="Z222" s="67"/>
      <c r="AA222" s="67"/>
      <c r="AB222" s="67"/>
      <c r="AC222" s="61"/>
      <c r="AD222" s="68"/>
      <c r="AE222" s="69" t="str">
        <f t="shared" si="17"/>
        <v/>
      </c>
      <c r="AF222" s="70"/>
      <c r="AG222" s="70"/>
      <c r="AH222" s="70"/>
      <c r="AI222" s="70"/>
      <c r="AJ222" s="70"/>
      <c r="AK222" s="70"/>
      <c r="AL222" s="61"/>
      <c r="AM222" s="71"/>
      <c r="AN222" s="72" t="str">
        <f t="shared" si="18"/>
        <v/>
      </c>
      <c r="AO222" s="73"/>
      <c r="AP222" s="73"/>
      <c r="AQ222" s="73"/>
      <c r="AR222" s="73"/>
      <c r="AS222" s="73"/>
      <c r="AT222" s="73"/>
      <c r="AU222" s="61"/>
      <c r="AV222" s="74"/>
      <c r="AW222" s="75" t="str">
        <f t="shared" si="19"/>
        <v/>
      </c>
    </row>
    <row r="223" spans="1:49" ht="14.25" customHeight="1" x14ac:dyDescent="0.3">
      <c r="A223" s="56">
        <v>219</v>
      </c>
      <c r="B223" s="57" t="s">
        <v>6023</v>
      </c>
      <c r="C223" s="58" t="s">
        <v>6024</v>
      </c>
      <c r="D223" s="56" t="s">
        <v>5774</v>
      </c>
      <c r="E223" s="59">
        <v>46126</v>
      </c>
      <c r="F223" s="60" t="s">
        <v>55</v>
      </c>
      <c r="G223" s="60" t="s">
        <v>58</v>
      </c>
      <c r="H223" s="60" t="s">
        <v>56</v>
      </c>
      <c r="I223" s="60" t="s">
        <v>70</v>
      </c>
      <c r="J223" s="60" t="s">
        <v>58</v>
      </c>
      <c r="K223" s="61"/>
      <c r="L223" s="62" t="s">
        <v>56</v>
      </c>
      <c r="M223" s="63" t="str">
        <f t="shared" si="15"/>
        <v>✓ OK</v>
      </c>
      <c r="N223" s="64"/>
      <c r="O223" s="64"/>
      <c r="P223" s="64"/>
      <c r="Q223" s="64"/>
      <c r="R223" s="64"/>
      <c r="S223" s="64"/>
      <c r="T223" s="61"/>
      <c r="U223" s="65"/>
      <c r="V223" s="66" t="str">
        <f t="shared" si="16"/>
        <v/>
      </c>
      <c r="W223" s="67"/>
      <c r="X223" s="67"/>
      <c r="Y223" s="67"/>
      <c r="Z223" s="67"/>
      <c r="AA223" s="67"/>
      <c r="AB223" s="67"/>
      <c r="AC223" s="61"/>
      <c r="AD223" s="68"/>
      <c r="AE223" s="69" t="str">
        <f t="shared" si="17"/>
        <v/>
      </c>
      <c r="AF223" s="70"/>
      <c r="AG223" s="70"/>
      <c r="AH223" s="70"/>
      <c r="AI223" s="70"/>
      <c r="AJ223" s="70"/>
      <c r="AK223" s="70"/>
      <c r="AL223" s="61"/>
      <c r="AM223" s="71"/>
      <c r="AN223" s="72" t="str">
        <f t="shared" si="18"/>
        <v/>
      </c>
      <c r="AO223" s="73"/>
      <c r="AP223" s="73"/>
      <c r="AQ223" s="73"/>
      <c r="AR223" s="73"/>
      <c r="AS223" s="73"/>
      <c r="AT223" s="73"/>
      <c r="AU223" s="61"/>
      <c r="AV223" s="74"/>
      <c r="AW223" s="75" t="str">
        <f t="shared" si="19"/>
        <v/>
      </c>
    </row>
    <row r="224" spans="1:49" ht="14.25" customHeight="1" x14ac:dyDescent="0.3">
      <c r="A224" s="76">
        <v>220</v>
      </c>
      <c r="B224" s="77" t="s">
        <v>6025</v>
      </c>
      <c r="C224" s="78" t="s">
        <v>6026</v>
      </c>
      <c r="D224" s="76" t="s">
        <v>5774</v>
      </c>
      <c r="E224" s="59">
        <v>46126</v>
      </c>
      <c r="F224" s="60" t="s">
        <v>55</v>
      </c>
      <c r="G224" s="60" t="s">
        <v>58</v>
      </c>
      <c r="H224" s="60" t="s">
        <v>56</v>
      </c>
      <c r="I224" s="60" t="s">
        <v>70</v>
      </c>
      <c r="J224" s="60" t="s">
        <v>58</v>
      </c>
      <c r="K224" s="61"/>
      <c r="L224" s="62" t="s">
        <v>56</v>
      </c>
      <c r="M224" s="63" t="str">
        <f t="shared" si="15"/>
        <v>✓ OK</v>
      </c>
      <c r="N224" s="64"/>
      <c r="O224" s="64"/>
      <c r="P224" s="64"/>
      <c r="Q224" s="64"/>
      <c r="R224" s="64"/>
      <c r="S224" s="64"/>
      <c r="T224" s="61"/>
      <c r="U224" s="65"/>
      <c r="V224" s="66" t="str">
        <f t="shared" si="16"/>
        <v/>
      </c>
      <c r="W224" s="67"/>
      <c r="X224" s="67"/>
      <c r="Y224" s="67"/>
      <c r="Z224" s="67"/>
      <c r="AA224" s="67"/>
      <c r="AB224" s="67"/>
      <c r="AC224" s="61"/>
      <c r="AD224" s="68"/>
      <c r="AE224" s="69" t="str">
        <f t="shared" si="17"/>
        <v/>
      </c>
      <c r="AF224" s="70"/>
      <c r="AG224" s="70"/>
      <c r="AH224" s="70"/>
      <c r="AI224" s="70"/>
      <c r="AJ224" s="70"/>
      <c r="AK224" s="70"/>
      <c r="AL224" s="61"/>
      <c r="AM224" s="71"/>
      <c r="AN224" s="72" t="str">
        <f t="shared" si="18"/>
        <v/>
      </c>
      <c r="AO224" s="73"/>
      <c r="AP224" s="73"/>
      <c r="AQ224" s="73"/>
      <c r="AR224" s="73"/>
      <c r="AS224" s="73"/>
      <c r="AT224" s="73"/>
      <c r="AU224" s="61"/>
      <c r="AV224" s="74"/>
      <c r="AW224" s="75" t="str">
        <f t="shared" si="19"/>
        <v/>
      </c>
    </row>
    <row r="225" spans="1:49" ht="14.25" customHeight="1" x14ac:dyDescent="0.3">
      <c r="A225" s="56">
        <v>221</v>
      </c>
      <c r="B225" s="57" t="s">
        <v>6027</v>
      </c>
      <c r="C225" s="58" t="s">
        <v>6028</v>
      </c>
      <c r="D225" s="56" t="s">
        <v>5774</v>
      </c>
      <c r="E225" s="59">
        <v>46126</v>
      </c>
      <c r="F225" s="60" t="s">
        <v>55</v>
      </c>
      <c r="G225" s="60" t="s">
        <v>58</v>
      </c>
      <c r="H225" s="60" t="s">
        <v>56</v>
      </c>
      <c r="I225" s="60" t="s">
        <v>70</v>
      </c>
      <c r="J225" s="60" t="s">
        <v>58</v>
      </c>
      <c r="K225" s="61"/>
      <c r="L225" s="62" t="s">
        <v>56</v>
      </c>
      <c r="M225" s="63" t="str">
        <f t="shared" si="15"/>
        <v>✓ OK</v>
      </c>
      <c r="N225" s="64"/>
      <c r="O225" s="64"/>
      <c r="P225" s="64"/>
      <c r="Q225" s="64"/>
      <c r="R225" s="64"/>
      <c r="S225" s="64"/>
      <c r="T225" s="61"/>
      <c r="U225" s="65"/>
      <c r="V225" s="66" t="str">
        <f t="shared" si="16"/>
        <v/>
      </c>
      <c r="W225" s="67"/>
      <c r="X225" s="67"/>
      <c r="Y225" s="67"/>
      <c r="Z225" s="67"/>
      <c r="AA225" s="67"/>
      <c r="AB225" s="67"/>
      <c r="AC225" s="61"/>
      <c r="AD225" s="68"/>
      <c r="AE225" s="69" t="str">
        <f t="shared" si="17"/>
        <v/>
      </c>
      <c r="AF225" s="70"/>
      <c r="AG225" s="70"/>
      <c r="AH225" s="70"/>
      <c r="AI225" s="70"/>
      <c r="AJ225" s="70"/>
      <c r="AK225" s="70"/>
      <c r="AL225" s="61"/>
      <c r="AM225" s="71"/>
      <c r="AN225" s="72" t="str">
        <f t="shared" si="18"/>
        <v/>
      </c>
      <c r="AO225" s="73"/>
      <c r="AP225" s="73"/>
      <c r="AQ225" s="73"/>
      <c r="AR225" s="73"/>
      <c r="AS225" s="73"/>
      <c r="AT225" s="73"/>
      <c r="AU225" s="61"/>
      <c r="AV225" s="74"/>
      <c r="AW225" s="75" t="str">
        <f t="shared" si="19"/>
        <v/>
      </c>
    </row>
    <row r="226" spans="1:49" ht="14.25" customHeight="1" x14ac:dyDescent="0.3">
      <c r="A226" s="76">
        <v>222</v>
      </c>
      <c r="B226" s="77" t="s">
        <v>6029</v>
      </c>
      <c r="C226" s="78" t="s">
        <v>6030</v>
      </c>
      <c r="D226" s="76" t="s">
        <v>5774</v>
      </c>
      <c r="E226" s="59">
        <v>46126</v>
      </c>
      <c r="F226" s="60" t="s">
        <v>55</v>
      </c>
      <c r="G226" s="60" t="s">
        <v>58</v>
      </c>
      <c r="H226" s="60" t="s">
        <v>56</v>
      </c>
      <c r="I226" s="60" t="s">
        <v>70</v>
      </c>
      <c r="J226" s="60" t="s">
        <v>58</v>
      </c>
      <c r="K226" s="61"/>
      <c r="L226" s="62" t="s">
        <v>56</v>
      </c>
      <c r="M226" s="63" t="str">
        <f t="shared" si="15"/>
        <v>✓ OK</v>
      </c>
      <c r="N226" s="64"/>
      <c r="O226" s="64"/>
      <c r="P226" s="64"/>
      <c r="Q226" s="64"/>
      <c r="R226" s="64"/>
      <c r="S226" s="64"/>
      <c r="T226" s="61"/>
      <c r="U226" s="65"/>
      <c r="V226" s="66" t="str">
        <f t="shared" si="16"/>
        <v/>
      </c>
      <c r="W226" s="67"/>
      <c r="X226" s="67"/>
      <c r="Y226" s="67"/>
      <c r="Z226" s="67"/>
      <c r="AA226" s="67"/>
      <c r="AB226" s="67"/>
      <c r="AC226" s="61"/>
      <c r="AD226" s="68"/>
      <c r="AE226" s="69" t="str">
        <f t="shared" si="17"/>
        <v/>
      </c>
      <c r="AF226" s="70"/>
      <c r="AG226" s="70"/>
      <c r="AH226" s="70"/>
      <c r="AI226" s="70"/>
      <c r="AJ226" s="70"/>
      <c r="AK226" s="70"/>
      <c r="AL226" s="61"/>
      <c r="AM226" s="71"/>
      <c r="AN226" s="72" t="str">
        <f t="shared" si="18"/>
        <v/>
      </c>
      <c r="AO226" s="73"/>
      <c r="AP226" s="73"/>
      <c r="AQ226" s="73"/>
      <c r="AR226" s="73"/>
      <c r="AS226" s="73"/>
      <c r="AT226" s="73"/>
      <c r="AU226" s="61"/>
      <c r="AV226" s="74"/>
      <c r="AW226" s="75" t="str">
        <f t="shared" si="19"/>
        <v/>
      </c>
    </row>
    <row r="227" spans="1:49" ht="14.25" customHeight="1" x14ac:dyDescent="0.3">
      <c r="A227" s="56">
        <v>223</v>
      </c>
      <c r="B227" s="57" t="s">
        <v>6031</v>
      </c>
      <c r="C227" s="58" t="s">
        <v>6032</v>
      </c>
      <c r="D227" s="56" t="s">
        <v>5774</v>
      </c>
      <c r="E227" s="59">
        <v>46126</v>
      </c>
      <c r="F227" s="60" t="s">
        <v>55</v>
      </c>
      <c r="G227" s="60" t="s">
        <v>58</v>
      </c>
      <c r="H227" s="60" t="s">
        <v>56</v>
      </c>
      <c r="I227" s="60" t="s">
        <v>70</v>
      </c>
      <c r="J227" s="60" t="s">
        <v>58</v>
      </c>
      <c r="K227" s="61"/>
      <c r="L227" s="62" t="s">
        <v>56</v>
      </c>
      <c r="M227" s="63" t="str">
        <f t="shared" si="15"/>
        <v>✓ OK</v>
      </c>
      <c r="N227" s="64"/>
      <c r="O227" s="64"/>
      <c r="P227" s="64"/>
      <c r="Q227" s="64"/>
      <c r="R227" s="64"/>
      <c r="S227" s="64"/>
      <c r="T227" s="61"/>
      <c r="U227" s="65"/>
      <c r="V227" s="66" t="str">
        <f t="shared" si="16"/>
        <v/>
      </c>
      <c r="W227" s="67"/>
      <c r="X227" s="67"/>
      <c r="Y227" s="67"/>
      <c r="Z227" s="67"/>
      <c r="AA227" s="67"/>
      <c r="AB227" s="67"/>
      <c r="AC227" s="61"/>
      <c r="AD227" s="68"/>
      <c r="AE227" s="69" t="str">
        <f t="shared" si="17"/>
        <v/>
      </c>
      <c r="AF227" s="70"/>
      <c r="AG227" s="70"/>
      <c r="AH227" s="70"/>
      <c r="AI227" s="70"/>
      <c r="AJ227" s="70"/>
      <c r="AK227" s="70"/>
      <c r="AL227" s="61"/>
      <c r="AM227" s="71"/>
      <c r="AN227" s="72" t="str">
        <f t="shared" si="18"/>
        <v/>
      </c>
      <c r="AO227" s="73"/>
      <c r="AP227" s="73"/>
      <c r="AQ227" s="73"/>
      <c r="AR227" s="73"/>
      <c r="AS227" s="73"/>
      <c r="AT227" s="73"/>
      <c r="AU227" s="61"/>
      <c r="AV227" s="74"/>
      <c r="AW227" s="75" t="str">
        <f t="shared" si="19"/>
        <v/>
      </c>
    </row>
    <row r="228" spans="1:49" ht="14.25" customHeight="1" x14ac:dyDescent="0.3">
      <c r="A228" s="76">
        <v>224</v>
      </c>
      <c r="B228" s="77" t="s">
        <v>6033</v>
      </c>
      <c r="C228" s="78" t="s">
        <v>6034</v>
      </c>
      <c r="D228" s="76" t="s">
        <v>5774</v>
      </c>
      <c r="E228" s="59">
        <v>46126</v>
      </c>
      <c r="F228" s="60" t="s">
        <v>55</v>
      </c>
      <c r="G228" s="60" t="s">
        <v>58</v>
      </c>
      <c r="H228" s="60" t="s">
        <v>56</v>
      </c>
      <c r="I228" s="60" t="s">
        <v>70</v>
      </c>
      <c r="J228" s="60" t="s">
        <v>58</v>
      </c>
      <c r="K228" s="61"/>
      <c r="L228" s="62" t="s">
        <v>56</v>
      </c>
      <c r="M228" s="63" t="str">
        <f t="shared" si="15"/>
        <v>✓ OK</v>
      </c>
      <c r="N228" s="64"/>
      <c r="O228" s="64"/>
      <c r="P228" s="64"/>
      <c r="Q228" s="64"/>
      <c r="R228" s="64"/>
      <c r="S228" s="64"/>
      <c r="T228" s="61"/>
      <c r="U228" s="65"/>
      <c r="V228" s="66" t="str">
        <f t="shared" si="16"/>
        <v/>
      </c>
      <c r="W228" s="67"/>
      <c r="X228" s="67"/>
      <c r="Y228" s="67"/>
      <c r="Z228" s="67"/>
      <c r="AA228" s="67"/>
      <c r="AB228" s="67"/>
      <c r="AC228" s="61"/>
      <c r="AD228" s="68"/>
      <c r="AE228" s="69" t="str">
        <f t="shared" si="17"/>
        <v/>
      </c>
      <c r="AF228" s="70"/>
      <c r="AG228" s="70"/>
      <c r="AH228" s="70"/>
      <c r="AI228" s="70"/>
      <c r="AJ228" s="70"/>
      <c r="AK228" s="70"/>
      <c r="AL228" s="61"/>
      <c r="AM228" s="71"/>
      <c r="AN228" s="72" t="str">
        <f t="shared" si="18"/>
        <v/>
      </c>
      <c r="AO228" s="73"/>
      <c r="AP228" s="73"/>
      <c r="AQ228" s="73"/>
      <c r="AR228" s="73"/>
      <c r="AS228" s="73"/>
      <c r="AT228" s="73"/>
      <c r="AU228" s="61"/>
      <c r="AV228" s="74"/>
      <c r="AW228" s="75" t="str">
        <f t="shared" si="19"/>
        <v/>
      </c>
    </row>
    <row r="229" spans="1:49" ht="14.25" customHeight="1" x14ac:dyDescent="0.3">
      <c r="A229" s="56">
        <v>225</v>
      </c>
      <c r="B229" s="57" t="s">
        <v>6035</v>
      </c>
      <c r="C229" s="58" t="s">
        <v>6036</v>
      </c>
      <c r="D229" s="56" t="s">
        <v>5774</v>
      </c>
      <c r="E229" s="59">
        <v>46126</v>
      </c>
      <c r="F229" s="60" t="s">
        <v>55</v>
      </c>
      <c r="G229" s="60" t="s">
        <v>58</v>
      </c>
      <c r="H229" s="60" t="s">
        <v>56</v>
      </c>
      <c r="I229" s="60" t="s">
        <v>70</v>
      </c>
      <c r="J229" s="60" t="s">
        <v>58</v>
      </c>
      <c r="K229" s="61"/>
      <c r="L229" s="62" t="s">
        <v>56</v>
      </c>
      <c r="M229" s="63" t="str">
        <f t="shared" si="15"/>
        <v>✓ OK</v>
      </c>
      <c r="N229" s="64"/>
      <c r="O229" s="64"/>
      <c r="P229" s="64"/>
      <c r="Q229" s="64"/>
      <c r="R229" s="64"/>
      <c r="S229" s="64"/>
      <c r="T229" s="61"/>
      <c r="U229" s="65"/>
      <c r="V229" s="66" t="str">
        <f t="shared" si="16"/>
        <v/>
      </c>
      <c r="W229" s="67"/>
      <c r="X229" s="67"/>
      <c r="Y229" s="67"/>
      <c r="Z229" s="67"/>
      <c r="AA229" s="67"/>
      <c r="AB229" s="67"/>
      <c r="AC229" s="61"/>
      <c r="AD229" s="68"/>
      <c r="AE229" s="69" t="str">
        <f t="shared" si="17"/>
        <v/>
      </c>
      <c r="AF229" s="70"/>
      <c r="AG229" s="70"/>
      <c r="AH229" s="70"/>
      <c r="AI229" s="70"/>
      <c r="AJ229" s="70"/>
      <c r="AK229" s="70"/>
      <c r="AL229" s="61"/>
      <c r="AM229" s="71"/>
      <c r="AN229" s="72" t="str">
        <f t="shared" si="18"/>
        <v/>
      </c>
      <c r="AO229" s="73"/>
      <c r="AP229" s="73"/>
      <c r="AQ229" s="73"/>
      <c r="AR229" s="73"/>
      <c r="AS229" s="73"/>
      <c r="AT229" s="73"/>
      <c r="AU229" s="61"/>
      <c r="AV229" s="74"/>
      <c r="AW229" s="75" t="str">
        <f t="shared" si="19"/>
        <v/>
      </c>
    </row>
    <row r="230" spans="1:49" ht="14.25" customHeight="1" x14ac:dyDescent="0.3">
      <c r="A230" s="76">
        <v>226</v>
      </c>
      <c r="B230" s="77" t="s">
        <v>6037</v>
      </c>
      <c r="C230" s="78" t="s">
        <v>6038</v>
      </c>
      <c r="D230" s="76" t="s">
        <v>5774</v>
      </c>
      <c r="E230" s="59">
        <v>46126</v>
      </c>
      <c r="F230" s="60" t="s">
        <v>55</v>
      </c>
      <c r="G230" s="60" t="s">
        <v>58</v>
      </c>
      <c r="H230" s="60" t="s">
        <v>56</v>
      </c>
      <c r="I230" s="60" t="s">
        <v>70</v>
      </c>
      <c r="J230" s="60" t="s">
        <v>58</v>
      </c>
      <c r="K230" s="61"/>
      <c r="L230" s="62" t="s">
        <v>56</v>
      </c>
      <c r="M230" s="63" t="str">
        <f t="shared" si="15"/>
        <v>✓ OK</v>
      </c>
      <c r="N230" s="64"/>
      <c r="O230" s="64"/>
      <c r="P230" s="64"/>
      <c r="Q230" s="64"/>
      <c r="R230" s="64"/>
      <c r="S230" s="64"/>
      <c r="T230" s="61"/>
      <c r="U230" s="65"/>
      <c r="V230" s="66" t="str">
        <f t="shared" si="16"/>
        <v/>
      </c>
      <c r="W230" s="67"/>
      <c r="X230" s="67"/>
      <c r="Y230" s="67"/>
      <c r="Z230" s="67"/>
      <c r="AA230" s="67"/>
      <c r="AB230" s="67"/>
      <c r="AC230" s="61"/>
      <c r="AD230" s="68"/>
      <c r="AE230" s="69" t="str">
        <f t="shared" si="17"/>
        <v/>
      </c>
      <c r="AF230" s="70"/>
      <c r="AG230" s="70"/>
      <c r="AH230" s="70"/>
      <c r="AI230" s="70"/>
      <c r="AJ230" s="70"/>
      <c r="AK230" s="70"/>
      <c r="AL230" s="61"/>
      <c r="AM230" s="71"/>
      <c r="AN230" s="72" t="str">
        <f t="shared" si="18"/>
        <v/>
      </c>
      <c r="AO230" s="73"/>
      <c r="AP230" s="73"/>
      <c r="AQ230" s="73"/>
      <c r="AR230" s="73"/>
      <c r="AS230" s="73"/>
      <c r="AT230" s="73"/>
      <c r="AU230" s="61"/>
      <c r="AV230" s="74"/>
      <c r="AW230" s="75" t="str">
        <f t="shared" si="19"/>
        <v/>
      </c>
    </row>
    <row r="231" spans="1:49" ht="14.25" customHeight="1" x14ac:dyDescent="0.3">
      <c r="A231" s="56">
        <v>227</v>
      </c>
      <c r="B231" s="57" t="s">
        <v>6039</v>
      </c>
      <c r="C231" s="58" t="s">
        <v>6040</v>
      </c>
      <c r="D231" s="56" t="s">
        <v>5774</v>
      </c>
      <c r="E231" s="59">
        <v>46126</v>
      </c>
      <c r="F231" s="60" t="s">
        <v>55</v>
      </c>
      <c r="G231" s="60" t="s">
        <v>58</v>
      </c>
      <c r="H231" s="60" t="s">
        <v>56</v>
      </c>
      <c r="I231" s="60" t="s">
        <v>70</v>
      </c>
      <c r="J231" s="60" t="s">
        <v>58</v>
      </c>
      <c r="K231" s="61"/>
      <c r="L231" s="62" t="s">
        <v>56</v>
      </c>
      <c r="M231" s="63" t="str">
        <f t="shared" si="15"/>
        <v>✓ OK</v>
      </c>
      <c r="N231" s="64"/>
      <c r="O231" s="64"/>
      <c r="P231" s="64"/>
      <c r="Q231" s="64"/>
      <c r="R231" s="64"/>
      <c r="S231" s="64"/>
      <c r="T231" s="61"/>
      <c r="U231" s="65"/>
      <c r="V231" s="66" t="str">
        <f t="shared" si="16"/>
        <v/>
      </c>
      <c r="W231" s="67"/>
      <c r="X231" s="67"/>
      <c r="Y231" s="67"/>
      <c r="Z231" s="67"/>
      <c r="AA231" s="67"/>
      <c r="AB231" s="67"/>
      <c r="AC231" s="61"/>
      <c r="AD231" s="68"/>
      <c r="AE231" s="69" t="str">
        <f t="shared" si="17"/>
        <v/>
      </c>
      <c r="AF231" s="70"/>
      <c r="AG231" s="70"/>
      <c r="AH231" s="70"/>
      <c r="AI231" s="70"/>
      <c r="AJ231" s="70"/>
      <c r="AK231" s="70"/>
      <c r="AL231" s="61"/>
      <c r="AM231" s="71"/>
      <c r="AN231" s="72" t="str">
        <f t="shared" si="18"/>
        <v/>
      </c>
      <c r="AO231" s="73"/>
      <c r="AP231" s="73"/>
      <c r="AQ231" s="73"/>
      <c r="AR231" s="73"/>
      <c r="AS231" s="73"/>
      <c r="AT231" s="73"/>
      <c r="AU231" s="61"/>
      <c r="AV231" s="74"/>
      <c r="AW231" s="75" t="str">
        <f t="shared" si="19"/>
        <v/>
      </c>
    </row>
    <row r="232" spans="1:49" ht="14.25" customHeight="1" x14ac:dyDescent="0.3">
      <c r="A232" s="76">
        <v>228</v>
      </c>
      <c r="B232" s="77" t="s">
        <v>6041</v>
      </c>
      <c r="C232" s="78" t="s">
        <v>6042</v>
      </c>
      <c r="D232" s="76" t="s">
        <v>5774</v>
      </c>
      <c r="E232" s="59">
        <v>46126</v>
      </c>
      <c r="F232" s="60" t="s">
        <v>55</v>
      </c>
      <c r="G232" s="60" t="s">
        <v>58</v>
      </c>
      <c r="H232" s="60" t="s">
        <v>56</v>
      </c>
      <c r="I232" s="60" t="s">
        <v>70</v>
      </c>
      <c r="J232" s="60" t="s">
        <v>58</v>
      </c>
      <c r="K232" s="61"/>
      <c r="L232" s="62" t="s">
        <v>56</v>
      </c>
      <c r="M232" s="63" t="str">
        <f t="shared" si="15"/>
        <v>✓ OK</v>
      </c>
      <c r="N232" s="64"/>
      <c r="O232" s="64"/>
      <c r="P232" s="64"/>
      <c r="Q232" s="64"/>
      <c r="R232" s="64"/>
      <c r="S232" s="64"/>
      <c r="T232" s="61"/>
      <c r="U232" s="65"/>
      <c r="V232" s="66" t="str">
        <f t="shared" si="16"/>
        <v/>
      </c>
      <c r="W232" s="67"/>
      <c r="X232" s="67"/>
      <c r="Y232" s="67"/>
      <c r="Z232" s="67"/>
      <c r="AA232" s="67"/>
      <c r="AB232" s="67"/>
      <c r="AC232" s="61"/>
      <c r="AD232" s="68"/>
      <c r="AE232" s="69" t="str">
        <f t="shared" si="17"/>
        <v/>
      </c>
      <c r="AF232" s="70"/>
      <c r="AG232" s="70"/>
      <c r="AH232" s="70"/>
      <c r="AI232" s="70"/>
      <c r="AJ232" s="70"/>
      <c r="AK232" s="70"/>
      <c r="AL232" s="61"/>
      <c r="AM232" s="71"/>
      <c r="AN232" s="72" t="str">
        <f t="shared" si="18"/>
        <v/>
      </c>
      <c r="AO232" s="73"/>
      <c r="AP232" s="73"/>
      <c r="AQ232" s="73"/>
      <c r="AR232" s="73"/>
      <c r="AS232" s="73"/>
      <c r="AT232" s="73"/>
      <c r="AU232" s="61"/>
      <c r="AV232" s="74"/>
      <c r="AW232" s="75" t="str">
        <f t="shared" si="19"/>
        <v/>
      </c>
    </row>
    <row r="233" spans="1:49" ht="14.25" customHeight="1" x14ac:dyDescent="0.3">
      <c r="A233" s="56">
        <v>229</v>
      </c>
      <c r="B233" s="57" t="s">
        <v>6043</v>
      </c>
      <c r="C233" s="58" t="s">
        <v>6044</v>
      </c>
      <c r="D233" s="56" t="s">
        <v>5774</v>
      </c>
      <c r="E233" s="59">
        <v>46126</v>
      </c>
      <c r="F233" s="60" t="s">
        <v>55</v>
      </c>
      <c r="G233" s="60" t="s">
        <v>58</v>
      </c>
      <c r="H233" s="60" t="s">
        <v>56</v>
      </c>
      <c r="I233" s="60" t="s">
        <v>70</v>
      </c>
      <c r="J233" s="60" t="s">
        <v>58</v>
      </c>
      <c r="K233" s="61"/>
      <c r="L233" s="62" t="s">
        <v>56</v>
      </c>
      <c r="M233" s="63" t="str">
        <f t="shared" si="15"/>
        <v>✓ OK</v>
      </c>
      <c r="N233" s="64"/>
      <c r="O233" s="64"/>
      <c r="P233" s="64"/>
      <c r="Q233" s="64"/>
      <c r="R233" s="64"/>
      <c r="S233" s="64"/>
      <c r="T233" s="61"/>
      <c r="U233" s="65"/>
      <c r="V233" s="66" t="str">
        <f t="shared" si="16"/>
        <v/>
      </c>
      <c r="W233" s="67"/>
      <c r="X233" s="67"/>
      <c r="Y233" s="67"/>
      <c r="Z233" s="67"/>
      <c r="AA233" s="67"/>
      <c r="AB233" s="67"/>
      <c r="AC233" s="61"/>
      <c r="AD233" s="68"/>
      <c r="AE233" s="69" t="str">
        <f t="shared" si="17"/>
        <v/>
      </c>
      <c r="AF233" s="70"/>
      <c r="AG233" s="70"/>
      <c r="AH233" s="70"/>
      <c r="AI233" s="70"/>
      <c r="AJ233" s="70"/>
      <c r="AK233" s="70"/>
      <c r="AL233" s="61"/>
      <c r="AM233" s="71"/>
      <c r="AN233" s="72" t="str">
        <f t="shared" si="18"/>
        <v/>
      </c>
      <c r="AO233" s="73"/>
      <c r="AP233" s="73"/>
      <c r="AQ233" s="73"/>
      <c r="AR233" s="73"/>
      <c r="AS233" s="73"/>
      <c r="AT233" s="73"/>
      <c r="AU233" s="61"/>
      <c r="AV233" s="74"/>
      <c r="AW233" s="75" t="str">
        <f t="shared" si="19"/>
        <v/>
      </c>
    </row>
    <row r="234" spans="1:49" ht="14.25" customHeight="1" x14ac:dyDescent="0.3">
      <c r="A234" s="76">
        <v>230</v>
      </c>
      <c r="B234" s="77" t="s">
        <v>6045</v>
      </c>
      <c r="C234" s="78" t="s">
        <v>6046</v>
      </c>
      <c r="D234" s="76" t="s">
        <v>5774</v>
      </c>
      <c r="E234" s="59">
        <v>46126</v>
      </c>
      <c r="F234" s="60" t="s">
        <v>55</v>
      </c>
      <c r="G234" s="60" t="s">
        <v>58</v>
      </c>
      <c r="H234" s="60" t="s">
        <v>56</v>
      </c>
      <c r="I234" s="60" t="s">
        <v>70</v>
      </c>
      <c r="J234" s="60" t="s">
        <v>58</v>
      </c>
      <c r="K234" s="61"/>
      <c r="L234" s="62" t="s">
        <v>56</v>
      </c>
      <c r="M234" s="63" t="str">
        <f t="shared" si="15"/>
        <v>✓ OK</v>
      </c>
      <c r="N234" s="64"/>
      <c r="O234" s="64"/>
      <c r="P234" s="64"/>
      <c r="Q234" s="64"/>
      <c r="R234" s="64"/>
      <c r="S234" s="64"/>
      <c r="T234" s="61"/>
      <c r="U234" s="65"/>
      <c r="V234" s="66" t="str">
        <f t="shared" si="16"/>
        <v/>
      </c>
      <c r="W234" s="67"/>
      <c r="X234" s="67"/>
      <c r="Y234" s="67"/>
      <c r="Z234" s="67"/>
      <c r="AA234" s="67"/>
      <c r="AB234" s="67"/>
      <c r="AC234" s="61"/>
      <c r="AD234" s="68"/>
      <c r="AE234" s="69" t="str">
        <f t="shared" si="17"/>
        <v/>
      </c>
      <c r="AF234" s="70"/>
      <c r="AG234" s="70"/>
      <c r="AH234" s="70"/>
      <c r="AI234" s="70"/>
      <c r="AJ234" s="70"/>
      <c r="AK234" s="70"/>
      <c r="AL234" s="61"/>
      <c r="AM234" s="71"/>
      <c r="AN234" s="72" t="str">
        <f t="shared" si="18"/>
        <v/>
      </c>
      <c r="AO234" s="73"/>
      <c r="AP234" s="73"/>
      <c r="AQ234" s="73"/>
      <c r="AR234" s="73"/>
      <c r="AS234" s="73"/>
      <c r="AT234" s="73"/>
      <c r="AU234" s="61"/>
      <c r="AV234" s="74"/>
      <c r="AW234" s="75" t="str">
        <f t="shared" si="19"/>
        <v/>
      </c>
    </row>
    <row r="235" spans="1:49" ht="14.25" customHeight="1" x14ac:dyDescent="0.3">
      <c r="A235" s="56">
        <v>231</v>
      </c>
      <c r="B235" s="57" t="s">
        <v>6047</v>
      </c>
      <c r="C235" s="58" t="s">
        <v>6048</v>
      </c>
      <c r="D235" s="56" t="s">
        <v>5774</v>
      </c>
      <c r="E235" s="59">
        <v>46126</v>
      </c>
      <c r="F235" s="60" t="s">
        <v>55</v>
      </c>
      <c r="G235" s="60" t="s">
        <v>58</v>
      </c>
      <c r="H235" s="60" t="s">
        <v>56</v>
      </c>
      <c r="I235" s="60" t="s">
        <v>70</v>
      </c>
      <c r="J235" s="60" t="s">
        <v>58</v>
      </c>
      <c r="K235" s="61"/>
      <c r="L235" s="62" t="s">
        <v>56</v>
      </c>
      <c r="M235" s="63" t="str">
        <f t="shared" si="15"/>
        <v>✓ OK</v>
      </c>
      <c r="N235" s="64"/>
      <c r="O235" s="64"/>
      <c r="P235" s="64"/>
      <c r="Q235" s="64"/>
      <c r="R235" s="64"/>
      <c r="S235" s="64"/>
      <c r="T235" s="61"/>
      <c r="U235" s="65"/>
      <c r="V235" s="66" t="str">
        <f t="shared" si="16"/>
        <v/>
      </c>
      <c r="W235" s="67"/>
      <c r="X235" s="67"/>
      <c r="Y235" s="67"/>
      <c r="Z235" s="67"/>
      <c r="AA235" s="67"/>
      <c r="AB235" s="67"/>
      <c r="AC235" s="61"/>
      <c r="AD235" s="68"/>
      <c r="AE235" s="69" t="str">
        <f t="shared" si="17"/>
        <v/>
      </c>
      <c r="AF235" s="70"/>
      <c r="AG235" s="70"/>
      <c r="AH235" s="70"/>
      <c r="AI235" s="70"/>
      <c r="AJ235" s="70"/>
      <c r="AK235" s="70"/>
      <c r="AL235" s="61"/>
      <c r="AM235" s="71"/>
      <c r="AN235" s="72" t="str">
        <f t="shared" si="18"/>
        <v/>
      </c>
      <c r="AO235" s="73"/>
      <c r="AP235" s="73"/>
      <c r="AQ235" s="73"/>
      <c r="AR235" s="73"/>
      <c r="AS235" s="73"/>
      <c r="AT235" s="73"/>
      <c r="AU235" s="61"/>
      <c r="AV235" s="74"/>
      <c r="AW235" s="75" t="str">
        <f t="shared" si="19"/>
        <v/>
      </c>
    </row>
    <row r="236" spans="1:49" ht="14.25" customHeight="1" x14ac:dyDescent="0.3">
      <c r="A236" s="76">
        <v>232</v>
      </c>
      <c r="B236" s="77" t="s">
        <v>6049</v>
      </c>
      <c r="C236" s="78" t="s">
        <v>6050</v>
      </c>
      <c r="D236" s="76" t="s">
        <v>5774</v>
      </c>
      <c r="E236" s="59">
        <v>46126</v>
      </c>
      <c r="F236" s="60" t="s">
        <v>55</v>
      </c>
      <c r="G236" s="60" t="s">
        <v>58</v>
      </c>
      <c r="H236" s="60" t="s">
        <v>56</v>
      </c>
      <c r="I236" s="60" t="s">
        <v>70</v>
      </c>
      <c r="J236" s="60" t="s">
        <v>58</v>
      </c>
      <c r="K236" s="61"/>
      <c r="L236" s="62" t="s">
        <v>56</v>
      </c>
      <c r="M236" s="63" t="str">
        <f t="shared" si="15"/>
        <v>✓ OK</v>
      </c>
      <c r="N236" s="64"/>
      <c r="O236" s="64"/>
      <c r="P236" s="64"/>
      <c r="Q236" s="64"/>
      <c r="R236" s="64"/>
      <c r="S236" s="64"/>
      <c r="T236" s="61"/>
      <c r="U236" s="65"/>
      <c r="V236" s="66" t="str">
        <f t="shared" si="16"/>
        <v/>
      </c>
      <c r="W236" s="67"/>
      <c r="X236" s="67"/>
      <c r="Y236" s="67"/>
      <c r="Z236" s="67"/>
      <c r="AA236" s="67"/>
      <c r="AB236" s="67"/>
      <c r="AC236" s="61"/>
      <c r="AD236" s="68"/>
      <c r="AE236" s="69" t="str">
        <f t="shared" si="17"/>
        <v/>
      </c>
      <c r="AF236" s="70"/>
      <c r="AG236" s="70"/>
      <c r="AH236" s="70"/>
      <c r="AI236" s="70"/>
      <c r="AJ236" s="70"/>
      <c r="AK236" s="70"/>
      <c r="AL236" s="61"/>
      <c r="AM236" s="71"/>
      <c r="AN236" s="72" t="str">
        <f t="shared" si="18"/>
        <v/>
      </c>
      <c r="AO236" s="73"/>
      <c r="AP236" s="73"/>
      <c r="AQ236" s="73"/>
      <c r="AR236" s="73"/>
      <c r="AS236" s="73"/>
      <c r="AT236" s="73"/>
      <c r="AU236" s="61"/>
      <c r="AV236" s="74"/>
      <c r="AW236" s="75" t="str">
        <f t="shared" si="19"/>
        <v/>
      </c>
    </row>
    <row r="237" spans="1:49" ht="14.25" customHeight="1" x14ac:dyDescent="0.3">
      <c r="A237" s="56">
        <v>233</v>
      </c>
      <c r="B237" s="57" t="s">
        <v>6051</v>
      </c>
      <c r="C237" s="58" t="s">
        <v>6052</v>
      </c>
      <c r="D237" s="56" t="s">
        <v>5774</v>
      </c>
      <c r="E237" s="59">
        <v>46126</v>
      </c>
      <c r="F237" s="60" t="s">
        <v>55</v>
      </c>
      <c r="G237" s="60" t="s">
        <v>58</v>
      </c>
      <c r="H237" s="60" t="s">
        <v>56</v>
      </c>
      <c r="I237" s="60" t="s">
        <v>70</v>
      </c>
      <c r="J237" s="60" t="s">
        <v>58</v>
      </c>
      <c r="K237" s="61"/>
      <c r="L237" s="62" t="s">
        <v>56</v>
      </c>
      <c r="M237" s="63" t="str">
        <f t="shared" si="15"/>
        <v>✓ OK</v>
      </c>
      <c r="N237" s="64"/>
      <c r="O237" s="64"/>
      <c r="P237" s="64"/>
      <c r="Q237" s="64"/>
      <c r="R237" s="64"/>
      <c r="S237" s="64"/>
      <c r="T237" s="61"/>
      <c r="U237" s="65"/>
      <c r="V237" s="66" t="str">
        <f t="shared" si="16"/>
        <v/>
      </c>
      <c r="W237" s="67"/>
      <c r="X237" s="67"/>
      <c r="Y237" s="67"/>
      <c r="Z237" s="67"/>
      <c r="AA237" s="67"/>
      <c r="AB237" s="67"/>
      <c r="AC237" s="61"/>
      <c r="AD237" s="68"/>
      <c r="AE237" s="69" t="str">
        <f t="shared" si="17"/>
        <v/>
      </c>
      <c r="AF237" s="70"/>
      <c r="AG237" s="70"/>
      <c r="AH237" s="70"/>
      <c r="AI237" s="70"/>
      <c r="AJ237" s="70"/>
      <c r="AK237" s="70"/>
      <c r="AL237" s="61"/>
      <c r="AM237" s="71"/>
      <c r="AN237" s="72" t="str">
        <f t="shared" si="18"/>
        <v/>
      </c>
      <c r="AO237" s="73"/>
      <c r="AP237" s="73"/>
      <c r="AQ237" s="73"/>
      <c r="AR237" s="73"/>
      <c r="AS237" s="73"/>
      <c r="AT237" s="73"/>
      <c r="AU237" s="61"/>
      <c r="AV237" s="74"/>
      <c r="AW237" s="75" t="str">
        <f t="shared" si="19"/>
        <v/>
      </c>
    </row>
    <row r="238" spans="1:49" ht="14.25" customHeight="1" x14ac:dyDescent="0.3">
      <c r="A238" s="76">
        <v>234</v>
      </c>
      <c r="B238" s="77" t="s">
        <v>6053</v>
      </c>
      <c r="C238" s="78" t="s">
        <v>6054</v>
      </c>
      <c r="D238" s="76" t="s">
        <v>5774</v>
      </c>
      <c r="E238" s="59">
        <v>46126</v>
      </c>
      <c r="F238" s="60" t="s">
        <v>55</v>
      </c>
      <c r="G238" s="60" t="s">
        <v>58</v>
      </c>
      <c r="H238" s="60" t="s">
        <v>56</v>
      </c>
      <c r="I238" s="60" t="s">
        <v>70</v>
      </c>
      <c r="J238" s="60" t="s">
        <v>58</v>
      </c>
      <c r="K238" s="61"/>
      <c r="L238" s="62" t="s">
        <v>56</v>
      </c>
      <c r="M238" s="63" t="str">
        <f t="shared" si="15"/>
        <v>✓ OK</v>
      </c>
      <c r="N238" s="64"/>
      <c r="O238" s="64"/>
      <c r="P238" s="64"/>
      <c r="Q238" s="64"/>
      <c r="R238" s="64"/>
      <c r="S238" s="64"/>
      <c r="T238" s="61"/>
      <c r="U238" s="65"/>
      <c r="V238" s="66" t="str">
        <f t="shared" si="16"/>
        <v/>
      </c>
      <c r="W238" s="67"/>
      <c r="X238" s="67"/>
      <c r="Y238" s="67"/>
      <c r="Z238" s="67"/>
      <c r="AA238" s="67"/>
      <c r="AB238" s="67"/>
      <c r="AC238" s="61"/>
      <c r="AD238" s="68"/>
      <c r="AE238" s="69" t="str">
        <f t="shared" si="17"/>
        <v/>
      </c>
      <c r="AF238" s="70"/>
      <c r="AG238" s="70"/>
      <c r="AH238" s="70"/>
      <c r="AI238" s="70"/>
      <c r="AJ238" s="70"/>
      <c r="AK238" s="70"/>
      <c r="AL238" s="61"/>
      <c r="AM238" s="71"/>
      <c r="AN238" s="72" t="str">
        <f t="shared" si="18"/>
        <v/>
      </c>
      <c r="AO238" s="73"/>
      <c r="AP238" s="73"/>
      <c r="AQ238" s="73"/>
      <c r="AR238" s="73"/>
      <c r="AS238" s="73"/>
      <c r="AT238" s="73"/>
      <c r="AU238" s="61"/>
      <c r="AV238" s="74"/>
      <c r="AW238" s="75" t="str">
        <f t="shared" si="19"/>
        <v/>
      </c>
    </row>
    <row r="239" spans="1:49" ht="14.25" customHeight="1" x14ac:dyDescent="0.3">
      <c r="A239" s="56">
        <v>235</v>
      </c>
      <c r="B239" s="57" t="s">
        <v>6055</v>
      </c>
      <c r="C239" s="58" t="s">
        <v>6056</v>
      </c>
      <c r="D239" s="56" t="s">
        <v>5774</v>
      </c>
      <c r="E239" s="59">
        <v>46126</v>
      </c>
      <c r="F239" s="60" t="s">
        <v>55</v>
      </c>
      <c r="G239" s="60" t="s">
        <v>58</v>
      </c>
      <c r="H239" s="60" t="s">
        <v>56</v>
      </c>
      <c r="I239" s="60" t="s">
        <v>70</v>
      </c>
      <c r="J239" s="60" t="s">
        <v>58</v>
      </c>
      <c r="K239" s="61"/>
      <c r="L239" s="62" t="s">
        <v>56</v>
      </c>
      <c r="M239" s="63" t="str">
        <f t="shared" si="15"/>
        <v>✓ OK</v>
      </c>
      <c r="N239" s="64"/>
      <c r="O239" s="64"/>
      <c r="P239" s="64"/>
      <c r="Q239" s="64"/>
      <c r="R239" s="64"/>
      <c r="S239" s="64"/>
      <c r="T239" s="61"/>
      <c r="U239" s="65"/>
      <c r="V239" s="66" t="str">
        <f t="shared" si="16"/>
        <v/>
      </c>
      <c r="W239" s="67"/>
      <c r="X239" s="67"/>
      <c r="Y239" s="67"/>
      <c r="Z239" s="67"/>
      <c r="AA239" s="67"/>
      <c r="AB239" s="67"/>
      <c r="AC239" s="61"/>
      <c r="AD239" s="68"/>
      <c r="AE239" s="69" t="str">
        <f t="shared" si="17"/>
        <v/>
      </c>
      <c r="AF239" s="70"/>
      <c r="AG239" s="70"/>
      <c r="AH239" s="70"/>
      <c r="AI239" s="70"/>
      <c r="AJ239" s="70"/>
      <c r="AK239" s="70"/>
      <c r="AL239" s="61"/>
      <c r="AM239" s="71"/>
      <c r="AN239" s="72" t="str">
        <f t="shared" si="18"/>
        <v/>
      </c>
      <c r="AO239" s="73"/>
      <c r="AP239" s="73"/>
      <c r="AQ239" s="73"/>
      <c r="AR239" s="73"/>
      <c r="AS239" s="73"/>
      <c r="AT239" s="73"/>
      <c r="AU239" s="61"/>
      <c r="AV239" s="74"/>
      <c r="AW239" s="75" t="str">
        <f t="shared" si="19"/>
        <v/>
      </c>
    </row>
    <row r="240" spans="1:49" ht="14.25" customHeight="1" x14ac:dyDescent="0.3">
      <c r="A240" s="76">
        <v>236</v>
      </c>
      <c r="B240" s="77" t="s">
        <v>6057</v>
      </c>
      <c r="C240" s="78" t="s">
        <v>6058</v>
      </c>
      <c r="D240" s="76" t="s">
        <v>5774</v>
      </c>
      <c r="E240" s="59">
        <v>46126</v>
      </c>
      <c r="F240" s="60" t="s">
        <v>55</v>
      </c>
      <c r="G240" s="60" t="s">
        <v>58</v>
      </c>
      <c r="H240" s="60" t="s">
        <v>56</v>
      </c>
      <c r="I240" s="60" t="s">
        <v>70</v>
      </c>
      <c r="J240" s="60" t="s">
        <v>58</v>
      </c>
      <c r="K240" s="61"/>
      <c r="L240" s="62" t="s">
        <v>56</v>
      </c>
      <c r="M240" s="63" t="str">
        <f t="shared" si="15"/>
        <v>✓ OK</v>
      </c>
      <c r="N240" s="64"/>
      <c r="O240" s="64"/>
      <c r="P240" s="64"/>
      <c r="Q240" s="64"/>
      <c r="R240" s="64"/>
      <c r="S240" s="64"/>
      <c r="T240" s="61"/>
      <c r="U240" s="65"/>
      <c r="V240" s="66" t="str">
        <f t="shared" si="16"/>
        <v/>
      </c>
      <c r="W240" s="67"/>
      <c r="X240" s="67"/>
      <c r="Y240" s="67"/>
      <c r="Z240" s="67"/>
      <c r="AA240" s="67"/>
      <c r="AB240" s="67"/>
      <c r="AC240" s="61"/>
      <c r="AD240" s="68"/>
      <c r="AE240" s="69" t="str">
        <f t="shared" si="17"/>
        <v/>
      </c>
      <c r="AF240" s="70"/>
      <c r="AG240" s="70"/>
      <c r="AH240" s="70"/>
      <c r="AI240" s="70"/>
      <c r="AJ240" s="70"/>
      <c r="AK240" s="70"/>
      <c r="AL240" s="61"/>
      <c r="AM240" s="71"/>
      <c r="AN240" s="72" t="str">
        <f t="shared" si="18"/>
        <v/>
      </c>
      <c r="AO240" s="73"/>
      <c r="AP240" s="73"/>
      <c r="AQ240" s="73"/>
      <c r="AR240" s="73"/>
      <c r="AS240" s="73"/>
      <c r="AT240" s="73"/>
      <c r="AU240" s="61"/>
      <c r="AV240" s="74"/>
      <c r="AW240" s="75" t="str">
        <f t="shared" si="19"/>
        <v/>
      </c>
    </row>
    <row r="241" spans="1:49" ht="14.25" customHeight="1" x14ac:dyDescent="0.3">
      <c r="A241" s="56">
        <v>237</v>
      </c>
      <c r="B241" s="57" t="s">
        <v>6059</v>
      </c>
      <c r="C241" s="58" t="s">
        <v>6060</v>
      </c>
      <c r="D241" s="56" t="s">
        <v>5774</v>
      </c>
      <c r="E241" s="59">
        <v>46126</v>
      </c>
      <c r="F241" s="60" t="s">
        <v>55</v>
      </c>
      <c r="G241" s="60" t="s">
        <v>58</v>
      </c>
      <c r="H241" s="60" t="s">
        <v>56</v>
      </c>
      <c r="I241" s="60" t="s">
        <v>70</v>
      </c>
      <c r="J241" s="60" t="s">
        <v>58</v>
      </c>
      <c r="K241" s="61"/>
      <c r="L241" s="62" t="s">
        <v>56</v>
      </c>
      <c r="M241" s="63" t="str">
        <f t="shared" si="15"/>
        <v>✓ OK</v>
      </c>
      <c r="N241" s="64"/>
      <c r="O241" s="64"/>
      <c r="P241" s="64"/>
      <c r="Q241" s="64"/>
      <c r="R241" s="64"/>
      <c r="S241" s="64"/>
      <c r="T241" s="61"/>
      <c r="U241" s="65"/>
      <c r="V241" s="66" t="str">
        <f t="shared" si="16"/>
        <v/>
      </c>
      <c r="W241" s="67"/>
      <c r="X241" s="67"/>
      <c r="Y241" s="67"/>
      <c r="Z241" s="67"/>
      <c r="AA241" s="67"/>
      <c r="AB241" s="67"/>
      <c r="AC241" s="61"/>
      <c r="AD241" s="68"/>
      <c r="AE241" s="69" t="str">
        <f t="shared" si="17"/>
        <v/>
      </c>
      <c r="AF241" s="70"/>
      <c r="AG241" s="70"/>
      <c r="AH241" s="70"/>
      <c r="AI241" s="70"/>
      <c r="AJ241" s="70"/>
      <c r="AK241" s="70"/>
      <c r="AL241" s="61"/>
      <c r="AM241" s="71"/>
      <c r="AN241" s="72" t="str">
        <f t="shared" si="18"/>
        <v/>
      </c>
      <c r="AO241" s="73"/>
      <c r="AP241" s="73"/>
      <c r="AQ241" s="73"/>
      <c r="AR241" s="73"/>
      <c r="AS241" s="73"/>
      <c r="AT241" s="73"/>
      <c r="AU241" s="61"/>
      <c r="AV241" s="74"/>
      <c r="AW241" s="75" t="str">
        <f t="shared" si="19"/>
        <v/>
      </c>
    </row>
    <row r="242" spans="1:49" ht="14.25" customHeight="1" x14ac:dyDescent="0.3">
      <c r="A242" s="76">
        <v>238</v>
      </c>
      <c r="B242" s="77" t="s">
        <v>6061</v>
      </c>
      <c r="C242" s="78" t="s">
        <v>6062</v>
      </c>
      <c r="D242" s="76" t="s">
        <v>5774</v>
      </c>
      <c r="E242" s="59">
        <v>46126</v>
      </c>
      <c r="F242" s="60" t="s">
        <v>55</v>
      </c>
      <c r="G242" s="60" t="s">
        <v>58</v>
      </c>
      <c r="H242" s="60" t="s">
        <v>56</v>
      </c>
      <c r="I242" s="60" t="s">
        <v>70</v>
      </c>
      <c r="J242" s="60" t="s">
        <v>58</v>
      </c>
      <c r="K242" s="61"/>
      <c r="L242" s="62" t="s">
        <v>56</v>
      </c>
      <c r="M242" s="63" t="str">
        <f t="shared" si="15"/>
        <v>✓ OK</v>
      </c>
      <c r="N242" s="64"/>
      <c r="O242" s="64"/>
      <c r="P242" s="64"/>
      <c r="Q242" s="64"/>
      <c r="R242" s="64"/>
      <c r="S242" s="64"/>
      <c r="T242" s="61"/>
      <c r="U242" s="65"/>
      <c r="V242" s="66" t="str">
        <f t="shared" si="16"/>
        <v/>
      </c>
      <c r="W242" s="67"/>
      <c r="X242" s="67"/>
      <c r="Y242" s="67"/>
      <c r="Z242" s="67"/>
      <c r="AA242" s="67"/>
      <c r="AB242" s="67"/>
      <c r="AC242" s="61"/>
      <c r="AD242" s="68"/>
      <c r="AE242" s="69" t="str">
        <f t="shared" si="17"/>
        <v/>
      </c>
      <c r="AF242" s="70"/>
      <c r="AG242" s="70"/>
      <c r="AH242" s="70"/>
      <c r="AI242" s="70"/>
      <c r="AJ242" s="70"/>
      <c r="AK242" s="70"/>
      <c r="AL242" s="61"/>
      <c r="AM242" s="71"/>
      <c r="AN242" s="72" t="str">
        <f t="shared" si="18"/>
        <v/>
      </c>
      <c r="AO242" s="73"/>
      <c r="AP242" s="73"/>
      <c r="AQ242" s="73"/>
      <c r="AR242" s="73"/>
      <c r="AS242" s="73"/>
      <c r="AT242" s="73"/>
      <c r="AU242" s="61"/>
      <c r="AV242" s="74"/>
      <c r="AW242" s="75" t="str">
        <f t="shared" si="19"/>
        <v/>
      </c>
    </row>
    <row r="243" spans="1:49" ht="14.25" customHeight="1" x14ac:dyDescent="0.3">
      <c r="A243" s="56">
        <v>239</v>
      </c>
      <c r="B243" s="57" t="s">
        <v>6063</v>
      </c>
      <c r="C243" s="58" t="s">
        <v>6064</v>
      </c>
      <c r="D243" s="56" t="s">
        <v>5774</v>
      </c>
      <c r="E243" s="59">
        <v>46126</v>
      </c>
      <c r="F243" s="60" t="s">
        <v>55</v>
      </c>
      <c r="G243" s="60" t="s">
        <v>58</v>
      </c>
      <c r="H243" s="60" t="s">
        <v>56</v>
      </c>
      <c r="I243" s="60" t="s">
        <v>70</v>
      </c>
      <c r="J243" s="60" t="s">
        <v>58</v>
      </c>
      <c r="K243" s="61"/>
      <c r="L243" s="62" t="s">
        <v>56</v>
      </c>
      <c r="M243" s="63" t="str">
        <f t="shared" si="15"/>
        <v>✓ OK</v>
      </c>
      <c r="N243" s="64"/>
      <c r="O243" s="64"/>
      <c r="P243" s="64"/>
      <c r="Q243" s="64"/>
      <c r="R243" s="64"/>
      <c r="S243" s="64"/>
      <c r="T243" s="61"/>
      <c r="U243" s="65"/>
      <c r="V243" s="66" t="str">
        <f t="shared" si="16"/>
        <v/>
      </c>
      <c r="W243" s="67"/>
      <c r="X243" s="67"/>
      <c r="Y243" s="67"/>
      <c r="Z243" s="67"/>
      <c r="AA243" s="67"/>
      <c r="AB243" s="67"/>
      <c r="AC243" s="61"/>
      <c r="AD243" s="68"/>
      <c r="AE243" s="69" t="str">
        <f t="shared" si="17"/>
        <v/>
      </c>
      <c r="AF243" s="70"/>
      <c r="AG243" s="70"/>
      <c r="AH243" s="70"/>
      <c r="AI243" s="70"/>
      <c r="AJ243" s="70"/>
      <c r="AK243" s="70"/>
      <c r="AL243" s="61"/>
      <c r="AM243" s="71"/>
      <c r="AN243" s="72" t="str">
        <f t="shared" si="18"/>
        <v/>
      </c>
      <c r="AO243" s="73"/>
      <c r="AP243" s="73"/>
      <c r="AQ243" s="73"/>
      <c r="AR243" s="73"/>
      <c r="AS243" s="73"/>
      <c r="AT243" s="73"/>
      <c r="AU243" s="61"/>
      <c r="AV243" s="74"/>
      <c r="AW243" s="75" t="str">
        <f t="shared" si="19"/>
        <v/>
      </c>
    </row>
    <row r="244" spans="1:49" ht="14.25" customHeight="1" x14ac:dyDescent="0.3">
      <c r="A244" s="76">
        <v>240</v>
      </c>
      <c r="B244" s="77" t="s">
        <v>6065</v>
      </c>
      <c r="C244" s="78" t="s">
        <v>6066</v>
      </c>
      <c r="D244" s="76" t="s">
        <v>5774</v>
      </c>
      <c r="E244" s="59">
        <v>46126</v>
      </c>
      <c r="F244" s="60" t="s">
        <v>55</v>
      </c>
      <c r="G244" s="60" t="s">
        <v>58</v>
      </c>
      <c r="H244" s="60" t="s">
        <v>56</v>
      </c>
      <c r="I244" s="60" t="s">
        <v>70</v>
      </c>
      <c r="J244" s="60" t="s">
        <v>58</v>
      </c>
      <c r="K244" s="61"/>
      <c r="L244" s="62" t="s">
        <v>56</v>
      </c>
      <c r="M244" s="63" t="str">
        <f t="shared" si="15"/>
        <v>✓ OK</v>
      </c>
      <c r="N244" s="64"/>
      <c r="O244" s="64"/>
      <c r="P244" s="64"/>
      <c r="Q244" s="64"/>
      <c r="R244" s="64"/>
      <c r="S244" s="64"/>
      <c r="T244" s="61"/>
      <c r="U244" s="65"/>
      <c r="V244" s="66" t="str">
        <f t="shared" si="16"/>
        <v/>
      </c>
      <c r="W244" s="67"/>
      <c r="X244" s="67"/>
      <c r="Y244" s="67"/>
      <c r="Z244" s="67"/>
      <c r="AA244" s="67"/>
      <c r="AB244" s="67"/>
      <c r="AC244" s="61"/>
      <c r="AD244" s="68"/>
      <c r="AE244" s="69" t="str">
        <f t="shared" si="17"/>
        <v/>
      </c>
      <c r="AF244" s="70"/>
      <c r="AG244" s="70"/>
      <c r="AH244" s="70"/>
      <c r="AI244" s="70"/>
      <c r="AJ244" s="70"/>
      <c r="AK244" s="70"/>
      <c r="AL244" s="61"/>
      <c r="AM244" s="71"/>
      <c r="AN244" s="72" t="str">
        <f t="shared" si="18"/>
        <v/>
      </c>
      <c r="AO244" s="73"/>
      <c r="AP244" s="73"/>
      <c r="AQ244" s="73"/>
      <c r="AR244" s="73"/>
      <c r="AS244" s="73"/>
      <c r="AT244" s="73"/>
      <c r="AU244" s="61"/>
      <c r="AV244" s="74"/>
      <c r="AW244" s="75" t="str">
        <f t="shared" si="19"/>
        <v/>
      </c>
    </row>
    <row r="245" spans="1:49" ht="14.25" customHeight="1" x14ac:dyDescent="0.3">
      <c r="A245" s="56">
        <v>241</v>
      </c>
      <c r="B245" s="57" t="s">
        <v>6067</v>
      </c>
      <c r="C245" s="58" t="s">
        <v>6068</v>
      </c>
      <c r="D245" s="56" t="s">
        <v>5774</v>
      </c>
      <c r="E245" s="59">
        <v>46126</v>
      </c>
      <c r="F245" s="60" t="s">
        <v>55</v>
      </c>
      <c r="G245" s="60" t="s">
        <v>58</v>
      </c>
      <c r="H245" s="60" t="s">
        <v>56</v>
      </c>
      <c r="I245" s="60" t="s">
        <v>70</v>
      </c>
      <c r="J245" s="60" t="s">
        <v>58</v>
      </c>
      <c r="K245" s="61"/>
      <c r="L245" s="62" t="s">
        <v>56</v>
      </c>
      <c r="M245" s="63" t="str">
        <f t="shared" si="15"/>
        <v>✓ OK</v>
      </c>
      <c r="N245" s="64"/>
      <c r="O245" s="64"/>
      <c r="P245" s="64"/>
      <c r="Q245" s="64"/>
      <c r="R245" s="64"/>
      <c r="S245" s="64"/>
      <c r="T245" s="61"/>
      <c r="U245" s="65"/>
      <c r="V245" s="66" t="str">
        <f t="shared" si="16"/>
        <v/>
      </c>
      <c r="W245" s="67"/>
      <c r="X245" s="67"/>
      <c r="Y245" s="67"/>
      <c r="Z245" s="67"/>
      <c r="AA245" s="67"/>
      <c r="AB245" s="67"/>
      <c r="AC245" s="61"/>
      <c r="AD245" s="68"/>
      <c r="AE245" s="69" t="str">
        <f t="shared" si="17"/>
        <v/>
      </c>
      <c r="AF245" s="70"/>
      <c r="AG245" s="70"/>
      <c r="AH245" s="70"/>
      <c r="AI245" s="70"/>
      <c r="AJ245" s="70"/>
      <c r="AK245" s="70"/>
      <c r="AL245" s="61"/>
      <c r="AM245" s="71"/>
      <c r="AN245" s="72" t="str">
        <f t="shared" si="18"/>
        <v/>
      </c>
      <c r="AO245" s="73"/>
      <c r="AP245" s="73"/>
      <c r="AQ245" s="73"/>
      <c r="AR245" s="73"/>
      <c r="AS245" s="73"/>
      <c r="AT245" s="73"/>
      <c r="AU245" s="61"/>
      <c r="AV245" s="74"/>
      <c r="AW245" s="75" t="str">
        <f t="shared" si="19"/>
        <v/>
      </c>
    </row>
    <row r="246" spans="1:49" ht="14.25" customHeight="1" x14ac:dyDescent="0.3">
      <c r="A246" s="76">
        <v>242</v>
      </c>
      <c r="B246" s="77" t="s">
        <v>6069</v>
      </c>
      <c r="C246" s="78" t="s">
        <v>6070</v>
      </c>
      <c r="D246" s="76" t="s">
        <v>5774</v>
      </c>
      <c r="E246" s="59">
        <v>46126</v>
      </c>
      <c r="F246" s="60" t="s">
        <v>55</v>
      </c>
      <c r="G246" s="60" t="s">
        <v>58</v>
      </c>
      <c r="H246" s="60" t="s">
        <v>56</v>
      </c>
      <c r="I246" s="60" t="s">
        <v>70</v>
      </c>
      <c r="J246" s="60" t="s">
        <v>58</v>
      </c>
      <c r="K246" s="61"/>
      <c r="L246" s="62" t="s">
        <v>56</v>
      </c>
      <c r="M246" s="63" t="str">
        <f t="shared" si="15"/>
        <v>✓ OK</v>
      </c>
      <c r="N246" s="64"/>
      <c r="O246" s="64"/>
      <c r="P246" s="64"/>
      <c r="Q246" s="64"/>
      <c r="R246" s="64"/>
      <c r="S246" s="64"/>
      <c r="T246" s="61"/>
      <c r="U246" s="65"/>
      <c r="V246" s="66" t="str">
        <f t="shared" si="16"/>
        <v/>
      </c>
      <c r="W246" s="67"/>
      <c r="X246" s="67"/>
      <c r="Y246" s="67"/>
      <c r="Z246" s="67"/>
      <c r="AA246" s="67"/>
      <c r="AB246" s="67"/>
      <c r="AC246" s="61"/>
      <c r="AD246" s="68"/>
      <c r="AE246" s="69" t="str">
        <f t="shared" si="17"/>
        <v/>
      </c>
      <c r="AF246" s="70"/>
      <c r="AG246" s="70"/>
      <c r="AH246" s="70"/>
      <c r="AI246" s="70"/>
      <c r="AJ246" s="70"/>
      <c r="AK246" s="70"/>
      <c r="AL246" s="61"/>
      <c r="AM246" s="71"/>
      <c r="AN246" s="72" t="str">
        <f t="shared" si="18"/>
        <v/>
      </c>
      <c r="AO246" s="73"/>
      <c r="AP246" s="73"/>
      <c r="AQ246" s="73"/>
      <c r="AR246" s="73"/>
      <c r="AS246" s="73"/>
      <c r="AT246" s="73"/>
      <c r="AU246" s="61"/>
      <c r="AV246" s="74"/>
      <c r="AW246" s="75" t="str">
        <f t="shared" si="19"/>
        <v/>
      </c>
    </row>
    <row r="247" spans="1:49" ht="14.25" customHeight="1" x14ac:dyDescent="0.3">
      <c r="A247" s="56">
        <v>243</v>
      </c>
      <c r="B247" s="57" t="s">
        <v>6071</v>
      </c>
      <c r="C247" s="58" t="s">
        <v>6072</v>
      </c>
      <c r="D247" s="56" t="s">
        <v>5774</v>
      </c>
      <c r="E247" s="59">
        <v>46126</v>
      </c>
      <c r="F247" s="60" t="s">
        <v>55</v>
      </c>
      <c r="G247" s="60" t="s">
        <v>58</v>
      </c>
      <c r="H247" s="60" t="s">
        <v>56</v>
      </c>
      <c r="I247" s="60" t="s">
        <v>70</v>
      </c>
      <c r="J247" s="60" t="s">
        <v>58</v>
      </c>
      <c r="K247" s="61"/>
      <c r="L247" s="62" t="s">
        <v>56</v>
      </c>
      <c r="M247" s="63" t="str">
        <f t="shared" si="15"/>
        <v>✓ OK</v>
      </c>
      <c r="N247" s="64"/>
      <c r="O247" s="64"/>
      <c r="P247" s="64"/>
      <c r="Q247" s="64"/>
      <c r="R247" s="64"/>
      <c r="S247" s="64"/>
      <c r="T247" s="61"/>
      <c r="U247" s="65"/>
      <c r="V247" s="66" t="str">
        <f t="shared" si="16"/>
        <v/>
      </c>
      <c r="W247" s="67"/>
      <c r="X247" s="67"/>
      <c r="Y247" s="67"/>
      <c r="Z247" s="67"/>
      <c r="AA247" s="67"/>
      <c r="AB247" s="67"/>
      <c r="AC247" s="61"/>
      <c r="AD247" s="68"/>
      <c r="AE247" s="69" t="str">
        <f t="shared" si="17"/>
        <v/>
      </c>
      <c r="AF247" s="70"/>
      <c r="AG247" s="70"/>
      <c r="AH247" s="70"/>
      <c r="AI247" s="70"/>
      <c r="AJ247" s="70"/>
      <c r="AK247" s="70"/>
      <c r="AL247" s="61"/>
      <c r="AM247" s="71"/>
      <c r="AN247" s="72" t="str">
        <f t="shared" si="18"/>
        <v/>
      </c>
      <c r="AO247" s="73"/>
      <c r="AP247" s="73"/>
      <c r="AQ247" s="73"/>
      <c r="AR247" s="73"/>
      <c r="AS247" s="73"/>
      <c r="AT247" s="73"/>
      <c r="AU247" s="61"/>
      <c r="AV247" s="74"/>
      <c r="AW247" s="75" t="str">
        <f t="shared" si="19"/>
        <v/>
      </c>
    </row>
    <row r="248" spans="1:49" ht="14.25" customHeight="1" x14ac:dyDescent="0.3">
      <c r="A248" s="76">
        <v>244</v>
      </c>
      <c r="B248" s="77" t="s">
        <v>6073</v>
      </c>
      <c r="C248" s="78" t="s">
        <v>6074</v>
      </c>
      <c r="D248" s="76" t="s">
        <v>5774</v>
      </c>
      <c r="E248" s="59">
        <v>46126</v>
      </c>
      <c r="F248" s="60" t="s">
        <v>55</v>
      </c>
      <c r="G248" s="60" t="s">
        <v>58</v>
      </c>
      <c r="H248" s="60" t="s">
        <v>56</v>
      </c>
      <c r="I248" s="60" t="s">
        <v>70</v>
      </c>
      <c r="J248" s="60" t="s">
        <v>58</v>
      </c>
      <c r="K248" s="61"/>
      <c r="L248" s="62" t="s">
        <v>56</v>
      </c>
      <c r="M248" s="63" t="str">
        <f t="shared" si="15"/>
        <v>✓ OK</v>
      </c>
      <c r="N248" s="64"/>
      <c r="O248" s="64"/>
      <c r="P248" s="64"/>
      <c r="Q248" s="64"/>
      <c r="R248" s="64"/>
      <c r="S248" s="64"/>
      <c r="T248" s="61"/>
      <c r="U248" s="65"/>
      <c r="V248" s="66" t="str">
        <f t="shared" si="16"/>
        <v/>
      </c>
      <c r="W248" s="67"/>
      <c r="X248" s="67"/>
      <c r="Y248" s="67"/>
      <c r="Z248" s="67"/>
      <c r="AA248" s="67"/>
      <c r="AB248" s="67"/>
      <c r="AC248" s="61"/>
      <c r="AD248" s="68"/>
      <c r="AE248" s="69" t="str">
        <f t="shared" si="17"/>
        <v/>
      </c>
      <c r="AF248" s="70"/>
      <c r="AG248" s="70"/>
      <c r="AH248" s="70"/>
      <c r="AI248" s="70"/>
      <c r="AJ248" s="70"/>
      <c r="AK248" s="70"/>
      <c r="AL248" s="61"/>
      <c r="AM248" s="71"/>
      <c r="AN248" s="72" t="str">
        <f t="shared" si="18"/>
        <v/>
      </c>
      <c r="AO248" s="73"/>
      <c r="AP248" s="73"/>
      <c r="AQ248" s="73"/>
      <c r="AR248" s="73"/>
      <c r="AS248" s="73"/>
      <c r="AT248" s="73"/>
      <c r="AU248" s="61"/>
      <c r="AV248" s="74"/>
      <c r="AW248" s="75" t="str">
        <f t="shared" si="19"/>
        <v/>
      </c>
    </row>
    <row r="249" spans="1:49" ht="14.25" customHeight="1" x14ac:dyDescent="0.3">
      <c r="A249" s="56">
        <v>245</v>
      </c>
      <c r="B249" s="57" t="s">
        <v>6075</v>
      </c>
      <c r="C249" s="58" t="s">
        <v>6076</v>
      </c>
      <c r="D249" s="56" t="s">
        <v>5774</v>
      </c>
      <c r="E249" s="59">
        <v>46126</v>
      </c>
      <c r="F249" s="60" t="s">
        <v>55</v>
      </c>
      <c r="G249" s="60" t="s">
        <v>58</v>
      </c>
      <c r="H249" s="60" t="s">
        <v>56</v>
      </c>
      <c r="I249" s="60" t="s">
        <v>70</v>
      </c>
      <c r="J249" s="60" t="s">
        <v>58</v>
      </c>
      <c r="K249" s="61"/>
      <c r="L249" s="62" t="s">
        <v>56</v>
      </c>
      <c r="M249" s="63" t="str">
        <f t="shared" si="15"/>
        <v>✓ OK</v>
      </c>
      <c r="N249" s="64"/>
      <c r="O249" s="64"/>
      <c r="P249" s="64"/>
      <c r="Q249" s="64"/>
      <c r="R249" s="64"/>
      <c r="S249" s="64"/>
      <c r="T249" s="61"/>
      <c r="U249" s="65"/>
      <c r="V249" s="66" t="str">
        <f t="shared" si="16"/>
        <v/>
      </c>
      <c r="W249" s="67"/>
      <c r="X249" s="67"/>
      <c r="Y249" s="67"/>
      <c r="Z249" s="67"/>
      <c r="AA249" s="67"/>
      <c r="AB249" s="67"/>
      <c r="AC249" s="61"/>
      <c r="AD249" s="68"/>
      <c r="AE249" s="69" t="str">
        <f t="shared" si="17"/>
        <v/>
      </c>
      <c r="AF249" s="70"/>
      <c r="AG249" s="70"/>
      <c r="AH249" s="70"/>
      <c r="AI249" s="70"/>
      <c r="AJ249" s="70"/>
      <c r="AK249" s="70"/>
      <c r="AL249" s="61"/>
      <c r="AM249" s="71"/>
      <c r="AN249" s="72" t="str">
        <f t="shared" si="18"/>
        <v/>
      </c>
      <c r="AO249" s="73"/>
      <c r="AP249" s="73"/>
      <c r="AQ249" s="73"/>
      <c r="AR249" s="73"/>
      <c r="AS249" s="73"/>
      <c r="AT249" s="73"/>
      <c r="AU249" s="61"/>
      <c r="AV249" s="74"/>
      <c r="AW249" s="75" t="str">
        <f t="shared" si="19"/>
        <v/>
      </c>
    </row>
    <row r="250" spans="1:49" ht="14.25" customHeight="1" x14ac:dyDescent="0.3">
      <c r="A250" s="76">
        <v>246</v>
      </c>
      <c r="B250" s="77" t="s">
        <v>6077</v>
      </c>
      <c r="C250" s="78" t="s">
        <v>6078</v>
      </c>
      <c r="D250" s="76" t="s">
        <v>5774</v>
      </c>
      <c r="E250" s="59">
        <v>46126</v>
      </c>
      <c r="F250" s="60" t="s">
        <v>55</v>
      </c>
      <c r="G250" s="60" t="s">
        <v>58</v>
      </c>
      <c r="H250" s="60" t="s">
        <v>56</v>
      </c>
      <c r="I250" s="60" t="s">
        <v>70</v>
      </c>
      <c r="J250" s="60" t="s">
        <v>58</v>
      </c>
      <c r="K250" s="61"/>
      <c r="L250" s="62" t="s">
        <v>56</v>
      </c>
      <c r="M250" s="63" t="str">
        <f t="shared" si="15"/>
        <v>✓ OK</v>
      </c>
      <c r="N250" s="64"/>
      <c r="O250" s="64"/>
      <c r="P250" s="64"/>
      <c r="Q250" s="64"/>
      <c r="R250" s="64"/>
      <c r="S250" s="64"/>
      <c r="T250" s="61"/>
      <c r="U250" s="65"/>
      <c r="V250" s="66" t="str">
        <f t="shared" si="16"/>
        <v/>
      </c>
      <c r="W250" s="67"/>
      <c r="X250" s="67"/>
      <c r="Y250" s="67"/>
      <c r="Z250" s="67"/>
      <c r="AA250" s="67"/>
      <c r="AB250" s="67"/>
      <c r="AC250" s="61"/>
      <c r="AD250" s="68"/>
      <c r="AE250" s="69" t="str">
        <f t="shared" si="17"/>
        <v/>
      </c>
      <c r="AF250" s="70"/>
      <c r="AG250" s="70"/>
      <c r="AH250" s="70"/>
      <c r="AI250" s="70"/>
      <c r="AJ250" s="70"/>
      <c r="AK250" s="70"/>
      <c r="AL250" s="61"/>
      <c r="AM250" s="71"/>
      <c r="AN250" s="72" t="str">
        <f t="shared" si="18"/>
        <v/>
      </c>
      <c r="AO250" s="73"/>
      <c r="AP250" s="73"/>
      <c r="AQ250" s="73"/>
      <c r="AR250" s="73"/>
      <c r="AS250" s="73"/>
      <c r="AT250" s="73"/>
      <c r="AU250" s="61"/>
      <c r="AV250" s="74"/>
      <c r="AW250" s="75" t="str">
        <f t="shared" si="19"/>
        <v/>
      </c>
    </row>
    <row r="251" spans="1:49" ht="14.25" customHeight="1" x14ac:dyDescent="0.3">
      <c r="A251" s="56">
        <v>247</v>
      </c>
      <c r="B251" s="57" t="s">
        <v>6079</v>
      </c>
      <c r="C251" s="58" t="s">
        <v>6080</v>
      </c>
      <c r="D251" s="56" t="s">
        <v>5774</v>
      </c>
      <c r="E251" s="59">
        <v>46126</v>
      </c>
      <c r="F251" s="60" t="s">
        <v>55</v>
      </c>
      <c r="G251" s="60" t="s">
        <v>58</v>
      </c>
      <c r="H251" s="60" t="s">
        <v>56</v>
      </c>
      <c r="I251" s="60" t="s">
        <v>70</v>
      </c>
      <c r="J251" s="60" t="s">
        <v>58</v>
      </c>
      <c r="K251" s="61"/>
      <c r="L251" s="62" t="s">
        <v>56</v>
      </c>
      <c r="M251" s="63" t="str">
        <f t="shared" si="15"/>
        <v>✓ OK</v>
      </c>
      <c r="N251" s="64"/>
      <c r="O251" s="64"/>
      <c r="P251" s="64"/>
      <c r="Q251" s="64"/>
      <c r="R251" s="64"/>
      <c r="S251" s="64"/>
      <c r="T251" s="61"/>
      <c r="U251" s="65"/>
      <c r="V251" s="66" t="str">
        <f t="shared" si="16"/>
        <v/>
      </c>
      <c r="W251" s="67"/>
      <c r="X251" s="67"/>
      <c r="Y251" s="67"/>
      <c r="Z251" s="67"/>
      <c r="AA251" s="67"/>
      <c r="AB251" s="67"/>
      <c r="AC251" s="61"/>
      <c r="AD251" s="68"/>
      <c r="AE251" s="69" t="str">
        <f t="shared" si="17"/>
        <v/>
      </c>
      <c r="AF251" s="70"/>
      <c r="AG251" s="70"/>
      <c r="AH251" s="70"/>
      <c r="AI251" s="70"/>
      <c r="AJ251" s="70"/>
      <c r="AK251" s="70"/>
      <c r="AL251" s="61"/>
      <c r="AM251" s="71"/>
      <c r="AN251" s="72" t="str">
        <f t="shared" si="18"/>
        <v/>
      </c>
      <c r="AO251" s="73"/>
      <c r="AP251" s="73"/>
      <c r="AQ251" s="73"/>
      <c r="AR251" s="73"/>
      <c r="AS251" s="73"/>
      <c r="AT251" s="73"/>
      <c r="AU251" s="61"/>
      <c r="AV251" s="74"/>
      <c r="AW251" s="75" t="str">
        <f t="shared" si="19"/>
        <v/>
      </c>
    </row>
    <row r="252" spans="1:49" ht="14.25" customHeight="1" x14ac:dyDescent="0.3">
      <c r="A252" s="76">
        <v>248</v>
      </c>
      <c r="B252" s="77" t="s">
        <v>6081</v>
      </c>
      <c r="C252" s="78" t="s">
        <v>6082</v>
      </c>
      <c r="D252" s="76" t="s">
        <v>5774</v>
      </c>
      <c r="E252" s="59">
        <v>46126</v>
      </c>
      <c r="F252" s="60" t="s">
        <v>55</v>
      </c>
      <c r="G252" s="60" t="s">
        <v>58</v>
      </c>
      <c r="H252" s="60" t="s">
        <v>56</v>
      </c>
      <c r="I252" s="60" t="s">
        <v>70</v>
      </c>
      <c r="J252" s="60" t="s">
        <v>58</v>
      </c>
      <c r="K252" s="61"/>
      <c r="L252" s="62" t="s">
        <v>56</v>
      </c>
      <c r="M252" s="63" t="str">
        <f t="shared" si="15"/>
        <v>✓ OK</v>
      </c>
      <c r="N252" s="64"/>
      <c r="O252" s="64"/>
      <c r="P252" s="64"/>
      <c r="Q252" s="64"/>
      <c r="R252" s="64"/>
      <c r="S252" s="64"/>
      <c r="T252" s="61"/>
      <c r="U252" s="65"/>
      <c r="V252" s="66" t="str">
        <f t="shared" si="16"/>
        <v/>
      </c>
      <c r="W252" s="67"/>
      <c r="X252" s="67"/>
      <c r="Y252" s="67"/>
      <c r="Z252" s="67"/>
      <c r="AA252" s="67"/>
      <c r="AB252" s="67"/>
      <c r="AC252" s="61"/>
      <c r="AD252" s="68"/>
      <c r="AE252" s="69" t="str">
        <f t="shared" si="17"/>
        <v/>
      </c>
      <c r="AF252" s="70"/>
      <c r="AG252" s="70"/>
      <c r="AH252" s="70"/>
      <c r="AI252" s="70"/>
      <c r="AJ252" s="70"/>
      <c r="AK252" s="70"/>
      <c r="AL252" s="61"/>
      <c r="AM252" s="71"/>
      <c r="AN252" s="72" t="str">
        <f t="shared" si="18"/>
        <v/>
      </c>
      <c r="AO252" s="73"/>
      <c r="AP252" s="73"/>
      <c r="AQ252" s="73"/>
      <c r="AR252" s="73"/>
      <c r="AS252" s="73"/>
      <c r="AT252" s="73"/>
      <c r="AU252" s="61"/>
      <c r="AV252" s="74"/>
      <c r="AW252" s="75" t="str">
        <f t="shared" si="19"/>
        <v/>
      </c>
    </row>
    <row r="253" spans="1:49" ht="14.25" customHeight="1" x14ac:dyDescent="0.3">
      <c r="A253" s="56">
        <v>249</v>
      </c>
      <c r="B253" s="57" t="s">
        <v>6083</v>
      </c>
      <c r="C253" s="58" t="s">
        <v>6084</v>
      </c>
      <c r="D253" s="56" t="s">
        <v>5774</v>
      </c>
      <c r="E253" s="59">
        <v>46126</v>
      </c>
      <c r="F253" s="60" t="s">
        <v>55</v>
      </c>
      <c r="G253" s="60" t="s">
        <v>58</v>
      </c>
      <c r="H253" s="60" t="s">
        <v>56</v>
      </c>
      <c r="I253" s="60" t="s">
        <v>70</v>
      </c>
      <c r="J253" s="60" t="s">
        <v>58</v>
      </c>
      <c r="K253" s="61"/>
      <c r="L253" s="62" t="s">
        <v>56</v>
      </c>
      <c r="M253" s="63" t="str">
        <f t="shared" si="15"/>
        <v>✓ OK</v>
      </c>
      <c r="N253" s="64"/>
      <c r="O253" s="64"/>
      <c r="P253" s="64"/>
      <c r="Q253" s="64"/>
      <c r="R253" s="64"/>
      <c r="S253" s="64"/>
      <c r="T253" s="61"/>
      <c r="U253" s="65"/>
      <c r="V253" s="66" t="str">
        <f t="shared" si="16"/>
        <v/>
      </c>
      <c r="W253" s="67"/>
      <c r="X253" s="67"/>
      <c r="Y253" s="67"/>
      <c r="Z253" s="67"/>
      <c r="AA253" s="67"/>
      <c r="AB253" s="67"/>
      <c r="AC253" s="61"/>
      <c r="AD253" s="68"/>
      <c r="AE253" s="69" t="str">
        <f t="shared" si="17"/>
        <v/>
      </c>
      <c r="AF253" s="70"/>
      <c r="AG253" s="70"/>
      <c r="AH253" s="70"/>
      <c r="AI253" s="70"/>
      <c r="AJ253" s="70"/>
      <c r="AK253" s="70"/>
      <c r="AL253" s="61"/>
      <c r="AM253" s="71"/>
      <c r="AN253" s="72" t="str">
        <f t="shared" si="18"/>
        <v/>
      </c>
      <c r="AO253" s="73"/>
      <c r="AP253" s="73"/>
      <c r="AQ253" s="73"/>
      <c r="AR253" s="73"/>
      <c r="AS253" s="73"/>
      <c r="AT253" s="73"/>
      <c r="AU253" s="61"/>
      <c r="AV253" s="74"/>
      <c r="AW253" s="75" t="str">
        <f t="shared" si="19"/>
        <v/>
      </c>
    </row>
    <row r="254" spans="1:49" ht="14.25" customHeight="1" x14ac:dyDescent="0.3">
      <c r="A254" s="76">
        <v>250</v>
      </c>
      <c r="B254" s="77" t="s">
        <v>6085</v>
      </c>
      <c r="C254" s="78" t="s">
        <v>6086</v>
      </c>
      <c r="D254" s="76" t="s">
        <v>5774</v>
      </c>
      <c r="E254" s="59">
        <v>46126</v>
      </c>
      <c r="F254" s="60" t="s">
        <v>55</v>
      </c>
      <c r="G254" s="60" t="s">
        <v>58</v>
      </c>
      <c r="H254" s="60" t="s">
        <v>56</v>
      </c>
      <c r="I254" s="60" t="s">
        <v>70</v>
      </c>
      <c r="J254" s="60" t="s">
        <v>58</v>
      </c>
      <c r="K254" s="61"/>
      <c r="L254" s="62" t="s">
        <v>56</v>
      </c>
      <c r="M254" s="63" t="str">
        <f t="shared" si="15"/>
        <v>✓ OK</v>
      </c>
      <c r="N254" s="64"/>
      <c r="O254" s="64"/>
      <c r="P254" s="64"/>
      <c r="Q254" s="64"/>
      <c r="R254" s="64"/>
      <c r="S254" s="64"/>
      <c r="T254" s="61"/>
      <c r="U254" s="65"/>
      <c r="V254" s="66" t="str">
        <f t="shared" si="16"/>
        <v/>
      </c>
      <c r="W254" s="67"/>
      <c r="X254" s="67"/>
      <c r="Y254" s="67"/>
      <c r="Z254" s="67"/>
      <c r="AA254" s="67"/>
      <c r="AB254" s="67"/>
      <c r="AC254" s="61"/>
      <c r="AD254" s="68"/>
      <c r="AE254" s="69" t="str">
        <f t="shared" si="17"/>
        <v/>
      </c>
      <c r="AF254" s="70"/>
      <c r="AG254" s="70"/>
      <c r="AH254" s="70"/>
      <c r="AI254" s="70"/>
      <c r="AJ254" s="70"/>
      <c r="AK254" s="70"/>
      <c r="AL254" s="61"/>
      <c r="AM254" s="71"/>
      <c r="AN254" s="72" t="str">
        <f t="shared" si="18"/>
        <v/>
      </c>
      <c r="AO254" s="73"/>
      <c r="AP254" s="73"/>
      <c r="AQ254" s="73"/>
      <c r="AR254" s="73"/>
      <c r="AS254" s="73"/>
      <c r="AT254" s="73"/>
      <c r="AU254" s="61"/>
      <c r="AV254" s="74"/>
      <c r="AW254" s="75" t="str">
        <f t="shared" si="19"/>
        <v/>
      </c>
    </row>
    <row r="255" spans="1:49" ht="14.25" customHeight="1" x14ac:dyDescent="0.3">
      <c r="A255" s="56">
        <v>251</v>
      </c>
      <c r="B255" s="57" t="s">
        <v>6087</v>
      </c>
      <c r="C255" s="58" t="s">
        <v>6088</v>
      </c>
      <c r="D255" s="56" t="s">
        <v>5774</v>
      </c>
      <c r="E255" s="59">
        <v>46126</v>
      </c>
      <c r="F255" s="60" t="s">
        <v>55</v>
      </c>
      <c r="G255" s="60" t="s">
        <v>58</v>
      </c>
      <c r="H255" s="60" t="s">
        <v>56</v>
      </c>
      <c r="I255" s="60" t="s">
        <v>70</v>
      </c>
      <c r="J255" s="60" t="s">
        <v>58</v>
      </c>
      <c r="K255" s="61"/>
      <c r="L255" s="62" t="s">
        <v>56</v>
      </c>
      <c r="M255" s="63" t="str">
        <f t="shared" si="15"/>
        <v>✓ OK</v>
      </c>
      <c r="N255" s="64"/>
      <c r="O255" s="64"/>
      <c r="P255" s="64"/>
      <c r="Q255" s="64"/>
      <c r="R255" s="64"/>
      <c r="S255" s="64"/>
      <c r="T255" s="61"/>
      <c r="U255" s="65"/>
      <c r="V255" s="66" t="str">
        <f t="shared" si="16"/>
        <v/>
      </c>
      <c r="W255" s="67"/>
      <c r="X255" s="67"/>
      <c r="Y255" s="67"/>
      <c r="Z255" s="67"/>
      <c r="AA255" s="67"/>
      <c r="AB255" s="67"/>
      <c r="AC255" s="61"/>
      <c r="AD255" s="68"/>
      <c r="AE255" s="69" t="str">
        <f t="shared" si="17"/>
        <v/>
      </c>
      <c r="AF255" s="70"/>
      <c r="AG255" s="70"/>
      <c r="AH255" s="70"/>
      <c r="AI255" s="70"/>
      <c r="AJ255" s="70"/>
      <c r="AK255" s="70"/>
      <c r="AL255" s="61"/>
      <c r="AM255" s="71"/>
      <c r="AN255" s="72" t="str">
        <f t="shared" si="18"/>
        <v/>
      </c>
      <c r="AO255" s="73"/>
      <c r="AP255" s="73"/>
      <c r="AQ255" s="73"/>
      <c r="AR255" s="73"/>
      <c r="AS255" s="73"/>
      <c r="AT255" s="73"/>
      <c r="AU255" s="61"/>
      <c r="AV255" s="74"/>
      <c r="AW255" s="75" t="str">
        <f t="shared" si="19"/>
        <v/>
      </c>
    </row>
    <row r="256" spans="1:49" ht="14.25" customHeight="1" x14ac:dyDescent="0.3">
      <c r="A256" s="76">
        <v>252</v>
      </c>
      <c r="B256" s="77" t="s">
        <v>6089</v>
      </c>
      <c r="C256" s="78" t="s">
        <v>6090</v>
      </c>
      <c r="D256" s="76" t="s">
        <v>5774</v>
      </c>
      <c r="E256" s="59">
        <v>46126</v>
      </c>
      <c r="F256" s="60" t="s">
        <v>55</v>
      </c>
      <c r="G256" s="60" t="s">
        <v>58</v>
      </c>
      <c r="H256" s="60" t="s">
        <v>56</v>
      </c>
      <c r="I256" s="60" t="s">
        <v>70</v>
      </c>
      <c r="J256" s="60" t="s">
        <v>58</v>
      </c>
      <c r="K256" s="61"/>
      <c r="L256" s="62" t="s">
        <v>56</v>
      </c>
      <c r="M256" s="63" t="str">
        <f t="shared" si="15"/>
        <v>✓ OK</v>
      </c>
      <c r="N256" s="64"/>
      <c r="O256" s="64"/>
      <c r="P256" s="64"/>
      <c r="Q256" s="64"/>
      <c r="R256" s="64"/>
      <c r="S256" s="64"/>
      <c r="T256" s="61"/>
      <c r="U256" s="65"/>
      <c r="V256" s="66" t="str">
        <f t="shared" si="16"/>
        <v/>
      </c>
      <c r="W256" s="67"/>
      <c r="X256" s="67"/>
      <c r="Y256" s="67"/>
      <c r="Z256" s="67"/>
      <c r="AA256" s="67"/>
      <c r="AB256" s="67"/>
      <c r="AC256" s="61"/>
      <c r="AD256" s="68"/>
      <c r="AE256" s="69" t="str">
        <f t="shared" si="17"/>
        <v/>
      </c>
      <c r="AF256" s="70"/>
      <c r="AG256" s="70"/>
      <c r="AH256" s="70"/>
      <c r="AI256" s="70"/>
      <c r="AJ256" s="70"/>
      <c r="AK256" s="70"/>
      <c r="AL256" s="61"/>
      <c r="AM256" s="71"/>
      <c r="AN256" s="72" t="str">
        <f t="shared" si="18"/>
        <v/>
      </c>
      <c r="AO256" s="73"/>
      <c r="AP256" s="73"/>
      <c r="AQ256" s="73"/>
      <c r="AR256" s="73"/>
      <c r="AS256" s="73"/>
      <c r="AT256" s="73"/>
      <c r="AU256" s="61"/>
      <c r="AV256" s="74"/>
      <c r="AW256" s="75" t="str">
        <f t="shared" si="19"/>
        <v/>
      </c>
    </row>
    <row r="257" spans="1:49" ht="14.25" customHeight="1" x14ac:dyDescent="0.3">
      <c r="A257" s="56">
        <v>253</v>
      </c>
      <c r="B257" s="57" t="s">
        <v>6091</v>
      </c>
      <c r="C257" s="58" t="s">
        <v>6092</v>
      </c>
      <c r="D257" s="56" t="s">
        <v>5774</v>
      </c>
      <c r="E257" s="59">
        <v>46126</v>
      </c>
      <c r="F257" s="60" t="s">
        <v>55</v>
      </c>
      <c r="G257" s="60" t="s">
        <v>58</v>
      </c>
      <c r="H257" s="60" t="s">
        <v>56</v>
      </c>
      <c r="I257" s="60" t="s">
        <v>70</v>
      </c>
      <c r="J257" s="60" t="s">
        <v>58</v>
      </c>
      <c r="K257" s="61"/>
      <c r="L257" s="62" t="s">
        <v>56</v>
      </c>
      <c r="M257" s="63" t="str">
        <f t="shared" si="15"/>
        <v>✓ OK</v>
      </c>
      <c r="N257" s="64"/>
      <c r="O257" s="64"/>
      <c r="P257" s="64"/>
      <c r="Q257" s="64"/>
      <c r="R257" s="64"/>
      <c r="S257" s="64"/>
      <c r="T257" s="61"/>
      <c r="U257" s="65"/>
      <c r="V257" s="66" t="str">
        <f t="shared" si="16"/>
        <v/>
      </c>
      <c r="W257" s="67"/>
      <c r="X257" s="67"/>
      <c r="Y257" s="67"/>
      <c r="Z257" s="67"/>
      <c r="AA257" s="67"/>
      <c r="AB257" s="67"/>
      <c r="AC257" s="61"/>
      <c r="AD257" s="68"/>
      <c r="AE257" s="69" t="str">
        <f t="shared" si="17"/>
        <v/>
      </c>
      <c r="AF257" s="70"/>
      <c r="AG257" s="70"/>
      <c r="AH257" s="70"/>
      <c r="AI257" s="70"/>
      <c r="AJ257" s="70"/>
      <c r="AK257" s="70"/>
      <c r="AL257" s="61"/>
      <c r="AM257" s="71"/>
      <c r="AN257" s="72" t="str">
        <f t="shared" si="18"/>
        <v/>
      </c>
      <c r="AO257" s="73"/>
      <c r="AP257" s="73"/>
      <c r="AQ257" s="73"/>
      <c r="AR257" s="73"/>
      <c r="AS257" s="73"/>
      <c r="AT257" s="73"/>
      <c r="AU257" s="61"/>
      <c r="AV257" s="74"/>
      <c r="AW257" s="75" t="str">
        <f t="shared" si="19"/>
        <v/>
      </c>
    </row>
    <row r="258" spans="1:49" ht="14.25" customHeight="1" x14ac:dyDescent="0.3">
      <c r="A258" s="76">
        <v>254</v>
      </c>
      <c r="B258" s="77" t="s">
        <v>6093</v>
      </c>
      <c r="C258" s="78" t="s">
        <v>6094</v>
      </c>
      <c r="D258" s="76" t="s">
        <v>5774</v>
      </c>
      <c r="E258" s="59">
        <v>46126</v>
      </c>
      <c r="F258" s="60" t="s">
        <v>55</v>
      </c>
      <c r="G258" s="60" t="s">
        <v>58</v>
      </c>
      <c r="H258" s="60" t="s">
        <v>56</v>
      </c>
      <c r="I258" s="60" t="s">
        <v>70</v>
      </c>
      <c r="J258" s="60" t="s">
        <v>58</v>
      </c>
      <c r="K258" s="61"/>
      <c r="L258" s="62" t="s">
        <v>56</v>
      </c>
      <c r="M258" s="63" t="str">
        <f t="shared" si="15"/>
        <v>✓ OK</v>
      </c>
      <c r="N258" s="64"/>
      <c r="O258" s="64"/>
      <c r="P258" s="64"/>
      <c r="Q258" s="64"/>
      <c r="R258" s="64"/>
      <c r="S258" s="64"/>
      <c r="T258" s="61"/>
      <c r="U258" s="65"/>
      <c r="V258" s="66" t="str">
        <f t="shared" si="16"/>
        <v/>
      </c>
      <c r="W258" s="67"/>
      <c r="X258" s="67"/>
      <c r="Y258" s="67"/>
      <c r="Z258" s="67"/>
      <c r="AA258" s="67"/>
      <c r="AB258" s="67"/>
      <c r="AC258" s="61"/>
      <c r="AD258" s="68"/>
      <c r="AE258" s="69" t="str">
        <f t="shared" si="17"/>
        <v/>
      </c>
      <c r="AF258" s="70"/>
      <c r="AG258" s="70"/>
      <c r="AH258" s="70"/>
      <c r="AI258" s="70"/>
      <c r="AJ258" s="70"/>
      <c r="AK258" s="70"/>
      <c r="AL258" s="61"/>
      <c r="AM258" s="71"/>
      <c r="AN258" s="72" t="str">
        <f t="shared" si="18"/>
        <v/>
      </c>
      <c r="AO258" s="73"/>
      <c r="AP258" s="73"/>
      <c r="AQ258" s="73"/>
      <c r="AR258" s="73"/>
      <c r="AS258" s="73"/>
      <c r="AT258" s="73"/>
      <c r="AU258" s="61"/>
      <c r="AV258" s="74"/>
      <c r="AW258" s="75" t="str">
        <f t="shared" si="19"/>
        <v/>
      </c>
    </row>
    <row r="259" spans="1:49" ht="14.25" customHeight="1" x14ac:dyDescent="0.3">
      <c r="A259" s="56">
        <v>255</v>
      </c>
      <c r="B259" s="57" t="s">
        <v>6095</v>
      </c>
      <c r="C259" s="58" t="s">
        <v>6096</v>
      </c>
      <c r="D259" s="56" t="s">
        <v>5774</v>
      </c>
      <c r="E259" s="59">
        <v>46126</v>
      </c>
      <c r="F259" s="60" t="s">
        <v>55</v>
      </c>
      <c r="G259" s="60" t="s">
        <v>58</v>
      </c>
      <c r="H259" s="60" t="s">
        <v>56</v>
      </c>
      <c r="I259" s="60" t="s">
        <v>70</v>
      </c>
      <c r="J259" s="60" t="s">
        <v>58</v>
      </c>
      <c r="K259" s="61"/>
      <c r="L259" s="62" t="s">
        <v>56</v>
      </c>
      <c r="M259" s="63" t="str">
        <f t="shared" si="15"/>
        <v>✓ OK</v>
      </c>
      <c r="N259" s="64"/>
      <c r="O259" s="64"/>
      <c r="P259" s="64"/>
      <c r="Q259" s="64"/>
      <c r="R259" s="64"/>
      <c r="S259" s="64"/>
      <c r="T259" s="61"/>
      <c r="U259" s="65"/>
      <c r="V259" s="66" t="str">
        <f t="shared" si="16"/>
        <v/>
      </c>
      <c r="W259" s="67"/>
      <c r="X259" s="67"/>
      <c r="Y259" s="67"/>
      <c r="Z259" s="67"/>
      <c r="AA259" s="67"/>
      <c r="AB259" s="67"/>
      <c r="AC259" s="61"/>
      <c r="AD259" s="68"/>
      <c r="AE259" s="69" t="str">
        <f t="shared" si="17"/>
        <v/>
      </c>
      <c r="AF259" s="70"/>
      <c r="AG259" s="70"/>
      <c r="AH259" s="70"/>
      <c r="AI259" s="70"/>
      <c r="AJ259" s="70"/>
      <c r="AK259" s="70"/>
      <c r="AL259" s="61"/>
      <c r="AM259" s="71"/>
      <c r="AN259" s="72" t="str">
        <f t="shared" si="18"/>
        <v/>
      </c>
      <c r="AO259" s="73"/>
      <c r="AP259" s="73"/>
      <c r="AQ259" s="73"/>
      <c r="AR259" s="73"/>
      <c r="AS259" s="73"/>
      <c r="AT259" s="73"/>
      <c r="AU259" s="61"/>
      <c r="AV259" s="74"/>
      <c r="AW259" s="75" t="str">
        <f t="shared" si="19"/>
        <v/>
      </c>
    </row>
    <row r="260" spans="1:49" ht="14.25" customHeight="1" x14ac:dyDescent="0.3">
      <c r="A260" s="76">
        <v>256</v>
      </c>
      <c r="B260" s="77" t="s">
        <v>6097</v>
      </c>
      <c r="C260" s="78" t="s">
        <v>6098</v>
      </c>
      <c r="D260" s="76" t="s">
        <v>5774</v>
      </c>
      <c r="E260" s="59">
        <v>46126</v>
      </c>
      <c r="F260" s="60" t="s">
        <v>55</v>
      </c>
      <c r="G260" s="60" t="s">
        <v>58</v>
      </c>
      <c r="H260" s="60" t="s">
        <v>56</v>
      </c>
      <c r="I260" s="60" t="s">
        <v>70</v>
      </c>
      <c r="J260" s="60" t="s">
        <v>58</v>
      </c>
      <c r="K260" s="61"/>
      <c r="L260" s="62" t="s">
        <v>56</v>
      </c>
      <c r="M260" s="63" t="str">
        <f t="shared" si="15"/>
        <v>✓ OK</v>
      </c>
      <c r="N260" s="64"/>
      <c r="O260" s="64"/>
      <c r="P260" s="64"/>
      <c r="Q260" s="64"/>
      <c r="R260" s="64"/>
      <c r="S260" s="64"/>
      <c r="T260" s="61"/>
      <c r="U260" s="65"/>
      <c r="V260" s="66" t="str">
        <f t="shared" si="16"/>
        <v/>
      </c>
      <c r="W260" s="67"/>
      <c r="X260" s="67"/>
      <c r="Y260" s="67"/>
      <c r="Z260" s="67"/>
      <c r="AA260" s="67"/>
      <c r="AB260" s="67"/>
      <c r="AC260" s="61"/>
      <c r="AD260" s="68"/>
      <c r="AE260" s="69" t="str">
        <f t="shared" si="17"/>
        <v/>
      </c>
      <c r="AF260" s="70"/>
      <c r="AG260" s="70"/>
      <c r="AH260" s="70"/>
      <c r="AI260" s="70"/>
      <c r="AJ260" s="70"/>
      <c r="AK260" s="70"/>
      <c r="AL260" s="61"/>
      <c r="AM260" s="71"/>
      <c r="AN260" s="72" t="str">
        <f t="shared" si="18"/>
        <v/>
      </c>
      <c r="AO260" s="73"/>
      <c r="AP260" s="73"/>
      <c r="AQ260" s="73"/>
      <c r="AR260" s="73"/>
      <c r="AS260" s="73"/>
      <c r="AT260" s="73"/>
      <c r="AU260" s="61"/>
      <c r="AV260" s="74"/>
      <c r="AW260" s="75" t="str">
        <f t="shared" si="19"/>
        <v/>
      </c>
    </row>
    <row r="261" spans="1:49" ht="14.25" customHeight="1" x14ac:dyDescent="0.3">
      <c r="A261" s="56">
        <v>257</v>
      </c>
      <c r="B261" s="57" t="s">
        <v>6099</v>
      </c>
      <c r="C261" s="58" t="s">
        <v>6100</v>
      </c>
      <c r="D261" s="56" t="s">
        <v>5774</v>
      </c>
      <c r="E261" s="59">
        <v>46126</v>
      </c>
      <c r="F261" s="60" t="s">
        <v>55</v>
      </c>
      <c r="G261" s="60" t="s">
        <v>58</v>
      </c>
      <c r="H261" s="60" t="s">
        <v>56</v>
      </c>
      <c r="I261" s="60" t="s">
        <v>70</v>
      </c>
      <c r="J261" s="60" t="s">
        <v>58</v>
      </c>
      <c r="K261" s="61"/>
      <c r="L261" s="62" t="s">
        <v>56</v>
      </c>
      <c r="M261" s="63" t="str">
        <f t="shared" ref="M261:M298" si="20">IF(E261="","",IF(H261="Yes","❌ Disc",IF(G261="No","⚠ Missing",IF(J261="Yes","✓ OK","⚠ Check"))))</f>
        <v>✓ OK</v>
      </c>
      <c r="N261" s="64"/>
      <c r="O261" s="64"/>
      <c r="P261" s="64"/>
      <c r="Q261" s="64"/>
      <c r="R261" s="64"/>
      <c r="S261" s="64"/>
      <c r="T261" s="61"/>
      <c r="U261" s="65"/>
      <c r="V261" s="66" t="str">
        <f t="shared" ref="V261:V292" si="21">IF(N261="","",IF(Q261="Yes","❌ Disc",IF(P261="No","⚠ Missing",IF(S261="Yes","✓ OK","⚠ Check"))))</f>
        <v/>
      </c>
      <c r="W261" s="67"/>
      <c r="X261" s="67"/>
      <c r="Y261" s="67"/>
      <c r="Z261" s="67"/>
      <c r="AA261" s="67"/>
      <c r="AB261" s="67"/>
      <c r="AC261" s="61"/>
      <c r="AD261" s="68"/>
      <c r="AE261" s="69" t="str">
        <f t="shared" ref="AE261:AE292" si="22">IF(W261="","",IF(Z261="Yes","❌ Disc",IF(Y261="No","⚠ Missing",IF(AB261="Yes","✓ OK","⚠ Check"))))</f>
        <v/>
      </c>
      <c r="AF261" s="70"/>
      <c r="AG261" s="70"/>
      <c r="AH261" s="70"/>
      <c r="AI261" s="70"/>
      <c r="AJ261" s="70"/>
      <c r="AK261" s="70"/>
      <c r="AL261" s="61"/>
      <c r="AM261" s="71"/>
      <c r="AN261" s="72" t="str">
        <f t="shared" ref="AN261:AN292" si="23">IF(AF261="","",IF(AI261="Yes","❌ Disc",IF(AH261="No","⚠ Missing",IF(AK261="Yes","✓ OK","⚠ Check"))))</f>
        <v/>
      </c>
      <c r="AO261" s="73"/>
      <c r="AP261" s="73"/>
      <c r="AQ261" s="73"/>
      <c r="AR261" s="73"/>
      <c r="AS261" s="73"/>
      <c r="AT261" s="73"/>
      <c r="AU261" s="61"/>
      <c r="AV261" s="74"/>
      <c r="AW261" s="75" t="str">
        <f t="shared" ref="AW261:AW292" si="24">IF(AO261="","",IF(AR261="Yes","❌ Disc",IF(AQ261="No","⚠ Missing",IF(AT261="Yes","✓ OK","⚠ Check"))))</f>
        <v/>
      </c>
    </row>
    <row r="262" spans="1:49" ht="14.25" customHeight="1" x14ac:dyDescent="0.3">
      <c r="A262" s="76">
        <v>258</v>
      </c>
      <c r="B262" s="77" t="s">
        <v>6101</v>
      </c>
      <c r="C262" s="78" t="s">
        <v>6102</v>
      </c>
      <c r="D262" s="76" t="s">
        <v>5774</v>
      </c>
      <c r="E262" s="59">
        <v>46126</v>
      </c>
      <c r="F262" s="60" t="s">
        <v>55</v>
      </c>
      <c r="G262" s="60" t="s">
        <v>58</v>
      </c>
      <c r="H262" s="60" t="s">
        <v>56</v>
      </c>
      <c r="I262" s="60" t="s">
        <v>70</v>
      </c>
      <c r="J262" s="60" t="s">
        <v>58</v>
      </c>
      <c r="K262" s="61"/>
      <c r="L262" s="62" t="s">
        <v>56</v>
      </c>
      <c r="M262" s="63" t="str">
        <f t="shared" si="20"/>
        <v>✓ OK</v>
      </c>
      <c r="N262" s="64"/>
      <c r="O262" s="64"/>
      <c r="P262" s="64"/>
      <c r="Q262" s="64"/>
      <c r="R262" s="64"/>
      <c r="S262" s="64"/>
      <c r="T262" s="61"/>
      <c r="U262" s="65"/>
      <c r="V262" s="66" t="str">
        <f t="shared" si="21"/>
        <v/>
      </c>
      <c r="W262" s="67"/>
      <c r="X262" s="67"/>
      <c r="Y262" s="67"/>
      <c r="Z262" s="67"/>
      <c r="AA262" s="67"/>
      <c r="AB262" s="67"/>
      <c r="AC262" s="61"/>
      <c r="AD262" s="68"/>
      <c r="AE262" s="69" t="str">
        <f t="shared" si="22"/>
        <v/>
      </c>
      <c r="AF262" s="70"/>
      <c r="AG262" s="70"/>
      <c r="AH262" s="70"/>
      <c r="AI262" s="70"/>
      <c r="AJ262" s="70"/>
      <c r="AK262" s="70"/>
      <c r="AL262" s="61"/>
      <c r="AM262" s="71"/>
      <c r="AN262" s="72" t="str">
        <f t="shared" si="23"/>
        <v/>
      </c>
      <c r="AO262" s="73"/>
      <c r="AP262" s="73"/>
      <c r="AQ262" s="73"/>
      <c r="AR262" s="73"/>
      <c r="AS262" s="73"/>
      <c r="AT262" s="73"/>
      <c r="AU262" s="61"/>
      <c r="AV262" s="74"/>
      <c r="AW262" s="75" t="str">
        <f t="shared" si="24"/>
        <v/>
      </c>
    </row>
    <row r="263" spans="1:49" ht="14.25" customHeight="1" x14ac:dyDescent="0.3">
      <c r="A263" s="56">
        <v>259</v>
      </c>
      <c r="B263" s="57" t="s">
        <v>6103</v>
      </c>
      <c r="C263" s="58" t="s">
        <v>6104</v>
      </c>
      <c r="D263" s="56" t="s">
        <v>5774</v>
      </c>
      <c r="E263" s="59">
        <v>46126</v>
      </c>
      <c r="F263" s="60" t="s">
        <v>55</v>
      </c>
      <c r="G263" s="60" t="s">
        <v>58</v>
      </c>
      <c r="H263" s="60" t="s">
        <v>56</v>
      </c>
      <c r="I263" s="60" t="s">
        <v>70</v>
      </c>
      <c r="J263" s="60" t="s">
        <v>58</v>
      </c>
      <c r="K263" s="61"/>
      <c r="L263" s="62" t="s">
        <v>56</v>
      </c>
      <c r="M263" s="63" t="str">
        <f t="shared" si="20"/>
        <v>✓ OK</v>
      </c>
      <c r="N263" s="64"/>
      <c r="O263" s="64"/>
      <c r="P263" s="64"/>
      <c r="Q263" s="64"/>
      <c r="R263" s="64"/>
      <c r="S263" s="64"/>
      <c r="T263" s="61"/>
      <c r="U263" s="65"/>
      <c r="V263" s="66" t="str">
        <f t="shared" si="21"/>
        <v/>
      </c>
      <c r="W263" s="67"/>
      <c r="X263" s="67"/>
      <c r="Y263" s="67"/>
      <c r="Z263" s="67"/>
      <c r="AA263" s="67"/>
      <c r="AB263" s="67"/>
      <c r="AC263" s="61"/>
      <c r="AD263" s="68"/>
      <c r="AE263" s="69" t="str">
        <f t="shared" si="22"/>
        <v/>
      </c>
      <c r="AF263" s="70"/>
      <c r="AG263" s="70"/>
      <c r="AH263" s="70"/>
      <c r="AI263" s="70"/>
      <c r="AJ263" s="70"/>
      <c r="AK263" s="70"/>
      <c r="AL263" s="61"/>
      <c r="AM263" s="71"/>
      <c r="AN263" s="72" t="str">
        <f t="shared" si="23"/>
        <v/>
      </c>
      <c r="AO263" s="73"/>
      <c r="AP263" s="73"/>
      <c r="AQ263" s="73"/>
      <c r="AR263" s="73"/>
      <c r="AS263" s="73"/>
      <c r="AT263" s="73"/>
      <c r="AU263" s="61"/>
      <c r="AV263" s="74"/>
      <c r="AW263" s="75" t="str">
        <f t="shared" si="24"/>
        <v/>
      </c>
    </row>
    <row r="264" spans="1:49" ht="14.25" customHeight="1" x14ac:dyDescent="0.3">
      <c r="A264" s="76">
        <v>260</v>
      </c>
      <c r="B264" s="77" t="s">
        <v>6105</v>
      </c>
      <c r="C264" s="78" t="s">
        <v>6106</v>
      </c>
      <c r="D264" s="76" t="s">
        <v>5774</v>
      </c>
      <c r="E264" s="59">
        <v>46126</v>
      </c>
      <c r="F264" s="60" t="s">
        <v>55</v>
      </c>
      <c r="G264" s="60" t="s">
        <v>58</v>
      </c>
      <c r="H264" s="60" t="s">
        <v>56</v>
      </c>
      <c r="I264" s="60" t="s">
        <v>70</v>
      </c>
      <c r="J264" s="60" t="s">
        <v>58</v>
      </c>
      <c r="K264" s="61"/>
      <c r="L264" s="62" t="s">
        <v>56</v>
      </c>
      <c r="M264" s="63" t="str">
        <f t="shared" si="20"/>
        <v>✓ OK</v>
      </c>
      <c r="N264" s="64"/>
      <c r="O264" s="64"/>
      <c r="P264" s="64"/>
      <c r="Q264" s="64"/>
      <c r="R264" s="64"/>
      <c r="S264" s="64"/>
      <c r="T264" s="61"/>
      <c r="U264" s="65"/>
      <c r="V264" s="66" t="str">
        <f t="shared" si="21"/>
        <v/>
      </c>
      <c r="W264" s="67"/>
      <c r="X264" s="67"/>
      <c r="Y264" s="67"/>
      <c r="Z264" s="67"/>
      <c r="AA264" s="67"/>
      <c r="AB264" s="67"/>
      <c r="AC264" s="61"/>
      <c r="AD264" s="68"/>
      <c r="AE264" s="69" t="str">
        <f t="shared" si="22"/>
        <v/>
      </c>
      <c r="AF264" s="70"/>
      <c r="AG264" s="70"/>
      <c r="AH264" s="70"/>
      <c r="AI264" s="70"/>
      <c r="AJ264" s="70"/>
      <c r="AK264" s="70"/>
      <c r="AL264" s="61"/>
      <c r="AM264" s="71"/>
      <c r="AN264" s="72" t="str">
        <f t="shared" si="23"/>
        <v/>
      </c>
      <c r="AO264" s="73"/>
      <c r="AP264" s="73"/>
      <c r="AQ264" s="73"/>
      <c r="AR264" s="73"/>
      <c r="AS264" s="73"/>
      <c r="AT264" s="73"/>
      <c r="AU264" s="61"/>
      <c r="AV264" s="74"/>
      <c r="AW264" s="75" t="str">
        <f t="shared" si="24"/>
        <v/>
      </c>
    </row>
    <row r="265" spans="1:49" ht="14.25" customHeight="1" x14ac:dyDescent="0.3">
      <c r="A265" s="56">
        <v>261</v>
      </c>
      <c r="B265" s="57" t="s">
        <v>6107</v>
      </c>
      <c r="C265" s="58" t="s">
        <v>6108</v>
      </c>
      <c r="D265" s="56" t="s">
        <v>5774</v>
      </c>
      <c r="E265" s="59">
        <v>46126</v>
      </c>
      <c r="F265" s="60" t="s">
        <v>55</v>
      </c>
      <c r="G265" s="60" t="s">
        <v>58</v>
      </c>
      <c r="H265" s="60" t="s">
        <v>56</v>
      </c>
      <c r="I265" s="60" t="s">
        <v>70</v>
      </c>
      <c r="J265" s="60" t="s">
        <v>58</v>
      </c>
      <c r="K265" s="61"/>
      <c r="L265" s="62" t="s">
        <v>56</v>
      </c>
      <c r="M265" s="63" t="str">
        <f t="shared" si="20"/>
        <v>✓ OK</v>
      </c>
      <c r="N265" s="64"/>
      <c r="O265" s="64"/>
      <c r="P265" s="64"/>
      <c r="Q265" s="64"/>
      <c r="R265" s="64"/>
      <c r="S265" s="64"/>
      <c r="T265" s="61"/>
      <c r="U265" s="65"/>
      <c r="V265" s="66" t="str">
        <f t="shared" si="21"/>
        <v/>
      </c>
      <c r="W265" s="67"/>
      <c r="X265" s="67"/>
      <c r="Y265" s="67"/>
      <c r="Z265" s="67"/>
      <c r="AA265" s="67"/>
      <c r="AB265" s="67"/>
      <c r="AC265" s="61"/>
      <c r="AD265" s="68"/>
      <c r="AE265" s="69" t="str">
        <f t="shared" si="22"/>
        <v/>
      </c>
      <c r="AF265" s="70"/>
      <c r="AG265" s="70"/>
      <c r="AH265" s="70"/>
      <c r="AI265" s="70"/>
      <c r="AJ265" s="70"/>
      <c r="AK265" s="70"/>
      <c r="AL265" s="61"/>
      <c r="AM265" s="71"/>
      <c r="AN265" s="72" t="str">
        <f t="shared" si="23"/>
        <v/>
      </c>
      <c r="AO265" s="73"/>
      <c r="AP265" s="73"/>
      <c r="AQ265" s="73"/>
      <c r="AR265" s="73"/>
      <c r="AS265" s="73"/>
      <c r="AT265" s="73"/>
      <c r="AU265" s="61"/>
      <c r="AV265" s="74"/>
      <c r="AW265" s="75" t="str">
        <f t="shared" si="24"/>
        <v/>
      </c>
    </row>
    <row r="266" spans="1:49" ht="14.25" customHeight="1" x14ac:dyDescent="0.3">
      <c r="A266" s="76">
        <v>262</v>
      </c>
      <c r="B266" s="77" t="s">
        <v>6109</v>
      </c>
      <c r="C266" s="78" t="s">
        <v>6110</v>
      </c>
      <c r="D266" s="76" t="s">
        <v>5774</v>
      </c>
      <c r="E266" s="59">
        <v>46126</v>
      </c>
      <c r="F266" s="60" t="s">
        <v>55</v>
      </c>
      <c r="G266" s="60" t="s">
        <v>58</v>
      </c>
      <c r="H266" s="60" t="s">
        <v>56</v>
      </c>
      <c r="I266" s="60" t="s">
        <v>70</v>
      </c>
      <c r="J266" s="60" t="s">
        <v>58</v>
      </c>
      <c r="K266" s="61"/>
      <c r="L266" s="62" t="s">
        <v>56</v>
      </c>
      <c r="M266" s="63" t="str">
        <f t="shared" si="20"/>
        <v>✓ OK</v>
      </c>
      <c r="N266" s="64"/>
      <c r="O266" s="64"/>
      <c r="P266" s="64"/>
      <c r="Q266" s="64"/>
      <c r="R266" s="64"/>
      <c r="S266" s="64"/>
      <c r="T266" s="61"/>
      <c r="U266" s="65"/>
      <c r="V266" s="66" t="str">
        <f t="shared" si="21"/>
        <v/>
      </c>
      <c r="W266" s="67"/>
      <c r="X266" s="67"/>
      <c r="Y266" s="67"/>
      <c r="Z266" s="67"/>
      <c r="AA266" s="67"/>
      <c r="AB266" s="67"/>
      <c r="AC266" s="61"/>
      <c r="AD266" s="68"/>
      <c r="AE266" s="69" t="str">
        <f t="shared" si="22"/>
        <v/>
      </c>
      <c r="AF266" s="70"/>
      <c r="AG266" s="70"/>
      <c r="AH266" s="70"/>
      <c r="AI266" s="70"/>
      <c r="AJ266" s="70"/>
      <c r="AK266" s="70"/>
      <c r="AL266" s="61"/>
      <c r="AM266" s="71"/>
      <c r="AN266" s="72" t="str">
        <f t="shared" si="23"/>
        <v/>
      </c>
      <c r="AO266" s="73"/>
      <c r="AP266" s="73"/>
      <c r="AQ266" s="73"/>
      <c r="AR266" s="73"/>
      <c r="AS266" s="73"/>
      <c r="AT266" s="73"/>
      <c r="AU266" s="61"/>
      <c r="AV266" s="74"/>
      <c r="AW266" s="75" t="str">
        <f t="shared" si="24"/>
        <v/>
      </c>
    </row>
    <row r="267" spans="1:49" ht="14.25" customHeight="1" x14ac:dyDescent="0.3">
      <c r="A267" s="56">
        <v>263</v>
      </c>
      <c r="B267" s="57" t="s">
        <v>6111</v>
      </c>
      <c r="C267" s="58" t="s">
        <v>6112</v>
      </c>
      <c r="D267" s="56" t="s">
        <v>5774</v>
      </c>
      <c r="E267" s="59">
        <v>46126</v>
      </c>
      <c r="F267" s="60" t="s">
        <v>55</v>
      </c>
      <c r="G267" s="60" t="s">
        <v>58</v>
      </c>
      <c r="H267" s="60" t="s">
        <v>56</v>
      </c>
      <c r="I267" s="60" t="s">
        <v>70</v>
      </c>
      <c r="J267" s="60" t="s">
        <v>58</v>
      </c>
      <c r="K267" s="61"/>
      <c r="L267" s="62" t="s">
        <v>56</v>
      </c>
      <c r="M267" s="63" t="str">
        <f t="shared" si="20"/>
        <v>✓ OK</v>
      </c>
      <c r="N267" s="64"/>
      <c r="O267" s="64"/>
      <c r="P267" s="64"/>
      <c r="Q267" s="64"/>
      <c r="R267" s="64"/>
      <c r="S267" s="64"/>
      <c r="T267" s="61"/>
      <c r="U267" s="65"/>
      <c r="V267" s="66" t="str">
        <f t="shared" si="21"/>
        <v/>
      </c>
      <c r="W267" s="67"/>
      <c r="X267" s="67"/>
      <c r="Y267" s="67"/>
      <c r="Z267" s="67"/>
      <c r="AA267" s="67"/>
      <c r="AB267" s="67"/>
      <c r="AC267" s="61"/>
      <c r="AD267" s="68"/>
      <c r="AE267" s="69" t="str">
        <f t="shared" si="22"/>
        <v/>
      </c>
      <c r="AF267" s="70"/>
      <c r="AG267" s="70"/>
      <c r="AH267" s="70"/>
      <c r="AI267" s="70"/>
      <c r="AJ267" s="70"/>
      <c r="AK267" s="70"/>
      <c r="AL267" s="61"/>
      <c r="AM267" s="71"/>
      <c r="AN267" s="72" t="str">
        <f t="shared" si="23"/>
        <v/>
      </c>
      <c r="AO267" s="73"/>
      <c r="AP267" s="73"/>
      <c r="AQ267" s="73"/>
      <c r="AR267" s="73"/>
      <c r="AS267" s="73"/>
      <c r="AT267" s="73"/>
      <c r="AU267" s="61"/>
      <c r="AV267" s="74"/>
      <c r="AW267" s="75" t="str">
        <f t="shared" si="24"/>
        <v/>
      </c>
    </row>
    <row r="268" spans="1:49" ht="14.25" customHeight="1" x14ac:dyDescent="0.3">
      <c r="A268" s="76">
        <v>264</v>
      </c>
      <c r="B268" s="77" t="s">
        <v>6113</v>
      </c>
      <c r="C268" s="78" t="s">
        <v>6114</v>
      </c>
      <c r="D268" s="76" t="s">
        <v>5774</v>
      </c>
      <c r="E268" s="59">
        <v>46126</v>
      </c>
      <c r="F268" s="60" t="s">
        <v>55</v>
      </c>
      <c r="G268" s="60" t="s">
        <v>58</v>
      </c>
      <c r="H268" s="60" t="s">
        <v>56</v>
      </c>
      <c r="I268" s="60" t="s">
        <v>70</v>
      </c>
      <c r="J268" s="60" t="s">
        <v>58</v>
      </c>
      <c r="K268" s="61"/>
      <c r="L268" s="62" t="s">
        <v>56</v>
      </c>
      <c r="M268" s="63" t="str">
        <f t="shared" si="20"/>
        <v>✓ OK</v>
      </c>
      <c r="N268" s="64"/>
      <c r="O268" s="64"/>
      <c r="P268" s="64"/>
      <c r="Q268" s="64"/>
      <c r="R268" s="64"/>
      <c r="S268" s="64"/>
      <c r="T268" s="61"/>
      <c r="U268" s="65"/>
      <c r="V268" s="66" t="str">
        <f t="shared" si="21"/>
        <v/>
      </c>
      <c r="W268" s="67"/>
      <c r="X268" s="67"/>
      <c r="Y268" s="67"/>
      <c r="Z268" s="67"/>
      <c r="AA268" s="67"/>
      <c r="AB268" s="67"/>
      <c r="AC268" s="61"/>
      <c r="AD268" s="68"/>
      <c r="AE268" s="69" t="str">
        <f t="shared" si="22"/>
        <v/>
      </c>
      <c r="AF268" s="70"/>
      <c r="AG268" s="70"/>
      <c r="AH268" s="70"/>
      <c r="AI268" s="70"/>
      <c r="AJ268" s="70"/>
      <c r="AK268" s="70"/>
      <c r="AL268" s="61"/>
      <c r="AM268" s="71"/>
      <c r="AN268" s="72" t="str">
        <f t="shared" si="23"/>
        <v/>
      </c>
      <c r="AO268" s="73"/>
      <c r="AP268" s="73"/>
      <c r="AQ268" s="73"/>
      <c r="AR268" s="73"/>
      <c r="AS268" s="73"/>
      <c r="AT268" s="73"/>
      <c r="AU268" s="61"/>
      <c r="AV268" s="74"/>
      <c r="AW268" s="75" t="str">
        <f t="shared" si="24"/>
        <v/>
      </c>
    </row>
    <row r="269" spans="1:49" ht="14.25" customHeight="1" x14ac:dyDescent="0.3">
      <c r="A269" s="56">
        <v>265</v>
      </c>
      <c r="B269" s="57" t="s">
        <v>6115</v>
      </c>
      <c r="C269" s="58" t="s">
        <v>6116</v>
      </c>
      <c r="D269" s="56" t="s">
        <v>5774</v>
      </c>
      <c r="E269" s="59">
        <v>46126</v>
      </c>
      <c r="F269" s="60" t="s">
        <v>55</v>
      </c>
      <c r="G269" s="60" t="s">
        <v>58</v>
      </c>
      <c r="H269" s="60" t="s">
        <v>56</v>
      </c>
      <c r="I269" s="60" t="s">
        <v>70</v>
      </c>
      <c r="J269" s="60" t="s">
        <v>58</v>
      </c>
      <c r="K269" s="61"/>
      <c r="L269" s="62" t="s">
        <v>56</v>
      </c>
      <c r="M269" s="63" t="str">
        <f t="shared" si="20"/>
        <v>✓ OK</v>
      </c>
      <c r="N269" s="64"/>
      <c r="O269" s="64"/>
      <c r="P269" s="64"/>
      <c r="Q269" s="64"/>
      <c r="R269" s="64"/>
      <c r="S269" s="64"/>
      <c r="T269" s="61"/>
      <c r="U269" s="65"/>
      <c r="V269" s="66" t="str">
        <f t="shared" si="21"/>
        <v/>
      </c>
      <c r="W269" s="67"/>
      <c r="X269" s="67"/>
      <c r="Y269" s="67"/>
      <c r="Z269" s="67"/>
      <c r="AA269" s="67"/>
      <c r="AB269" s="67"/>
      <c r="AC269" s="61"/>
      <c r="AD269" s="68"/>
      <c r="AE269" s="69" t="str">
        <f t="shared" si="22"/>
        <v/>
      </c>
      <c r="AF269" s="70"/>
      <c r="AG269" s="70"/>
      <c r="AH269" s="70"/>
      <c r="AI269" s="70"/>
      <c r="AJ269" s="70"/>
      <c r="AK269" s="70"/>
      <c r="AL269" s="61"/>
      <c r="AM269" s="71"/>
      <c r="AN269" s="72" t="str">
        <f t="shared" si="23"/>
        <v/>
      </c>
      <c r="AO269" s="73"/>
      <c r="AP269" s="73"/>
      <c r="AQ269" s="73"/>
      <c r="AR269" s="73"/>
      <c r="AS269" s="73"/>
      <c r="AT269" s="73"/>
      <c r="AU269" s="61"/>
      <c r="AV269" s="74"/>
      <c r="AW269" s="75" t="str">
        <f t="shared" si="24"/>
        <v/>
      </c>
    </row>
    <row r="270" spans="1:49" ht="14.25" customHeight="1" x14ac:dyDescent="0.3">
      <c r="A270" s="76">
        <v>266</v>
      </c>
      <c r="B270" s="77" t="s">
        <v>6117</v>
      </c>
      <c r="C270" s="78" t="s">
        <v>6118</v>
      </c>
      <c r="D270" s="76" t="s">
        <v>5774</v>
      </c>
      <c r="E270" s="59">
        <v>46126</v>
      </c>
      <c r="F270" s="60" t="s">
        <v>55</v>
      </c>
      <c r="G270" s="60" t="s">
        <v>58</v>
      </c>
      <c r="H270" s="60" t="s">
        <v>56</v>
      </c>
      <c r="I270" s="60" t="s">
        <v>70</v>
      </c>
      <c r="J270" s="60" t="s">
        <v>58</v>
      </c>
      <c r="K270" s="61"/>
      <c r="L270" s="62" t="s">
        <v>56</v>
      </c>
      <c r="M270" s="63" t="str">
        <f t="shared" si="20"/>
        <v>✓ OK</v>
      </c>
      <c r="N270" s="64"/>
      <c r="O270" s="64"/>
      <c r="P270" s="64"/>
      <c r="Q270" s="64"/>
      <c r="R270" s="64"/>
      <c r="S270" s="64"/>
      <c r="T270" s="61"/>
      <c r="U270" s="65"/>
      <c r="V270" s="66" t="str">
        <f t="shared" si="21"/>
        <v/>
      </c>
      <c r="W270" s="67"/>
      <c r="X270" s="67"/>
      <c r="Y270" s="67"/>
      <c r="Z270" s="67"/>
      <c r="AA270" s="67"/>
      <c r="AB270" s="67"/>
      <c r="AC270" s="61"/>
      <c r="AD270" s="68"/>
      <c r="AE270" s="69" t="str">
        <f t="shared" si="22"/>
        <v/>
      </c>
      <c r="AF270" s="70"/>
      <c r="AG270" s="70"/>
      <c r="AH270" s="70"/>
      <c r="AI270" s="70"/>
      <c r="AJ270" s="70"/>
      <c r="AK270" s="70"/>
      <c r="AL270" s="61"/>
      <c r="AM270" s="71"/>
      <c r="AN270" s="72" t="str">
        <f t="shared" si="23"/>
        <v/>
      </c>
      <c r="AO270" s="73"/>
      <c r="AP270" s="73"/>
      <c r="AQ270" s="73"/>
      <c r="AR270" s="73"/>
      <c r="AS270" s="73"/>
      <c r="AT270" s="73"/>
      <c r="AU270" s="61"/>
      <c r="AV270" s="74"/>
      <c r="AW270" s="75" t="str">
        <f t="shared" si="24"/>
        <v/>
      </c>
    </row>
    <row r="271" spans="1:49" ht="14.25" customHeight="1" x14ac:dyDescent="0.3">
      <c r="A271" s="56">
        <v>267</v>
      </c>
      <c r="B271" s="57" t="s">
        <v>6119</v>
      </c>
      <c r="C271" s="58" t="s">
        <v>6120</v>
      </c>
      <c r="D271" s="56" t="s">
        <v>5774</v>
      </c>
      <c r="E271" s="59">
        <v>46126</v>
      </c>
      <c r="F271" s="60" t="s">
        <v>55</v>
      </c>
      <c r="G271" s="60" t="s">
        <v>58</v>
      </c>
      <c r="H271" s="60" t="s">
        <v>56</v>
      </c>
      <c r="I271" s="60" t="s">
        <v>70</v>
      </c>
      <c r="J271" s="60" t="s">
        <v>58</v>
      </c>
      <c r="K271" s="61"/>
      <c r="L271" s="62" t="s">
        <v>56</v>
      </c>
      <c r="M271" s="63" t="str">
        <f t="shared" si="20"/>
        <v>✓ OK</v>
      </c>
      <c r="N271" s="64"/>
      <c r="O271" s="64"/>
      <c r="P271" s="64"/>
      <c r="Q271" s="64"/>
      <c r="R271" s="64"/>
      <c r="S271" s="64"/>
      <c r="T271" s="61"/>
      <c r="U271" s="65"/>
      <c r="V271" s="66" t="str">
        <f t="shared" si="21"/>
        <v/>
      </c>
      <c r="W271" s="67"/>
      <c r="X271" s="67"/>
      <c r="Y271" s="67"/>
      <c r="Z271" s="67"/>
      <c r="AA271" s="67"/>
      <c r="AB271" s="67"/>
      <c r="AC271" s="61"/>
      <c r="AD271" s="68"/>
      <c r="AE271" s="69" t="str">
        <f t="shared" si="22"/>
        <v/>
      </c>
      <c r="AF271" s="70"/>
      <c r="AG271" s="70"/>
      <c r="AH271" s="70"/>
      <c r="AI271" s="70"/>
      <c r="AJ271" s="70"/>
      <c r="AK271" s="70"/>
      <c r="AL271" s="61"/>
      <c r="AM271" s="71"/>
      <c r="AN271" s="72" t="str">
        <f t="shared" si="23"/>
        <v/>
      </c>
      <c r="AO271" s="73"/>
      <c r="AP271" s="73"/>
      <c r="AQ271" s="73"/>
      <c r="AR271" s="73"/>
      <c r="AS271" s="73"/>
      <c r="AT271" s="73"/>
      <c r="AU271" s="61"/>
      <c r="AV271" s="74"/>
      <c r="AW271" s="75" t="str">
        <f t="shared" si="24"/>
        <v/>
      </c>
    </row>
    <row r="272" spans="1:49" ht="14.25" customHeight="1" x14ac:dyDescent="0.3">
      <c r="A272" s="76">
        <v>268</v>
      </c>
      <c r="B272" s="77" t="s">
        <v>6121</v>
      </c>
      <c r="C272" s="78" t="s">
        <v>6122</v>
      </c>
      <c r="D272" s="76" t="s">
        <v>5774</v>
      </c>
      <c r="E272" s="59">
        <v>46126</v>
      </c>
      <c r="F272" s="60" t="s">
        <v>55</v>
      </c>
      <c r="G272" s="60" t="s">
        <v>58</v>
      </c>
      <c r="H272" s="60" t="s">
        <v>56</v>
      </c>
      <c r="I272" s="60" t="s">
        <v>70</v>
      </c>
      <c r="J272" s="60" t="s">
        <v>58</v>
      </c>
      <c r="K272" s="61"/>
      <c r="L272" s="62" t="s">
        <v>56</v>
      </c>
      <c r="M272" s="63" t="str">
        <f t="shared" si="20"/>
        <v>✓ OK</v>
      </c>
      <c r="N272" s="64"/>
      <c r="O272" s="64"/>
      <c r="P272" s="64"/>
      <c r="Q272" s="64"/>
      <c r="R272" s="64"/>
      <c r="S272" s="64"/>
      <c r="T272" s="61"/>
      <c r="U272" s="65"/>
      <c r="V272" s="66" t="str">
        <f t="shared" si="21"/>
        <v/>
      </c>
      <c r="W272" s="67"/>
      <c r="X272" s="67"/>
      <c r="Y272" s="67"/>
      <c r="Z272" s="67"/>
      <c r="AA272" s="67"/>
      <c r="AB272" s="67"/>
      <c r="AC272" s="61"/>
      <c r="AD272" s="68"/>
      <c r="AE272" s="69" t="str">
        <f t="shared" si="22"/>
        <v/>
      </c>
      <c r="AF272" s="70"/>
      <c r="AG272" s="70"/>
      <c r="AH272" s="70"/>
      <c r="AI272" s="70"/>
      <c r="AJ272" s="70"/>
      <c r="AK272" s="70"/>
      <c r="AL272" s="61"/>
      <c r="AM272" s="71"/>
      <c r="AN272" s="72" t="str">
        <f t="shared" si="23"/>
        <v/>
      </c>
      <c r="AO272" s="73"/>
      <c r="AP272" s="73"/>
      <c r="AQ272" s="73"/>
      <c r="AR272" s="73"/>
      <c r="AS272" s="73"/>
      <c r="AT272" s="73"/>
      <c r="AU272" s="61"/>
      <c r="AV272" s="74"/>
      <c r="AW272" s="75" t="str">
        <f t="shared" si="24"/>
        <v/>
      </c>
    </row>
    <row r="273" spans="1:49" ht="14.25" customHeight="1" x14ac:dyDescent="0.3">
      <c r="A273" s="56">
        <v>269</v>
      </c>
      <c r="B273" s="57" t="s">
        <v>6123</v>
      </c>
      <c r="C273" s="58" t="s">
        <v>6124</v>
      </c>
      <c r="D273" s="56" t="s">
        <v>5774</v>
      </c>
      <c r="E273" s="59">
        <v>46126</v>
      </c>
      <c r="F273" s="60" t="s">
        <v>55</v>
      </c>
      <c r="G273" s="60" t="s">
        <v>58</v>
      </c>
      <c r="H273" s="60" t="s">
        <v>56</v>
      </c>
      <c r="I273" s="60" t="s">
        <v>70</v>
      </c>
      <c r="J273" s="60" t="s">
        <v>58</v>
      </c>
      <c r="K273" s="61"/>
      <c r="L273" s="62" t="s">
        <v>56</v>
      </c>
      <c r="M273" s="63" t="str">
        <f t="shared" si="20"/>
        <v>✓ OK</v>
      </c>
      <c r="N273" s="64"/>
      <c r="O273" s="64"/>
      <c r="P273" s="64"/>
      <c r="Q273" s="64"/>
      <c r="R273" s="64"/>
      <c r="S273" s="64"/>
      <c r="T273" s="61"/>
      <c r="U273" s="65"/>
      <c r="V273" s="66" t="str">
        <f t="shared" si="21"/>
        <v/>
      </c>
      <c r="W273" s="67"/>
      <c r="X273" s="67"/>
      <c r="Y273" s="67"/>
      <c r="Z273" s="67"/>
      <c r="AA273" s="67"/>
      <c r="AB273" s="67"/>
      <c r="AC273" s="61"/>
      <c r="AD273" s="68"/>
      <c r="AE273" s="69" t="str">
        <f t="shared" si="22"/>
        <v/>
      </c>
      <c r="AF273" s="70"/>
      <c r="AG273" s="70"/>
      <c r="AH273" s="70"/>
      <c r="AI273" s="70"/>
      <c r="AJ273" s="70"/>
      <c r="AK273" s="70"/>
      <c r="AL273" s="61"/>
      <c r="AM273" s="71"/>
      <c r="AN273" s="72" t="str">
        <f t="shared" si="23"/>
        <v/>
      </c>
      <c r="AO273" s="73"/>
      <c r="AP273" s="73"/>
      <c r="AQ273" s="73"/>
      <c r="AR273" s="73"/>
      <c r="AS273" s="73"/>
      <c r="AT273" s="73"/>
      <c r="AU273" s="61"/>
      <c r="AV273" s="74"/>
      <c r="AW273" s="75" t="str">
        <f t="shared" si="24"/>
        <v/>
      </c>
    </row>
    <row r="274" spans="1:49" ht="14.25" customHeight="1" x14ac:dyDescent="0.3">
      <c r="A274" s="76">
        <v>270</v>
      </c>
      <c r="B274" s="77" t="s">
        <v>6125</v>
      </c>
      <c r="C274" s="78" t="s">
        <v>6126</v>
      </c>
      <c r="D274" s="76" t="s">
        <v>5774</v>
      </c>
      <c r="E274" s="59">
        <v>46126</v>
      </c>
      <c r="F274" s="60" t="s">
        <v>55</v>
      </c>
      <c r="G274" s="60" t="s">
        <v>58</v>
      </c>
      <c r="H274" s="60" t="s">
        <v>56</v>
      </c>
      <c r="I274" s="60" t="s">
        <v>70</v>
      </c>
      <c r="J274" s="60" t="s">
        <v>58</v>
      </c>
      <c r="K274" s="61"/>
      <c r="L274" s="62" t="s">
        <v>56</v>
      </c>
      <c r="M274" s="63" t="str">
        <f t="shared" si="20"/>
        <v>✓ OK</v>
      </c>
      <c r="N274" s="64"/>
      <c r="O274" s="64"/>
      <c r="P274" s="64"/>
      <c r="Q274" s="64"/>
      <c r="R274" s="64"/>
      <c r="S274" s="64"/>
      <c r="T274" s="61"/>
      <c r="U274" s="65"/>
      <c r="V274" s="66" t="str">
        <f t="shared" si="21"/>
        <v/>
      </c>
      <c r="W274" s="67"/>
      <c r="X274" s="67"/>
      <c r="Y274" s="67"/>
      <c r="Z274" s="67"/>
      <c r="AA274" s="67"/>
      <c r="AB274" s="67"/>
      <c r="AC274" s="61"/>
      <c r="AD274" s="68"/>
      <c r="AE274" s="69" t="str">
        <f t="shared" si="22"/>
        <v/>
      </c>
      <c r="AF274" s="70"/>
      <c r="AG274" s="70"/>
      <c r="AH274" s="70"/>
      <c r="AI274" s="70"/>
      <c r="AJ274" s="70"/>
      <c r="AK274" s="70"/>
      <c r="AL274" s="61"/>
      <c r="AM274" s="71"/>
      <c r="AN274" s="72" t="str">
        <f t="shared" si="23"/>
        <v/>
      </c>
      <c r="AO274" s="73"/>
      <c r="AP274" s="73"/>
      <c r="AQ274" s="73"/>
      <c r="AR274" s="73"/>
      <c r="AS274" s="73"/>
      <c r="AT274" s="73"/>
      <c r="AU274" s="61"/>
      <c r="AV274" s="74"/>
      <c r="AW274" s="75" t="str">
        <f t="shared" si="24"/>
        <v/>
      </c>
    </row>
    <row r="275" spans="1:49" ht="14.25" customHeight="1" x14ac:dyDescent="0.3">
      <c r="A275" s="56">
        <v>271</v>
      </c>
      <c r="B275" s="57" t="s">
        <v>6127</v>
      </c>
      <c r="C275" s="58" t="s">
        <v>6128</v>
      </c>
      <c r="D275" s="56" t="s">
        <v>5774</v>
      </c>
      <c r="E275" s="59">
        <v>46126</v>
      </c>
      <c r="F275" s="60" t="s">
        <v>55</v>
      </c>
      <c r="G275" s="60" t="s">
        <v>58</v>
      </c>
      <c r="H275" s="60" t="s">
        <v>56</v>
      </c>
      <c r="I275" s="60" t="s">
        <v>70</v>
      </c>
      <c r="J275" s="60" t="s">
        <v>58</v>
      </c>
      <c r="K275" s="61"/>
      <c r="L275" s="62" t="s">
        <v>56</v>
      </c>
      <c r="M275" s="63" t="str">
        <f t="shared" si="20"/>
        <v>✓ OK</v>
      </c>
      <c r="N275" s="64"/>
      <c r="O275" s="64"/>
      <c r="P275" s="64"/>
      <c r="Q275" s="64"/>
      <c r="R275" s="64"/>
      <c r="S275" s="64"/>
      <c r="T275" s="61"/>
      <c r="U275" s="65"/>
      <c r="V275" s="66" t="str">
        <f t="shared" si="21"/>
        <v/>
      </c>
      <c r="W275" s="67"/>
      <c r="X275" s="67"/>
      <c r="Y275" s="67"/>
      <c r="Z275" s="67"/>
      <c r="AA275" s="67"/>
      <c r="AB275" s="67"/>
      <c r="AC275" s="61"/>
      <c r="AD275" s="68"/>
      <c r="AE275" s="69" t="str">
        <f t="shared" si="22"/>
        <v/>
      </c>
      <c r="AF275" s="70"/>
      <c r="AG275" s="70"/>
      <c r="AH275" s="70"/>
      <c r="AI275" s="70"/>
      <c r="AJ275" s="70"/>
      <c r="AK275" s="70"/>
      <c r="AL275" s="61"/>
      <c r="AM275" s="71"/>
      <c r="AN275" s="72" t="str">
        <f t="shared" si="23"/>
        <v/>
      </c>
      <c r="AO275" s="73"/>
      <c r="AP275" s="73"/>
      <c r="AQ275" s="73"/>
      <c r="AR275" s="73"/>
      <c r="AS275" s="73"/>
      <c r="AT275" s="73"/>
      <c r="AU275" s="61"/>
      <c r="AV275" s="74"/>
      <c r="AW275" s="75" t="str">
        <f t="shared" si="24"/>
        <v/>
      </c>
    </row>
    <row r="276" spans="1:49" ht="14.25" customHeight="1" x14ac:dyDescent="0.3">
      <c r="A276" s="76">
        <v>272</v>
      </c>
      <c r="B276" s="77" t="s">
        <v>6129</v>
      </c>
      <c r="C276" s="78" t="s">
        <v>6130</v>
      </c>
      <c r="D276" s="76" t="s">
        <v>5774</v>
      </c>
      <c r="E276" s="59">
        <v>46126</v>
      </c>
      <c r="F276" s="60" t="s">
        <v>55</v>
      </c>
      <c r="G276" s="60" t="s">
        <v>58</v>
      </c>
      <c r="H276" s="60" t="s">
        <v>56</v>
      </c>
      <c r="I276" s="60" t="s">
        <v>70</v>
      </c>
      <c r="J276" s="60" t="s">
        <v>58</v>
      </c>
      <c r="K276" s="61"/>
      <c r="L276" s="62" t="s">
        <v>56</v>
      </c>
      <c r="M276" s="63" t="str">
        <f t="shared" si="20"/>
        <v>✓ OK</v>
      </c>
      <c r="N276" s="64"/>
      <c r="O276" s="64"/>
      <c r="P276" s="64"/>
      <c r="Q276" s="64"/>
      <c r="R276" s="64"/>
      <c r="S276" s="64"/>
      <c r="T276" s="61"/>
      <c r="U276" s="65"/>
      <c r="V276" s="66" t="str">
        <f t="shared" si="21"/>
        <v/>
      </c>
      <c r="W276" s="67"/>
      <c r="X276" s="67"/>
      <c r="Y276" s="67"/>
      <c r="Z276" s="67"/>
      <c r="AA276" s="67"/>
      <c r="AB276" s="67"/>
      <c r="AC276" s="61"/>
      <c r="AD276" s="68"/>
      <c r="AE276" s="69" t="str">
        <f t="shared" si="22"/>
        <v/>
      </c>
      <c r="AF276" s="70"/>
      <c r="AG276" s="70"/>
      <c r="AH276" s="70"/>
      <c r="AI276" s="70"/>
      <c r="AJ276" s="70"/>
      <c r="AK276" s="70"/>
      <c r="AL276" s="61"/>
      <c r="AM276" s="71"/>
      <c r="AN276" s="72" t="str">
        <f t="shared" si="23"/>
        <v/>
      </c>
      <c r="AO276" s="73"/>
      <c r="AP276" s="73"/>
      <c r="AQ276" s="73"/>
      <c r="AR276" s="73"/>
      <c r="AS276" s="73"/>
      <c r="AT276" s="73"/>
      <c r="AU276" s="61"/>
      <c r="AV276" s="74"/>
      <c r="AW276" s="75" t="str">
        <f t="shared" si="24"/>
        <v/>
      </c>
    </row>
    <row r="277" spans="1:49" ht="14.25" customHeight="1" x14ac:dyDescent="0.3">
      <c r="A277" s="56">
        <v>273</v>
      </c>
      <c r="B277" s="57" t="s">
        <v>6131</v>
      </c>
      <c r="C277" s="58" t="s">
        <v>6132</v>
      </c>
      <c r="D277" s="56" t="s">
        <v>5774</v>
      </c>
      <c r="E277" s="59">
        <v>46126</v>
      </c>
      <c r="F277" s="60" t="s">
        <v>55</v>
      </c>
      <c r="G277" s="60" t="s">
        <v>58</v>
      </c>
      <c r="H277" s="60" t="s">
        <v>56</v>
      </c>
      <c r="I277" s="60" t="s">
        <v>70</v>
      </c>
      <c r="J277" s="60" t="s">
        <v>58</v>
      </c>
      <c r="K277" s="61"/>
      <c r="L277" s="62" t="s">
        <v>56</v>
      </c>
      <c r="M277" s="63" t="str">
        <f t="shared" si="20"/>
        <v>✓ OK</v>
      </c>
      <c r="N277" s="64"/>
      <c r="O277" s="64"/>
      <c r="P277" s="64"/>
      <c r="Q277" s="64"/>
      <c r="R277" s="64"/>
      <c r="S277" s="64"/>
      <c r="T277" s="61"/>
      <c r="U277" s="65"/>
      <c r="V277" s="66" t="str">
        <f t="shared" si="21"/>
        <v/>
      </c>
      <c r="W277" s="67"/>
      <c r="X277" s="67"/>
      <c r="Y277" s="67"/>
      <c r="Z277" s="67"/>
      <c r="AA277" s="67"/>
      <c r="AB277" s="67"/>
      <c r="AC277" s="61"/>
      <c r="AD277" s="68"/>
      <c r="AE277" s="69" t="str">
        <f t="shared" si="22"/>
        <v/>
      </c>
      <c r="AF277" s="70"/>
      <c r="AG277" s="70"/>
      <c r="AH277" s="70"/>
      <c r="AI277" s="70"/>
      <c r="AJ277" s="70"/>
      <c r="AK277" s="70"/>
      <c r="AL277" s="61"/>
      <c r="AM277" s="71"/>
      <c r="AN277" s="72" t="str">
        <f t="shared" si="23"/>
        <v/>
      </c>
      <c r="AO277" s="73"/>
      <c r="AP277" s="73"/>
      <c r="AQ277" s="73"/>
      <c r="AR277" s="73"/>
      <c r="AS277" s="73"/>
      <c r="AT277" s="73"/>
      <c r="AU277" s="61"/>
      <c r="AV277" s="74"/>
      <c r="AW277" s="75" t="str">
        <f t="shared" si="24"/>
        <v/>
      </c>
    </row>
    <row r="278" spans="1:49" ht="14.25" customHeight="1" x14ac:dyDescent="0.3">
      <c r="A278" s="76">
        <v>274</v>
      </c>
      <c r="B278" s="77" t="s">
        <v>6133</v>
      </c>
      <c r="C278" s="78" t="s">
        <v>6134</v>
      </c>
      <c r="D278" s="76" t="s">
        <v>5774</v>
      </c>
      <c r="E278" s="59">
        <v>46126</v>
      </c>
      <c r="F278" s="60" t="s">
        <v>55</v>
      </c>
      <c r="G278" s="60" t="s">
        <v>58</v>
      </c>
      <c r="H278" s="60" t="s">
        <v>56</v>
      </c>
      <c r="I278" s="60" t="s">
        <v>70</v>
      </c>
      <c r="J278" s="60" t="s">
        <v>58</v>
      </c>
      <c r="K278" s="61"/>
      <c r="L278" s="62" t="s">
        <v>56</v>
      </c>
      <c r="M278" s="63" t="str">
        <f t="shared" si="20"/>
        <v>✓ OK</v>
      </c>
      <c r="N278" s="64"/>
      <c r="O278" s="64"/>
      <c r="P278" s="64"/>
      <c r="Q278" s="64"/>
      <c r="R278" s="64"/>
      <c r="S278" s="64"/>
      <c r="T278" s="61"/>
      <c r="U278" s="65"/>
      <c r="V278" s="66" t="str">
        <f t="shared" si="21"/>
        <v/>
      </c>
      <c r="W278" s="67"/>
      <c r="X278" s="67"/>
      <c r="Y278" s="67"/>
      <c r="Z278" s="67"/>
      <c r="AA278" s="67"/>
      <c r="AB278" s="67"/>
      <c r="AC278" s="61"/>
      <c r="AD278" s="68"/>
      <c r="AE278" s="69" t="str">
        <f t="shared" si="22"/>
        <v/>
      </c>
      <c r="AF278" s="70"/>
      <c r="AG278" s="70"/>
      <c r="AH278" s="70"/>
      <c r="AI278" s="70"/>
      <c r="AJ278" s="70"/>
      <c r="AK278" s="70"/>
      <c r="AL278" s="61"/>
      <c r="AM278" s="71"/>
      <c r="AN278" s="72" t="str">
        <f t="shared" si="23"/>
        <v/>
      </c>
      <c r="AO278" s="73"/>
      <c r="AP278" s="73"/>
      <c r="AQ278" s="73"/>
      <c r="AR278" s="73"/>
      <c r="AS278" s="73"/>
      <c r="AT278" s="73"/>
      <c r="AU278" s="61"/>
      <c r="AV278" s="74"/>
      <c r="AW278" s="75" t="str">
        <f t="shared" si="24"/>
        <v/>
      </c>
    </row>
    <row r="279" spans="1:49" ht="14.25" customHeight="1" x14ac:dyDescent="0.3">
      <c r="A279" s="56">
        <v>275</v>
      </c>
      <c r="B279" s="57" t="s">
        <v>6135</v>
      </c>
      <c r="C279" s="58" t="s">
        <v>6136</v>
      </c>
      <c r="D279" s="56" t="s">
        <v>5774</v>
      </c>
      <c r="E279" s="59">
        <v>46126</v>
      </c>
      <c r="F279" s="60" t="s">
        <v>55</v>
      </c>
      <c r="G279" s="60" t="s">
        <v>58</v>
      </c>
      <c r="H279" s="60" t="s">
        <v>56</v>
      </c>
      <c r="I279" s="60" t="s">
        <v>70</v>
      </c>
      <c r="J279" s="60" t="s">
        <v>58</v>
      </c>
      <c r="K279" s="61"/>
      <c r="L279" s="62" t="s">
        <v>56</v>
      </c>
      <c r="M279" s="63" t="str">
        <f t="shared" si="20"/>
        <v>✓ OK</v>
      </c>
      <c r="N279" s="64"/>
      <c r="O279" s="64"/>
      <c r="P279" s="64"/>
      <c r="Q279" s="64"/>
      <c r="R279" s="64"/>
      <c r="S279" s="64"/>
      <c r="T279" s="61"/>
      <c r="U279" s="65"/>
      <c r="V279" s="66" t="str">
        <f t="shared" si="21"/>
        <v/>
      </c>
      <c r="W279" s="67"/>
      <c r="X279" s="67"/>
      <c r="Y279" s="67"/>
      <c r="Z279" s="67"/>
      <c r="AA279" s="67"/>
      <c r="AB279" s="67"/>
      <c r="AC279" s="61"/>
      <c r="AD279" s="68"/>
      <c r="AE279" s="69" t="str">
        <f t="shared" si="22"/>
        <v/>
      </c>
      <c r="AF279" s="70"/>
      <c r="AG279" s="70"/>
      <c r="AH279" s="70"/>
      <c r="AI279" s="70"/>
      <c r="AJ279" s="70"/>
      <c r="AK279" s="70"/>
      <c r="AL279" s="61"/>
      <c r="AM279" s="71"/>
      <c r="AN279" s="72" t="str">
        <f t="shared" si="23"/>
        <v/>
      </c>
      <c r="AO279" s="73"/>
      <c r="AP279" s="73"/>
      <c r="AQ279" s="73"/>
      <c r="AR279" s="73"/>
      <c r="AS279" s="73"/>
      <c r="AT279" s="73"/>
      <c r="AU279" s="61"/>
      <c r="AV279" s="74"/>
      <c r="AW279" s="75" t="str">
        <f t="shared" si="24"/>
        <v/>
      </c>
    </row>
    <row r="280" spans="1:49" ht="14.25" customHeight="1" x14ac:dyDescent="0.3">
      <c r="A280" s="76">
        <v>276</v>
      </c>
      <c r="B280" s="77" t="s">
        <v>6137</v>
      </c>
      <c r="C280" s="78" t="s">
        <v>6138</v>
      </c>
      <c r="D280" s="76" t="s">
        <v>5774</v>
      </c>
      <c r="E280" s="59">
        <v>46126</v>
      </c>
      <c r="F280" s="60" t="s">
        <v>55</v>
      </c>
      <c r="G280" s="60" t="s">
        <v>58</v>
      </c>
      <c r="H280" s="60" t="s">
        <v>56</v>
      </c>
      <c r="I280" s="60" t="s">
        <v>70</v>
      </c>
      <c r="J280" s="60" t="s">
        <v>58</v>
      </c>
      <c r="K280" s="61"/>
      <c r="L280" s="62" t="s">
        <v>56</v>
      </c>
      <c r="M280" s="63" t="str">
        <f t="shared" si="20"/>
        <v>✓ OK</v>
      </c>
      <c r="N280" s="64"/>
      <c r="O280" s="64"/>
      <c r="P280" s="64"/>
      <c r="Q280" s="64"/>
      <c r="R280" s="64"/>
      <c r="S280" s="64"/>
      <c r="T280" s="61"/>
      <c r="U280" s="65"/>
      <c r="V280" s="66" t="str">
        <f t="shared" si="21"/>
        <v/>
      </c>
      <c r="W280" s="67"/>
      <c r="X280" s="67"/>
      <c r="Y280" s="67"/>
      <c r="Z280" s="67"/>
      <c r="AA280" s="67"/>
      <c r="AB280" s="67"/>
      <c r="AC280" s="61"/>
      <c r="AD280" s="68"/>
      <c r="AE280" s="69" t="str">
        <f t="shared" si="22"/>
        <v/>
      </c>
      <c r="AF280" s="70"/>
      <c r="AG280" s="70"/>
      <c r="AH280" s="70"/>
      <c r="AI280" s="70"/>
      <c r="AJ280" s="70"/>
      <c r="AK280" s="70"/>
      <c r="AL280" s="61"/>
      <c r="AM280" s="71"/>
      <c r="AN280" s="72" t="str">
        <f t="shared" si="23"/>
        <v/>
      </c>
      <c r="AO280" s="73"/>
      <c r="AP280" s="73"/>
      <c r="AQ280" s="73"/>
      <c r="AR280" s="73"/>
      <c r="AS280" s="73"/>
      <c r="AT280" s="73"/>
      <c r="AU280" s="61"/>
      <c r="AV280" s="74"/>
      <c r="AW280" s="75" t="str">
        <f t="shared" si="24"/>
        <v/>
      </c>
    </row>
    <row r="281" spans="1:49" ht="14.25" customHeight="1" x14ac:dyDescent="0.3">
      <c r="A281" s="56">
        <v>277</v>
      </c>
      <c r="B281" s="57" t="s">
        <v>6139</v>
      </c>
      <c r="C281" s="58" t="s">
        <v>6140</v>
      </c>
      <c r="D281" s="56" t="s">
        <v>5774</v>
      </c>
      <c r="E281" s="59">
        <v>46126</v>
      </c>
      <c r="F281" s="60" t="s">
        <v>55</v>
      </c>
      <c r="G281" s="60" t="s">
        <v>58</v>
      </c>
      <c r="H281" s="60" t="s">
        <v>56</v>
      </c>
      <c r="I281" s="60" t="s">
        <v>70</v>
      </c>
      <c r="J281" s="60" t="s">
        <v>58</v>
      </c>
      <c r="K281" s="61"/>
      <c r="L281" s="62" t="s">
        <v>56</v>
      </c>
      <c r="M281" s="63" t="str">
        <f t="shared" si="20"/>
        <v>✓ OK</v>
      </c>
      <c r="N281" s="64"/>
      <c r="O281" s="64"/>
      <c r="P281" s="64"/>
      <c r="Q281" s="64"/>
      <c r="R281" s="64"/>
      <c r="S281" s="64"/>
      <c r="T281" s="61"/>
      <c r="U281" s="65"/>
      <c r="V281" s="66" t="str">
        <f t="shared" si="21"/>
        <v/>
      </c>
      <c r="W281" s="67"/>
      <c r="X281" s="67"/>
      <c r="Y281" s="67"/>
      <c r="Z281" s="67"/>
      <c r="AA281" s="67"/>
      <c r="AB281" s="67"/>
      <c r="AC281" s="61"/>
      <c r="AD281" s="68"/>
      <c r="AE281" s="69" t="str">
        <f t="shared" si="22"/>
        <v/>
      </c>
      <c r="AF281" s="70"/>
      <c r="AG281" s="70"/>
      <c r="AH281" s="70"/>
      <c r="AI281" s="70"/>
      <c r="AJ281" s="70"/>
      <c r="AK281" s="70"/>
      <c r="AL281" s="61"/>
      <c r="AM281" s="71"/>
      <c r="AN281" s="72" t="str">
        <f t="shared" si="23"/>
        <v/>
      </c>
      <c r="AO281" s="73"/>
      <c r="AP281" s="73"/>
      <c r="AQ281" s="73"/>
      <c r="AR281" s="73"/>
      <c r="AS281" s="73"/>
      <c r="AT281" s="73"/>
      <c r="AU281" s="61"/>
      <c r="AV281" s="74"/>
      <c r="AW281" s="75" t="str">
        <f t="shared" si="24"/>
        <v/>
      </c>
    </row>
    <row r="282" spans="1:49" ht="14.25" customHeight="1" x14ac:dyDescent="0.3">
      <c r="A282" s="76">
        <v>278</v>
      </c>
      <c r="B282" s="77" t="s">
        <v>6141</v>
      </c>
      <c r="C282" s="78" t="s">
        <v>6142</v>
      </c>
      <c r="D282" s="76" t="s">
        <v>5774</v>
      </c>
      <c r="E282" s="59">
        <v>46126</v>
      </c>
      <c r="F282" s="60" t="s">
        <v>55</v>
      </c>
      <c r="G282" s="60" t="s">
        <v>58</v>
      </c>
      <c r="H282" s="60" t="s">
        <v>56</v>
      </c>
      <c r="I282" s="60" t="s">
        <v>70</v>
      </c>
      <c r="J282" s="60" t="s">
        <v>58</v>
      </c>
      <c r="K282" s="61"/>
      <c r="L282" s="62" t="s">
        <v>56</v>
      </c>
      <c r="M282" s="63" t="str">
        <f t="shared" si="20"/>
        <v>✓ OK</v>
      </c>
      <c r="N282" s="64"/>
      <c r="O282" s="64"/>
      <c r="P282" s="64"/>
      <c r="Q282" s="64"/>
      <c r="R282" s="64"/>
      <c r="S282" s="64"/>
      <c r="T282" s="61"/>
      <c r="U282" s="65"/>
      <c r="V282" s="66" t="str">
        <f t="shared" si="21"/>
        <v/>
      </c>
      <c r="W282" s="67"/>
      <c r="X282" s="67"/>
      <c r="Y282" s="67"/>
      <c r="Z282" s="67"/>
      <c r="AA282" s="67"/>
      <c r="AB282" s="67"/>
      <c r="AC282" s="61"/>
      <c r="AD282" s="68"/>
      <c r="AE282" s="69" t="str">
        <f t="shared" si="22"/>
        <v/>
      </c>
      <c r="AF282" s="70"/>
      <c r="AG282" s="70"/>
      <c r="AH282" s="70"/>
      <c r="AI282" s="70"/>
      <c r="AJ282" s="70"/>
      <c r="AK282" s="70"/>
      <c r="AL282" s="61"/>
      <c r="AM282" s="71"/>
      <c r="AN282" s="72" t="str">
        <f t="shared" si="23"/>
        <v/>
      </c>
      <c r="AO282" s="73"/>
      <c r="AP282" s="73"/>
      <c r="AQ282" s="73"/>
      <c r="AR282" s="73"/>
      <c r="AS282" s="73"/>
      <c r="AT282" s="73"/>
      <c r="AU282" s="61"/>
      <c r="AV282" s="74"/>
      <c r="AW282" s="75" t="str">
        <f t="shared" si="24"/>
        <v/>
      </c>
    </row>
    <row r="283" spans="1:49" ht="14.25" customHeight="1" x14ac:dyDescent="0.3">
      <c r="A283" s="56">
        <v>279</v>
      </c>
      <c r="B283" s="57" t="s">
        <v>6143</v>
      </c>
      <c r="C283" s="58" t="s">
        <v>6144</v>
      </c>
      <c r="D283" s="56" t="s">
        <v>5774</v>
      </c>
      <c r="E283" s="59">
        <v>46126</v>
      </c>
      <c r="F283" s="60" t="s">
        <v>55</v>
      </c>
      <c r="G283" s="60" t="s">
        <v>58</v>
      </c>
      <c r="H283" s="60" t="s">
        <v>56</v>
      </c>
      <c r="I283" s="60" t="s">
        <v>70</v>
      </c>
      <c r="J283" s="60" t="s">
        <v>58</v>
      </c>
      <c r="K283" s="61"/>
      <c r="L283" s="62" t="s">
        <v>56</v>
      </c>
      <c r="M283" s="63" t="str">
        <f t="shared" si="20"/>
        <v>✓ OK</v>
      </c>
      <c r="N283" s="64"/>
      <c r="O283" s="64"/>
      <c r="P283" s="64"/>
      <c r="Q283" s="64"/>
      <c r="R283" s="64"/>
      <c r="S283" s="64"/>
      <c r="T283" s="61"/>
      <c r="U283" s="65"/>
      <c r="V283" s="66" t="str">
        <f t="shared" si="21"/>
        <v/>
      </c>
      <c r="W283" s="67"/>
      <c r="X283" s="67"/>
      <c r="Y283" s="67"/>
      <c r="Z283" s="67"/>
      <c r="AA283" s="67"/>
      <c r="AB283" s="67"/>
      <c r="AC283" s="61"/>
      <c r="AD283" s="68"/>
      <c r="AE283" s="69" t="str">
        <f t="shared" si="22"/>
        <v/>
      </c>
      <c r="AF283" s="70"/>
      <c r="AG283" s="70"/>
      <c r="AH283" s="70"/>
      <c r="AI283" s="70"/>
      <c r="AJ283" s="70"/>
      <c r="AK283" s="70"/>
      <c r="AL283" s="61"/>
      <c r="AM283" s="71"/>
      <c r="AN283" s="72" t="str">
        <f t="shared" si="23"/>
        <v/>
      </c>
      <c r="AO283" s="73"/>
      <c r="AP283" s="73"/>
      <c r="AQ283" s="73"/>
      <c r="AR283" s="73"/>
      <c r="AS283" s="73"/>
      <c r="AT283" s="73"/>
      <c r="AU283" s="61"/>
      <c r="AV283" s="74"/>
      <c r="AW283" s="75" t="str">
        <f t="shared" si="24"/>
        <v/>
      </c>
    </row>
    <row r="284" spans="1:49" ht="14.25" customHeight="1" x14ac:dyDescent="0.3">
      <c r="A284" s="76">
        <v>280</v>
      </c>
      <c r="B284" s="77" t="s">
        <v>6145</v>
      </c>
      <c r="C284" s="78" t="s">
        <v>6146</v>
      </c>
      <c r="D284" s="76" t="s">
        <v>5774</v>
      </c>
      <c r="E284" s="59">
        <v>46126</v>
      </c>
      <c r="F284" s="60" t="s">
        <v>55</v>
      </c>
      <c r="G284" s="60" t="s">
        <v>58</v>
      </c>
      <c r="H284" s="60" t="s">
        <v>56</v>
      </c>
      <c r="I284" s="60" t="s">
        <v>70</v>
      </c>
      <c r="J284" s="60" t="s">
        <v>58</v>
      </c>
      <c r="K284" s="61"/>
      <c r="L284" s="62" t="s">
        <v>56</v>
      </c>
      <c r="M284" s="63" t="str">
        <f t="shared" si="20"/>
        <v>✓ OK</v>
      </c>
      <c r="N284" s="64"/>
      <c r="O284" s="64"/>
      <c r="P284" s="64"/>
      <c r="Q284" s="64"/>
      <c r="R284" s="64"/>
      <c r="S284" s="64"/>
      <c r="T284" s="61"/>
      <c r="U284" s="65"/>
      <c r="V284" s="66" t="str">
        <f t="shared" si="21"/>
        <v/>
      </c>
      <c r="W284" s="67"/>
      <c r="X284" s="67"/>
      <c r="Y284" s="67"/>
      <c r="Z284" s="67"/>
      <c r="AA284" s="67"/>
      <c r="AB284" s="67"/>
      <c r="AC284" s="61"/>
      <c r="AD284" s="68"/>
      <c r="AE284" s="69" t="str">
        <f t="shared" si="22"/>
        <v/>
      </c>
      <c r="AF284" s="70"/>
      <c r="AG284" s="70"/>
      <c r="AH284" s="70"/>
      <c r="AI284" s="70"/>
      <c r="AJ284" s="70"/>
      <c r="AK284" s="70"/>
      <c r="AL284" s="61"/>
      <c r="AM284" s="71"/>
      <c r="AN284" s="72" t="str">
        <f t="shared" si="23"/>
        <v/>
      </c>
      <c r="AO284" s="73"/>
      <c r="AP284" s="73"/>
      <c r="AQ284" s="73"/>
      <c r="AR284" s="73"/>
      <c r="AS284" s="73"/>
      <c r="AT284" s="73"/>
      <c r="AU284" s="61"/>
      <c r="AV284" s="74"/>
      <c r="AW284" s="75" t="str">
        <f t="shared" si="24"/>
        <v/>
      </c>
    </row>
    <row r="285" spans="1:49" ht="14.25" customHeight="1" x14ac:dyDescent="0.3">
      <c r="A285" s="56">
        <v>281</v>
      </c>
      <c r="B285" s="57" t="s">
        <v>6147</v>
      </c>
      <c r="C285" s="58" t="s">
        <v>6148</v>
      </c>
      <c r="D285" s="56" t="s">
        <v>5774</v>
      </c>
      <c r="E285" s="59">
        <v>46126</v>
      </c>
      <c r="F285" s="60" t="s">
        <v>55</v>
      </c>
      <c r="G285" s="60" t="s">
        <v>58</v>
      </c>
      <c r="H285" s="60" t="s">
        <v>56</v>
      </c>
      <c r="I285" s="60" t="s">
        <v>70</v>
      </c>
      <c r="J285" s="60" t="s">
        <v>58</v>
      </c>
      <c r="K285" s="61"/>
      <c r="L285" s="62" t="s">
        <v>56</v>
      </c>
      <c r="M285" s="63" t="str">
        <f t="shared" si="20"/>
        <v>✓ OK</v>
      </c>
      <c r="N285" s="64"/>
      <c r="O285" s="64"/>
      <c r="P285" s="64"/>
      <c r="Q285" s="64"/>
      <c r="R285" s="64"/>
      <c r="S285" s="64"/>
      <c r="T285" s="61"/>
      <c r="U285" s="65"/>
      <c r="V285" s="66" t="str">
        <f t="shared" si="21"/>
        <v/>
      </c>
      <c r="W285" s="67"/>
      <c r="X285" s="67"/>
      <c r="Y285" s="67"/>
      <c r="Z285" s="67"/>
      <c r="AA285" s="67"/>
      <c r="AB285" s="67"/>
      <c r="AC285" s="61"/>
      <c r="AD285" s="68"/>
      <c r="AE285" s="69" t="str">
        <f t="shared" si="22"/>
        <v/>
      </c>
      <c r="AF285" s="70"/>
      <c r="AG285" s="70"/>
      <c r="AH285" s="70"/>
      <c r="AI285" s="70"/>
      <c r="AJ285" s="70"/>
      <c r="AK285" s="70"/>
      <c r="AL285" s="61"/>
      <c r="AM285" s="71"/>
      <c r="AN285" s="72" t="str">
        <f t="shared" si="23"/>
        <v/>
      </c>
      <c r="AO285" s="73"/>
      <c r="AP285" s="73"/>
      <c r="AQ285" s="73"/>
      <c r="AR285" s="73"/>
      <c r="AS285" s="73"/>
      <c r="AT285" s="73"/>
      <c r="AU285" s="61"/>
      <c r="AV285" s="74"/>
      <c r="AW285" s="75" t="str">
        <f t="shared" si="24"/>
        <v/>
      </c>
    </row>
    <row r="286" spans="1:49" ht="14.25" customHeight="1" x14ac:dyDescent="0.3">
      <c r="A286" s="76">
        <v>282</v>
      </c>
      <c r="B286" s="77" t="s">
        <v>6149</v>
      </c>
      <c r="C286" s="78" t="s">
        <v>6150</v>
      </c>
      <c r="D286" s="76" t="s">
        <v>5774</v>
      </c>
      <c r="E286" s="59">
        <v>46126</v>
      </c>
      <c r="F286" s="60" t="s">
        <v>55</v>
      </c>
      <c r="G286" s="60" t="s">
        <v>58</v>
      </c>
      <c r="H286" s="60" t="s">
        <v>56</v>
      </c>
      <c r="I286" s="60" t="s">
        <v>70</v>
      </c>
      <c r="J286" s="60" t="s">
        <v>58</v>
      </c>
      <c r="K286" s="61"/>
      <c r="L286" s="62" t="s">
        <v>56</v>
      </c>
      <c r="M286" s="63" t="str">
        <f t="shared" si="20"/>
        <v>✓ OK</v>
      </c>
      <c r="N286" s="64"/>
      <c r="O286" s="64"/>
      <c r="P286" s="64"/>
      <c r="Q286" s="64"/>
      <c r="R286" s="64"/>
      <c r="S286" s="64"/>
      <c r="T286" s="61"/>
      <c r="U286" s="65"/>
      <c r="V286" s="66" t="str">
        <f t="shared" si="21"/>
        <v/>
      </c>
      <c r="W286" s="67"/>
      <c r="X286" s="67"/>
      <c r="Y286" s="67"/>
      <c r="Z286" s="67"/>
      <c r="AA286" s="67"/>
      <c r="AB286" s="67"/>
      <c r="AC286" s="61"/>
      <c r="AD286" s="68"/>
      <c r="AE286" s="69" t="str">
        <f t="shared" si="22"/>
        <v/>
      </c>
      <c r="AF286" s="70"/>
      <c r="AG286" s="70"/>
      <c r="AH286" s="70"/>
      <c r="AI286" s="70"/>
      <c r="AJ286" s="70"/>
      <c r="AK286" s="70"/>
      <c r="AL286" s="61"/>
      <c r="AM286" s="71"/>
      <c r="AN286" s="72" t="str">
        <f t="shared" si="23"/>
        <v/>
      </c>
      <c r="AO286" s="73"/>
      <c r="AP286" s="73"/>
      <c r="AQ286" s="73"/>
      <c r="AR286" s="73"/>
      <c r="AS286" s="73"/>
      <c r="AT286" s="73"/>
      <c r="AU286" s="61"/>
      <c r="AV286" s="74"/>
      <c r="AW286" s="75" t="str">
        <f t="shared" si="24"/>
        <v/>
      </c>
    </row>
    <row r="287" spans="1:49" ht="14.25" customHeight="1" x14ac:dyDescent="0.3">
      <c r="A287" s="56">
        <v>283</v>
      </c>
      <c r="B287" s="57" t="s">
        <v>6151</v>
      </c>
      <c r="C287" s="58" t="s">
        <v>6152</v>
      </c>
      <c r="D287" s="56" t="s">
        <v>5774</v>
      </c>
      <c r="E287" s="59">
        <v>46126</v>
      </c>
      <c r="F287" s="60" t="s">
        <v>55</v>
      </c>
      <c r="G287" s="60" t="s">
        <v>58</v>
      </c>
      <c r="H287" s="60" t="s">
        <v>56</v>
      </c>
      <c r="I287" s="60" t="s">
        <v>70</v>
      </c>
      <c r="J287" s="60" t="s">
        <v>58</v>
      </c>
      <c r="K287" s="61"/>
      <c r="L287" s="62" t="s">
        <v>56</v>
      </c>
      <c r="M287" s="63" t="str">
        <f t="shared" si="20"/>
        <v>✓ OK</v>
      </c>
      <c r="N287" s="64"/>
      <c r="O287" s="64"/>
      <c r="P287" s="64"/>
      <c r="Q287" s="64"/>
      <c r="R287" s="64"/>
      <c r="S287" s="64"/>
      <c r="T287" s="61"/>
      <c r="U287" s="65"/>
      <c r="V287" s="66" t="str">
        <f t="shared" si="21"/>
        <v/>
      </c>
      <c r="W287" s="67"/>
      <c r="X287" s="67"/>
      <c r="Y287" s="67"/>
      <c r="Z287" s="67"/>
      <c r="AA287" s="67"/>
      <c r="AB287" s="67"/>
      <c r="AC287" s="61"/>
      <c r="AD287" s="68"/>
      <c r="AE287" s="69" t="str">
        <f t="shared" si="22"/>
        <v/>
      </c>
      <c r="AF287" s="70"/>
      <c r="AG287" s="70"/>
      <c r="AH287" s="70"/>
      <c r="AI287" s="70"/>
      <c r="AJ287" s="70"/>
      <c r="AK287" s="70"/>
      <c r="AL287" s="61"/>
      <c r="AM287" s="71"/>
      <c r="AN287" s="72" t="str">
        <f t="shared" si="23"/>
        <v/>
      </c>
      <c r="AO287" s="73"/>
      <c r="AP287" s="73"/>
      <c r="AQ287" s="73"/>
      <c r="AR287" s="73"/>
      <c r="AS287" s="73"/>
      <c r="AT287" s="73"/>
      <c r="AU287" s="61"/>
      <c r="AV287" s="74"/>
      <c r="AW287" s="75" t="str">
        <f t="shared" si="24"/>
        <v/>
      </c>
    </row>
    <row r="288" spans="1:49" ht="14.25" customHeight="1" x14ac:dyDescent="0.3">
      <c r="A288" s="76">
        <v>284</v>
      </c>
      <c r="B288" s="77" t="s">
        <v>6153</v>
      </c>
      <c r="C288" s="78" t="s">
        <v>6154</v>
      </c>
      <c r="D288" s="76" t="s">
        <v>5774</v>
      </c>
      <c r="E288" s="59">
        <v>46126</v>
      </c>
      <c r="F288" s="60" t="s">
        <v>55</v>
      </c>
      <c r="G288" s="60" t="s">
        <v>58</v>
      </c>
      <c r="H288" s="60" t="s">
        <v>56</v>
      </c>
      <c r="I288" s="60" t="s">
        <v>70</v>
      </c>
      <c r="J288" s="60" t="s">
        <v>58</v>
      </c>
      <c r="K288" s="61"/>
      <c r="L288" s="62" t="s">
        <v>56</v>
      </c>
      <c r="M288" s="63" t="str">
        <f t="shared" si="20"/>
        <v>✓ OK</v>
      </c>
      <c r="N288" s="64"/>
      <c r="O288" s="64"/>
      <c r="P288" s="64"/>
      <c r="Q288" s="64"/>
      <c r="R288" s="64"/>
      <c r="S288" s="64"/>
      <c r="T288" s="61"/>
      <c r="U288" s="65"/>
      <c r="V288" s="66" t="str">
        <f t="shared" si="21"/>
        <v/>
      </c>
      <c r="W288" s="67"/>
      <c r="X288" s="67"/>
      <c r="Y288" s="67"/>
      <c r="Z288" s="67"/>
      <c r="AA288" s="67"/>
      <c r="AB288" s="67"/>
      <c r="AC288" s="61"/>
      <c r="AD288" s="68"/>
      <c r="AE288" s="69" t="str">
        <f t="shared" si="22"/>
        <v/>
      </c>
      <c r="AF288" s="70"/>
      <c r="AG288" s="70"/>
      <c r="AH288" s="70"/>
      <c r="AI288" s="70"/>
      <c r="AJ288" s="70"/>
      <c r="AK288" s="70"/>
      <c r="AL288" s="61"/>
      <c r="AM288" s="71"/>
      <c r="AN288" s="72" t="str">
        <f t="shared" si="23"/>
        <v/>
      </c>
      <c r="AO288" s="73"/>
      <c r="AP288" s="73"/>
      <c r="AQ288" s="73"/>
      <c r="AR288" s="73"/>
      <c r="AS288" s="73"/>
      <c r="AT288" s="73"/>
      <c r="AU288" s="61"/>
      <c r="AV288" s="74"/>
      <c r="AW288" s="75" t="str">
        <f t="shared" si="24"/>
        <v/>
      </c>
    </row>
    <row r="289" spans="1:49" ht="14.25" customHeight="1" x14ac:dyDescent="0.3">
      <c r="A289" s="56">
        <v>285</v>
      </c>
      <c r="B289" s="57" t="s">
        <v>6155</v>
      </c>
      <c r="C289" s="58" t="s">
        <v>6156</v>
      </c>
      <c r="D289" s="56" t="s">
        <v>5774</v>
      </c>
      <c r="E289" s="59">
        <v>46126</v>
      </c>
      <c r="F289" s="60" t="s">
        <v>55</v>
      </c>
      <c r="G289" s="60" t="s">
        <v>58</v>
      </c>
      <c r="H289" s="60" t="s">
        <v>56</v>
      </c>
      <c r="I289" s="60" t="s">
        <v>70</v>
      </c>
      <c r="J289" s="60" t="s">
        <v>58</v>
      </c>
      <c r="K289" s="61"/>
      <c r="L289" s="62" t="s">
        <v>56</v>
      </c>
      <c r="M289" s="63" t="str">
        <f t="shared" si="20"/>
        <v>✓ OK</v>
      </c>
      <c r="N289" s="64"/>
      <c r="O289" s="64"/>
      <c r="P289" s="64"/>
      <c r="Q289" s="64"/>
      <c r="R289" s="64"/>
      <c r="S289" s="64"/>
      <c r="T289" s="61"/>
      <c r="U289" s="65"/>
      <c r="V289" s="66" t="str">
        <f t="shared" si="21"/>
        <v/>
      </c>
      <c r="W289" s="67"/>
      <c r="X289" s="67"/>
      <c r="Y289" s="67"/>
      <c r="Z289" s="67"/>
      <c r="AA289" s="67"/>
      <c r="AB289" s="67"/>
      <c r="AC289" s="61"/>
      <c r="AD289" s="68"/>
      <c r="AE289" s="69" t="str">
        <f t="shared" si="22"/>
        <v/>
      </c>
      <c r="AF289" s="70"/>
      <c r="AG289" s="70"/>
      <c r="AH289" s="70"/>
      <c r="AI289" s="70"/>
      <c r="AJ289" s="70"/>
      <c r="AK289" s="70"/>
      <c r="AL289" s="61"/>
      <c r="AM289" s="71"/>
      <c r="AN289" s="72" t="str">
        <f t="shared" si="23"/>
        <v/>
      </c>
      <c r="AO289" s="73"/>
      <c r="AP289" s="73"/>
      <c r="AQ289" s="73"/>
      <c r="AR289" s="73"/>
      <c r="AS289" s="73"/>
      <c r="AT289" s="73"/>
      <c r="AU289" s="61"/>
      <c r="AV289" s="74"/>
      <c r="AW289" s="75" t="str">
        <f t="shared" si="24"/>
        <v/>
      </c>
    </row>
    <row r="290" spans="1:49" ht="14.25" customHeight="1" x14ac:dyDescent="0.3">
      <c r="A290" s="76">
        <v>286</v>
      </c>
      <c r="B290" s="77" t="s">
        <v>6157</v>
      </c>
      <c r="C290" s="78" t="s">
        <v>6158</v>
      </c>
      <c r="D290" s="76" t="s">
        <v>5774</v>
      </c>
      <c r="E290" s="59">
        <v>46126</v>
      </c>
      <c r="F290" s="60" t="s">
        <v>55</v>
      </c>
      <c r="G290" s="60" t="s">
        <v>58</v>
      </c>
      <c r="H290" s="60" t="s">
        <v>56</v>
      </c>
      <c r="I290" s="60" t="s">
        <v>70</v>
      </c>
      <c r="J290" s="60" t="s">
        <v>58</v>
      </c>
      <c r="K290" s="61"/>
      <c r="L290" s="62" t="s">
        <v>56</v>
      </c>
      <c r="M290" s="63" t="str">
        <f t="shared" si="20"/>
        <v>✓ OK</v>
      </c>
      <c r="N290" s="64"/>
      <c r="O290" s="64"/>
      <c r="P290" s="64"/>
      <c r="Q290" s="64"/>
      <c r="R290" s="64"/>
      <c r="S290" s="64"/>
      <c r="T290" s="61"/>
      <c r="U290" s="65"/>
      <c r="V290" s="66" t="str">
        <f t="shared" si="21"/>
        <v/>
      </c>
      <c r="W290" s="67"/>
      <c r="X290" s="67"/>
      <c r="Y290" s="67"/>
      <c r="Z290" s="67"/>
      <c r="AA290" s="67"/>
      <c r="AB290" s="67"/>
      <c r="AC290" s="61"/>
      <c r="AD290" s="68"/>
      <c r="AE290" s="69" t="str">
        <f t="shared" si="22"/>
        <v/>
      </c>
      <c r="AF290" s="70"/>
      <c r="AG290" s="70"/>
      <c r="AH290" s="70"/>
      <c r="AI290" s="70"/>
      <c r="AJ290" s="70"/>
      <c r="AK290" s="70"/>
      <c r="AL290" s="61"/>
      <c r="AM290" s="71"/>
      <c r="AN290" s="72" t="str">
        <f t="shared" si="23"/>
        <v/>
      </c>
      <c r="AO290" s="73"/>
      <c r="AP290" s="73"/>
      <c r="AQ290" s="73"/>
      <c r="AR290" s="73"/>
      <c r="AS290" s="73"/>
      <c r="AT290" s="73"/>
      <c r="AU290" s="61"/>
      <c r="AV290" s="74"/>
      <c r="AW290" s="75" t="str">
        <f t="shared" si="24"/>
        <v/>
      </c>
    </row>
    <row r="291" spans="1:49" ht="14.25" customHeight="1" x14ac:dyDescent="0.3">
      <c r="A291" s="56">
        <v>287</v>
      </c>
      <c r="B291" s="57" t="s">
        <v>6159</v>
      </c>
      <c r="C291" s="58" t="s">
        <v>6160</v>
      </c>
      <c r="D291" s="56" t="s">
        <v>5774</v>
      </c>
      <c r="E291" s="59">
        <v>46126</v>
      </c>
      <c r="F291" s="60" t="s">
        <v>55</v>
      </c>
      <c r="G291" s="60" t="s">
        <v>58</v>
      </c>
      <c r="H291" s="60" t="s">
        <v>56</v>
      </c>
      <c r="I291" s="60" t="s">
        <v>70</v>
      </c>
      <c r="J291" s="60" t="s">
        <v>58</v>
      </c>
      <c r="K291" s="61"/>
      <c r="L291" s="62" t="s">
        <v>56</v>
      </c>
      <c r="M291" s="63" t="str">
        <f t="shared" si="20"/>
        <v>✓ OK</v>
      </c>
      <c r="N291" s="64"/>
      <c r="O291" s="64"/>
      <c r="P291" s="64"/>
      <c r="Q291" s="64"/>
      <c r="R291" s="64"/>
      <c r="S291" s="64"/>
      <c r="T291" s="61"/>
      <c r="U291" s="65"/>
      <c r="V291" s="66" t="str">
        <f t="shared" si="21"/>
        <v/>
      </c>
      <c r="W291" s="67"/>
      <c r="X291" s="67"/>
      <c r="Y291" s="67"/>
      <c r="Z291" s="67"/>
      <c r="AA291" s="67"/>
      <c r="AB291" s="67"/>
      <c r="AC291" s="61"/>
      <c r="AD291" s="68"/>
      <c r="AE291" s="69" t="str">
        <f t="shared" si="22"/>
        <v/>
      </c>
      <c r="AF291" s="70"/>
      <c r="AG291" s="70"/>
      <c r="AH291" s="70"/>
      <c r="AI291" s="70"/>
      <c r="AJ291" s="70"/>
      <c r="AK291" s="70"/>
      <c r="AL291" s="61"/>
      <c r="AM291" s="71"/>
      <c r="AN291" s="72" t="str">
        <f t="shared" si="23"/>
        <v/>
      </c>
      <c r="AO291" s="73"/>
      <c r="AP291" s="73"/>
      <c r="AQ291" s="73"/>
      <c r="AR291" s="73"/>
      <c r="AS291" s="73"/>
      <c r="AT291" s="73"/>
      <c r="AU291" s="61"/>
      <c r="AV291" s="74"/>
      <c r="AW291" s="75" t="str">
        <f t="shared" si="24"/>
        <v/>
      </c>
    </row>
    <row r="292" spans="1:49" ht="14.25" customHeight="1" x14ac:dyDescent="0.3">
      <c r="A292" s="76">
        <v>288</v>
      </c>
      <c r="B292" s="77" t="s">
        <v>6161</v>
      </c>
      <c r="C292" s="78" t="s">
        <v>6162</v>
      </c>
      <c r="D292" s="76" t="s">
        <v>5774</v>
      </c>
      <c r="E292" s="59">
        <v>46126</v>
      </c>
      <c r="F292" s="60" t="s">
        <v>55</v>
      </c>
      <c r="G292" s="60" t="s">
        <v>58</v>
      </c>
      <c r="H292" s="60" t="s">
        <v>56</v>
      </c>
      <c r="I292" s="60" t="s">
        <v>70</v>
      </c>
      <c r="J292" s="60" t="s">
        <v>58</v>
      </c>
      <c r="K292" s="61"/>
      <c r="L292" s="62" t="s">
        <v>56</v>
      </c>
      <c r="M292" s="63" t="str">
        <f t="shared" si="20"/>
        <v>✓ OK</v>
      </c>
      <c r="N292" s="64"/>
      <c r="O292" s="64"/>
      <c r="P292" s="64"/>
      <c r="Q292" s="64"/>
      <c r="R292" s="64"/>
      <c r="S292" s="64"/>
      <c r="T292" s="61"/>
      <c r="U292" s="65"/>
      <c r="V292" s="66" t="str">
        <f t="shared" si="21"/>
        <v/>
      </c>
      <c r="W292" s="67"/>
      <c r="X292" s="67"/>
      <c r="Y292" s="67"/>
      <c r="Z292" s="67"/>
      <c r="AA292" s="67"/>
      <c r="AB292" s="67"/>
      <c r="AC292" s="61"/>
      <c r="AD292" s="68"/>
      <c r="AE292" s="69" t="str">
        <f t="shared" si="22"/>
        <v/>
      </c>
      <c r="AF292" s="70"/>
      <c r="AG292" s="70"/>
      <c r="AH292" s="70"/>
      <c r="AI292" s="70"/>
      <c r="AJ292" s="70"/>
      <c r="AK292" s="70"/>
      <c r="AL292" s="61"/>
      <c r="AM292" s="71"/>
      <c r="AN292" s="72" t="str">
        <f t="shared" si="23"/>
        <v/>
      </c>
      <c r="AO292" s="73"/>
      <c r="AP292" s="73"/>
      <c r="AQ292" s="73"/>
      <c r="AR292" s="73"/>
      <c r="AS292" s="73"/>
      <c r="AT292" s="73"/>
      <c r="AU292" s="61"/>
      <c r="AV292" s="74"/>
      <c r="AW292" s="75" t="str">
        <f t="shared" si="24"/>
        <v/>
      </c>
    </row>
    <row r="293" spans="1:49" ht="14.25" customHeight="1" x14ac:dyDescent="0.3">
      <c r="A293" s="23">
        <v>289</v>
      </c>
      <c r="B293" s="24" t="s">
        <v>6163</v>
      </c>
      <c r="C293" s="25" t="s">
        <v>6164</v>
      </c>
      <c r="D293" s="23" t="s">
        <v>6165</v>
      </c>
      <c r="E293" s="59">
        <v>46126</v>
      </c>
      <c r="F293" s="60" t="s">
        <v>55</v>
      </c>
      <c r="G293" s="26" t="s">
        <v>56</v>
      </c>
      <c r="H293" s="60" t="s">
        <v>56</v>
      </c>
      <c r="I293" s="26" t="s">
        <v>57</v>
      </c>
      <c r="J293" s="26" t="s">
        <v>56</v>
      </c>
      <c r="K293" s="27"/>
      <c r="L293" s="28" t="s">
        <v>58</v>
      </c>
      <c r="M293" s="63" t="str">
        <f t="shared" si="20"/>
        <v>⚠ Missing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ref="V293:V298" si="25">IF(N292="","",IF(Q292="Yes","❌ Disc",IF(P292="No","⚠ Missing",IF(S292="Yes","✓ OK","⚠ Check"))))</f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ref="AE293:AE298" si="26">IF(W292="","",IF(Z292="Yes","❌ Disc",IF(Y292="No","⚠ Missing",IF(AB292="Yes","✓ OK","⚠ Check"))))</f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ref="AN293:AN298" si="27">IF(AF292="","",IF(AI292="Yes","❌ Disc",IF(AH292="No","⚠ Missing",IF(AK292="Yes","✓ OK","⚠ Check"))))</f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ref="AW293:AW298" si="28">IF(AO292="","",IF(AR292="Yes","❌ Disc",IF(AQ292="No","⚠ Missing",IF(AT292="Yes","✓ OK","⚠ Check"))))</f>
        <v/>
      </c>
    </row>
    <row r="294" spans="1:49" ht="14.25" customHeight="1" x14ac:dyDescent="0.3">
      <c r="A294" s="42">
        <v>290</v>
      </c>
      <c r="B294" s="43" t="s">
        <v>6166</v>
      </c>
      <c r="C294" s="44" t="s">
        <v>6167</v>
      </c>
      <c r="D294" s="42" t="s">
        <v>6165</v>
      </c>
      <c r="E294" s="59">
        <v>46126</v>
      </c>
      <c r="F294" s="60" t="s">
        <v>55</v>
      </c>
      <c r="G294" s="26" t="s">
        <v>56</v>
      </c>
      <c r="H294" s="60" t="s">
        <v>56</v>
      </c>
      <c r="I294" s="26" t="s">
        <v>57</v>
      </c>
      <c r="J294" s="26" t="s">
        <v>56</v>
      </c>
      <c r="K294" s="27"/>
      <c r="L294" s="28" t="s">
        <v>58</v>
      </c>
      <c r="M294" s="63" t="str">
        <f t="shared" si="20"/>
        <v>⚠ Missing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5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6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7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8"/>
        <v/>
      </c>
    </row>
    <row r="295" spans="1:49" ht="14.25" customHeight="1" x14ac:dyDescent="0.3">
      <c r="A295" s="23">
        <v>291</v>
      </c>
      <c r="B295" s="24" t="s">
        <v>6168</v>
      </c>
      <c r="C295" s="25" t="s">
        <v>6169</v>
      </c>
      <c r="D295" s="23" t="s">
        <v>6165</v>
      </c>
      <c r="E295" s="59">
        <v>46126</v>
      </c>
      <c r="F295" s="60" t="s">
        <v>55</v>
      </c>
      <c r="G295" s="26" t="s">
        <v>56</v>
      </c>
      <c r="H295" s="60" t="s">
        <v>56</v>
      </c>
      <c r="I295" s="26" t="s">
        <v>57</v>
      </c>
      <c r="J295" s="26" t="s">
        <v>56</v>
      </c>
      <c r="K295" s="27"/>
      <c r="L295" s="28" t="s">
        <v>58</v>
      </c>
      <c r="M295" s="63" t="str">
        <f t="shared" si="20"/>
        <v>⚠ Missing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5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6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7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8"/>
        <v/>
      </c>
    </row>
    <row r="296" spans="1:49" ht="14.25" customHeight="1" x14ac:dyDescent="0.3">
      <c r="A296" s="42">
        <v>292</v>
      </c>
      <c r="B296" s="43" t="s">
        <v>6170</v>
      </c>
      <c r="C296" s="44" t="s">
        <v>6171</v>
      </c>
      <c r="D296" s="42" t="s">
        <v>6165</v>
      </c>
      <c r="E296" s="59">
        <v>46126</v>
      </c>
      <c r="F296" s="60" t="s">
        <v>55</v>
      </c>
      <c r="G296" s="26" t="s">
        <v>56</v>
      </c>
      <c r="H296" s="60" t="s">
        <v>56</v>
      </c>
      <c r="I296" s="26" t="s">
        <v>57</v>
      </c>
      <c r="J296" s="26" t="s">
        <v>56</v>
      </c>
      <c r="K296" s="27"/>
      <c r="L296" s="28" t="s">
        <v>58</v>
      </c>
      <c r="M296" s="63" t="str">
        <f t="shared" si="20"/>
        <v>⚠ Missing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5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6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7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8"/>
        <v/>
      </c>
    </row>
    <row r="297" spans="1:49" ht="14.25" customHeight="1" x14ac:dyDescent="0.3">
      <c r="A297" s="23">
        <v>293</v>
      </c>
      <c r="B297" s="24" t="s">
        <v>6172</v>
      </c>
      <c r="C297" s="25" t="s">
        <v>6173</v>
      </c>
      <c r="D297" s="23" t="s">
        <v>6165</v>
      </c>
      <c r="E297" s="59">
        <v>46126</v>
      </c>
      <c r="F297" s="60" t="s">
        <v>55</v>
      </c>
      <c r="G297" s="26" t="s">
        <v>56</v>
      </c>
      <c r="H297" s="60" t="s">
        <v>56</v>
      </c>
      <c r="I297" s="26" t="s">
        <v>57</v>
      </c>
      <c r="J297" s="26" t="s">
        <v>56</v>
      </c>
      <c r="K297" s="27"/>
      <c r="L297" s="28" t="s">
        <v>58</v>
      </c>
      <c r="M297" s="63" t="str">
        <f t="shared" si="20"/>
        <v>⚠ Missing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5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6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7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8"/>
        <v/>
      </c>
    </row>
    <row r="298" spans="1:49" ht="14.25" customHeight="1" x14ac:dyDescent="0.3">
      <c r="A298" s="42">
        <v>294</v>
      </c>
      <c r="B298" s="43" t="s">
        <v>6174</v>
      </c>
      <c r="C298" s="44" t="s">
        <v>6175</v>
      </c>
      <c r="D298" s="42" t="s">
        <v>6165</v>
      </c>
      <c r="E298" s="59">
        <v>46126</v>
      </c>
      <c r="F298" s="60" t="s">
        <v>55</v>
      </c>
      <c r="G298" s="26" t="s">
        <v>56</v>
      </c>
      <c r="H298" s="60" t="s">
        <v>56</v>
      </c>
      <c r="I298" s="26" t="s">
        <v>57</v>
      </c>
      <c r="J298" s="26" t="s">
        <v>56</v>
      </c>
      <c r="K298" s="27"/>
      <c r="L298" s="28" t="s">
        <v>58</v>
      </c>
      <c r="M298" s="63" t="str">
        <f t="shared" si="20"/>
        <v>⚠ Missing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5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6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7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8"/>
        <v/>
      </c>
    </row>
  </sheetData>
  <mergeCells count="2">
    <mergeCell ref="A1:AW1"/>
    <mergeCell ref="A2:AW2"/>
  </mergeCells>
  <conditionalFormatting sqref="G5:G292">
    <cfRule type="expression" dxfId="159" priority="8">
      <formula>G5="Yes"</formula>
    </cfRule>
    <cfRule type="expression" dxfId="158" priority="9">
      <formula>G5="No"</formula>
    </cfRule>
  </conditionalFormatting>
  <conditionalFormatting sqref="G293:G298">
    <cfRule type="expression" dxfId="157" priority="53">
      <formula>G293="Yes"</formula>
    </cfRule>
    <cfRule type="expression" dxfId="156" priority="54">
      <formula>G293="No"</formula>
    </cfRule>
  </conditionalFormatting>
  <conditionalFormatting sqref="H5:H298">
    <cfRule type="expression" dxfId="155" priority="10">
      <formula>H5="Yes"</formula>
    </cfRule>
  </conditionalFormatting>
  <conditionalFormatting sqref="I5:L292">
    <cfRule type="expression" dxfId="154" priority="3">
      <formula>MOD(ROW(),2)=0</formula>
    </cfRule>
  </conditionalFormatting>
  <conditionalFormatting sqref="J5:J292">
    <cfRule type="expression" dxfId="153" priority="1">
      <formula>J5="Yes"</formula>
    </cfRule>
    <cfRule type="expression" dxfId="152" priority="2">
      <formula>J5="No"</formula>
    </cfRule>
  </conditionalFormatting>
  <conditionalFormatting sqref="J293:J298">
    <cfRule type="expression" dxfId="151" priority="56">
      <formula>J293="Yes"</formula>
    </cfRule>
    <cfRule type="expression" dxfId="150" priority="57">
      <formula>J293="No"</formula>
    </cfRule>
  </conditionalFormatting>
  <conditionalFormatting sqref="M5:M298">
    <cfRule type="expression" dxfId="149" priority="4">
      <formula>M5="✓ OK"</formula>
    </cfRule>
    <cfRule type="expression" dxfId="148" priority="5">
      <formula>M5="❌ Disc"</formula>
    </cfRule>
    <cfRule type="expression" dxfId="147" priority="6">
      <formula>M5="⚠ Missing"</formula>
    </cfRule>
    <cfRule type="expression" dxfId="146" priority="7">
      <formula>M5="⚠ Check"</formula>
    </cfRule>
  </conditionalFormatting>
  <conditionalFormatting sqref="M5:AW5 N6:AW292 A5:H292 H293:H298 M6:M298 E293:F298">
    <cfRule type="expression" dxfId="145" priority="47">
      <formula>MOD(ROW(),2)=0</formula>
    </cfRule>
  </conditionalFormatting>
  <conditionalFormatting sqref="N293:AW297 I293:L293 I294:J298 G293:G298 A293:D297 K294:K297 L294:L298">
    <cfRule type="expression" dxfId="144" priority="94">
      <formula>MOD(ROW(),2)=0</formula>
    </cfRule>
  </conditionalFormatting>
  <conditionalFormatting sqref="P5:P292">
    <cfRule type="expression" dxfId="143" priority="15">
      <formula>P5="Yes"</formula>
    </cfRule>
    <cfRule type="expression" dxfId="142" priority="16">
      <formula>P5="No"</formula>
    </cfRule>
  </conditionalFormatting>
  <conditionalFormatting sqref="P293:P297">
    <cfRule type="expression" dxfId="141" priority="62">
      <formula>P293="Yes"</formula>
    </cfRule>
    <cfRule type="expression" dxfId="140" priority="63">
      <formula>P293="No"</formula>
    </cfRule>
  </conditionalFormatting>
  <conditionalFormatting sqref="Q5:Q292">
    <cfRule type="expression" dxfId="139" priority="17">
      <formula>Q5="Yes"</formula>
    </cfRule>
  </conditionalFormatting>
  <conditionalFormatting sqref="Q293:Q297">
    <cfRule type="expression" dxfId="138" priority="64">
      <formula>Q293="Yes"</formula>
    </cfRule>
  </conditionalFormatting>
  <conditionalFormatting sqref="S5:S292">
    <cfRule type="expression" dxfId="137" priority="19">
      <formula>S5="No"</formula>
    </cfRule>
    <cfRule type="expression" dxfId="136" priority="18">
      <formula>S5="Yes"</formula>
    </cfRule>
  </conditionalFormatting>
  <conditionalFormatting sqref="S293:S297">
    <cfRule type="expression" dxfId="135" priority="66">
      <formula>S293="No"</formula>
    </cfRule>
    <cfRule type="expression" dxfId="134" priority="65">
      <formula>S293="Yes"</formula>
    </cfRule>
  </conditionalFormatting>
  <conditionalFormatting sqref="V5:V292">
    <cfRule type="expression" dxfId="133" priority="13">
      <formula>V5="⚠ Missing"</formula>
    </cfRule>
    <cfRule type="expression" dxfId="132" priority="12">
      <formula>V5="❌ Disc"</formula>
    </cfRule>
    <cfRule type="expression" dxfId="131" priority="11">
      <formula>V5="✓ OK"</formula>
    </cfRule>
    <cfRule type="expression" dxfId="130" priority="14">
      <formula>V5="⚠ Check"</formula>
    </cfRule>
  </conditionalFormatting>
  <conditionalFormatting sqref="V293:V297">
    <cfRule type="expression" dxfId="129" priority="60">
      <formula>V293="⚠ Missing"</formula>
    </cfRule>
    <cfRule type="expression" dxfId="128" priority="59">
      <formula>V293="❌ Disc"</formula>
    </cfRule>
    <cfRule type="expression" dxfId="127" priority="58">
      <formula>V293="✓ OK"</formula>
    </cfRule>
    <cfRule type="expression" dxfId="126" priority="61">
      <formula>V293="⚠ Check"</formula>
    </cfRule>
  </conditionalFormatting>
  <conditionalFormatting sqref="Y5:Y292">
    <cfRule type="expression" dxfId="125" priority="25">
      <formula>Y5="No"</formula>
    </cfRule>
    <cfRule type="expression" dxfId="124" priority="24">
      <formula>Y5="Yes"</formula>
    </cfRule>
  </conditionalFormatting>
  <conditionalFormatting sqref="Y293:Y297">
    <cfRule type="expression" dxfId="123" priority="72">
      <formula>Y293="No"</formula>
    </cfRule>
    <cfRule type="expression" dxfId="122" priority="71">
      <formula>Y293="Yes"</formula>
    </cfRule>
  </conditionalFormatting>
  <conditionalFormatting sqref="Z5:Z292">
    <cfRule type="expression" dxfId="121" priority="26">
      <formula>Z5="Yes"</formula>
    </cfRule>
  </conditionalFormatting>
  <conditionalFormatting sqref="Z293:Z297">
    <cfRule type="expression" dxfId="120" priority="73">
      <formula>Z293="Yes"</formula>
    </cfRule>
  </conditionalFormatting>
  <conditionalFormatting sqref="AB5:AB292">
    <cfRule type="expression" dxfId="119" priority="28">
      <formula>AB5="No"</formula>
    </cfRule>
    <cfRule type="expression" dxfId="118" priority="27">
      <formula>AB5="Yes"</formula>
    </cfRule>
  </conditionalFormatting>
  <conditionalFormatting sqref="AB293:AB297">
    <cfRule type="expression" dxfId="117" priority="75">
      <formula>AB293="No"</formula>
    </cfRule>
    <cfRule type="expression" dxfId="116" priority="74">
      <formula>AB293="Yes"</formula>
    </cfRule>
  </conditionalFormatting>
  <conditionalFormatting sqref="AE5:AE292">
    <cfRule type="expression" dxfId="115" priority="21">
      <formula>AE5="❌ Disc"</formula>
    </cfRule>
    <cfRule type="expression" dxfId="114" priority="22">
      <formula>AE5="⚠ Missing"</formula>
    </cfRule>
    <cfRule type="expression" dxfId="113" priority="23">
      <formula>AE5="⚠ Check"</formula>
    </cfRule>
    <cfRule type="expression" dxfId="112" priority="20">
      <formula>AE5="✓ OK"</formula>
    </cfRule>
  </conditionalFormatting>
  <conditionalFormatting sqref="AE293:AE297">
    <cfRule type="expression" dxfId="111" priority="67">
      <formula>AE293="✓ OK"</formula>
    </cfRule>
    <cfRule type="expression" dxfId="110" priority="68">
      <formula>AE293="❌ Disc"</formula>
    </cfRule>
    <cfRule type="expression" dxfId="109" priority="69">
      <formula>AE293="⚠ Missing"</formula>
    </cfRule>
    <cfRule type="expression" dxfId="108" priority="70">
      <formula>AE293="⚠ Check"</formula>
    </cfRule>
  </conditionalFormatting>
  <conditionalFormatting sqref="AH5:AH292">
    <cfRule type="expression" dxfId="107" priority="34">
      <formula>AH5="No"</formula>
    </cfRule>
    <cfRule type="expression" dxfId="106" priority="33">
      <formula>AH5="Yes"</formula>
    </cfRule>
  </conditionalFormatting>
  <conditionalFormatting sqref="AH293:AH297">
    <cfRule type="expression" dxfId="105" priority="81">
      <formula>AH293="No"</formula>
    </cfRule>
    <cfRule type="expression" dxfId="104" priority="80">
      <formula>AH293="Yes"</formula>
    </cfRule>
  </conditionalFormatting>
  <conditionalFormatting sqref="AI5:AI292">
    <cfRule type="expression" dxfId="103" priority="35">
      <formula>AI5="Yes"</formula>
    </cfRule>
  </conditionalFormatting>
  <conditionalFormatting sqref="AI293:AI297">
    <cfRule type="expression" dxfId="102" priority="82">
      <formula>AI293="Yes"</formula>
    </cfRule>
  </conditionalFormatting>
  <conditionalFormatting sqref="AK5:AK292">
    <cfRule type="expression" dxfId="101" priority="37">
      <formula>AK5="No"</formula>
    </cfRule>
    <cfRule type="expression" dxfId="100" priority="36">
      <formula>AK5="Yes"</formula>
    </cfRule>
  </conditionalFormatting>
  <conditionalFormatting sqref="AK293:AK297">
    <cfRule type="expression" dxfId="99" priority="83">
      <formula>AK293="Yes"</formula>
    </cfRule>
    <cfRule type="expression" dxfId="98" priority="84">
      <formula>AK293="No"</formula>
    </cfRule>
  </conditionalFormatting>
  <conditionalFormatting sqref="AN5:AN292">
    <cfRule type="expression" dxfId="97" priority="29">
      <formula>AN5="✓ OK"</formula>
    </cfRule>
    <cfRule type="expression" dxfId="96" priority="31">
      <formula>AN5="⚠ Missing"</formula>
    </cfRule>
    <cfRule type="expression" dxfId="95" priority="32">
      <formula>AN5="⚠ Check"</formula>
    </cfRule>
    <cfRule type="expression" dxfId="94" priority="30">
      <formula>AN5="❌ Disc"</formula>
    </cfRule>
  </conditionalFormatting>
  <conditionalFormatting sqref="AN293:AN297">
    <cfRule type="expression" dxfId="93" priority="77">
      <formula>AN293="❌ Disc"</formula>
    </cfRule>
    <cfRule type="expression" dxfId="92" priority="78">
      <formula>AN293="⚠ Missing"</formula>
    </cfRule>
    <cfRule type="expression" dxfId="91" priority="79">
      <formula>AN293="⚠ Check"</formula>
    </cfRule>
    <cfRule type="expression" dxfId="90" priority="76">
      <formula>AN293="✓ OK"</formula>
    </cfRule>
  </conditionalFormatting>
  <conditionalFormatting sqref="AQ5:AQ292">
    <cfRule type="expression" dxfId="89" priority="43">
      <formula>AQ5="No"</formula>
    </cfRule>
    <cfRule type="expression" dxfId="88" priority="42">
      <formula>AQ5="Yes"</formula>
    </cfRule>
  </conditionalFormatting>
  <conditionalFormatting sqref="AQ293:AQ297">
    <cfRule type="expression" dxfId="87" priority="89">
      <formula>AQ293="Yes"</formula>
    </cfRule>
    <cfRule type="expression" dxfId="86" priority="90">
      <formula>AQ293="No"</formula>
    </cfRule>
  </conditionalFormatting>
  <conditionalFormatting sqref="AR5:AR292">
    <cfRule type="expression" dxfId="85" priority="44">
      <formula>AR5="Yes"</formula>
    </cfRule>
  </conditionalFormatting>
  <conditionalFormatting sqref="AR293:AR297">
    <cfRule type="expression" dxfId="84" priority="91">
      <formula>AR293="Yes"</formula>
    </cfRule>
  </conditionalFormatting>
  <conditionalFormatting sqref="AT5:AT292">
    <cfRule type="expression" dxfId="83" priority="45">
      <formula>AT5="Yes"</formula>
    </cfRule>
    <cfRule type="expression" dxfId="82" priority="46">
      <formula>AT5="No"</formula>
    </cfRule>
  </conditionalFormatting>
  <conditionalFormatting sqref="AT293:AT297">
    <cfRule type="expression" dxfId="81" priority="92">
      <formula>AT293="Yes"</formula>
    </cfRule>
    <cfRule type="expression" dxfId="80" priority="93">
      <formula>AT293="No"</formula>
    </cfRule>
  </conditionalFormatting>
  <conditionalFormatting sqref="AW5:AW292">
    <cfRule type="expression" dxfId="79" priority="38">
      <formula>AW5="✓ OK"</formula>
    </cfRule>
    <cfRule type="expression" dxfId="78" priority="39">
      <formula>AW5="❌ Disc"</formula>
    </cfRule>
    <cfRule type="expression" dxfId="77" priority="40">
      <formula>AW5="⚠ Missing"</formula>
    </cfRule>
    <cfRule type="expression" dxfId="76" priority="41">
      <formula>AW5="⚠ Check"</formula>
    </cfRule>
  </conditionalFormatting>
  <conditionalFormatting sqref="AW293:AW297">
    <cfRule type="expression" dxfId="75" priority="85">
      <formula>AW293="✓ OK"</formula>
    </cfRule>
    <cfRule type="expression" dxfId="74" priority="86">
      <formula>AW293="❌ Disc"</formula>
    </cfRule>
    <cfRule type="expression" dxfId="73" priority="87">
      <formula>AW293="⚠ Missing"</formula>
    </cfRule>
    <cfRule type="expression" dxfId="72" priority="88">
      <formula>AW293="⚠ Check"</formula>
    </cfRule>
  </conditionalFormatting>
  <dataValidations count="4">
    <dataValidation type="list" allowBlank="1" sqref="AA293:AA297 AJ293:AJ297 AS293:AS297 R293:R297 I293:I298" xr:uid="{00000000-0002-0000-0C00-000000000000}">
      <formula1>"Good finish,Minor defect,Major defect,Discontinued,Not Available"</formula1>
      <formula2>0</formula2>
    </dataValidation>
    <dataValidation type="list" allowBlank="1" sqref="P293:Q297 S293:S297 Y293:Z297 AB293:AB297 AH293:AI297 AK293:AK297 AQ293:AR297 AT293:AT297 G293:G298 J293:J298" xr:uid="{00000000-0002-0000-0C00-000001000000}">
      <formula1>"Yes,No"</formula1>
      <formula2>0</formula2>
    </dataValidation>
    <dataValidation type="list" allowBlank="1" sqref="R5:R292 AS5:AS292 AJ5:AJ292 AA5:AA292 I5:I292" xr:uid="{800E994C-0BE2-47C7-B0C0-1EF5393FC2A6}">
      <formula1>"Good finish,Minor defect,Major defect,Discontinued,Not Available"</formula1>
    </dataValidation>
    <dataValidation type="list" allowBlank="1" sqref="AT5:AT292 AQ5:AR292 AK5:AK292 AH5:AI292 AB5:AB292 Y5:Z292 S5:S292 P5:Q292 G5:H292 J5:J292 H293:H298" xr:uid="{F5604F1D-4EC9-4101-B16F-9A358D254D81}">
      <formula1>"Yes,No"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Wooden Flooring</vt:lpstr>
      <vt:lpstr>Granite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>0</cp:revision>
  <dcterms:created xsi:type="dcterms:W3CDTF">2026-04-11T04:39:09Z</dcterms:created>
  <dcterms:modified xsi:type="dcterms:W3CDTF">2026-04-14T15:24:17Z</dcterms:modified>
  <cp:category/>
  <cp:contentStatus/>
</cp:coreProperties>
</file>