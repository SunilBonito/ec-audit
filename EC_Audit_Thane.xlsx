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8_{7ECD26EC-236E-4A42-B040-A3BFC070D21D}" xr6:coauthVersionLast="47" xr6:coauthVersionMax="47" xr10:uidLastSave="{00000000-0000-0000-0000-000000000000}"/>
  <bookViews>
    <workbookView xWindow="-108" yWindow="-108" windowWidth="23256" windowHeight="12456" tabRatio="840" firstSheet="3" activeTab="12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Legs'!$A$4:$AW$4</definedName>
    <definedName name="_xlnm._FilterDatabase" localSheetId="12" hidden="1">Fabric!$A$4:$AW$4</definedName>
    <definedName name="_xlnm._FilterDatabase" localSheetId="7" hidden="1">Granite!$A$4:$AW$15</definedName>
    <definedName name="_xlnm._FilterDatabase" localSheetId="11" hidden="1">Handles!$A$4:$AW$4</definedName>
    <definedName name="_xlnm._FilterDatabase" localSheetId="1" hidden="1">Laminates!$A$4:$AW$4</definedName>
    <definedName name="_xlnm._FilterDatabase" localSheetId="3" hidden="1">'PU and Membrane'!$A$4:$AW$85</definedName>
    <definedName name="_xlnm._FilterDatabase" localSheetId="6" hidden="1">Quartz!$A$4:$AW$4</definedName>
    <definedName name="_xlnm._FilterDatabase" localSheetId="4" hidden="1">Rafters!$A$4:$AW$4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36" i="6" l="1"/>
  <c r="M568" i="6"/>
  <c r="M100" i="5"/>
  <c r="M62" i="5"/>
  <c r="M124" i="2"/>
  <c r="M184" i="2"/>
  <c r="M207" i="2"/>
  <c r="M266" i="2"/>
  <c r="M47" i="2"/>
  <c r="M162" i="2"/>
  <c r="M11" i="2"/>
  <c r="M168" i="2"/>
  <c r="M173" i="2"/>
  <c r="M63" i="2"/>
  <c r="M92" i="2"/>
  <c r="M70" i="2"/>
  <c r="M7" i="2"/>
  <c r="M57" i="2"/>
  <c r="M223" i="2"/>
  <c r="M122" i="2"/>
  <c r="M209" i="2"/>
  <c r="M134" i="2"/>
  <c r="M13" i="2"/>
  <c r="M161" i="2"/>
  <c r="M259" i="2"/>
  <c r="M217" i="2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Q16" i="1" s="1"/>
  <c r="AE9" i="12"/>
  <c r="M16" i="1" s="1"/>
  <c r="V9" i="12"/>
  <c r="M9" i="12"/>
  <c r="AW8" i="12"/>
  <c r="AN8" i="12"/>
  <c r="AE8" i="12"/>
  <c r="V8" i="12"/>
  <c r="M8" i="12"/>
  <c r="AW7" i="12"/>
  <c r="U16" i="1" s="1"/>
  <c r="AN7" i="12"/>
  <c r="AE7" i="12"/>
  <c r="V7" i="12"/>
  <c r="M7" i="12"/>
  <c r="AW6" i="12"/>
  <c r="AN6" i="12"/>
  <c r="AE6" i="12"/>
  <c r="V6" i="12"/>
  <c r="I16" i="1" s="1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T15" i="1" s="1"/>
  <c r="AN8" i="11"/>
  <c r="AE8" i="11"/>
  <c r="V8" i="11"/>
  <c r="M8" i="11"/>
  <c r="AW7" i="11"/>
  <c r="AN7" i="11"/>
  <c r="AE7" i="11"/>
  <c r="V7" i="11"/>
  <c r="I15" i="1" s="1"/>
  <c r="M7" i="11"/>
  <c r="AW6" i="11"/>
  <c r="AN6" i="11"/>
  <c r="AE6" i="11"/>
  <c r="V6" i="11"/>
  <c r="M6" i="11"/>
  <c r="AW5" i="11"/>
  <c r="AN5" i="11"/>
  <c r="Q15" i="1" s="1"/>
  <c r="AE5" i="11"/>
  <c r="L15" i="1" s="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Q14" i="1" s="1"/>
  <c r="AE8" i="10"/>
  <c r="V8" i="10"/>
  <c r="M8" i="10"/>
  <c r="AW7" i="10"/>
  <c r="AN7" i="10"/>
  <c r="AE7" i="10"/>
  <c r="V7" i="10"/>
  <c r="M7" i="10"/>
  <c r="AW6" i="10"/>
  <c r="U14" i="1" s="1"/>
  <c r="AN6" i="10"/>
  <c r="AE6" i="10"/>
  <c r="V6" i="10"/>
  <c r="M6" i="10"/>
  <c r="AW5" i="10"/>
  <c r="AN5" i="10"/>
  <c r="AE5" i="10"/>
  <c r="M14" i="1" s="1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T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U13" i="1" s="1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Q13" i="1" s="1"/>
  <c r="AE6" i="9"/>
  <c r="M13" i="1" s="1"/>
  <c r="V6" i="9"/>
  <c r="M6" i="9"/>
  <c r="AW5" i="9"/>
  <c r="AN5" i="9"/>
  <c r="AE5" i="9"/>
  <c r="V5" i="9"/>
  <c r="M5" i="9"/>
  <c r="E13" i="1" s="1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P12" i="1" s="1"/>
  <c r="AE9" i="8"/>
  <c r="V9" i="8"/>
  <c r="M9" i="8"/>
  <c r="AW8" i="8"/>
  <c r="AN8" i="8"/>
  <c r="AE8" i="8"/>
  <c r="V8" i="8"/>
  <c r="M8" i="8"/>
  <c r="AW7" i="8"/>
  <c r="U12" i="1" s="1"/>
  <c r="AN7" i="8"/>
  <c r="AE7" i="8"/>
  <c r="V7" i="8"/>
  <c r="M7" i="8"/>
  <c r="AW6" i="8"/>
  <c r="AN6" i="8"/>
  <c r="AE6" i="8"/>
  <c r="M12" i="1" s="1"/>
  <c r="V6" i="8"/>
  <c r="I12" i="1" s="1"/>
  <c r="M6" i="8"/>
  <c r="AW5" i="8"/>
  <c r="AN5" i="8"/>
  <c r="AE5" i="8"/>
  <c r="V5" i="8"/>
  <c r="M5" i="8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U11" i="1" s="1"/>
  <c r="AN5" i="7"/>
  <c r="Q11" i="1" s="1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E10" i="1" s="1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M9" i="1" s="1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U7" i="1" s="1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AW208" i="2"/>
  <c r="AN208" i="2"/>
  <c r="AE208" i="2"/>
  <c r="V208" i="2"/>
  <c r="M208" i="2"/>
  <c r="AW207" i="2"/>
  <c r="AN207" i="2"/>
  <c r="AE207" i="2"/>
  <c r="V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AW161" i="2"/>
  <c r="AN161" i="2"/>
  <c r="AE161" i="2"/>
  <c r="V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AW123" i="2"/>
  <c r="AN123" i="2"/>
  <c r="AE123" i="2"/>
  <c r="V123" i="2"/>
  <c r="M123" i="2"/>
  <c r="AW122" i="2"/>
  <c r="AN122" i="2"/>
  <c r="AE122" i="2"/>
  <c r="V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AW12" i="2"/>
  <c r="AN12" i="2"/>
  <c r="AE12" i="2"/>
  <c r="V12" i="2"/>
  <c r="M12" i="2"/>
  <c r="AW11" i="2"/>
  <c r="AN11" i="2"/>
  <c r="AE11" i="2"/>
  <c r="V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L16" i="1"/>
  <c r="J16" i="1"/>
  <c r="F16" i="1"/>
  <c r="V15" i="1"/>
  <c r="U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N13" i="1"/>
  <c r="J13" i="1"/>
  <c r="H13" i="1"/>
  <c r="F13" i="1"/>
  <c r="V12" i="1"/>
  <c r="R12" i="1"/>
  <c r="Q12" i="1"/>
  <c r="N12" i="1"/>
  <c r="J12" i="1"/>
  <c r="F12" i="1"/>
  <c r="V11" i="1"/>
  <c r="R11" i="1"/>
  <c r="P11" i="1"/>
  <c r="N11" i="1"/>
  <c r="J11" i="1"/>
  <c r="F11" i="1"/>
  <c r="E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I10" i="1" l="1"/>
  <c r="I11" i="1"/>
  <c r="M11" i="1"/>
  <c r="Q10" i="1"/>
  <c r="U10" i="1"/>
  <c r="M10" i="1"/>
  <c r="D11" i="1"/>
  <c r="E12" i="1"/>
  <c r="I9" i="1"/>
  <c r="U9" i="1"/>
  <c r="Q9" i="1"/>
  <c r="L9" i="1"/>
  <c r="H9" i="1"/>
  <c r="T7" i="1"/>
  <c r="L7" i="1"/>
  <c r="I7" i="1"/>
  <c r="Q7" i="1"/>
  <c r="L8" i="1"/>
  <c r="I8" i="1"/>
  <c r="Q8" i="1"/>
  <c r="I6" i="1"/>
  <c r="T6" i="1"/>
  <c r="H6" i="1"/>
  <c r="E6" i="1"/>
  <c r="E9" i="1"/>
  <c r="D9" i="1"/>
  <c r="E14" i="1"/>
  <c r="E16" i="1"/>
  <c r="D17" i="1"/>
  <c r="E15" i="1"/>
  <c r="U8" i="1"/>
  <c r="M8" i="1"/>
  <c r="P8" i="1"/>
  <c r="E8" i="1"/>
  <c r="E7" i="1"/>
  <c r="Q6" i="1"/>
  <c r="M6" i="1"/>
  <c r="U6" i="1"/>
  <c r="D10" i="1"/>
  <c r="L17" i="1"/>
  <c r="E17" i="1"/>
  <c r="Q17" i="1"/>
  <c r="U17" i="1"/>
  <c r="M17" i="1"/>
  <c r="I17" i="1"/>
  <c r="P10" i="1"/>
  <c r="H12" i="1"/>
  <c r="L6" i="1"/>
  <c r="M7" i="1"/>
  <c r="D8" i="1"/>
  <c r="H11" i="1"/>
  <c r="T12" i="1"/>
  <c r="L14" i="1"/>
  <c r="M15" i="1"/>
  <c r="D16" i="1"/>
  <c r="P17" i="1"/>
  <c r="P9" i="1"/>
  <c r="H10" i="1"/>
  <c r="T11" i="1"/>
  <c r="D15" i="1"/>
  <c r="P16" i="1"/>
  <c r="D7" i="1"/>
  <c r="L13" i="1"/>
  <c r="D6" i="1"/>
  <c r="P7" i="1"/>
  <c r="T10" i="1"/>
  <c r="L12" i="1"/>
  <c r="D14" i="1"/>
  <c r="P15" i="1"/>
  <c r="H17" i="1"/>
  <c r="P6" i="1"/>
  <c r="H8" i="1"/>
  <c r="L11" i="1"/>
  <c r="D13" i="1"/>
  <c r="P14" i="1"/>
  <c r="H16" i="1"/>
  <c r="T17" i="1"/>
  <c r="T9" i="1"/>
  <c r="H7" i="1"/>
  <c r="T8" i="1"/>
  <c r="L10" i="1"/>
  <c r="D12" i="1"/>
  <c r="P13" i="1"/>
  <c r="H15" i="1"/>
  <c r="T16" i="1"/>
</calcChain>
</file>

<file path=xl/sharedStrings.xml><?xml version="1.0" encoding="utf-8"?>
<sst xmlns="http://schemas.openxmlformats.org/spreadsheetml/2006/main" count="28743" uniqueCount="6216">
  <si>
    <t>🏭   THANE EXPERIENCE CENTRE — MATERIAL AUDIT TRACKER</t>
  </si>
  <si>
    <t>Mumbai Location  |  3,032 total SKUs  |  5 audit rounds per category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</si>
  <si>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</si>
  <si>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</si>
  <si>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</si>
  <si>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</si>
  <si>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</si>
  <si>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</si>
  <si>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</si>
  <si>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</si>
  <si>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</si>
  <si>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</si>
  <si>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</si>
  <si>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</si>
  <si>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</si>
  <si>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</si>
  <si>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</si>
  <si>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</si>
  <si>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</si>
  <si>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</si>
  <si>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</si>
  <si>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</si>
  <si>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</si>
  <si>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</si>
  <si>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</si>
  <si>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</si>
  <si>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</si>
  <si>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</si>
  <si>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</si>
  <si>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</si>
  <si>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</si>
  <si>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</si>
  <si>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THANE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</si>
  <si>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</si>
  <si>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</si>
  <si>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</si>
  <si>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</si>
  <si>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</si>
  <si>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</si>
  <si>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</si>
  <si>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</si>
  <si>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</si>
  <si>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</si>
  <si>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</si>
  <si>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</si>
  <si>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</si>
  <si>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</si>
  <si>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</si>
  <si>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</si>
  <si>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</si>
  <si>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</si>
  <si>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</si>
  <si>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</si>
  <si>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</si>
  <si>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</si>
  <si>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</si>
  <si>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Yes</t>
  </si>
  <si>
    <t>No</t>
  </si>
  <si>
    <t>Good finish</t>
  </si>
  <si>
    <t>Sticker to be changed (Tiles)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</si>
  <si>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</si>
  <si>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</si>
  <si>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</si>
  <si>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</si>
  <si>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</si>
  <si>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</si>
  <si>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</si>
  <si>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</si>
  <si>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</si>
  <si>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</si>
  <si>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</si>
  <si>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Categorization sticker is missing and broken in corner and sticker to be changed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</si>
  <si>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</si>
  <si>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</si>
  <si>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</si>
  <si>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</si>
  <si>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</si>
  <si>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</si>
  <si>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</si>
  <si>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</si>
  <si>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</si>
  <si>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Categorization sticker is missing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</si>
  <si>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</si>
  <si>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</si>
  <si>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</si>
  <si>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</si>
  <si>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</si>
  <si>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</si>
  <si>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Not Available</t>
  </si>
  <si>
    <t>Sample not available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</si>
  <si>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</si>
  <si>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</si>
  <si>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</si>
  <si>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</si>
  <si>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</si>
  <si>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</si>
  <si>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</si>
  <si>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</si>
  <si>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</si>
  <si>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</si>
  <si>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</si>
  <si>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</si>
  <si>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</si>
  <si>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</si>
  <si>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</si>
  <si>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</si>
  <si>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</si>
  <si>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</si>
  <si>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</si>
  <si>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</si>
  <si>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</si>
  <si>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</si>
  <si>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</si>
  <si>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</si>
  <si>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</si>
  <si>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</si>
  <si>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</si>
  <si>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</si>
  <si>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</si>
  <si>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</si>
  <si>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</si>
  <si>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</si>
  <si>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</si>
  <si>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</si>
  <si>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</si>
  <si>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</si>
  <si>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</si>
  <si>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</si>
  <si>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</si>
  <si>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</si>
  <si>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</si>
  <si>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</si>
  <si>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</si>
  <si>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</si>
  <si>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</si>
  <si>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</si>
  <si>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</si>
  <si>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</si>
  <si>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Sticker to be Changed (Tiles) and Categorization sticker is missing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</si>
  <si>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</si>
  <si>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</si>
  <si>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</si>
  <si>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</si>
  <si>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</si>
  <si>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</si>
  <si>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</si>
  <si>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</si>
  <si>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</si>
  <si>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</si>
  <si>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</si>
  <si>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</si>
  <si>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</si>
  <si>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</si>
  <si>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</si>
  <si>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</si>
  <si>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</si>
  <si>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</si>
  <si>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</si>
  <si>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</si>
  <si>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</si>
  <si>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</si>
  <si>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</si>
  <si>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</si>
  <si>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</si>
  <si>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</si>
  <si>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</si>
  <si>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</si>
  <si>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</si>
  <si>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</si>
  <si>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</si>
  <si>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</si>
  <si>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</si>
  <si>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</si>
  <si>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Categorization sticker is missing (Tiles)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</si>
  <si>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</si>
  <si>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</si>
  <si>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</si>
  <si>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</si>
  <si>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</si>
  <si>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</si>
  <si>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</si>
  <si>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</si>
  <si>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Sticker to be Changed (Tiles)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</si>
  <si>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</si>
  <si>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</si>
  <si>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</si>
  <si>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</si>
  <si>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</si>
  <si>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</si>
  <si>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</si>
  <si>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</si>
  <si>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</si>
  <si>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</si>
  <si>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</si>
  <si>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</si>
  <si>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Categorization sticker is missing (TIles)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</si>
  <si>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</si>
  <si>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</si>
  <si>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</si>
  <si>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</si>
  <si>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</si>
  <si>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</si>
  <si>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</si>
  <si>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</si>
  <si>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</si>
  <si>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</si>
  <si>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</si>
  <si>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</si>
  <si>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</si>
  <si>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</si>
  <si>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</si>
  <si>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</si>
  <si>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</si>
  <si>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</si>
  <si>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</si>
  <si>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</si>
  <si>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</si>
  <si>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</si>
  <si>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</si>
  <si>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Categorization sticker is missing (Book 1)</t>
  </si>
  <si>
    <t>BD-LAM-2023-0275</t>
  </si>
  <si>
    <t>Lam SL AFP 1mm 1037 Soldier Green (Diamond)</t>
  </si>
  <si>
    <t>Categorization sticker is missing (Book 9)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</si>
  <si>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</si>
  <si>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</si>
  <si>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</si>
  <si>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</si>
  <si>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</si>
  <si>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</si>
  <si>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</si>
  <si>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</si>
  <si>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</si>
  <si>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</si>
  <si>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</si>
  <si>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</si>
  <si>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</si>
  <si>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</si>
  <si>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</si>
  <si>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</si>
  <si>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</si>
  <si>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</si>
  <si>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</si>
  <si>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</si>
  <si>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</si>
  <si>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</si>
  <si>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</si>
  <si>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</si>
  <si>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</si>
  <si>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</si>
  <si>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</si>
  <si>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</si>
  <si>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</si>
  <si>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</si>
  <si>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</si>
  <si>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</si>
  <si>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</si>
  <si>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</si>
  <si>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</si>
  <si>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</si>
  <si>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Sticker to be changed (Book 11)</t>
  </si>
  <si>
    <t>BD-LAM-2023-0077</t>
  </si>
  <si>
    <t>Lam SL AU 1mm 2912 Rincon Beige Oak(Gold)</t>
  </si>
  <si>
    <t>BD-LAM-2023-0217</t>
  </si>
  <si>
    <t>Lam SL AU 1mm 2915 Nelson Grey Oak(Gold)</t>
  </si>
  <si>
    <t>Sticker to be changed (Tiles) and Sticker to be Changed (Book 11</t>
  </si>
  <si>
    <t>BD-LAM-2023-0199</t>
  </si>
  <si>
    <t>Lam SL AW 1mm 2292 Meraki Walnut (Gold)</t>
  </si>
  <si>
    <t>Sticker to be changed (Tiles) and ticker to be Changed (Book 11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</si>
  <si>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</si>
  <si>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</si>
  <si>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</si>
  <si>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</si>
  <si>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</si>
  <si>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</si>
  <si>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</si>
  <si>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</si>
  <si>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Minor defect</t>
  </si>
  <si>
    <t>Sticker to be changed (Tiles) and broken in corner (Book 5) Sticker to be Changed (Book 11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</si>
  <si>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</si>
  <si>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</si>
  <si>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</si>
  <si>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</si>
  <si>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</si>
  <si>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</si>
  <si>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</si>
  <si>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</si>
  <si>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</si>
  <si>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</si>
  <si>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</si>
  <si>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</si>
  <si>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</si>
  <si>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</si>
  <si>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</si>
  <si>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</si>
  <si>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Categorization sticker is missing (Tiles and book 11)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</si>
  <si>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</si>
  <si>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</si>
  <si>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</si>
  <si>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</si>
  <si>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</si>
  <si>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</si>
  <si>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Name Sticker to be Changed (Tiles) and Sticker to be Changed (Book 11)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</si>
  <si>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</si>
  <si>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</si>
  <si>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</si>
  <si>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</si>
  <si>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</si>
  <si>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</si>
  <si>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</si>
  <si>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</si>
  <si>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</si>
  <si>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</si>
  <si>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</si>
  <si>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</si>
  <si>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</si>
  <si>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</si>
  <si>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Sticker to be changed (Tiles and book 11) and broken in corner (Book 5)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</si>
  <si>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</si>
  <si>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</si>
  <si>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</si>
  <si>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</si>
  <si>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</si>
  <si>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</si>
  <si>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</si>
  <si>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</si>
  <si>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Borken in corner (Book 5)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</si>
  <si>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</si>
  <si>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</si>
  <si>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</si>
  <si>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</si>
  <si>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</si>
  <si>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</si>
  <si>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</si>
  <si>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</si>
  <si>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</si>
  <si>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</si>
  <si>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</si>
  <si>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</si>
  <si>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</si>
  <si>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</si>
  <si>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</si>
  <si>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</si>
  <si>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Categorization sticker is missing (Tiles) and Sticker to be changed (Book 11)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</si>
  <si>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</si>
  <si>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</si>
  <si>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</si>
  <si>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</si>
  <si>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</si>
  <si>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</si>
  <si>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Categorization sticker is missing (Book 11)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</si>
  <si>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</si>
  <si>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</si>
  <si>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</si>
  <si>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</si>
  <si>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</si>
  <si>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</si>
  <si>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</si>
  <si>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</si>
  <si>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Name Sticker to be Changed (Tiles) and Sticker to be changed (Book 11)</t>
  </si>
  <si>
    <t>BD-LAM-2023-0308</t>
  </si>
  <si>
    <t>Lam SL HG 1mm 1590 Wickham Grey(Gold)</t>
  </si>
  <si>
    <t>Borken in corner (Book 5 and 12) and sticker to be changed (Book 11)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</si>
  <si>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</si>
  <si>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</si>
  <si>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</si>
  <si>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</si>
  <si>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</si>
  <si>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</si>
  <si>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Sticker to be changed (Book 11 amd 12)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</si>
  <si>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</si>
  <si>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</si>
  <si>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</si>
  <si>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</si>
  <si>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</si>
  <si>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</si>
  <si>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</si>
  <si>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</si>
  <si>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</si>
  <si>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</si>
  <si>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</si>
  <si>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</si>
  <si>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</si>
  <si>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</si>
  <si>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</si>
  <si>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</si>
  <si>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</si>
  <si>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</si>
  <si>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</si>
  <si>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</si>
  <si>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</si>
  <si>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</si>
  <si>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</si>
  <si>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</si>
  <si>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</si>
  <si>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</si>
  <si>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</si>
  <si>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</si>
  <si>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Name sticker to be changed (Tiles)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</si>
  <si>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</si>
  <si>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</si>
  <si>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</si>
  <si>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</si>
  <si>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</si>
  <si>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</si>
  <si>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</si>
  <si>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</si>
  <si>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</si>
  <si>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</si>
  <si>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</si>
  <si>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</si>
  <si>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</si>
  <si>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</si>
  <si>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</si>
  <si>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</si>
  <si>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</si>
  <si>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</si>
  <si>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</si>
  <si>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</si>
  <si>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</si>
  <si>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</si>
  <si>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</si>
  <si>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</si>
  <si>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</si>
  <si>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</si>
  <si>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</si>
  <si>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</si>
  <si>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</si>
  <si>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</si>
  <si>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</si>
  <si>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</si>
  <si>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</si>
  <si>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</si>
  <si>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</si>
  <si>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</si>
  <si>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</si>
  <si>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</si>
  <si>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</si>
  <si>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</si>
  <si>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</si>
  <si>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</si>
  <si>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</si>
  <si>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</si>
  <si>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</si>
  <si>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</si>
  <si>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</si>
  <si>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</si>
  <si>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</si>
  <si>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</si>
  <si>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Borken in corner (Book 5), Categorization sticker is missing (book 10) and Sticker to be Changed (Book 11)</t>
  </si>
  <si>
    <t>BD-LAM-2023-0266</t>
  </si>
  <si>
    <t>Lam SL RM 1mm 2164 Salix Oak(Gold)</t>
  </si>
  <si>
    <t>Name Sticker to be Changed (Tiles) and sticker to be changed (book 11)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</si>
  <si>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</si>
  <si>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</si>
  <si>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</si>
  <si>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</si>
  <si>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</si>
  <si>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</si>
  <si>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</si>
  <si>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</si>
  <si>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</si>
  <si>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</si>
  <si>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</si>
  <si>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</si>
  <si>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</si>
  <si>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</si>
  <si>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</si>
  <si>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</si>
  <si>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</si>
  <si>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</si>
  <si>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</si>
  <si>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</si>
  <si>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</si>
  <si>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</si>
  <si>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Borken in corner (Book 5) and Sticker to be Changed (Book 11)</t>
  </si>
  <si>
    <t>BD-LAM-2023-0272</t>
  </si>
  <si>
    <t>Lam SL RW 1mm 2725 Slovenian Oak (Gold)</t>
  </si>
  <si>
    <t>Sticker to be Changed (book 11)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</si>
  <si>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</si>
  <si>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</si>
  <si>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</si>
  <si>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</si>
  <si>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</si>
  <si>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</si>
  <si>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</si>
  <si>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</si>
  <si>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</si>
  <si>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</si>
  <si>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</si>
  <si>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</si>
  <si>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</si>
  <si>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</si>
  <si>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</si>
  <si>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</si>
  <si>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</si>
  <si>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</si>
  <si>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</si>
  <si>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</si>
  <si>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Sticker to be changed (book 13)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</si>
  <si>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</si>
  <si>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</si>
  <si>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</si>
  <si>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</si>
  <si>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</si>
  <si>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</si>
  <si>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</si>
  <si>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</si>
  <si>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</si>
  <si>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</si>
  <si>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</si>
  <si>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</si>
  <si>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</si>
  <si>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</si>
  <si>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</si>
  <si>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</si>
  <si>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</si>
  <si>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</si>
  <si>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</si>
  <si>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</si>
  <si>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</si>
  <si>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</si>
  <si>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Name Sticker to be Changed (Book 6)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</si>
  <si>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</si>
  <si>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</si>
  <si>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</si>
  <si>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</si>
  <si>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</si>
  <si>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</si>
  <si>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</si>
  <si>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</si>
  <si>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</si>
  <si>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</si>
  <si>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Sticker to be changed (Tiles) and Bronken in corner (Book 7)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</si>
  <si>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</si>
  <si>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</si>
  <si>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</si>
  <si>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</si>
  <si>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</si>
  <si>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</si>
  <si>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</si>
  <si>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</si>
  <si>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</si>
  <si>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</si>
  <si>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</si>
  <si>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</si>
  <si>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Categorization sticker is missing (Book 4)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</si>
  <si>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</si>
  <si>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</si>
  <si>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</si>
  <si>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</si>
  <si>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</si>
  <si>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</si>
  <si>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</si>
  <si>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</si>
  <si>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</si>
  <si>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</si>
  <si>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</si>
  <si>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</si>
  <si>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</si>
  <si>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</si>
  <si>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</si>
  <si>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</si>
  <si>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</si>
  <si>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</si>
  <si>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</si>
  <si>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</si>
  <si>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Categorization sticker is missing (Book 4) and broken in corner (Book 7)</t>
  </si>
  <si>
    <t>BD-LAM-2023-0219</t>
  </si>
  <si>
    <t>Lam SL SD 1mm 2505 Nommad Teak(Gold)</t>
  </si>
  <si>
    <t>Broken in corner (Book 7)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</si>
  <si>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</si>
  <si>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</si>
  <si>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</si>
  <si>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</si>
  <si>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</si>
  <si>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</si>
  <si>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</si>
  <si>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</si>
  <si>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</si>
  <si>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</si>
  <si>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</si>
  <si>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</si>
  <si>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</si>
  <si>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</si>
  <si>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</si>
  <si>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</si>
  <si>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</si>
  <si>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</si>
  <si>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</si>
  <si>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</si>
  <si>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</si>
  <si>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</si>
  <si>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Sticker to be changed (Tiles) and Sticker to be Changed (book 7)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</si>
  <si>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</si>
  <si>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</si>
  <si>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</si>
  <si>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</si>
  <si>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</si>
  <si>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</si>
  <si>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</si>
  <si>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</si>
  <si>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</si>
  <si>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</si>
  <si>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</si>
  <si>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</si>
  <si>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</si>
  <si>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</si>
  <si>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</si>
  <si>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</si>
  <si>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</si>
  <si>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</si>
  <si>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Categorization sticker is missing (Book 4) and sticker to be changed (book 13)</t>
  </si>
  <si>
    <t>BD-LAM-2024-0078</t>
  </si>
  <si>
    <t>Lam SL SD 1mm 7710 Lorraine Walnut(Gold)</t>
  </si>
  <si>
    <t>BD-LAM-2023-0232</t>
  </si>
  <si>
    <t>Lam SL SD 1mm 7720 Orlando Walnut(Gold)</t>
  </si>
  <si>
    <t>Categorization sticker is missing (Book 6) and broken in corner</t>
  </si>
  <si>
    <t>BD-LAM-2023-0083</t>
  </si>
  <si>
    <t>Lam SL SD 1mm 7853 Amazing Antique(Gold) [BBP]</t>
  </si>
  <si>
    <t>Categorization sticker is missing (Book 13)</t>
  </si>
  <si>
    <t>BD-LAM-2023-0249</t>
  </si>
  <si>
    <t>Lam SL SD 1mm 8082 Radiant(Gold) [BBP]</t>
  </si>
  <si>
    <t>Sticker to be Changed (Book 7)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</si>
  <si>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</si>
  <si>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</si>
  <si>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</si>
  <si>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</si>
  <si>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</si>
  <si>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</si>
  <si>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</si>
  <si>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</si>
  <si>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</si>
  <si>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</si>
  <si>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</si>
  <si>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</si>
  <si>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</si>
  <si>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</si>
  <si>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</si>
  <si>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</si>
  <si>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</si>
  <si>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</si>
  <si>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</si>
  <si>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</si>
  <si>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</si>
  <si>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</si>
  <si>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Sticker to be Changed (Book 11)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</si>
  <si>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</si>
  <si>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</si>
  <si>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</si>
  <si>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</si>
  <si>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</si>
  <si>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</si>
  <si>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</si>
  <si>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</si>
  <si>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</si>
  <si>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</si>
  <si>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</si>
  <si>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</si>
  <si>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</si>
  <si>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</si>
  <si>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</si>
  <si>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</si>
  <si>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</si>
  <si>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</si>
  <si>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</si>
  <si>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</si>
  <si>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Borken in corner (Book 5) and Sticker to be changed (Book 11)</t>
  </si>
  <si>
    <t>BD-LAM-2023-0284</t>
  </si>
  <si>
    <t>Lam SL STS 1mm 1453 Tuscan Travertine(Gold)</t>
  </si>
  <si>
    <t>BD-LAM-2023-0228</t>
  </si>
  <si>
    <t>Lam SL STS 1mm 1467 Opera Fantastico Stone(Gold)</t>
  </si>
  <si>
    <t>Name Sticker to be changed (Tiles) and Sticker to be changed (Book 11)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</si>
  <si>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</si>
  <si>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</si>
  <si>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</si>
  <si>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</si>
  <si>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</si>
  <si>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</si>
  <si>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Categorization sticker is missing (Tiles), broken in corner (book 5) and Sticker to be changed (Book 11)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</si>
  <si>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</si>
  <si>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</si>
  <si>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</si>
  <si>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</si>
  <si>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</si>
  <si>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</si>
  <si>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</si>
  <si>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</si>
  <si>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</si>
  <si>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</si>
  <si>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</si>
  <si>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</si>
  <si>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THANE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</si>
  <si>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</si>
  <si>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</si>
  <si>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</si>
  <si>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</si>
  <si>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</si>
  <si>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</si>
  <si>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</si>
  <si>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</si>
  <si>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</si>
  <si>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</si>
  <si>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</si>
  <si>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</si>
  <si>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</si>
  <si>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</si>
  <si>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</si>
  <si>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</si>
  <si>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</si>
  <si>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</si>
  <si>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</si>
  <si>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</si>
  <si>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</si>
  <si>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</si>
  <si>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</si>
  <si>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</si>
  <si>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</si>
  <si>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</si>
  <si>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</si>
  <si>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</si>
  <si>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</si>
  <si>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</si>
  <si>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</si>
  <si>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</si>
  <si>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</si>
  <si>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</si>
  <si>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</si>
  <si>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</si>
  <si>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</si>
  <si>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</si>
  <si>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</si>
  <si>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</si>
  <si>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</si>
  <si>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</si>
  <si>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</si>
  <si>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</si>
  <si>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</si>
  <si>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</si>
  <si>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</si>
  <si>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</si>
  <si>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</si>
  <si>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</si>
  <si>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</si>
  <si>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</si>
  <si>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Sticker to be changed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</si>
  <si>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</si>
  <si>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</si>
  <si>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</si>
  <si>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</si>
  <si>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</si>
  <si>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</si>
  <si>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</si>
  <si>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</si>
  <si>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</si>
  <si>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</si>
  <si>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</si>
  <si>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</si>
  <si>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</si>
  <si>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</si>
  <si>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</si>
  <si>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</si>
  <si>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</si>
  <si>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</si>
  <si>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</si>
  <si>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</si>
  <si>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</si>
  <si>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</si>
  <si>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</si>
  <si>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</si>
  <si>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</si>
  <si>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</si>
  <si>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</si>
  <si>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</si>
  <si>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</si>
  <si>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</si>
  <si>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</si>
  <si>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</si>
  <si>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</si>
  <si>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</si>
  <si>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</si>
  <si>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</si>
  <si>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</si>
  <si>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</si>
  <si>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</si>
  <si>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</si>
  <si>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</si>
  <si>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</si>
  <si>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</si>
  <si>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</si>
  <si>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</si>
  <si>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</si>
  <si>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</si>
  <si>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</si>
  <si>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</si>
  <si>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</si>
  <si>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</si>
  <si>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</si>
  <si>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</si>
  <si>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</si>
  <si>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</si>
  <si>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</si>
  <si>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</si>
  <si>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</si>
  <si>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</si>
  <si>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</si>
  <si>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</si>
  <si>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</si>
  <si>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</si>
  <si>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</si>
  <si>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</si>
  <si>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</si>
  <si>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</si>
  <si>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</si>
  <si>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Sticker to be Changed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</si>
  <si>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</si>
  <si>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</si>
  <si>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</si>
  <si>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</si>
  <si>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</si>
  <si>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</si>
  <si>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</si>
  <si>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</si>
  <si>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THANE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</si>
  <si>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</si>
  <si>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</si>
  <si>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</si>
  <si>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</si>
  <si>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</si>
  <si>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</si>
  <si>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</si>
  <si>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</si>
  <si>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</si>
  <si>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</si>
  <si>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</si>
  <si>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</si>
  <si>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</si>
  <si>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</si>
  <si>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</si>
  <si>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</si>
  <si>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</si>
  <si>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</si>
  <si>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</si>
  <si>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</si>
  <si>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</si>
  <si>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</si>
  <si>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</si>
  <si>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P6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</si>
  <si>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</si>
  <si>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</si>
  <si>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</si>
  <si>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</si>
  <si>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</si>
  <si>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</si>
  <si>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</si>
  <si>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</si>
  <si>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</si>
  <si>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</si>
  <si>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P2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</si>
  <si>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</si>
  <si>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</si>
  <si>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</si>
  <si>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</si>
  <si>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</si>
  <si>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</si>
  <si>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</si>
  <si>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</si>
  <si>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</si>
  <si>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</si>
  <si>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</si>
  <si>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</si>
  <si>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</si>
  <si>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</si>
  <si>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</si>
  <si>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</si>
  <si>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</si>
  <si>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</si>
  <si>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</si>
  <si>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</si>
  <si>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</si>
  <si>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</si>
  <si>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</si>
  <si>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</si>
  <si>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</si>
  <si>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</si>
  <si>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</si>
  <si>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</si>
  <si>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</si>
  <si>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</si>
  <si>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</si>
  <si>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</si>
  <si>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</si>
  <si>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</si>
  <si>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</si>
  <si>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</si>
  <si>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</si>
  <si>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</si>
  <si>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</si>
  <si>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</si>
  <si>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</si>
  <si>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</si>
  <si>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</si>
  <si>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</si>
  <si>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</si>
  <si>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</si>
  <si>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</si>
  <si>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</si>
  <si>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</si>
  <si>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</si>
  <si>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</si>
  <si>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</si>
  <si>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</si>
  <si>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</si>
  <si>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</si>
  <si>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</si>
  <si>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</si>
  <si>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</si>
  <si>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</si>
  <si>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</si>
  <si>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</si>
  <si>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</si>
  <si>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</si>
  <si>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</si>
  <si>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</si>
  <si>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</si>
  <si>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</si>
  <si>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</si>
  <si>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</si>
  <si>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</si>
  <si>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</si>
  <si>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</si>
  <si>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</si>
  <si>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</si>
  <si>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</si>
  <si>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</si>
  <si>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</si>
  <si>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</si>
  <si>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</si>
  <si>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</si>
  <si>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</si>
  <si>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</si>
  <si>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</si>
  <si>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</si>
  <si>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</si>
  <si>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</si>
  <si>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</si>
  <si>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</si>
  <si>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</si>
  <si>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</si>
  <si>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</si>
  <si>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</si>
  <si>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</si>
  <si>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</si>
  <si>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</si>
  <si>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</si>
  <si>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</si>
  <si>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</si>
  <si>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</si>
  <si>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</si>
  <si>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</si>
  <si>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</si>
  <si>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</si>
  <si>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</si>
  <si>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</si>
  <si>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</si>
  <si>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</si>
  <si>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</si>
  <si>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</si>
  <si>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</si>
  <si>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</si>
  <si>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</si>
  <si>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</si>
  <si>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</si>
  <si>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</si>
  <si>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</si>
  <si>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</si>
  <si>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</si>
  <si>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</si>
  <si>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</si>
  <si>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</si>
  <si>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</si>
  <si>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</si>
  <si>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</si>
  <si>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</si>
  <si>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</si>
  <si>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</si>
  <si>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</si>
  <si>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</si>
  <si>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</si>
  <si>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THANE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</si>
  <si>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</si>
  <si>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</si>
  <si>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</si>
  <si>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</si>
  <si>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</si>
  <si>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</si>
  <si>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</si>
  <si>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</si>
  <si>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</si>
  <si>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</si>
  <si>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</si>
  <si>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</si>
  <si>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</si>
  <si>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</si>
  <si>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</si>
  <si>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</si>
  <si>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</si>
  <si>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</si>
  <si>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</si>
  <si>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</si>
  <si>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</si>
  <si>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</si>
  <si>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</si>
  <si>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Brokwn (RB1)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</si>
  <si>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</si>
  <si>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</si>
  <si>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</si>
  <si>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</si>
  <si>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</si>
  <si>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</si>
  <si>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</si>
  <si>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</si>
  <si>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</si>
  <si>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</si>
  <si>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</si>
  <si>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</si>
  <si>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</si>
  <si>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</si>
  <si>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</si>
  <si>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</si>
  <si>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</si>
  <si>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</si>
  <si>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</si>
  <si>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</si>
  <si>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</si>
  <si>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</si>
  <si>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</si>
  <si>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</si>
  <si>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</si>
  <si>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</si>
  <si>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</si>
  <si>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</si>
  <si>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</si>
  <si>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</si>
  <si>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</si>
  <si>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</si>
  <si>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</si>
  <si>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</si>
  <si>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</si>
  <si>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</si>
  <si>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</si>
  <si>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</si>
  <si>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</si>
  <si>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</si>
  <si>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</si>
  <si>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</si>
  <si>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</si>
  <si>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</si>
  <si>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</si>
  <si>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</si>
  <si>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</si>
  <si>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</si>
  <si>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</si>
  <si>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</si>
  <si>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</si>
  <si>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</si>
  <si>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</si>
  <si>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</si>
  <si>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</si>
  <si>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</si>
  <si>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</si>
  <si>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</si>
  <si>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</si>
  <si>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</si>
  <si>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</si>
  <si>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</si>
  <si>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</si>
  <si>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</si>
  <si>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</si>
  <si>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</si>
  <si>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</si>
  <si>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</si>
  <si>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</si>
  <si>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</si>
  <si>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</si>
  <si>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</si>
  <si>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</si>
  <si>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</si>
  <si>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</si>
  <si>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</si>
  <si>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</si>
  <si>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</si>
  <si>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</si>
  <si>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</si>
  <si>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</si>
  <si>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</si>
  <si>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</si>
  <si>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</si>
  <si>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</si>
  <si>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</si>
  <si>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</si>
  <si>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</si>
  <si>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</si>
  <si>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</si>
  <si>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</si>
  <si>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</si>
  <si>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</si>
  <si>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</si>
  <si>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</si>
  <si>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</si>
  <si>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</si>
  <si>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Broken (Tiles)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</si>
  <si>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</si>
  <si>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</si>
  <si>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</si>
  <si>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</si>
  <si>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</si>
  <si>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</si>
  <si>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</si>
  <si>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</si>
  <si>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</si>
  <si>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</si>
  <si>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</si>
  <si>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</si>
  <si>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</si>
  <si>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</si>
  <si>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Major defect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</si>
  <si>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</si>
  <si>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</si>
  <si>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</si>
  <si>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</si>
  <si>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</si>
  <si>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</si>
  <si>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</si>
  <si>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</si>
  <si>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</si>
  <si>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</si>
  <si>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</si>
  <si>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</si>
  <si>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</si>
  <si>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</si>
  <si>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</si>
  <si>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</si>
  <si>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</si>
  <si>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</si>
  <si>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</si>
  <si>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</si>
  <si>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</si>
  <si>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</si>
  <si>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</si>
  <si>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</si>
  <si>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</si>
  <si>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</si>
  <si>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</si>
  <si>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</si>
  <si>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</si>
  <si>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</si>
  <si>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</si>
  <si>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</si>
  <si>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</si>
  <si>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</si>
  <si>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</si>
  <si>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</si>
  <si>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</si>
  <si>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</si>
  <si>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</si>
  <si>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</si>
  <si>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</si>
  <si>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</si>
  <si>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</si>
  <si>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</si>
  <si>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</si>
  <si>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</si>
  <si>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</si>
  <si>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</si>
  <si>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</si>
  <si>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</si>
  <si>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</si>
  <si>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</si>
  <si>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</si>
  <si>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</si>
  <si>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</si>
  <si>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</si>
  <si>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</si>
  <si>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</si>
  <si>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</si>
  <si>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</si>
  <si>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</si>
  <si>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</si>
  <si>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</si>
  <si>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</si>
  <si>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</si>
  <si>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</si>
  <si>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</si>
  <si>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</si>
  <si>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</si>
  <si>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</si>
  <si>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</si>
  <si>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</si>
  <si>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</si>
  <si>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</si>
  <si>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</si>
  <si>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</si>
  <si>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</si>
  <si>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</si>
  <si>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</si>
  <si>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</si>
  <si>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</si>
  <si>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</si>
  <si>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</si>
  <si>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</si>
  <si>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</si>
  <si>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</si>
  <si>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</si>
  <si>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</si>
  <si>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</si>
  <si>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</si>
  <si>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</si>
  <si>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</si>
  <si>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</si>
  <si>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</si>
  <si>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</si>
  <si>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</si>
  <si>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</si>
  <si>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</si>
  <si>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</si>
  <si>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</si>
  <si>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</si>
  <si>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</si>
  <si>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</si>
  <si>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</si>
  <si>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</si>
  <si>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</si>
  <si>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</si>
  <si>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</si>
  <si>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</si>
  <si>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</si>
  <si>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</si>
  <si>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</si>
  <si>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</si>
  <si>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</si>
  <si>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</si>
  <si>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</si>
  <si>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</si>
  <si>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</si>
  <si>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</si>
  <si>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</si>
  <si>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</si>
  <si>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</si>
  <si>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</si>
  <si>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</si>
  <si>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</si>
  <si>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</si>
  <si>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</si>
  <si>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</si>
  <si>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</si>
  <si>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</si>
  <si>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</si>
  <si>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</si>
  <si>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</si>
  <si>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</si>
  <si>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</si>
  <si>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</si>
  <si>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</si>
  <si>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</si>
  <si>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</si>
  <si>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</si>
  <si>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</si>
  <si>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</si>
  <si>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</si>
  <si>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</si>
  <si>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</si>
  <si>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</si>
  <si>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</si>
  <si>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</si>
  <si>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</si>
  <si>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</si>
  <si>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</si>
  <si>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</si>
  <si>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</si>
  <si>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</si>
  <si>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</si>
  <si>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</si>
  <si>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</si>
  <si>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</si>
  <si>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</si>
  <si>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</si>
  <si>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</si>
  <si>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</si>
  <si>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</si>
  <si>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</si>
  <si>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</si>
  <si>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</si>
  <si>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</si>
  <si>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</si>
  <si>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</si>
  <si>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</si>
  <si>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</si>
  <si>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</si>
  <si>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</si>
  <si>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</si>
  <si>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</si>
  <si>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</si>
  <si>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</si>
  <si>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</si>
  <si>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</si>
  <si>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</si>
  <si>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</si>
  <si>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</si>
  <si>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</si>
  <si>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</si>
  <si>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</si>
  <si>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</si>
  <si>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</si>
  <si>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</si>
  <si>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</si>
  <si>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</si>
  <si>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</si>
  <si>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</si>
  <si>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</si>
  <si>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</si>
  <si>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</si>
  <si>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</si>
  <si>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THANE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</si>
  <si>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</si>
  <si>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</si>
  <si>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</si>
  <si>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</si>
  <si>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</si>
  <si>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</si>
  <si>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</si>
  <si>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</si>
  <si>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</si>
  <si>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</si>
  <si>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</si>
  <si>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</si>
  <si>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</si>
  <si>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</si>
  <si>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</si>
  <si>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</si>
  <si>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</si>
  <si>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</si>
  <si>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</si>
  <si>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</si>
  <si>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</si>
  <si>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</si>
  <si>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</si>
  <si>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</si>
  <si>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</si>
  <si>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</si>
  <si>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</si>
  <si>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</si>
  <si>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</si>
  <si>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</si>
  <si>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</si>
  <si>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</si>
  <si>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</si>
  <si>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</si>
  <si>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</si>
  <si>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</si>
  <si>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</si>
  <si>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</si>
  <si>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</si>
  <si>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</si>
  <si>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</si>
  <si>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</si>
  <si>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</si>
  <si>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</si>
  <si>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</si>
  <si>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</si>
  <si>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</si>
  <si>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</si>
  <si>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</si>
  <si>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</si>
  <si>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</si>
  <si>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</si>
  <si>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</si>
  <si>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</si>
  <si>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</si>
  <si>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</si>
  <si>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</si>
  <si>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</si>
  <si>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</si>
  <si>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</si>
  <si>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</si>
  <si>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</si>
  <si>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</si>
  <si>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</si>
  <si>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</si>
  <si>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</si>
  <si>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</si>
  <si>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</si>
  <si>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</si>
  <si>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</si>
  <si>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</si>
  <si>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</si>
  <si>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</si>
  <si>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</si>
  <si>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</si>
  <si>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</si>
  <si>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</si>
  <si>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</si>
  <si>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</si>
  <si>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</si>
  <si>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</si>
  <si>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</si>
  <si>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</si>
  <si>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</si>
  <si>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</si>
  <si>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</si>
  <si>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</si>
  <si>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</si>
  <si>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</si>
  <si>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</si>
  <si>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</si>
  <si>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</si>
  <si>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</si>
  <si>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</si>
  <si>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</si>
  <si>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</si>
  <si>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</si>
  <si>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</si>
  <si>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</si>
  <si>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</si>
  <si>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</si>
  <si>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</si>
  <si>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</si>
  <si>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</si>
  <si>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</si>
  <si>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</si>
  <si>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</si>
  <si>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</si>
  <si>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</si>
  <si>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</si>
  <si>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</si>
  <si>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</si>
  <si>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</si>
  <si>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</si>
  <si>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</si>
  <si>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</si>
  <si>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</si>
  <si>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</si>
  <si>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</si>
  <si>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</si>
  <si>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</si>
  <si>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</si>
  <si>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</si>
  <si>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</si>
  <si>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</si>
  <si>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</si>
  <si>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</si>
  <si>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</si>
  <si>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</si>
  <si>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</si>
  <si>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</si>
  <si>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</si>
  <si>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</si>
  <si>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</si>
  <si>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</si>
  <si>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</si>
  <si>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</si>
  <si>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</si>
  <si>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</si>
  <si>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</si>
  <si>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</si>
  <si>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</si>
  <si>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</si>
  <si>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</si>
  <si>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</si>
  <si>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</si>
  <si>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</si>
  <si>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</si>
  <si>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</si>
  <si>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</si>
  <si>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</si>
  <si>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</si>
  <si>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</si>
  <si>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</si>
  <si>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</si>
  <si>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</si>
  <si>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</si>
  <si>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</si>
  <si>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</si>
  <si>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</si>
  <si>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</si>
  <si>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</si>
  <si>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</si>
  <si>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</si>
  <si>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</si>
  <si>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</si>
  <si>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</si>
  <si>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</si>
  <si>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</si>
  <si>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</si>
  <si>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</si>
  <si>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</si>
  <si>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</si>
  <si>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</si>
  <si>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</si>
  <si>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</si>
  <si>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</si>
  <si>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</si>
  <si>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</si>
  <si>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</si>
  <si>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</si>
  <si>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</si>
  <si>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</si>
  <si>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</si>
  <si>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</si>
  <si>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</si>
  <si>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</si>
  <si>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</si>
  <si>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</si>
  <si>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</si>
  <si>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</si>
  <si>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</si>
  <si>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</si>
  <si>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</si>
  <si>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</si>
  <si>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</si>
  <si>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</si>
  <si>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</si>
  <si>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</si>
  <si>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</si>
  <si>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</si>
  <si>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</si>
  <si>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</si>
  <si>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</si>
  <si>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</si>
  <si>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</si>
  <si>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</si>
  <si>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</si>
  <si>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</si>
  <si>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</si>
  <si>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</si>
  <si>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</si>
  <si>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</si>
  <si>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</si>
  <si>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</si>
  <si>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</si>
  <si>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</si>
  <si>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</si>
  <si>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</si>
  <si>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</si>
  <si>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</si>
  <si>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</si>
  <si>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</si>
  <si>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</si>
  <si>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</si>
  <si>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</si>
  <si>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</si>
  <si>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</si>
  <si>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</si>
  <si>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</si>
  <si>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</si>
  <si>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</si>
  <si>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</si>
  <si>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</si>
  <si>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</si>
  <si>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</si>
  <si>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</si>
  <si>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</si>
  <si>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</si>
  <si>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</si>
  <si>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</si>
  <si>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</si>
  <si>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</si>
  <si>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</si>
  <si>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</si>
  <si>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</si>
  <si>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</si>
  <si>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</si>
  <si>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</si>
  <si>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</si>
  <si>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</si>
  <si>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</si>
  <si>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</si>
  <si>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</si>
  <si>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</si>
  <si>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</si>
  <si>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</si>
  <si>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</si>
  <si>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</si>
  <si>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</si>
  <si>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</si>
  <si>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</si>
  <si>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</si>
  <si>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</si>
  <si>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</si>
  <si>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</si>
  <si>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</si>
  <si>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</si>
  <si>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</si>
  <si>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</si>
  <si>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</si>
  <si>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</si>
  <si>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</si>
  <si>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</si>
  <si>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</si>
  <si>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</si>
  <si>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</si>
  <si>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</si>
  <si>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</si>
  <si>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</si>
  <si>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</si>
  <si>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</si>
  <si>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</si>
  <si>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</si>
  <si>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</si>
  <si>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</si>
  <si>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</si>
  <si>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</si>
  <si>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</si>
  <si>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</si>
  <si>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</si>
  <si>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</si>
  <si>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</si>
  <si>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</si>
  <si>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</si>
  <si>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</si>
  <si>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</si>
  <si>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</si>
  <si>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</si>
  <si>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</si>
  <si>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</si>
  <si>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</si>
  <si>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</si>
  <si>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</si>
  <si>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</si>
  <si>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</si>
  <si>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</si>
  <si>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</si>
  <si>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</si>
  <si>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</si>
  <si>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</si>
  <si>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</si>
  <si>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</si>
  <si>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</si>
  <si>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</si>
  <si>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</si>
  <si>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</si>
  <si>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</si>
  <si>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</si>
  <si>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</si>
  <si>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</si>
  <si>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</si>
  <si>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</si>
  <si>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</si>
  <si>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</si>
  <si>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</si>
  <si>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</si>
  <si>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</si>
  <si>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</si>
  <si>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</si>
  <si>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</si>
  <si>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</si>
  <si>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</si>
  <si>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</si>
  <si>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</si>
  <si>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</si>
  <si>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</si>
  <si>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</si>
  <si>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</si>
  <si>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</si>
  <si>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</si>
  <si>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</si>
  <si>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</si>
  <si>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</si>
  <si>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</si>
  <si>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</si>
  <si>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</si>
  <si>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</si>
  <si>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</si>
  <si>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</si>
  <si>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</si>
  <si>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</si>
  <si>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</si>
  <si>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</si>
  <si>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</si>
  <si>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</si>
  <si>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</si>
  <si>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</si>
  <si>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</si>
  <si>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</si>
  <si>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</si>
  <si>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</si>
  <si>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</si>
  <si>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</si>
  <si>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</si>
  <si>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</si>
  <si>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</si>
  <si>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</si>
  <si>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</si>
  <si>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</si>
  <si>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</si>
  <si>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</si>
  <si>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</si>
  <si>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</si>
  <si>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</si>
  <si>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</si>
  <si>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</si>
  <si>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</si>
  <si>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</si>
  <si>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</si>
  <si>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</si>
  <si>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</si>
  <si>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</si>
  <si>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</si>
  <si>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</si>
  <si>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</si>
  <si>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</si>
  <si>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</si>
  <si>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</si>
  <si>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</si>
  <si>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</si>
  <si>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</si>
  <si>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</si>
  <si>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</si>
  <si>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</si>
  <si>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</si>
  <si>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</si>
  <si>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</si>
  <si>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</si>
  <si>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</si>
  <si>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</si>
  <si>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</si>
  <si>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</si>
  <si>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</si>
  <si>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</si>
  <si>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</si>
  <si>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</si>
  <si>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</si>
  <si>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</si>
  <si>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</si>
  <si>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</si>
  <si>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</si>
  <si>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</si>
  <si>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</si>
  <si>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</si>
  <si>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</si>
  <si>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</si>
  <si>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</si>
  <si>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</si>
  <si>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</si>
  <si>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</si>
  <si>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</si>
  <si>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</si>
  <si>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</si>
  <si>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</si>
  <si>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</si>
  <si>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</si>
  <si>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</si>
  <si>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</si>
  <si>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</si>
  <si>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</si>
  <si>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</si>
  <si>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</si>
  <si>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</si>
  <si>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</si>
  <si>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</si>
  <si>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</si>
  <si>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</si>
  <si>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</si>
  <si>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</si>
  <si>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</si>
  <si>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</si>
  <si>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</si>
  <si>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</si>
  <si>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</si>
  <si>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</si>
  <si>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</si>
  <si>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</si>
  <si>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</si>
  <si>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</si>
  <si>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</si>
  <si>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</si>
  <si>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</si>
  <si>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</si>
  <si>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</si>
  <si>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</si>
  <si>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</si>
  <si>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</si>
  <si>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</si>
  <si>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</si>
  <si>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</si>
  <si>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</si>
  <si>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</si>
  <si>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</si>
  <si>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</si>
  <si>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</si>
  <si>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</si>
  <si>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</si>
  <si>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</si>
  <si>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</si>
  <si>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</si>
  <si>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</si>
  <si>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</si>
  <si>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</si>
  <si>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</si>
  <si>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</si>
  <si>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</si>
  <si>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</si>
  <si>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</si>
  <si>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</si>
  <si>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</si>
  <si>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</si>
  <si>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</si>
  <si>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</si>
  <si>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</si>
  <si>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</si>
  <si>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</si>
  <si>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</si>
  <si>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</si>
  <si>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</si>
  <si>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</si>
  <si>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</si>
  <si>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</si>
  <si>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</si>
  <si>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</si>
  <si>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</si>
  <si>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</si>
  <si>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</si>
  <si>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</si>
  <si>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</si>
  <si>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</si>
  <si>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</si>
  <si>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</si>
  <si>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</si>
  <si>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</si>
  <si>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</si>
  <si>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</si>
  <si>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</si>
  <si>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</si>
  <si>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</si>
  <si>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</si>
  <si>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</si>
  <si>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</si>
  <si>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</si>
  <si>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</si>
  <si>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</si>
  <si>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</si>
  <si>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</si>
  <si>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</si>
  <si>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</si>
  <si>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</si>
  <si>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</si>
  <si>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</si>
  <si>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</si>
  <si>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</si>
  <si>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</si>
  <si>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</si>
  <si>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</si>
  <si>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</si>
  <si>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</si>
  <si>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</si>
  <si>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</si>
  <si>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</si>
  <si>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</si>
  <si>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</si>
  <si>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</si>
  <si>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</si>
  <si>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</si>
  <si>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</si>
  <si>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</si>
  <si>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</si>
  <si>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</si>
  <si>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</si>
  <si>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</si>
  <si>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</si>
  <si>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</si>
  <si>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</si>
  <si>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</si>
  <si>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</si>
  <si>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</si>
  <si>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</si>
  <si>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</si>
  <si>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</si>
  <si>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</si>
  <si>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</si>
  <si>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</si>
  <si>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</si>
  <si>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</si>
  <si>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</si>
  <si>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</si>
  <si>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</si>
  <si>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</si>
  <si>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</si>
  <si>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</si>
  <si>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</si>
  <si>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</si>
  <si>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</si>
  <si>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</si>
  <si>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</si>
  <si>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</si>
  <si>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</si>
  <si>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</si>
  <si>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</si>
  <si>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</si>
  <si>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</si>
  <si>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</si>
  <si>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</si>
  <si>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</si>
  <si>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</si>
  <si>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</si>
  <si>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</si>
  <si>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</si>
  <si>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</si>
  <si>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</si>
  <si>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</si>
  <si>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</si>
  <si>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</si>
  <si>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</si>
  <si>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</si>
  <si>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</si>
  <si>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</si>
  <si>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</si>
  <si>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</si>
  <si>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</si>
  <si>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</si>
  <si>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</si>
  <si>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</si>
  <si>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</si>
  <si>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</si>
  <si>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</si>
  <si>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</si>
  <si>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</si>
  <si>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</si>
  <si>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</si>
  <si>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</si>
  <si>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</si>
  <si>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</si>
  <si>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</si>
  <si>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</si>
  <si>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</si>
  <si>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</si>
  <si>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</si>
  <si>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</si>
  <si>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</si>
  <si>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</si>
  <si>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</si>
  <si>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</si>
  <si>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</si>
  <si>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</si>
  <si>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</si>
  <si>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</si>
  <si>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</si>
  <si>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</si>
  <si>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</si>
  <si>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</si>
  <si>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</si>
  <si>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</si>
  <si>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</si>
  <si>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</si>
  <si>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</si>
  <si>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</si>
  <si>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</si>
  <si>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</si>
  <si>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</si>
  <si>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</si>
  <si>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</si>
  <si>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</si>
  <si>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</si>
  <si>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</si>
  <si>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</si>
  <si>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</si>
  <si>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</si>
  <si>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</si>
  <si>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</si>
  <si>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</si>
  <si>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</si>
  <si>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</si>
  <si>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</si>
  <si>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</si>
  <si>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</si>
  <si>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</si>
  <si>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</si>
  <si>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</si>
  <si>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</si>
  <si>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</si>
  <si>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</si>
  <si>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</si>
  <si>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</si>
  <si>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</si>
  <si>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</si>
  <si>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</si>
  <si>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</si>
  <si>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</si>
  <si>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</si>
  <si>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</si>
  <si>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</si>
  <si>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</si>
  <si>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</si>
  <si>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</si>
  <si>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</si>
  <si>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</si>
  <si>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</si>
  <si>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</si>
  <si>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</si>
  <si>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</si>
  <si>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</si>
  <si>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</si>
  <si>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</si>
  <si>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</si>
  <si>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</si>
  <si>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</si>
  <si>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</si>
  <si>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</si>
  <si>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</si>
  <si>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</si>
  <si>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</si>
  <si>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</si>
  <si>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</si>
  <si>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</si>
  <si>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</si>
  <si>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</si>
  <si>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</si>
  <si>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</si>
  <si>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</si>
  <si>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</si>
  <si>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</si>
  <si>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</si>
  <si>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</si>
  <si>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</si>
  <si>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</si>
  <si>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</si>
  <si>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</si>
  <si>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</si>
  <si>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</si>
  <si>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</si>
  <si>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</si>
  <si>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</si>
  <si>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</si>
  <si>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</si>
  <si>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</si>
  <si>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</si>
  <si>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</si>
  <si>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</si>
  <si>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</si>
  <si>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</si>
  <si>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</si>
  <si>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</si>
  <si>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</si>
  <si>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</si>
  <si>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</si>
  <si>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</si>
  <si>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</si>
  <si>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</si>
  <si>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</si>
  <si>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</si>
  <si>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</si>
  <si>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</si>
  <si>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</si>
  <si>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</si>
  <si>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</si>
  <si>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</si>
  <si>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</si>
  <si>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</si>
  <si>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</si>
  <si>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</si>
  <si>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</si>
  <si>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</si>
  <si>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</si>
  <si>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</si>
  <si>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</si>
  <si>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</si>
  <si>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</si>
  <si>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</si>
  <si>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</si>
  <si>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</si>
  <si>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</si>
  <si>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</si>
  <si>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</si>
  <si>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</si>
  <si>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</si>
  <si>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</si>
  <si>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</si>
  <si>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</si>
  <si>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</si>
  <si>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</si>
  <si>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</si>
  <si>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</si>
  <si>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</si>
  <si>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</si>
  <si>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</si>
  <si>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</si>
  <si>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</si>
  <si>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</si>
  <si>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</si>
  <si>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</si>
  <si>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</si>
  <si>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</si>
  <si>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</si>
  <si>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</si>
  <si>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</si>
  <si>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</si>
  <si>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</si>
  <si>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</si>
  <si>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</si>
  <si>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</si>
  <si>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</si>
  <si>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</si>
  <si>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</si>
  <si>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</si>
  <si>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</si>
  <si>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</si>
  <si>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</si>
  <si>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</si>
  <si>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</si>
  <si>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</si>
  <si>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</si>
  <si>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</si>
  <si>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</si>
  <si>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</si>
  <si>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</si>
  <si>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</si>
  <si>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</si>
  <si>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</si>
  <si>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</si>
  <si>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</si>
  <si>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</si>
  <si>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</si>
  <si>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</si>
  <si>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</si>
  <si>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</si>
  <si>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</si>
  <si>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</si>
  <si>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</si>
  <si>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</si>
  <si>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</si>
  <si>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</si>
  <si>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</si>
  <si>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</si>
  <si>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</si>
  <si>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</si>
  <si>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</si>
  <si>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</si>
  <si>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</si>
  <si>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</si>
  <si>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</si>
  <si>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</si>
  <si>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</si>
  <si>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</si>
  <si>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</si>
  <si>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</si>
  <si>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</si>
  <si>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</si>
  <si>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</si>
  <si>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</si>
  <si>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</si>
  <si>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</si>
  <si>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</si>
  <si>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</si>
  <si>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</si>
  <si>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</si>
  <si>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</si>
  <si>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</si>
  <si>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</si>
  <si>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</si>
  <si>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</si>
  <si>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</si>
  <si>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</si>
  <si>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</si>
  <si>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</si>
  <si>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</si>
  <si>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</si>
  <si>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</si>
  <si>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</si>
  <si>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</si>
  <si>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</si>
  <si>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</si>
  <si>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</si>
  <si>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</si>
  <si>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</si>
  <si>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</si>
  <si>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</si>
  <si>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</si>
  <si>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</si>
  <si>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</si>
  <si>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</si>
  <si>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</si>
  <si>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</si>
  <si>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</si>
  <si>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</si>
  <si>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</si>
  <si>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</si>
  <si>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</si>
  <si>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</si>
  <si>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</si>
  <si>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</si>
  <si>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</si>
  <si>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</si>
  <si>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</si>
  <si>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</si>
  <si>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</si>
  <si>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</si>
  <si>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</si>
  <si>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</si>
  <si>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</si>
  <si>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</si>
  <si>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</si>
  <si>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</si>
  <si>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</si>
  <si>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</si>
  <si>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</si>
  <si>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</si>
  <si>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</si>
  <si>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</si>
  <si>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</si>
  <si>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</si>
  <si>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</si>
  <si>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</si>
  <si>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</si>
  <si>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</si>
  <si>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</si>
  <si>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</si>
  <si>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</si>
  <si>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</si>
  <si>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</si>
  <si>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</si>
  <si>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</si>
  <si>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</si>
  <si>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</si>
  <si>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</si>
  <si>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</si>
  <si>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</si>
  <si>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</si>
  <si>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</si>
  <si>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</si>
  <si>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</si>
  <si>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</si>
  <si>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</si>
  <si>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</si>
  <si>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</si>
  <si>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</si>
  <si>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</si>
  <si>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</si>
  <si>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</si>
  <si>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</si>
  <si>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</si>
  <si>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</si>
  <si>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</si>
  <si>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</si>
  <si>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</si>
  <si>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</si>
  <si>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</si>
  <si>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</si>
  <si>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</si>
  <si>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</si>
  <si>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</si>
  <si>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</si>
  <si>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</si>
  <si>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</si>
  <si>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</si>
  <si>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</si>
  <si>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</si>
  <si>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</si>
  <si>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</si>
  <si>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</si>
  <si>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</si>
  <si>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</si>
  <si>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</si>
  <si>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</si>
  <si>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</si>
  <si>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</si>
  <si>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</si>
  <si>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</si>
  <si>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</si>
  <si>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</si>
  <si>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</si>
  <si>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</si>
  <si>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</si>
  <si>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</si>
  <si>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</si>
  <si>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</si>
  <si>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</si>
  <si>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</si>
  <si>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</si>
  <si>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</si>
  <si>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</si>
  <si>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</si>
  <si>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</si>
  <si>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</si>
  <si>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</si>
  <si>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</si>
  <si>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</si>
  <si>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</si>
  <si>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</si>
  <si>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</si>
  <si>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</si>
  <si>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</si>
  <si>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</si>
  <si>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</si>
  <si>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</si>
  <si>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</si>
  <si>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</si>
  <si>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</si>
  <si>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</si>
  <si>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</si>
  <si>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</si>
  <si>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</si>
  <si>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</si>
  <si>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</si>
  <si>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</si>
  <si>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</si>
  <si>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</si>
  <si>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</si>
  <si>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</si>
  <si>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</si>
  <si>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</si>
  <si>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</si>
  <si>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</si>
  <si>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</si>
  <si>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</si>
  <si>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</si>
  <si>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</si>
  <si>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</si>
  <si>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</si>
  <si>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</si>
  <si>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</si>
  <si>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</si>
  <si>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</si>
  <si>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</si>
  <si>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</si>
  <si>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</si>
  <si>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</si>
  <si>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</si>
  <si>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</si>
  <si>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</si>
  <si>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</si>
  <si>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</si>
  <si>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</si>
  <si>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</si>
  <si>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</si>
  <si>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</si>
  <si>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</si>
  <si>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</si>
  <si>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</si>
  <si>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</si>
  <si>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</si>
  <si>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</si>
  <si>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</si>
  <si>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</si>
  <si>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</si>
  <si>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</si>
  <si>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</si>
  <si>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</si>
  <si>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</si>
  <si>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</si>
  <si>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</si>
  <si>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</si>
  <si>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</si>
  <si>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</si>
  <si>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</si>
  <si>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</si>
  <si>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</si>
  <si>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</si>
  <si>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</si>
  <si>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</si>
  <si>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</si>
  <si>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</si>
  <si>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</si>
  <si>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</si>
  <si>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</si>
  <si>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</si>
  <si>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</si>
  <si>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</si>
  <si>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</si>
  <si>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</si>
  <si>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</si>
  <si>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</si>
  <si>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</si>
  <si>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</si>
  <si>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</si>
  <si>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</si>
  <si>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</si>
  <si>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</si>
  <si>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</si>
  <si>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</si>
  <si>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</si>
  <si>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</si>
  <si>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</si>
  <si>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</si>
  <si>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</si>
  <si>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</si>
  <si>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</si>
  <si>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</si>
  <si>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</si>
  <si>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</si>
  <si>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</si>
  <si>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</si>
  <si>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</si>
  <si>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</si>
  <si>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</si>
  <si>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</si>
  <si>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</si>
  <si>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</si>
  <si>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</si>
  <si>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</si>
  <si>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</si>
  <si>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</si>
  <si>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</si>
  <si>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</si>
  <si>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</si>
  <si>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</si>
  <si>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</si>
  <si>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</si>
  <si>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</si>
  <si>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</si>
  <si>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</si>
  <si>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</si>
  <si>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</si>
  <si>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</si>
  <si>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</si>
  <si>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</si>
  <si>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</si>
  <si>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</si>
  <si>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</si>
  <si>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</si>
  <si>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</si>
  <si>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</si>
  <si>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</si>
  <si>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</si>
  <si>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</si>
  <si>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</si>
  <si>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</si>
  <si>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</si>
  <si>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</si>
  <si>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</si>
  <si>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</si>
  <si>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</si>
  <si>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</si>
  <si>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</si>
  <si>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</si>
  <si>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</si>
  <si>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</si>
  <si>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</si>
  <si>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</si>
  <si>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</si>
  <si>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</si>
  <si>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</si>
  <si>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</si>
  <si>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</si>
  <si>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</si>
  <si>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</si>
  <si>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</si>
  <si>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</si>
  <si>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</si>
  <si>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</si>
  <si>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</si>
  <si>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</si>
  <si>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</si>
  <si>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</si>
  <si>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</si>
  <si>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</si>
  <si>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</si>
  <si>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</si>
  <si>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</si>
  <si>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</si>
  <si>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</si>
  <si>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</si>
  <si>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</si>
  <si>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</si>
  <si>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</si>
  <si>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</si>
  <si>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</si>
  <si>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</si>
  <si>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</si>
  <si>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</si>
  <si>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</si>
  <si>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</si>
  <si>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</si>
  <si>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</si>
  <si>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</si>
  <si>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</si>
  <si>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</si>
  <si>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</si>
  <si>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</si>
  <si>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</si>
  <si>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</si>
  <si>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</si>
  <si>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</si>
  <si>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</si>
  <si>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</si>
  <si>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</si>
  <si>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</si>
  <si>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</si>
  <si>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</si>
  <si>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</si>
  <si>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</si>
  <si>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</si>
  <si>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</si>
  <si>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</si>
  <si>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</si>
  <si>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</si>
  <si>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</si>
  <si>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</si>
  <si>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</si>
  <si>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</si>
  <si>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</si>
  <si>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</si>
  <si>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</si>
  <si>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</si>
  <si>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</si>
  <si>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</si>
  <si>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</si>
  <si>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</si>
  <si>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</si>
  <si>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</si>
  <si>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</si>
  <si>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</si>
  <si>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</si>
  <si>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</si>
  <si>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</si>
  <si>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</si>
  <si>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</si>
  <si>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</si>
  <si>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</si>
  <si>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</si>
  <si>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</si>
  <si>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</si>
  <si>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</si>
  <si>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</si>
  <si>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</si>
  <si>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</si>
  <si>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</si>
  <si>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</si>
  <si>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</si>
  <si>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</si>
  <si>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</si>
  <si>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</si>
  <si>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</si>
  <si>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</si>
  <si>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</si>
  <si>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</si>
  <si>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</si>
  <si>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</si>
  <si>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</si>
  <si>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</si>
  <si>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</si>
  <si>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</si>
  <si>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</si>
  <si>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</si>
  <si>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</si>
  <si>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</si>
  <si>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</si>
  <si>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</si>
  <si>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</si>
  <si>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</si>
  <si>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</si>
  <si>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</si>
  <si>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</si>
  <si>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</si>
  <si>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</si>
  <si>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</si>
  <si>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</si>
  <si>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</si>
  <si>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</si>
  <si>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</si>
  <si>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</si>
  <si>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</si>
  <si>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</si>
  <si>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</si>
  <si>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</si>
  <si>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</si>
  <si>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</si>
  <si>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</si>
  <si>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</si>
  <si>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</si>
  <si>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</si>
  <si>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</si>
  <si>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</si>
  <si>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</si>
  <si>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</si>
  <si>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</si>
  <si>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</si>
  <si>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</si>
  <si>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</si>
  <si>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</si>
  <si>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</si>
  <si>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</si>
  <si>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</si>
  <si>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</si>
  <si>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</si>
  <si>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</si>
  <si>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</si>
  <si>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</si>
  <si>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</si>
  <si>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</si>
  <si>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</si>
  <si>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</si>
  <si>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</si>
  <si>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</si>
  <si>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</si>
  <si>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</si>
  <si>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</si>
  <si>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</si>
  <si>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</si>
  <si>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</si>
  <si>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</si>
  <si>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</si>
  <si>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</si>
  <si>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</si>
  <si>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</si>
  <si>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</si>
  <si>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</si>
  <si>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</si>
  <si>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</si>
  <si>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</si>
  <si>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</si>
  <si>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</si>
  <si>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</si>
  <si>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</si>
  <si>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</si>
  <si>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</si>
  <si>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</si>
  <si>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</si>
  <si>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</si>
  <si>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</si>
  <si>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</si>
  <si>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</si>
  <si>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</si>
  <si>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</si>
  <si>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</si>
  <si>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</si>
  <si>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</si>
  <si>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</si>
  <si>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</si>
  <si>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</si>
  <si>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</si>
  <si>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</si>
  <si>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</si>
  <si>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</si>
  <si>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</si>
  <si>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</si>
  <si>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</si>
  <si>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</si>
  <si>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</si>
  <si>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</si>
  <si>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</si>
  <si>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</si>
  <si>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</si>
  <si>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</si>
  <si>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</si>
  <si>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</si>
  <si>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</si>
  <si>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</si>
  <si>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</si>
  <si>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</si>
  <si>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</si>
  <si>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</si>
  <si>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</si>
  <si>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</si>
  <si>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</si>
  <si>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</si>
  <si>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</si>
  <si>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</si>
  <si>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</si>
  <si>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</si>
  <si>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</si>
  <si>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</si>
  <si>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</si>
  <si>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</si>
  <si>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</si>
  <si>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</si>
  <si>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</si>
  <si>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</si>
  <si>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</si>
  <si>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</si>
  <si>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</si>
  <si>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</si>
  <si>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</si>
  <si>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</si>
  <si>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</si>
  <si>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</si>
  <si>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</si>
  <si>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</si>
  <si>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</si>
  <si>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</si>
  <si>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</si>
  <si>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</si>
  <si>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</si>
  <si>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</si>
  <si>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</si>
  <si>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</si>
  <si>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</si>
  <si>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</si>
  <si>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</si>
  <si>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</si>
  <si>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</si>
  <si>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</si>
  <si>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</si>
  <si>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</si>
  <si>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</si>
  <si>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</si>
  <si>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</si>
  <si>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</si>
  <si>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</si>
  <si>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</si>
  <si>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</si>
  <si>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</si>
  <si>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</si>
  <si>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</si>
  <si>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</si>
  <si>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</si>
  <si>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</si>
  <si>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</si>
  <si>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</si>
  <si>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</si>
  <si>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</si>
  <si>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</si>
  <si>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</si>
  <si>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</si>
  <si>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</si>
  <si>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</si>
  <si>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</si>
  <si>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</si>
  <si>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</si>
  <si>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</si>
  <si>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</si>
  <si>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</si>
  <si>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</si>
  <si>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</si>
  <si>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</si>
  <si>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</si>
  <si>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</si>
  <si>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</si>
  <si>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</si>
  <si>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</si>
  <si>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</si>
  <si>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</si>
  <si>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</si>
  <si>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</si>
  <si>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</si>
  <si>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</si>
  <si>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</si>
  <si>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</si>
  <si>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</si>
  <si>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</si>
  <si>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</si>
  <si>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</si>
  <si>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</si>
  <si>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</si>
  <si>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</si>
  <si>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</si>
  <si>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</si>
  <si>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</si>
  <si>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</si>
  <si>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</si>
  <si>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</si>
  <si>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</si>
  <si>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</si>
  <si>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</si>
  <si>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</si>
  <si>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</si>
  <si>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</si>
  <si>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</si>
  <si>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</si>
  <si>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</si>
  <si>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</si>
  <si>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</si>
  <si>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</si>
  <si>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</si>
  <si>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</si>
  <si>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</si>
  <si>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</si>
  <si>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</si>
  <si>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</si>
  <si>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</si>
  <si>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</si>
  <si>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</si>
  <si>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</si>
  <si>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</si>
  <si>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</si>
  <si>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</si>
  <si>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</si>
  <si>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</si>
  <si>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</si>
  <si>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</si>
  <si>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</si>
  <si>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</si>
  <si>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</si>
  <si>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</si>
  <si>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</si>
  <si>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</si>
  <si>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</si>
  <si>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</si>
  <si>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</si>
  <si>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</si>
  <si>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</si>
  <si>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</si>
  <si>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</si>
  <si>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</si>
  <si>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</si>
  <si>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</si>
  <si>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</si>
  <si>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</si>
  <si>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</si>
  <si>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</si>
  <si>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</si>
  <si>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</si>
  <si>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</si>
  <si>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</si>
  <si>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</si>
  <si>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</si>
  <si>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</si>
  <si>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</si>
  <si>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</si>
  <si>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</si>
  <si>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</si>
  <si>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</si>
  <si>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</si>
  <si>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</si>
  <si>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</si>
  <si>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</si>
  <si>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</si>
  <si>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</si>
  <si>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</si>
  <si>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</si>
  <si>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</si>
  <si>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</si>
  <si>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</si>
  <si>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</si>
  <si>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</si>
  <si>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</si>
  <si>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</si>
  <si>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</si>
  <si>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</si>
  <si>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</si>
  <si>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</si>
  <si>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</si>
  <si>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</si>
  <si>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</si>
  <si>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</si>
  <si>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</si>
  <si>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</si>
  <si>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</si>
  <si>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</si>
  <si>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</si>
  <si>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</si>
  <si>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</si>
  <si>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</si>
  <si>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</si>
  <si>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</si>
  <si>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</si>
  <si>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</si>
  <si>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</si>
  <si>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</si>
  <si>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</si>
  <si>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</si>
  <si>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</si>
  <si>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</si>
  <si>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</si>
  <si>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</si>
  <si>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</si>
  <si>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</si>
  <si>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</si>
  <si>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</si>
  <si>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</si>
  <si>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</si>
  <si>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</si>
  <si>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</si>
  <si>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</si>
  <si>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</si>
  <si>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</si>
  <si>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</si>
  <si>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</si>
  <si>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</si>
  <si>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</si>
  <si>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</si>
  <si>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</si>
  <si>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</si>
  <si>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</si>
  <si>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</si>
  <si>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</si>
  <si>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</si>
  <si>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</si>
  <si>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</si>
  <si>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</si>
  <si>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</si>
  <si>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</si>
  <si>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</si>
  <si>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</si>
  <si>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</si>
  <si>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</si>
  <si>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</si>
  <si>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</si>
  <si>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</si>
  <si>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</si>
  <si>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</si>
  <si>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</si>
  <si>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</si>
  <si>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</si>
  <si>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</si>
  <si>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</si>
  <si>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</si>
  <si>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</si>
  <si>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</si>
  <si>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</si>
  <si>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</si>
  <si>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</si>
  <si>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</si>
  <si>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</si>
  <si>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</si>
  <si>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</si>
  <si>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</si>
  <si>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</si>
  <si>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</si>
  <si>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</si>
  <si>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</si>
  <si>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</si>
  <si>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</si>
  <si>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</si>
  <si>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</si>
  <si>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</si>
  <si>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</si>
  <si>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</si>
  <si>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</si>
  <si>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</si>
  <si>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</si>
  <si>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</si>
  <si>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</si>
  <si>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</si>
  <si>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</si>
  <si>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</si>
  <si>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</si>
  <si>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</si>
  <si>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</si>
  <si>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</si>
  <si>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</si>
  <si>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</si>
  <si>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</si>
  <si>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</si>
  <si>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</si>
  <si>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</si>
  <si>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</si>
  <si>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</si>
  <si>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</si>
  <si>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</si>
  <si>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</si>
  <si>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</si>
  <si>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</si>
  <si>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</si>
  <si>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</si>
  <si>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</si>
  <si>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</si>
  <si>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</si>
  <si>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</si>
  <si>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</si>
  <si>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</si>
  <si>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</si>
  <si>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</si>
  <si>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</si>
  <si>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</si>
  <si>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</si>
  <si>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</si>
  <si>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</si>
  <si>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</si>
  <si>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</si>
  <si>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</si>
  <si>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</si>
  <si>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</si>
  <si>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</si>
  <si>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</si>
  <si>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</si>
  <si>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</si>
  <si>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</si>
  <si>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</si>
  <si>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</si>
  <si>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</si>
  <si>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</si>
  <si>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</si>
  <si>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</si>
  <si>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</si>
  <si>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</si>
  <si>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</si>
  <si>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</si>
  <si>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</si>
  <si>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</si>
  <si>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</si>
  <si>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</si>
  <si>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</si>
  <si>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</si>
  <si>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</si>
  <si>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</si>
  <si>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</si>
  <si>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</si>
  <si>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</si>
  <si>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</si>
  <si>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</si>
  <si>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</si>
  <si>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</si>
  <si>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</si>
  <si>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</si>
  <si>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</si>
  <si>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</si>
  <si>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</si>
  <si>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</si>
  <si>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</si>
  <si>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</si>
  <si>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</si>
  <si>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</si>
  <si>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</si>
  <si>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</si>
  <si>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</si>
  <si>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</si>
  <si>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</si>
  <si>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</si>
  <si>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</si>
  <si>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</si>
  <si>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</si>
  <si>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</si>
  <si>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</si>
  <si>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</si>
  <si>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</si>
  <si>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</si>
  <si>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</si>
  <si>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</si>
  <si>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</si>
  <si>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</si>
  <si>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</si>
  <si>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</si>
  <si>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</si>
  <si>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</si>
  <si>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</si>
  <si>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</si>
  <si>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</si>
  <si>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</si>
  <si>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</si>
  <si>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</si>
  <si>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</si>
  <si>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</si>
  <si>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</si>
  <si>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</si>
  <si>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</si>
  <si>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</si>
  <si>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</si>
  <si>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</si>
  <si>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</si>
  <si>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</si>
  <si>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</si>
  <si>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</si>
  <si>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</si>
  <si>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</si>
  <si>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</si>
  <si>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</si>
  <si>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</si>
  <si>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</si>
  <si>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</si>
  <si>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</si>
  <si>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</si>
  <si>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</si>
  <si>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</si>
  <si>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</si>
  <si>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</si>
  <si>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</si>
  <si>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</si>
  <si>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</si>
  <si>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</si>
  <si>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</si>
  <si>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</si>
  <si>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</si>
  <si>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</si>
  <si>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</si>
  <si>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</si>
  <si>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</si>
  <si>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</si>
  <si>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</si>
  <si>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</si>
  <si>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</si>
  <si>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</si>
  <si>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</si>
  <si>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</si>
  <si>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</si>
  <si>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</si>
  <si>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</si>
  <si>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</si>
  <si>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</si>
  <si>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</si>
  <si>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</si>
  <si>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</si>
  <si>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</si>
  <si>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</si>
  <si>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</si>
  <si>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</si>
  <si>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</si>
  <si>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</si>
  <si>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</si>
  <si>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</si>
  <si>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</si>
  <si>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</si>
  <si>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</si>
  <si>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</si>
  <si>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</si>
  <si>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</si>
  <si>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</si>
  <si>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</si>
  <si>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</si>
  <si>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</si>
  <si>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</si>
  <si>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</si>
  <si>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</si>
  <si>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</si>
  <si>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</si>
  <si>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</si>
  <si>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</si>
  <si>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</si>
  <si>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</si>
  <si>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</si>
  <si>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</si>
  <si>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</si>
  <si>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</si>
  <si>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</si>
  <si>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</si>
  <si>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</si>
  <si>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</si>
  <si>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</si>
  <si>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</si>
  <si>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</si>
  <si>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</si>
  <si>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</si>
  <si>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</si>
  <si>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</si>
  <si>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</si>
  <si>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</si>
  <si>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</si>
  <si>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</si>
  <si>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</si>
  <si>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</si>
  <si>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</si>
  <si>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</si>
  <si>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</si>
  <si>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</si>
  <si>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</si>
  <si>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</si>
  <si>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</si>
  <si>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</si>
  <si>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</si>
  <si>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</si>
  <si>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</si>
  <si>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</si>
  <si>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</si>
  <si>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</si>
  <si>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</si>
  <si>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</si>
  <si>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</si>
  <si>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</si>
  <si>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</si>
  <si>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</si>
  <si>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</si>
  <si>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</si>
  <si>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</si>
  <si>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</si>
  <si>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</si>
  <si>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</si>
  <si>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</si>
  <si>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</si>
  <si>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</si>
  <si>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</si>
  <si>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</si>
  <si>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</si>
  <si>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</si>
  <si>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</si>
  <si>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</si>
  <si>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</si>
  <si>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</si>
  <si>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</si>
  <si>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</si>
  <si>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</si>
  <si>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</si>
  <si>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</si>
  <si>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</si>
  <si>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</si>
  <si>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</si>
  <si>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</si>
  <si>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</si>
  <si>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</si>
  <si>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</si>
  <si>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</si>
  <si>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</si>
  <si>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</si>
  <si>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</si>
  <si>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</si>
  <si>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</si>
  <si>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</si>
  <si>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</si>
  <si>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</si>
  <si>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</si>
  <si>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</si>
  <si>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</si>
  <si>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</si>
  <si>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</si>
  <si>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</si>
  <si>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</si>
  <si>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</si>
  <si>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</si>
  <si>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</si>
  <si>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</si>
  <si>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</si>
  <si>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</si>
  <si>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</si>
  <si>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</si>
  <si>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</si>
  <si>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</si>
  <si>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</si>
  <si>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</si>
  <si>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</si>
  <si>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</si>
  <si>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</si>
  <si>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</si>
  <si>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</si>
  <si>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</si>
  <si>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</si>
  <si>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</si>
  <si>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</si>
  <si>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</si>
  <si>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</si>
  <si>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</si>
  <si>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</si>
  <si>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</si>
  <si>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</si>
  <si>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</si>
  <si>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</si>
  <si>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</si>
  <si>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</si>
  <si>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</si>
  <si>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</si>
  <si>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</si>
  <si>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</si>
  <si>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</si>
  <si>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</si>
  <si>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</si>
  <si>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</si>
  <si>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</si>
  <si>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</si>
  <si>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</si>
  <si>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</si>
  <si>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</si>
  <si>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</si>
  <si>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</si>
  <si>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</si>
  <si>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</si>
  <si>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</si>
  <si>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</si>
  <si>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</si>
  <si>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</si>
  <si>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</si>
  <si>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</si>
  <si>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</si>
  <si>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</si>
  <si>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</si>
  <si>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</si>
  <si>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</si>
  <si>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</si>
  <si>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</si>
  <si>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</si>
  <si>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</si>
  <si>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</si>
  <si>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</si>
  <si>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</si>
  <si>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</si>
  <si>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</si>
  <si>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</si>
  <si>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</si>
  <si>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</si>
  <si>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</si>
  <si>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</si>
  <si>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</si>
  <si>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</si>
  <si>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</si>
  <si>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</si>
  <si>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</si>
  <si>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</si>
  <si>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</si>
  <si>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</si>
  <si>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</si>
  <si>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</si>
  <si>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</si>
  <si>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</si>
  <si>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</si>
  <si>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</si>
  <si>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</si>
  <si>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</si>
  <si>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</si>
  <si>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</si>
  <si>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</si>
  <si>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</si>
  <si>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</si>
  <si>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</si>
  <si>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</si>
  <si>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</si>
  <si>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</si>
  <si>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</si>
  <si>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</si>
  <si>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</si>
  <si>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</si>
  <si>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</si>
  <si>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</si>
  <si>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</si>
  <si>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</si>
  <si>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</si>
  <si>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</si>
  <si>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</si>
  <si>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</si>
  <si>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</si>
  <si>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</si>
  <si>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</si>
  <si>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</si>
  <si>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</si>
  <si>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</si>
  <si>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</si>
  <si>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</si>
  <si>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</si>
  <si>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</si>
  <si>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</si>
  <si>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</si>
  <si>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</si>
  <si>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</si>
  <si>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</si>
  <si>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</si>
  <si>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</si>
  <si>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</si>
  <si>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</si>
  <si>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</si>
  <si>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</si>
  <si>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</si>
  <si>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</si>
  <si>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</si>
  <si>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</si>
  <si>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</si>
  <si>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</si>
  <si>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</si>
  <si>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</si>
  <si>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</si>
  <si>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</si>
  <si>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</si>
  <si>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</si>
  <si>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</si>
  <si>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</si>
  <si>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</si>
  <si>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</si>
  <si>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</si>
  <si>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</si>
  <si>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</si>
  <si>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</si>
  <si>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</si>
  <si>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</si>
  <si>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</si>
  <si>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</si>
  <si>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</si>
  <si>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</si>
  <si>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</si>
  <si>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</si>
  <si>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</si>
  <si>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</si>
  <si>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</si>
  <si>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</si>
  <si>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</si>
  <si>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</si>
  <si>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</si>
  <si>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</si>
  <si>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</si>
  <si>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</si>
  <si>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</si>
  <si>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</si>
  <si>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</si>
  <si>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</si>
  <si>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</si>
  <si>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</si>
  <si>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</si>
  <si>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</si>
  <si>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</si>
  <si>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</si>
  <si>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</si>
  <si>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</si>
  <si>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</si>
  <si>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</si>
  <si>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</si>
  <si>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</si>
  <si>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</si>
  <si>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</si>
  <si>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</si>
  <si>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</si>
  <si>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</si>
  <si>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</si>
  <si>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</si>
  <si>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</si>
  <si>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</si>
  <si>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</si>
  <si>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</si>
  <si>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</si>
  <si>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</si>
  <si>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</si>
  <si>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</si>
  <si>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</si>
  <si>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</si>
  <si>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</si>
  <si>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</si>
  <si>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</si>
  <si>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</si>
  <si>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</si>
  <si>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</si>
  <si>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</si>
  <si>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</si>
  <si>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</si>
  <si>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</si>
  <si>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</si>
  <si>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</si>
  <si>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</si>
  <si>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</si>
  <si>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</si>
  <si>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</si>
  <si>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</si>
  <si>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</si>
  <si>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</si>
  <si>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</si>
  <si>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</si>
  <si>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</si>
  <si>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</si>
  <si>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</si>
  <si>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</si>
  <si>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</si>
  <si>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</si>
  <si>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</si>
  <si>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</si>
  <si>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</si>
  <si>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</si>
  <si>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</si>
  <si>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</si>
  <si>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</si>
  <si>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</si>
  <si>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</si>
  <si>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</si>
  <si>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</si>
  <si>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</si>
  <si>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</si>
  <si>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</si>
  <si>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</si>
  <si>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</si>
  <si>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</si>
  <si>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</si>
  <si>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</si>
  <si>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</si>
  <si>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</si>
  <si>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</si>
  <si>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</si>
  <si>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</si>
  <si>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</si>
  <si>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</si>
  <si>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</si>
  <si>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</si>
  <si>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</si>
  <si>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</si>
  <si>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</si>
  <si>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</si>
  <si>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</si>
  <si>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</si>
  <si>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</si>
  <si>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</si>
  <si>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</si>
  <si>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</si>
  <si>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</si>
  <si>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</si>
  <si>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</si>
  <si>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</si>
  <si>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</si>
  <si>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</si>
  <si>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</si>
  <si>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</si>
  <si>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</si>
  <si>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</si>
  <si>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</si>
  <si>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</si>
  <si>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</si>
  <si>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</si>
  <si>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</si>
  <si>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</si>
  <si>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</si>
  <si>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</si>
  <si>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</si>
  <si>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</si>
  <si>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</si>
  <si>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</si>
  <si>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</si>
  <si>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</si>
  <si>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</si>
  <si>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</si>
  <si>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</si>
  <si>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</si>
  <si>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</si>
  <si>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</si>
  <si>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</si>
  <si>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</si>
  <si>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</si>
  <si>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</si>
  <si>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</si>
  <si>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</si>
  <si>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</si>
  <si>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</si>
  <si>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</si>
  <si>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</si>
  <si>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</si>
  <si>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</si>
  <si>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</si>
  <si>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</si>
  <si>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</si>
  <si>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</si>
  <si>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</si>
  <si>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</si>
  <si>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</si>
  <si>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</si>
  <si>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</si>
  <si>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</si>
  <si>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</si>
  <si>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</si>
  <si>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</si>
  <si>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</si>
  <si>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</si>
  <si>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</si>
  <si>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</si>
  <si>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</si>
  <si>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</si>
  <si>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</si>
  <si>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</si>
  <si>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</si>
  <si>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</si>
  <si>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</si>
  <si>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</si>
  <si>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</si>
  <si>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</si>
  <si>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</si>
  <si>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</si>
  <si>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</si>
  <si>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</si>
  <si>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</si>
  <si>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</si>
  <si>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</si>
  <si>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</si>
  <si>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</si>
  <si>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</si>
  <si>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</si>
  <si>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</si>
  <si>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</si>
  <si>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</si>
  <si>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</si>
  <si>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</si>
  <si>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</si>
  <si>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</si>
  <si>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</si>
  <si>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</si>
  <si>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</si>
  <si>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</si>
  <si>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</si>
  <si>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</si>
  <si>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</si>
  <si>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</si>
  <si>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</si>
  <si>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</si>
  <si>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</si>
  <si>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</si>
  <si>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</si>
  <si>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</si>
  <si>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</si>
  <si>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</si>
  <si>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</si>
  <si>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</si>
  <si>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</si>
  <si>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</si>
  <si>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</si>
  <si>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</si>
  <si>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</si>
  <si>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</si>
  <si>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</si>
  <si>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</si>
  <si>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</si>
  <si>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</si>
  <si>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</si>
  <si>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</si>
  <si>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</si>
  <si>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</si>
  <si>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</si>
  <si>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</si>
  <si>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</si>
  <si>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</si>
  <si>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</si>
  <si>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</si>
  <si>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</si>
  <si>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</si>
  <si>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</si>
  <si>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</si>
  <si>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</si>
  <si>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</si>
  <si>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</si>
  <si>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</si>
  <si>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</si>
  <si>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</si>
  <si>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</si>
  <si>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</si>
  <si>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</si>
  <si>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</si>
  <si>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</si>
  <si>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</si>
  <si>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</si>
  <si>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</si>
  <si>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</si>
  <si>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</si>
  <si>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</si>
  <si>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</si>
  <si>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</si>
  <si>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</si>
  <si>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</si>
  <si>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</si>
  <si>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</si>
  <si>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</si>
  <si>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</si>
  <si>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</si>
  <si>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</si>
  <si>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</si>
  <si>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</si>
  <si>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</si>
  <si>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</si>
  <si>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</si>
  <si>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</si>
  <si>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</si>
  <si>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</si>
  <si>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</si>
  <si>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</si>
  <si>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</si>
  <si>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</si>
  <si>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</si>
  <si>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</si>
  <si>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</si>
  <si>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</si>
  <si>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</si>
  <si>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</si>
  <si>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</si>
  <si>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</si>
  <si>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</si>
  <si>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</si>
  <si>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</si>
  <si>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</si>
  <si>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</si>
  <si>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</si>
  <si>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</si>
  <si>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</si>
  <si>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</si>
  <si>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</si>
  <si>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</si>
  <si>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</si>
  <si>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</si>
  <si>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</si>
  <si>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</si>
  <si>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</si>
  <si>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</si>
  <si>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</si>
  <si>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</si>
  <si>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</si>
  <si>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</si>
  <si>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</si>
  <si>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</si>
  <si>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</si>
  <si>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</si>
  <si>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</si>
  <si>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</si>
  <si>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</si>
  <si>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</si>
  <si>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</si>
  <si>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</si>
  <si>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</si>
  <si>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</si>
  <si>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</si>
  <si>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</si>
  <si>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</si>
  <si>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</si>
  <si>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</si>
  <si>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</si>
  <si>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</si>
  <si>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</si>
  <si>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</si>
  <si>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</si>
  <si>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</si>
  <si>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</si>
  <si>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</si>
  <si>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</si>
  <si>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</si>
  <si>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</si>
  <si>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</si>
  <si>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</si>
  <si>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</si>
  <si>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</si>
  <si>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</si>
  <si>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</si>
  <si>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</si>
  <si>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</si>
  <si>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</si>
  <si>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</si>
  <si>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</si>
  <si>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</si>
  <si>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</si>
  <si>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</si>
  <si>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</si>
  <si>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</si>
  <si>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</si>
  <si>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</si>
  <si>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</si>
  <si>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</si>
  <si>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</si>
  <si>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</si>
  <si>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</si>
  <si>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</si>
  <si>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</si>
  <si>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</si>
  <si>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</si>
  <si>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</si>
  <si>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</si>
  <si>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</si>
  <si>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</si>
  <si>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</si>
  <si>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</si>
  <si>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</si>
  <si>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</si>
  <si>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</si>
  <si>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</si>
  <si>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</si>
  <si>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</si>
  <si>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</si>
  <si>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</si>
  <si>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</si>
  <si>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</si>
  <si>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</si>
  <si>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</si>
  <si>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</si>
  <si>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</si>
  <si>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</si>
  <si>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</si>
  <si>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</si>
  <si>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</si>
  <si>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</si>
  <si>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</si>
  <si>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</si>
  <si>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</si>
  <si>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</si>
  <si>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</si>
  <si>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</si>
  <si>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</si>
  <si>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</si>
  <si>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</si>
  <si>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</si>
  <si>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</si>
  <si>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</si>
  <si>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</si>
  <si>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</si>
  <si>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</si>
  <si>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</si>
  <si>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</si>
  <si>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</si>
  <si>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</si>
  <si>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</si>
  <si>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</si>
  <si>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</si>
  <si>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</si>
  <si>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</si>
  <si>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</si>
  <si>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</si>
  <si>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</si>
  <si>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</si>
  <si>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</si>
  <si>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</si>
  <si>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</si>
  <si>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</si>
  <si>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</si>
  <si>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</si>
  <si>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</si>
  <si>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</si>
  <si>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</si>
  <si>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</si>
  <si>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</si>
  <si>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</si>
  <si>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</si>
  <si>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</si>
  <si>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</si>
  <si>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</si>
  <si>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</si>
  <si>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</si>
  <si>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</si>
  <si>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</si>
  <si>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</si>
  <si>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</si>
  <si>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</si>
  <si>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</si>
  <si>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</si>
  <si>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</si>
  <si>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</si>
  <si>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</si>
  <si>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</si>
  <si>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</si>
  <si>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</si>
  <si>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</si>
  <si>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</si>
  <si>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</si>
  <si>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</si>
  <si>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</si>
  <si>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</si>
  <si>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</si>
  <si>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</si>
  <si>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</si>
  <si>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</si>
  <si>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</si>
  <si>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</si>
  <si>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</si>
  <si>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</si>
  <si>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</si>
  <si>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</si>
  <si>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</si>
  <si>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</si>
  <si>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</si>
  <si>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</si>
  <si>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</si>
  <si>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</si>
  <si>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</si>
  <si>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</si>
  <si>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</si>
  <si>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</si>
  <si>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</si>
  <si>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</si>
  <si>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</si>
  <si>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</si>
  <si>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</si>
  <si>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Page broken (B11)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</si>
  <si>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</si>
  <si>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</si>
  <si>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</si>
  <si>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</si>
  <si>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</si>
  <si>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</si>
  <si>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</si>
  <si>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</si>
  <si>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</si>
  <si>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</si>
  <si>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</si>
  <si>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</si>
  <si>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</si>
  <si>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</si>
  <si>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</si>
  <si>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</si>
  <si>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</si>
  <si>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</si>
  <si>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</si>
  <si>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</si>
  <si>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</si>
  <si>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</si>
  <si>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</si>
  <si>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</si>
  <si>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</si>
  <si>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</si>
  <si>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</si>
  <si>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</si>
  <si>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</si>
  <si>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</si>
  <si>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</si>
  <si>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</si>
  <si>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</si>
  <si>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</si>
  <si>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</si>
  <si>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</si>
  <si>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</si>
  <si>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</si>
  <si>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</si>
  <si>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</si>
  <si>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</si>
  <si>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</si>
  <si>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</si>
  <si>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</si>
  <si>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</si>
  <si>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</si>
  <si>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</si>
  <si>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</si>
  <si>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</si>
  <si>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</si>
  <si>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</si>
  <si>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</si>
  <si>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</si>
  <si>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</si>
  <si>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</si>
  <si>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</si>
  <si>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</si>
  <si>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</si>
  <si>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</si>
  <si>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</si>
  <si>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</si>
  <si>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</si>
  <si>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</si>
  <si>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</si>
  <si>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</si>
  <si>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</si>
  <si>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</si>
  <si>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</si>
  <si>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</si>
  <si>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</si>
  <si>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</si>
  <si>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</si>
  <si>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</si>
  <si>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</si>
  <si>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</si>
  <si>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</si>
  <si>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</si>
  <si>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</si>
  <si>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</si>
  <si>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</si>
  <si>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</si>
  <si>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</si>
  <si>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</si>
  <si>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</si>
  <si>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</si>
  <si>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</si>
  <si>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</si>
  <si>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</si>
  <si>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</si>
  <si>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</si>
  <si>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</si>
  <si>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</si>
  <si>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</si>
  <si>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</si>
  <si>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</si>
  <si>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</si>
  <si>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</si>
  <si>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</si>
  <si>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</si>
  <si>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</si>
  <si>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</si>
  <si>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</si>
  <si>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</si>
  <si>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</si>
  <si>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</si>
  <si>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</si>
  <si>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</si>
  <si>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</si>
  <si>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</si>
  <si>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</si>
  <si>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</si>
  <si>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</si>
  <si>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</si>
  <si>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</si>
  <si>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</si>
  <si>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</si>
  <si>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</si>
  <si>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</si>
  <si>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</si>
  <si>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</si>
  <si>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</si>
  <si>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</si>
  <si>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</si>
  <si>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</si>
  <si>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</si>
  <si>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</si>
  <si>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</si>
  <si>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</si>
  <si>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</si>
  <si>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</si>
  <si>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</si>
  <si>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</si>
  <si>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</si>
  <si>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</si>
  <si>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</si>
  <si>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</si>
  <si>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</si>
  <si>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</si>
  <si>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</si>
  <si>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</si>
  <si>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</si>
  <si>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</si>
  <si>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</si>
  <si>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</si>
  <si>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</si>
  <si>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</si>
  <si>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</si>
  <si>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</si>
  <si>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</si>
  <si>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</si>
  <si>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</si>
  <si>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</si>
  <si>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</si>
  <si>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</si>
  <si>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</si>
  <si>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</si>
  <si>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</si>
  <si>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</si>
  <si>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</si>
  <si>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</si>
  <si>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</si>
  <si>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</si>
  <si>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</si>
  <si>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</si>
  <si>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</si>
  <si>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</si>
  <si>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</si>
  <si>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</si>
  <si>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</si>
  <si>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</si>
  <si>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</si>
  <si>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</si>
  <si>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</si>
  <si>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</si>
  <si>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</si>
  <si>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</si>
  <si>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</si>
  <si>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</si>
  <si>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</si>
  <si>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</si>
  <si>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</si>
  <si>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</si>
  <si>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</si>
  <si>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</si>
  <si>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</si>
  <si>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</si>
  <si>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Page broken (B9)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</si>
  <si>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</si>
  <si>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</si>
  <si>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</si>
  <si>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</si>
  <si>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</si>
  <si>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</si>
  <si>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</si>
  <si>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</si>
  <si>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</si>
  <si>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</si>
  <si>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</si>
  <si>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</si>
  <si>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</si>
  <si>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</si>
  <si>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</si>
  <si>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</si>
  <si>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</si>
  <si>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</si>
  <si>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</si>
  <si>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</si>
  <si>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</si>
  <si>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</si>
  <si>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</si>
  <si>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</si>
  <si>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</si>
  <si>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</si>
  <si>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</si>
  <si>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</si>
  <si>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</si>
  <si>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</si>
  <si>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</si>
  <si>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</si>
  <si>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</si>
  <si>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</si>
  <si>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</si>
  <si>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</si>
  <si>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</si>
  <si>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</si>
  <si>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</si>
  <si>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</si>
  <si>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</si>
  <si>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</si>
  <si>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</si>
  <si>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</si>
  <si>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</si>
  <si>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</si>
  <si>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</si>
  <si>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</si>
  <si>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</si>
  <si>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</si>
  <si>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</si>
  <si>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</si>
  <si>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</si>
  <si>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</si>
  <si>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</si>
  <si>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</si>
  <si>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</si>
  <si>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</si>
  <si>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</si>
  <si>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</si>
  <si>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</si>
  <si>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</si>
  <si>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</si>
  <si>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</si>
  <si>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</si>
  <si>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</si>
  <si>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</si>
  <si>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</si>
  <si>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</si>
  <si>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</si>
  <si>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</si>
  <si>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</si>
  <si>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</si>
  <si>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</si>
  <si>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</si>
  <si>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</si>
  <si>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</si>
  <si>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</si>
  <si>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</si>
  <si>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</si>
  <si>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</si>
  <si>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</si>
  <si>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</si>
  <si>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</si>
  <si>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</si>
  <si>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</si>
  <si>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Page broken (B12)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</si>
  <si>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</si>
  <si>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</si>
  <si>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</si>
  <si>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</si>
  <si>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</si>
  <si>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</si>
  <si>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</si>
  <si>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</si>
  <si>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</si>
  <si>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</si>
  <si>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</si>
  <si>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</si>
  <si>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</si>
  <si>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</si>
  <si>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</si>
  <si>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</si>
  <si>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</si>
  <si>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</si>
  <si>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</si>
  <si>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</si>
  <si>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</si>
  <si>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</si>
  <si>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</si>
  <si>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</si>
  <si>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</si>
  <si>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</si>
  <si>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</si>
  <si>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</si>
  <si>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</si>
  <si>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</si>
  <si>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</si>
  <si>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</si>
  <si>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</si>
  <si>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</si>
  <si>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</si>
  <si>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</si>
  <si>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</si>
  <si>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</si>
  <si>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</si>
  <si>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</si>
  <si>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</si>
  <si>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</si>
  <si>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</si>
  <si>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</si>
  <si>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</si>
  <si>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</si>
  <si>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THANE EC  —  QUARTZ  |  Multi-Round Audit Tracker</t>
  </si>
  <si>
    <t>BD-VRM-2024-1953</t>
  </si>
  <si>
    <t>AGL Quartz 1003 Crystal Bianco Maple - 15mm(Only Mumbai)</t>
  </si>
  <si>
    <t>AGL</t>
  </si>
  <si>
    <t>Sticker to be changed (tiles)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</si>
  <si>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</si>
  <si>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</si>
  <si>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</si>
  <si>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</si>
  <si>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</si>
  <si>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</si>
  <si>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</si>
  <si>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</si>
  <si>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</si>
  <si>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</si>
  <si>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</si>
  <si>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</si>
  <si>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</si>
  <si>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</si>
  <si>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</si>
  <si>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</si>
  <si>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</si>
  <si>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</si>
  <si>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</si>
  <si>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</si>
  <si>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</si>
  <si>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</si>
  <si>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</si>
  <si>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</si>
  <si>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</si>
  <si>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</si>
  <si>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</si>
  <si>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</si>
  <si>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</si>
  <si>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</si>
  <si>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</si>
  <si>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</si>
  <si>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</si>
  <si>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</si>
  <si>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</si>
  <si>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</si>
  <si>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</si>
  <si>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</si>
  <si>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</si>
  <si>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</si>
  <si>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</si>
  <si>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</si>
  <si>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</si>
  <si>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</si>
  <si>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</si>
  <si>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</si>
  <si>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</si>
  <si>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</si>
  <si>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</si>
  <si>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</si>
  <si>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</si>
  <si>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</si>
  <si>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</si>
  <si>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</si>
  <si>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</si>
  <si>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</si>
  <si>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</si>
  <si>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</si>
  <si>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</si>
  <si>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</si>
  <si>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</si>
  <si>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</si>
  <si>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</si>
  <si>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</si>
  <si>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</si>
  <si>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</si>
  <si>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</si>
  <si>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</si>
  <si>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</si>
  <si>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</si>
  <si>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</si>
  <si>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</si>
  <si>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</si>
  <si>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</si>
  <si>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</si>
  <si>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</si>
  <si>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</si>
  <si>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</si>
  <si>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</si>
  <si>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</si>
  <si>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</si>
  <si>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</si>
  <si>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</si>
  <si>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</si>
  <si>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</si>
  <si>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</si>
  <si>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</si>
  <si>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</si>
  <si>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</si>
  <si>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</si>
  <si>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</si>
  <si>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</si>
  <si>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</si>
  <si>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</si>
  <si>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</si>
  <si>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</si>
  <si>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</si>
  <si>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</si>
  <si>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</si>
  <si>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</si>
  <si>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</si>
  <si>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</si>
  <si>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</si>
  <si>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</si>
  <si>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</si>
  <si>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</si>
  <si>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</si>
  <si>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</si>
  <si>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</si>
  <si>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</si>
  <si>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</si>
  <si>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</si>
  <si>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</si>
  <si>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</si>
  <si>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</si>
  <si>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</si>
  <si>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</si>
  <si>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</si>
  <si>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</si>
  <si>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</si>
  <si>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</si>
  <si>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</si>
  <si>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</si>
  <si>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</si>
  <si>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</si>
  <si>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</si>
  <si>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</si>
  <si>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</si>
  <si>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</si>
  <si>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</si>
  <si>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</si>
  <si>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</si>
  <si>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</si>
  <si>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</si>
  <si>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</si>
  <si>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</si>
  <si>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</si>
  <si>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</si>
  <si>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</si>
  <si>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</si>
  <si>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</si>
  <si>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</si>
  <si>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</si>
  <si>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</si>
  <si>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</si>
  <si>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</si>
  <si>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THANE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</si>
  <si>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</si>
  <si>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</si>
  <si>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</si>
  <si>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</si>
  <si>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</si>
  <si>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</si>
  <si>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</si>
  <si>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</si>
  <si>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</si>
  <si>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</si>
  <si>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</si>
  <si>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</si>
  <si>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</si>
  <si>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</si>
  <si>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</si>
  <si>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</si>
  <si>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</si>
  <si>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</si>
  <si>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</si>
  <si>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</si>
  <si>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</si>
  <si>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</si>
  <si>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</si>
  <si>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THANE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</si>
  <si>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</si>
  <si>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</si>
  <si>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</si>
  <si>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</si>
  <si>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</si>
  <si>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</si>
  <si>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</si>
  <si>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</si>
  <si>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</si>
  <si>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</si>
  <si>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</si>
  <si>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</si>
  <si>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</si>
  <si>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</si>
  <si>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</si>
  <si>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</si>
  <si>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</si>
  <si>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</si>
  <si>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</si>
  <si>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</si>
  <si>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</si>
  <si>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</si>
  <si>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</si>
  <si>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</si>
  <si>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</si>
  <si>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</si>
  <si>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</si>
  <si>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</si>
  <si>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</si>
  <si>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</si>
  <si>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</si>
  <si>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</si>
  <si>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</si>
  <si>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</si>
  <si>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</si>
  <si>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</si>
  <si>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</si>
  <si>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</si>
  <si>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</si>
  <si>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</si>
  <si>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</si>
  <si>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</si>
  <si>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</si>
  <si>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</si>
  <si>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</si>
  <si>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</si>
  <si>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THANE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</si>
  <si>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</si>
  <si>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</si>
  <si>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</si>
  <si>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</si>
  <si>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</si>
  <si>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</si>
  <si>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</si>
  <si>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</si>
  <si>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</si>
  <si>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</si>
  <si>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</si>
  <si>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</si>
  <si>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</si>
  <si>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</si>
  <si>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</si>
  <si>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</si>
  <si>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</si>
  <si>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</si>
  <si>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</si>
  <si>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</si>
  <si>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</si>
  <si>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</si>
  <si>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</si>
  <si>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</si>
  <si>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</si>
  <si>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</si>
  <si>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</si>
  <si>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</si>
  <si>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</si>
  <si>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</si>
  <si>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</si>
  <si>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</si>
  <si>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</si>
  <si>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</si>
  <si>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</si>
  <si>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</si>
  <si>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</si>
  <si>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</si>
  <si>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</si>
  <si>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</si>
  <si>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</si>
  <si>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</si>
  <si>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</si>
  <si>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</si>
  <si>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</si>
  <si>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</si>
  <si>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</si>
  <si>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</si>
  <si>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</si>
  <si>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</si>
  <si>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</si>
  <si>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</si>
  <si>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</si>
  <si>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</si>
  <si>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</si>
  <si>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</si>
  <si>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</si>
  <si>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</si>
  <si>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</si>
  <si>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</si>
  <si>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</si>
  <si>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</si>
  <si>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</si>
  <si>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</si>
  <si>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</si>
  <si>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</si>
  <si>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</si>
  <si>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</si>
  <si>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</si>
  <si>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</si>
  <si>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THANE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</si>
  <si>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</si>
  <si>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</si>
  <si>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</si>
  <si>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</si>
  <si>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</si>
  <si>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</si>
  <si>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</si>
  <si>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</si>
  <si>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</si>
  <si>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</si>
  <si>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</si>
  <si>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</si>
  <si>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</si>
  <si>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</si>
  <si>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</si>
  <si>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</si>
  <si>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</si>
  <si>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</si>
  <si>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</si>
  <si>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</si>
  <si>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</si>
  <si>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</si>
  <si>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</si>
  <si>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</si>
  <si>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</si>
  <si>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</si>
  <si>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</si>
  <si>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</si>
  <si>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</si>
  <si>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</si>
  <si>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</si>
  <si>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</si>
  <si>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</si>
  <si>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</si>
  <si>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</si>
  <si>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</si>
  <si>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</si>
  <si>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</si>
  <si>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</si>
  <si>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</si>
  <si>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</si>
  <si>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</si>
  <si>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</si>
  <si>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</si>
  <si>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</si>
  <si>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</si>
  <si>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</si>
  <si>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</si>
  <si>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</si>
  <si>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</si>
  <si>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</si>
  <si>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</si>
  <si>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</si>
  <si>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</si>
  <si>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</si>
  <si>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</si>
  <si>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</si>
  <si>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</si>
  <si>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</si>
  <si>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</si>
  <si>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</si>
  <si>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</si>
  <si>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</si>
  <si>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</si>
  <si>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</si>
  <si>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</si>
  <si>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</si>
  <si>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</si>
  <si>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</si>
  <si>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</si>
  <si>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</si>
  <si>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</si>
  <si>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</si>
  <si>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</si>
  <si>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</si>
  <si>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</si>
  <si>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</si>
  <si>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</si>
  <si>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</si>
  <si>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</si>
  <si>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</si>
  <si>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</si>
  <si>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</si>
  <si>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</si>
  <si>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</si>
  <si>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</si>
  <si>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</si>
  <si>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</si>
  <si>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</si>
  <si>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</si>
  <si>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</si>
  <si>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</si>
  <si>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</si>
  <si>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</si>
  <si>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</si>
  <si>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</si>
  <si>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</si>
  <si>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</si>
  <si>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</si>
  <si>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</si>
  <si>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</si>
  <si>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</si>
  <si>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</si>
  <si>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</si>
  <si>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</si>
  <si>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</si>
  <si>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</si>
  <si>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</si>
  <si>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</si>
  <si>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</si>
  <si>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</si>
  <si>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</si>
  <si>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</si>
  <si>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</si>
  <si>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</si>
  <si>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</si>
  <si>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</si>
  <si>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</si>
  <si>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</si>
  <si>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</si>
  <si>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</si>
  <si>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</si>
  <si>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</si>
  <si>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</si>
  <si>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</si>
  <si>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</si>
  <si>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</si>
  <si>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</si>
  <si>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</si>
  <si>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</si>
  <si>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</si>
  <si>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</si>
  <si>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</si>
  <si>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</si>
  <si>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</si>
  <si>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</si>
  <si>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</si>
  <si>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</si>
  <si>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</si>
  <si>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</si>
  <si>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</si>
  <si>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</si>
  <si>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</si>
  <si>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</si>
  <si>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</si>
  <si>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</si>
  <si>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</si>
  <si>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</si>
  <si>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</si>
  <si>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</si>
  <si>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</si>
  <si>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</si>
  <si>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THANE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</si>
  <si>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</si>
  <si>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</si>
  <si>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</si>
  <si>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</si>
  <si>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</si>
  <si>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</si>
  <si>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</si>
  <si>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</si>
  <si>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</si>
  <si>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</si>
  <si>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</si>
  <si>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</si>
  <si>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</si>
  <si>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</si>
  <si>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</si>
  <si>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</si>
  <si>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</si>
  <si>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</si>
  <si>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</si>
  <si>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</si>
  <si>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</si>
  <si>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</si>
  <si>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</si>
  <si>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</si>
  <si>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</si>
  <si>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</si>
  <si>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</si>
  <si>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</si>
  <si>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</si>
  <si>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</si>
  <si>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</si>
  <si>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</si>
  <si>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</si>
  <si>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</si>
  <si>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</si>
  <si>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</si>
  <si>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</si>
  <si>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</si>
  <si>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</si>
  <si>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</si>
  <si>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</si>
  <si>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</si>
  <si>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</si>
  <si>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</si>
  <si>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</si>
  <si>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</si>
  <si>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</si>
  <si>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</si>
  <si>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</si>
  <si>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</si>
  <si>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</si>
  <si>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</si>
  <si>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</si>
  <si>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</si>
  <si>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</si>
  <si>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</si>
  <si>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</si>
  <si>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</si>
  <si>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</si>
  <si>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</si>
  <si>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</si>
  <si>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</si>
  <si>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</si>
  <si>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</si>
  <si>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</si>
  <si>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</si>
  <si>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</si>
  <si>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</si>
  <si>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</si>
  <si>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</si>
  <si>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</si>
  <si>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</si>
  <si>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</si>
  <si>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</si>
  <si>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</si>
  <si>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</si>
  <si>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</si>
  <si>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</si>
  <si>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</si>
  <si>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</si>
  <si>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</si>
  <si>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</si>
  <si>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</si>
  <si>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</si>
  <si>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</si>
  <si>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</si>
  <si>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</si>
  <si>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</si>
  <si>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</si>
  <si>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</si>
  <si>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</si>
  <si>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</si>
  <si>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</si>
  <si>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</si>
  <si>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</si>
  <si>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</si>
  <si>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</si>
  <si>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</si>
  <si>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</si>
  <si>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</si>
  <si>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</si>
  <si>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</si>
  <si>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</si>
  <si>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</si>
  <si>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</si>
  <si>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</si>
  <si>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</si>
  <si>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</si>
  <si>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</si>
  <si>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</si>
  <si>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</si>
  <si>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</si>
  <si>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</si>
  <si>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</si>
  <si>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</si>
  <si>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</si>
  <si>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</si>
  <si>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</si>
  <si>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</si>
  <si>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</si>
  <si>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</si>
  <si>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</si>
  <si>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</si>
  <si>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</si>
  <si>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</si>
  <si>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</si>
  <si>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</si>
  <si>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</si>
  <si>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</si>
  <si>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</si>
  <si>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</si>
  <si>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</si>
  <si>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</si>
  <si>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</si>
  <si>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</si>
  <si>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</si>
  <si>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</si>
  <si>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</si>
  <si>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</si>
  <si>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</si>
  <si>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</si>
  <si>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</si>
  <si>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</si>
  <si>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</si>
  <si>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</si>
  <si>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</si>
  <si>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</si>
  <si>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</si>
  <si>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</si>
  <si>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</si>
  <si>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</si>
  <si>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</si>
  <si>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</si>
  <si>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</si>
  <si>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</si>
  <si>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</si>
  <si>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</si>
  <si>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</si>
  <si>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</si>
  <si>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</si>
  <si>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</si>
  <si>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</si>
  <si>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</si>
  <si>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</si>
  <si>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</si>
  <si>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</si>
  <si>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</si>
  <si>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</si>
  <si>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</si>
  <si>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</si>
  <si>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</si>
  <si>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</si>
  <si>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</si>
  <si>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</si>
  <si>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</si>
  <si>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</si>
  <si>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</si>
  <si>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</si>
  <si>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</si>
  <si>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</si>
  <si>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</si>
  <si>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</si>
  <si>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</si>
  <si>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</si>
  <si>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</si>
  <si>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</si>
  <si>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</si>
  <si>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</si>
  <si>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</si>
  <si>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</si>
  <si>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</si>
  <si>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</si>
  <si>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</si>
  <si>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</si>
  <si>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</si>
  <si>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</si>
  <si>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</si>
  <si>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</si>
  <si>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</si>
  <si>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</si>
  <si>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</si>
  <si>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</si>
  <si>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</si>
  <si>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</si>
  <si>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</si>
  <si>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</si>
  <si>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</si>
  <si>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</si>
  <si>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</si>
  <si>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</si>
  <si>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</si>
  <si>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</si>
  <si>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</si>
  <si>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</si>
  <si>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</si>
  <si>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</si>
  <si>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</si>
  <si>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</si>
  <si>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</si>
  <si>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</si>
  <si>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</si>
  <si>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</si>
  <si>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</si>
  <si>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</si>
  <si>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</si>
  <si>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</si>
  <si>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</si>
  <si>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</si>
  <si>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</si>
  <si>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</si>
  <si>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</si>
  <si>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</si>
  <si>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</si>
  <si>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</si>
  <si>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</si>
  <si>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</si>
  <si>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</si>
  <si>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</si>
  <si>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</si>
  <si>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</si>
  <si>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</si>
  <si>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</si>
  <si>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</si>
  <si>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</si>
  <si>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</si>
  <si>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</si>
  <si>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</si>
  <si>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</si>
  <si>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</si>
  <si>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</si>
  <si>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</si>
  <si>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</si>
  <si>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</si>
  <si>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</si>
  <si>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</si>
  <si>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</si>
  <si>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</si>
  <si>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</si>
  <si>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</si>
  <si>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</si>
  <si>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</si>
  <si>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</si>
  <si>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</si>
  <si>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</si>
  <si>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</si>
  <si>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</si>
  <si>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</si>
  <si>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</si>
  <si>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</si>
  <si>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</si>
  <si>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</si>
  <si>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</si>
  <si>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</si>
  <si>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</si>
  <si>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</si>
  <si>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</si>
  <si>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</si>
  <si>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</si>
  <si>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</si>
  <si>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</si>
  <si>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</si>
  <si>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</si>
  <si>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</si>
  <si>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</si>
  <si>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</si>
  <si>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</si>
  <si>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</si>
  <si>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</si>
  <si>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</si>
  <si>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</si>
  <si>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</si>
  <si>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</si>
  <si>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</si>
  <si>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</si>
  <si>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</si>
  <si>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</si>
  <si>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</si>
  <si>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</si>
  <si>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</si>
  <si>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</si>
  <si>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</si>
  <si>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</si>
  <si>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</si>
  <si>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</si>
  <si>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</si>
  <si>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</si>
  <si>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</si>
  <si>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</si>
  <si>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</si>
  <si>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</si>
  <si>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</si>
  <si>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</si>
  <si>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</si>
  <si>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</si>
  <si>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</si>
  <si>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</si>
  <si>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</si>
  <si>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</si>
  <si>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</si>
  <si>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</si>
  <si>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</si>
  <si>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</si>
  <si>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</si>
  <si>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</si>
  <si>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</si>
  <si>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</si>
  <si>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</si>
  <si>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</si>
  <si>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</si>
  <si>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</si>
  <si>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</si>
  <si>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</si>
  <si>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</si>
  <si>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</si>
  <si>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</si>
  <si>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</si>
  <si>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</si>
  <si>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</si>
  <si>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</si>
  <si>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</si>
  <si>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</si>
  <si>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</si>
  <si>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</si>
  <si>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</si>
  <si>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</si>
  <si>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</si>
  <si>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</si>
  <si>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</si>
  <si>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</si>
  <si>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</si>
  <si>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</si>
  <si>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</si>
  <si>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</si>
  <si>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</si>
  <si>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</si>
  <si>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</si>
  <si>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</si>
  <si>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</si>
  <si>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</si>
  <si>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</si>
  <si>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</si>
  <si>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</si>
  <si>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</si>
  <si>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</si>
  <si>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</si>
  <si>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</si>
  <si>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</si>
  <si>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</si>
  <si>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</si>
  <si>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</si>
  <si>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</si>
  <si>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</si>
  <si>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</si>
  <si>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</si>
  <si>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</si>
  <si>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</si>
  <si>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</si>
  <si>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</si>
  <si>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</si>
  <si>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</si>
  <si>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</si>
  <si>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</si>
  <si>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</si>
  <si>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</si>
  <si>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</si>
  <si>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</si>
  <si>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</si>
  <si>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</si>
  <si>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</si>
  <si>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</si>
  <si>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</si>
  <si>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</si>
  <si>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</si>
  <si>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</si>
  <si>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</si>
  <si>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</si>
  <si>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</si>
  <si>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</si>
  <si>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</si>
  <si>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</si>
  <si>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</si>
  <si>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</si>
  <si>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</si>
  <si>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</si>
  <si>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</si>
  <si>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</si>
  <si>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</si>
  <si>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</si>
  <si>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</si>
  <si>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</si>
  <si>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</si>
  <si>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</si>
  <si>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</si>
  <si>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</si>
  <si>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</si>
  <si>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</si>
  <si>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</si>
  <si>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</si>
  <si>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</si>
  <si>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</si>
  <si>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</si>
  <si>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</si>
  <si>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</si>
  <si>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</si>
  <si>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</si>
  <si>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</si>
  <si>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</si>
  <si>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</si>
  <si>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</si>
  <si>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</si>
  <si>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</si>
  <si>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</si>
  <si>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</si>
  <si>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</si>
  <si>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</si>
  <si>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</si>
  <si>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</si>
  <si>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</si>
  <si>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</si>
  <si>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</si>
  <si>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</si>
  <si>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</si>
  <si>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</si>
  <si>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</si>
  <si>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</si>
  <si>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</si>
  <si>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</si>
  <si>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</si>
  <si>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</si>
  <si>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</si>
  <si>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</si>
  <si>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</si>
  <si>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</si>
  <si>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</si>
  <si>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</si>
  <si>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</si>
  <si>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</si>
  <si>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</si>
  <si>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</si>
  <si>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</si>
  <si>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</si>
  <si>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</si>
  <si>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</si>
  <si>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</si>
  <si>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</si>
  <si>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</si>
  <si>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</si>
  <si>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</si>
  <si>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</si>
  <si>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</si>
  <si>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</si>
  <si>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</si>
  <si>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</si>
  <si>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</si>
  <si>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</si>
  <si>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</si>
  <si>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</si>
  <si>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</si>
  <si>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</si>
  <si>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</si>
  <si>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</si>
  <si>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</si>
  <si>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</si>
  <si>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</si>
  <si>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</si>
  <si>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</si>
  <si>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</si>
  <si>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</si>
  <si>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</si>
  <si>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</si>
  <si>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</si>
  <si>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</si>
  <si>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</si>
  <si>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</si>
  <si>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</si>
  <si>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</si>
  <si>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</si>
  <si>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</si>
  <si>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</si>
  <si>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</si>
  <si>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</si>
  <si>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</si>
  <si>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</si>
  <si>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</si>
  <si>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</si>
  <si>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</si>
  <si>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</si>
  <si>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</si>
  <si>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</si>
  <si>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</si>
  <si>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</si>
  <si>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</si>
  <si>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</si>
  <si>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</si>
  <si>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</si>
  <si>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</si>
  <si>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</si>
  <si>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</si>
  <si>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</si>
  <si>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</si>
  <si>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</si>
  <si>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</si>
  <si>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</si>
  <si>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</si>
  <si>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</si>
  <si>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</si>
  <si>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</si>
  <si>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</si>
  <si>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</si>
  <si>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</si>
  <si>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</si>
  <si>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</si>
  <si>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</si>
  <si>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</si>
  <si>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</si>
  <si>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</si>
  <si>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</si>
  <si>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</si>
  <si>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</si>
  <si>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</si>
  <si>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</si>
  <si>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</si>
  <si>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</si>
  <si>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</si>
  <si>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</si>
  <si>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</si>
  <si>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</si>
  <si>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</si>
  <si>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</si>
  <si>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</si>
  <si>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</si>
  <si>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</si>
  <si>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</si>
  <si>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</si>
  <si>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</si>
  <si>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</si>
  <si>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</si>
  <si>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</si>
  <si>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</si>
  <si>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</si>
  <si>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</si>
  <si>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</si>
  <si>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</si>
  <si>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</si>
  <si>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</si>
  <si>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</si>
  <si>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</si>
  <si>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</si>
  <si>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</si>
  <si>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</si>
  <si>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</si>
  <si>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</si>
  <si>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</si>
  <si>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</si>
  <si>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</si>
  <si>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</si>
  <si>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</si>
  <si>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</si>
  <si>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</si>
  <si>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</si>
  <si>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</si>
  <si>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</si>
  <si>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</si>
  <si>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</si>
  <si>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</si>
  <si>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</si>
  <si>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</si>
  <si>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</si>
  <si>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</si>
  <si>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</si>
  <si>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</si>
  <si>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</si>
  <si>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</si>
  <si>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</si>
  <si>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</si>
  <si>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</si>
  <si>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</si>
  <si>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</si>
  <si>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</si>
  <si>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</si>
  <si>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</si>
  <si>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</si>
  <si>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</si>
  <si>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</si>
  <si>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</si>
  <si>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</si>
  <si>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</si>
  <si>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</si>
  <si>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</si>
  <si>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</si>
  <si>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</si>
  <si>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</si>
  <si>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</si>
  <si>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</si>
  <si>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</si>
  <si>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</si>
  <si>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</si>
  <si>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</si>
  <si>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</si>
  <si>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</si>
  <si>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</si>
  <si>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</si>
  <si>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</si>
  <si>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</si>
  <si>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</si>
  <si>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</si>
  <si>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</si>
  <si>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</si>
  <si>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</si>
  <si>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</si>
  <si>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</si>
  <si>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</si>
  <si>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</si>
  <si>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</si>
  <si>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</si>
  <si>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</si>
  <si>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</si>
  <si>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</si>
  <si>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</si>
  <si>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</si>
  <si>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</si>
  <si>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</si>
  <si>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</si>
  <si>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</si>
  <si>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</si>
  <si>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</si>
  <si>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</si>
  <si>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</si>
  <si>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</si>
  <si>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</si>
  <si>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</si>
  <si>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</si>
  <si>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</si>
  <si>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</si>
  <si>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</si>
  <si>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</si>
  <si>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</si>
  <si>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</si>
  <si>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</si>
  <si>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</si>
  <si>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</si>
  <si>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</si>
  <si>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</si>
  <si>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</si>
  <si>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</si>
  <si>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</si>
  <si>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</si>
  <si>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</si>
  <si>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</si>
  <si>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</si>
  <si>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</si>
  <si>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</si>
  <si>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</si>
  <si>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</si>
  <si>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</si>
  <si>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</si>
  <si>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</si>
  <si>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</si>
  <si>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</si>
  <si>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</si>
  <si>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</si>
  <si>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</si>
  <si>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</si>
  <si>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</si>
  <si>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</si>
  <si>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</si>
  <si>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</si>
  <si>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</si>
  <si>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</si>
  <si>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</si>
  <si>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</si>
  <si>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</si>
  <si>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</si>
  <si>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</si>
  <si>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</si>
  <si>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</si>
  <si>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</si>
  <si>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</si>
  <si>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</si>
  <si>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</si>
  <si>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</si>
  <si>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</si>
  <si>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</si>
  <si>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</si>
  <si>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</si>
  <si>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</si>
  <si>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</si>
  <si>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</si>
  <si>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</si>
  <si>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</si>
  <si>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</si>
  <si>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</si>
  <si>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</si>
  <si>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</si>
  <si>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</si>
  <si>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</si>
  <si>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</si>
  <si>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</si>
  <si>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</si>
  <si>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</si>
  <si>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</si>
  <si>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</si>
  <si>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</si>
  <si>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</si>
  <si>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</si>
  <si>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</si>
  <si>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</si>
  <si>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</si>
  <si>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</si>
  <si>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</si>
  <si>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</si>
  <si>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</si>
  <si>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</si>
  <si>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</si>
  <si>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</si>
  <si>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</si>
  <si>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</si>
  <si>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</si>
  <si>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</si>
  <si>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</si>
  <si>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</si>
  <si>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</si>
  <si>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</si>
  <si>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</si>
  <si>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</si>
  <si>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</si>
  <si>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</si>
  <si>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</si>
  <si>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</si>
  <si>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</si>
  <si>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</si>
  <si>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</si>
  <si>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</si>
  <si>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</si>
  <si>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</si>
  <si>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</si>
  <si>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</si>
  <si>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</si>
  <si>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</si>
  <si>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</si>
  <si>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</si>
  <si>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</si>
  <si>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</si>
  <si>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</si>
  <si>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</si>
  <si>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</si>
  <si>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</si>
  <si>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</si>
  <si>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</si>
  <si>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</si>
  <si>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</si>
  <si>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</si>
  <si>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</si>
  <si>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</si>
  <si>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</si>
  <si>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</si>
  <si>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</si>
  <si>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</si>
  <si>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</si>
  <si>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</si>
  <si>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</si>
  <si>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</si>
  <si>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</si>
  <si>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</si>
  <si>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</si>
  <si>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</si>
  <si>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</si>
  <si>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</si>
  <si>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</si>
  <si>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</si>
  <si>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</si>
  <si>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</si>
  <si>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</si>
  <si>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</si>
  <si>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</si>
  <si>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</si>
  <si>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</si>
  <si>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</si>
  <si>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</si>
  <si>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</si>
  <si>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</si>
  <si>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</si>
  <si>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</si>
  <si>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</si>
  <si>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</si>
  <si>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</si>
  <si>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</si>
  <si>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</si>
  <si>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</si>
  <si>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</si>
  <si>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</si>
  <si>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</si>
  <si>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</si>
  <si>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</si>
  <si>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</si>
  <si>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</si>
  <si>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</si>
  <si>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</si>
  <si>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</si>
  <si>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</si>
  <si>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</si>
  <si>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</si>
  <si>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</si>
  <si>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</si>
  <si>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</si>
  <si>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</si>
  <si>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</si>
  <si>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</si>
  <si>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</si>
  <si>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</si>
  <si>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</si>
  <si>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</si>
  <si>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</si>
  <si>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</si>
  <si>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</si>
  <si>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</si>
  <si>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</si>
  <si>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</si>
  <si>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</si>
  <si>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</si>
  <si>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</si>
  <si>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</si>
  <si>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</si>
  <si>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</si>
  <si>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</si>
  <si>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</si>
  <si>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</si>
  <si>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</si>
  <si>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</si>
  <si>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</si>
  <si>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</si>
  <si>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</si>
  <si>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</si>
  <si>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</si>
  <si>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</si>
  <si>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</si>
  <si>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</si>
  <si>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</si>
  <si>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</si>
  <si>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</si>
  <si>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</si>
  <si>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</si>
  <si>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</si>
  <si>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</si>
  <si>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</si>
  <si>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</si>
  <si>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</si>
  <si>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</si>
  <si>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</si>
  <si>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</si>
  <si>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</si>
  <si>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</si>
  <si>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</si>
  <si>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</si>
  <si>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</si>
  <si>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</si>
  <si>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</si>
  <si>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</si>
  <si>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</si>
  <si>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</si>
  <si>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</si>
  <si>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</si>
  <si>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</si>
  <si>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</si>
  <si>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</si>
  <si>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</si>
  <si>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</si>
  <si>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</si>
  <si>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</si>
  <si>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</si>
  <si>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</si>
  <si>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</si>
  <si>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</si>
  <si>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</si>
  <si>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</si>
  <si>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</si>
  <si>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</si>
  <si>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</si>
  <si>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</si>
  <si>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</si>
  <si>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</si>
  <si>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</si>
  <si>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</si>
  <si>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</si>
  <si>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</si>
  <si>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</si>
  <si>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</si>
  <si>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</si>
  <si>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</si>
  <si>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</si>
  <si>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</si>
  <si>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</si>
  <si>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</si>
  <si>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</si>
  <si>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</si>
  <si>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</si>
  <si>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</si>
  <si>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</si>
  <si>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</si>
  <si>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</si>
  <si>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</si>
  <si>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</si>
  <si>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</si>
  <si>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</si>
  <si>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</si>
  <si>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</si>
  <si>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</si>
  <si>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</si>
  <si>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</si>
  <si>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</si>
  <si>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</si>
  <si>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</si>
  <si>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</si>
  <si>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</si>
  <si>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</si>
  <si>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</si>
  <si>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</si>
  <si>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</si>
  <si>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</si>
  <si>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</si>
  <si>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</si>
  <si>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</si>
  <si>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</si>
  <si>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</si>
  <si>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</si>
  <si>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</si>
  <si>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</si>
  <si>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</si>
  <si>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</si>
  <si>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</si>
  <si>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</si>
  <si>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</si>
  <si>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</si>
  <si>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</si>
  <si>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</si>
  <si>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</si>
  <si>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</si>
  <si>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</si>
  <si>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</si>
  <si>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</si>
  <si>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</si>
  <si>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</si>
  <si>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</si>
  <si>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</si>
  <si>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</si>
  <si>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</si>
  <si>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</si>
  <si>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</si>
  <si>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</si>
  <si>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</si>
  <si>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</si>
  <si>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</si>
  <si>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</si>
  <si>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</si>
  <si>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</si>
  <si>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</si>
  <si>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</si>
  <si>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</si>
  <si>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</si>
  <si>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</si>
  <si>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</si>
  <si>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</si>
  <si>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</si>
  <si>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</si>
  <si>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</si>
  <si>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</si>
  <si>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</si>
  <si>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</si>
  <si>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</si>
  <si>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</si>
  <si>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</si>
  <si>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</si>
  <si>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</si>
  <si>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</si>
  <si>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</si>
  <si>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</si>
  <si>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</si>
  <si>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</si>
  <si>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</si>
  <si>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</si>
  <si>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</si>
  <si>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</si>
  <si>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</si>
  <si>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</si>
  <si>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</si>
  <si>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</si>
  <si>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</si>
  <si>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</si>
  <si>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</si>
  <si>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</si>
  <si>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</si>
  <si>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</si>
  <si>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</si>
  <si>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</si>
  <si>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</si>
  <si>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</si>
  <si>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</si>
  <si>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</si>
  <si>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</si>
  <si>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</si>
  <si>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</si>
  <si>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</si>
  <si>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</si>
  <si>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</si>
  <si>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</si>
  <si>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</si>
  <si>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</si>
  <si>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</si>
  <si>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</si>
  <si>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THANE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</si>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</sst>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D616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D6160"/>
      <name val="Arial"/>
      <family val="2"/>
    </font>
    <font>
      <sz val="9"/>
      <color rgb="FF000000"/>
      <name val="Arial"/>
      <family val="2"/>
    </font>
    <font>
      <sz val="9"/>
      <color rgb="FF1D6160"/>
      <name val="Arial"/>
      <family val="2"/>
    </font>
    <font>
      <sz val="9"/>
      <name val="Arial"/>
      <family val="2"/>
    </font>
    <font>
      <sz val="8"/>
      <color rgb="FF1D6160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D6160"/>
      </patternFill>
    </fill>
    <fill>
      <patternFill patternType="solid">
        <fgColor rgb="FFD9F0EF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 wrapText="1"/>
    </xf>
    <xf numFmtId="0" fontId="15" fillId="1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604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616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58" t="s">
        <v>0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</row>
    <row r="2" spans="2:22" ht="15" customHeight="1" x14ac:dyDescent="0.3">
      <c r="B2" s="64" t="s">
        <v>1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</row>
    <row r="3" spans="2:22" ht="7.95" customHeight="1" x14ac:dyDescent="0.3"/>
    <row r="4" spans="2:22" ht="18" customHeight="1" x14ac:dyDescent="0.3">
      <c r="B4" s="1"/>
      <c r="C4" s="65" t="s">
        <v>2</v>
      </c>
      <c r="D4" s="49"/>
      <c r="E4" s="49"/>
      <c r="F4" s="49"/>
      <c r="G4" s="60" t="s">
        <v>3</v>
      </c>
      <c r="H4" s="49"/>
      <c r="I4" s="49"/>
      <c r="J4" s="49"/>
      <c r="K4" s="62" t="s">
        <v>4</v>
      </c>
      <c r="L4" s="49"/>
      <c r="M4" s="49"/>
      <c r="N4" s="49"/>
      <c r="O4" s="63" t="s">
        <v>5</v>
      </c>
      <c r="P4" s="49"/>
      <c r="Q4" s="49"/>
      <c r="R4" s="49"/>
      <c r="S4" s="61" t="s">
        <v>6</v>
      </c>
      <c r="T4" s="49"/>
      <c r="U4" s="49"/>
      <c r="V4" s="49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147</v>
      </c>
      <c r="E6" s="9">
        <f>COUNTIF(Laminates!M5:M296,"⚠ Check")+COUNTIF(Laminates!M5:M296,"⚠ Missing")+COUNTIF(Laminates!M5:M296,"❌ Disc")</f>
        <v>145</v>
      </c>
      <c r="F6" s="10">
        <f>IFERROR(COUNTIF(Laminates!E5:E296,"&lt;&gt;"&amp;"")/292,"—")</f>
        <v>1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53</v>
      </c>
      <c r="E7" s="20">
        <f>COUNTIF('Acrylic n Crystal Acrylic'!M5:M67,"⚠ Check")+COUNTIF('Acrylic n Crystal Acrylic'!M5:M67,"⚠ Missing")+COUNTIF('Acrylic n Crystal Acrylic'!M5:M67,"❌ Disc")</f>
        <v>10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71</v>
      </c>
      <c r="E8" s="9">
        <f>COUNTIF('PU and Membrane'!M5:M85,"⚠ Check")+COUNTIF('PU and Membrane'!M5:M85,"⚠ Missing")+COUNTIF('PU and Membrane'!M5:M85,"❌ Disc")</f>
        <v>10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157</v>
      </c>
      <c r="E9" s="20">
        <f>COUNTIF(Rafters!M5:M168,"⚠ Check")+COUNTIF(Rafters!M5:M168,"⚠ Missing")+COUNTIF(Rafters!M5:M168,"❌ Disc")</f>
        <v>7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916</v>
      </c>
      <c r="E10" s="9">
        <f>COUNTIF(Wallpaper!M5:M1413,"⚠ Check")+COUNTIF(Wallpaper!M5:M1413,"⚠ Missing")+COUNTIF(Wallpaper!M5:M1413,"❌ Disc")</f>
        <v>493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73</v>
      </c>
      <c r="D11" s="20">
        <f>COUNTIF(Quartz!M5:M77,"✓ OK")</f>
        <v>14</v>
      </c>
      <c r="E11" s="20">
        <f>COUNTIF(Quartz!M5:M77,"⚠ Check")+COUNTIF(Quartz!M5:M77,"⚠ Missing")+COUNTIF(Quartz!M5:M77,"❌ Disc")</f>
        <v>59</v>
      </c>
      <c r="F11" s="21">
        <f>IFERROR(COUNTIF(Quartz!E5:E77,"&lt;&gt;"&amp;"")/73,"—")</f>
        <v>1</v>
      </c>
      <c r="G11" s="20">
        <v>73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11</v>
      </c>
      <c r="D12" s="9">
        <f>COUNTIF(Granite!M5:M15,"✓ OK")</f>
        <v>8</v>
      </c>
      <c r="E12" s="9">
        <f>COUNTIF(Granite!M5:M15,"⚠ Check")+COUNTIF(Granite!M5:M15,"⚠ Missing")+COUNTIF(Granite!M5:M15,"❌ Disc")</f>
        <v>3</v>
      </c>
      <c r="F12" s="10">
        <f>IFERROR(COUNTIF(Granite!E5:E15,"&lt;&gt;"&amp;"")/11,"—")</f>
        <v>1</v>
      </c>
      <c r="G12" s="11">
        <v>11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21</v>
      </c>
      <c r="E13" s="20">
        <f>COUNTIF('Wooden Flooring'!M5:M26,"⚠ Check")+COUNTIF('Wooden Flooring'!M5:M26,"⚠ Missing")+COUNTIF('Wooden Flooring'!M5:M26,"❌ Disc")</f>
        <v>1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IFERROR(COUNTIF(Fabric!E5:E298,"&lt;&gt;"&amp;"")/486,"—")</f>
        <v>0.60493827160493829</v>
      </c>
      <c r="G17" s="20">
        <v>294</v>
      </c>
      <c r="H17" s="20">
        <f>COUNTIF(Fabric!V5:V298,"✓ OK")</f>
        <v>0</v>
      </c>
      <c r="I17" s="20">
        <f>COUNTIF(Fabric!V5:V298,"⚠ Check")+COUNTIF(Fabric!V5:V298,"⚠ Missing")+COUNTIF(Fabric!V5:V298,"❌ Disc")</f>
        <v>0</v>
      </c>
      <c r="J17" s="21">
        <f>IFERROR(COUNTIF(Fabric!N5:N298,"&lt;&gt;"&amp;"")/486,"—")</f>
        <v>0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0</v>
      </c>
      <c r="N17" s="21">
        <f>IFERROR(COUNTIF(Fabric!W5:W298,"&lt;&gt;"&amp;"")/486,"—")</f>
        <v>0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IFERROR(COUNTIF(Fabric!AF5:AF298,"&lt;&gt;"&amp;"")/486,"—")</f>
        <v>0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95" customHeight="1" x14ac:dyDescent="0.3">
      <c r="B18" s="57" t="s">
        <v>24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</row>
    <row r="20" spans="2:22" hidden="1" x14ac:dyDescent="0.3">
      <c r="B20" s="61" t="s">
        <v>25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</row>
    <row r="21" spans="2:22" ht="16.2" hidden="1" customHeight="1" x14ac:dyDescent="0.3">
      <c r="B21" s="59" t="s">
        <v>26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</row>
    <row r="22" spans="2:22" ht="16.2" hidden="1" customHeight="1" x14ac:dyDescent="0.3">
      <c r="B22" s="56" t="s">
        <v>27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</row>
    <row r="23" spans="2:22" ht="16.2" hidden="1" customHeight="1" x14ac:dyDescent="0.3">
      <c r="B23" s="59" t="s">
        <v>28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</row>
    <row r="24" spans="2:22" ht="16.2" hidden="1" customHeight="1" x14ac:dyDescent="0.3">
      <c r="B24" s="56" t="s">
        <v>29</v>
      </c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</row>
    <row r="25" spans="2:22" ht="16.2" hidden="1" customHeight="1" x14ac:dyDescent="0.3">
      <c r="B25" s="59" t="s">
        <v>30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</row>
    <row r="26" spans="2:22" ht="16.2" hidden="1" customHeight="1" x14ac:dyDescent="0.3">
      <c r="B26" s="56" t="s">
        <v>31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32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5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59</v>
      </c>
      <c r="L5" s="28" t="s">
        <v>56</v>
      </c>
      <c r="M5" s="29" t="str">
        <f t="shared" ref="M5:M68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60</v>
      </c>
      <c r="C6" s="44" t="s">
        <v>61</v>
      </c>
      <c r="D6" s="42" t="s">
        <v>54</v>
      </c>
      <c r="E6" s="45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57</v>
      </c>
      <c r="K6" s="27" t="s">
        <v>59</v>
      </c>
      <c r="L6" s="28" t="s">
        <v>56</v>
      </c>
      <c r="M6" s="29" t="str">
        <f t="shared" si="0"/>
        <v>⚠ Check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62</v>
      </c>
      <c r="C7" s="25" t="s">
        <v>63</v>
      </c>
      <c r="D7" s="23" t="s">
        <v>54</v>
      </c>
      <c r="E7" s="45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</v>
      </c>
      <c r="C8" s="44" t="s">
        <v>65</v>
      </c>
      <c r="D8" s="42" t="s">
        <v>54</v>
      </c>
      <c r="E8" s="45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66</v>
      </c>
      <c r="C9" s="25" t="s">
        <v>67</v>
      </c>
      <c r="D9" s="23" t="s">
        <v>54</v>
      </c>
      <c r="E9" s="45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68</v>
      </c>
      <c r="C10" s="44" t="s">
        <v>69</v>
      </c>
      <c r="D10" s="42" t="s">
        <v>70</v>
      </c>
      <c r="E10" s="45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71</v>
      </c>
      <c r="L10" s="28" t="s">
        <v>56</v>
      </c>
      <c r="M10" s="29" t="str">
        <f t="shared" si="0"/>
        <v>⚠ Check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72</v>
      </c>
      <c r="C11" s="25" t="s">
        <v>73</v>
      </c>
      <c r="D11" s="23" t="s">
        <v>70</v>
      </c>
      <c r="E11" s="45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57</v>
      </c>
      <c r="K11" s="27" t="s">
        <v>74</v>
      </c>
      <c r="L11" s="28" t="s">
        <v>56</v>
      </c>
      <c r="M11" s="29" t="str">
        <f t="shared" si="0"/>
        <v>⚠ Check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75</v>
      </c>
      <c r="C12" s="44" t="s">
        <v>76</v>
      </c>
      <c r="D12" s="42" t="s">
        <v>70</v>
      </c>
      <c r="E12" s="45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57</v>
      </c>
      <c r="K12" s="27" t="s">
        <v>59</v>
      </c>
      <c r="L12" s="28" t="s">
        <v>56</v>
      </c>
      <c r="M12" s="29" t="str">
        <f t="shared" si="0"/>
        <v>⚠ Check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77</v>
      </c>
      <c r="C13" s="25" t="s">
        <v>78</v>
      </c>
      <c r="D13" s="23" t="s">
        <v>70</v>
      </c>
      <c r="E13" s="45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79</v>
      </c>
      <c r="C14" s="44" t="s">
        <v>80</v>
      </c>
      <c r="D14" s="42" t="s">
        <v>70</v>
      </c>
      <c r="E14" s="45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57</v>
      </c>
      <c r="K14" s="27" t="s">
        <v>81</v>
      </c>
      <c r="L14" s="28" t="s">
        <v>56</v>
      </c>
      <c r="M14" s="29" t="str">
        <f t="shared" si="0"/>
        <v>⚠ Check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82</v>
      </c>
      <c r="C15" s="25" t="s">
        <v>83</v>
      </c>
      <c r="D15" s="23" t="s">
        <v>70</v>
      </c>
      <c r="E15" s="45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57</v>
      </c>
      <c r="K15" s="27" t="s">
        <v>74</v>
      </c>
      <c r="L15" s="28" t="s">
        <v>56</v>
      </c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84</v>
      </c>
      <c r="C16" s="44" t="s">
        <v>85</v>
      </c>
      <c r="D16" s="42" t="s">
        <v>70</v>
      </c>
      <c r="E16" s="45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74</v>
      </c>
      <c r="L16" s="28" t="s">
        <v>56</v>
      </c>
      <c r="M16" s="29" t="str">
        <f t="shared" si="0"/>
        <v>⚠ Check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86</v>
      </c>
      <c r="C17" s="25" t="s">
        <v>87</v>
      </c>
      <c r="D17" s="23" t="s">
        <v>70</v>
      </c>
      <c r="E17" s="45">
        <v>46128</v>
      </c>
      <c r="F17" s="26" t="s">
        <v>55</v>
      </c>
      <c r="G17" s="26" t="s">
        <v>57</v>
      </c>
      <c r="H17" s="26" t="s">
        <v>57</v>
      </c>
      <c r="I17" s="26" t="s">
        <v>88</v>
      </c>
      <c r="J17" s="26" t="s">
        <v>57</v>
      </c>
      <c r="K17" s="27" t="s">
        <v>89</v>
      </c>
      <c r="L17" s="28" t="s">
        <v>56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90</v>
      </c>
      <c r="C18" s="44" t="s">
        <v>91</v>
      </c>
      <c r="D18" s="42" t="s">
        <v>70</v>
      </c>
      <c r="E18" s="45">
        <v>46128</v>
      </c>
      <c r="F18" s="26" t="s">
        <v>55</v>
      </c>
      <c r="G18" s="26" t="s">
        <v>57</v>
      </c>
      <c r="H18" s="26" t="s">
        <v>57</v>
      </c>
      <c r="I18" s="26" t="s">
        <v>88</v>
      </c>
      <c r="J18" s="26" t="s">
        <v>57</v>
      </c>
      <c r="K18" s="27" t="s">
        <v>89</v>
      </c>
      <c r="L18" s="28" t="s">
        <v>56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92</v>
      </c>
      <c r="C19" s="25" t="s">
        <v>93</v>
      </c>
      <c r="D19" s="23" t="s">
        <v>70</v>
      </c>
      <c r="E19" s="45">
        <v>46128</v>
      </c>
      <c r="F19" s="26" t="s">
        <v>55</v>
      </c>
      <c r="G19" s="26" t="s">
        <v>57</v>
      </c>
      <c r="H19" s="26" t="s">
        <v>57</v>
      </c>
      <c r="I19" s="26" t="s">
        <v>88</v>
      </c>
      <c r="J19" s="26" t="s">
        <v>57</v>
      </c>
      <c r="K19" s="27" t="s">
        <v>89</v>
      </c>
      <c r="L19" s="28" t="s">
        <v>56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94</v>
      </c>
      <c r="C20" s="44" t="s">
        <v>95</v>
      </c>
      <c r="D20" s="42" t="s">
        <v>70</v>
      </c>
      <c r="E20" s="45">
        <v>46128</v>
      </c>
      <c r="F20" s="26" t="s">
        <v>55</v>
      </c>
      <c r="G20" s="26" t="s">
        <v>57</v>
      </c>
      <c r="H20" s="26" t="s">
        <v>57</v>
      </c>
      <c r="I20" s="26" t="s">
        <v>88</v>
      </c>
      <c r="J20" s="26" t="s">
        <v>57</v>
      </c>
      <c r="K20" s="27" t="s">
        <v>89</v>
      </c>
      <c r="L20" s="28" t="s">
        <v>56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96</v>
      </c>
      <c r="C21" s="25" t="s">
        <v>97</v>
      </c>
      <c r="D21" s="23" t="s">
        <v>70</v>
      </c>
      <c r="E21" s="45">
        <v>46128</v>
      </c>
      <c r="F21" s="26" t="s">
        <v>55</v>
      </c>
      <c r="G21" s="26" t="s">
        <v>57</v>
      </c>
      <c r="H21" s="26" t="s">
        <v>57</v>
      </c>
      <c r="I21" s="26" t="s">
        <v>88</v>
      </c>
      <c r="J21" s="26" t="s">
        <v>57</v>
      </c>
      <c r="K21" s="27" t="s">
        <v>89</v>
      </c>
      <c r="L21" s="28" t="s">
        <v>56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98</v>
      </c>
      <c r="C22" s="44" t="s">
        <v>99</v>
      </c>
      <c r="D22" s="42" t="s">
        <v>70</v>
      </c>
      <c r="E22" s="45">
        <v>46128</v>
      </c>
      <c r="F22" s="26" t="s">
        <v>55</v>
      </c>
      <c r="G22" s="26" t="s">
        <v>57</v>
      </c>
      <c r="H22" s="26" t="s">
        <v>57</v>
      </c>
      <c r="I22" s="26" t="s">
        <v>88</v>
      </c>
      <c r="J22" s="26" t="s">
        <v>57</v>
      </c>
      <c r="K22" s="27" t="s">
        <v>89</v>
      </c>
      <c r="L22" s="28" t="s">
        <v>56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100</v>
      </c>
      <c r="C23" s="25" t="s">
        <v>101</v>
      </c>
      <c r="D23" s="23" t="s">
        <v>70</v>
      </c>
      <c r="E23" s="45">
        <v>46128</v>
      </c>
      <c r="F23" s="26" t="s">
        <v>55</v>
      </c>
      <c r="G23" s="26" t="s">
        <v>57</v>
      </c>
      <c r="H23" s="26" t="s">
        <v>57</v>
      </c>
      <c r="I23" s="26" t="s">
        <v>88</v>
      </c>
      <c r="J23" s="26" t="s">
        <v>57</v>
      </c>
      <c r="K23" s="27" t="s">
        <v>89</v>
      </c>
      <c r="L23" s="28" t="s">
        <v>56</v>
      </c>
      <c r="M23" s="29" t="str">
        <f t="shared" si="0"/>
        <v>⚠ Missing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102</v>
      </c>
      <c r="C24" s="44" t="s">
        <v>103</v>
      </c>
      <c r="D24" s="42" t="s">
        <v>70</v>
      </c>
      <c r="E24" s="45">
        <v>46128</v>
      </c>
      <c r="F24" s="26" t="s">
        <v>55</v>
      </c>
      <c r="G24" s="26" t="s">
        <v>57</v>
      </c>
      <c r="H24" s="26" t="s">
        <v>57</v>
      </c>
      <c r="I24" s="26" t="s">
        <v>88</v>
      </c>
      <c r="J24" s="26" t="s">
        <v>57</v>
      </c>
      <c r="K24" s="27" t="s">
        <v>89</v>
      </c>
      <c r="L24" s="28" t="s">
        <v>56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104</v>
      </c>
      <c r="C25" s="25" t="s">
        <v>105</v>
      </c>
      <c r="D25" s="23" t="s">
        <v>70</v>
      </c>
      <c r="E25" s="45">
        <v>46128</v>
      </c>
      <c r="F25" s="26" t="s">
        <v>55</v>
      </c>
      <c r="G25" s="26" t="s">
        <v>57</v>
      </c>
      <c r="H25" s="26" t="s">
        <v>57</v>
      </c>
      <c r="I25" s="26" t="s">
        <v>88</v>
      </c>
      <c r="J25" s="26" t="s">
        <v>57</v>
      </c>
      <c r="K25" s="27" t="s">
        <v>89</v>
      </c>
      <c r="L25" s="28" t="s">
        <v>56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106</v>
      </c>
      <c r="C26" s="44" t="s">
        <v>107</v>
      </c>
      <c r="D26" s="42" t="s">
        <v>70</v>
      </c>
      <c r="E26" s="45">
        <v>46128</v>
      </c>
      <c r="F26" s="26" t="s">
        <v>55</v>
      </c>
      <c r="G26" s="26" t="s">
        <v>57</v>
      </c>
      <c r="H26" s="26" t="s">
        <v>57</v>
      </c>
      <c r="I26" s="26" t="s">
        <v>88</v>
      </c>
      <c r="J26" s="26" t="s">
        <v>57</v>
      </c>
      <c r="K26" s="27" t="s">
        <v>89</v>
      </c>
      <c r="L26" s="28" t="s">
        <v>56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108</v>
      </c>
      <c r="C27" s="25" t="s">
        <v>109</v>
      </c>
      <c r="D27" s="23" t="s">
        <v>70</v>
      </c>
      <c r="E27" s="45">
        <v>46128</v>
      </c>
      <c r="F27" s="26" t="s">
        <v>55</v>
      </c>
      <c r="G27" s="26" t="s">
        <v>57</v>
      </c>
      <c r="H27" s="26" t="s">
        <v>57</v>
      </c>
      <c r="I27" s="26" t="s">
        <v>88</v>
      </c>
      <c r="J27" s="26" t="s">
        <v>57</v>
      </c>
      <c r="K27" s="27" t="s">
        <v>89</v>
      </c>
      <c r="L27" s="28" t="s">
        <v>56</v>
      </c>
      <c r="M27" s="29" t="str">
        <f t="shared" si="0"/>
        <v>⚠ Missing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110</v>
      </c>
      <c r="C28" s="44" t="s">
        <v>111</v>
      </c>
      <c r="D28" s="42" t="s">
        <v>70</v>
      </c>
      <c r="E28" s="45">
        <v>46128</v>
      </c>
      <c r="F28" s="26" t="s">
        <v>55</v>
      </c>
      <c r="G28" s="26" t="s">
        <v>57</v>
      </c>
      <c r="H28" s="26" t="s">
        <v>57</v>
      </c>
      <c r="I28" s="26" t="s">
        <v>88</v>
      </c>
      <c r="J28" s="26" t="s">
        <v>57</v>
      </c>
      <c r="K28" s="27" t="s">
        <v>89</v>
      </c>
      <c r="L28" s="28" t="s">
        <v>56</v>
      </c>
      <c r="M28" s="29" t="str">
        <f t="shared" si="0"/>
        <v>⚠ Missing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112</v>
      </c>
      <c r="C29" s="25" t="s">
        <v>113</v>
      </c>
      <c r="D29" s="23" t="s">
        <v>70</v>
      </c>
      <c r="E29" s="45">
        <v>46128</v>
      </c>
      <c r="F29" s="26" t="s">
        <v>55</v>
      </c>
      <c r="G29" s="26" t="s">
        <v>57</v>
      </c>
      <c r="H29" s="26" t="s">
        <v>57</v>
      </c>
      <c r="I29" s="26" t="s">
        <v>88</v>
      </c>
      <c r="J29" s="26" t="s">
        <v>57</v>
      </c>
      <c r="K29" s="27" t="s">
        <v>89</v>
      </c>
      <c r="L29" s="28" t="s">
        <v>56</v>
      </c>
      <c r="M29" s="29" t="str">
        <f t="shared" si="0"/>
        <v>⚠ Missing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114</v>
      </c>
      <c r="C30" s="44" t="s">
        <v>115</v>
      </c>
      <c r="D30" s="42" t="s">
        <v>70</v>
      </c>
      <c r="E30" s="45">
        <v>46128</v>
      </c>
      <c r="F30" s="26" t="s">
        <v>55</v>
      </c>
      <c r="G30" s="26" t="s">
        <v>57</v>
      </c>
      <c r="H30" s="26" t="s">
        <v>57</v>
      </c>
      <c r="I30" s="26" t="s">
        <v>88</v>
      </c>
      <c r="J30" s="26" t="s">
        <v>57</v>
      </c>
      <c r="K30" s="27" t="s">
        <v>89</v>
      </c>
      <c r="L30" s="28" t="s">
        <v>56</v>
      </c>
      <c r="M30" s="29" t="str">
        <f t="shared" si="0"/>
        <v>⚠ Missing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116</v>
      </c>
      <c r="C31" s="25" t="s">
        <v>117</v>
      </c>
      <c r="D31" s="23" t="s">
        <v>70</v>
      </c>
      <c r="E31" s="45">
        <v>46128</v>
      </c>
      <c r="F31" s="26" t="s">
        <v>55</v>
      </c>
      <c r="G31" s="26" t="s">
        <v>57</v>
      </c>
      <c r="H31" s="26" t="s">
        <v>57</v>
      </c>
      <c r="I31" s="26" t="s">
        <v>88</v>
      </c>
      <c r="J31" s="26" t="s">
        <v>57</v>
      </c>
      <c r="K31" s="27" t="s">
        <v>89</v>
      </c>
      <c r="L31" s="28" t="s">
        <v>56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118</v>
      </c>
      <c r="C32" s="44" t="s">
        <v>119</v>
      </c>
      <c r="D32" s="42" t="s">
        <v>70</v>
      </c>
      <c r="E32" s="45">
        <v>46128</v>
      </c>
      <c r="F32" s="26" t="s">
        <v>55</v>
      </c>
      <c r="G32" s="26" t="s">
        <v>57</v>
      </c>
      <c r="H32" s="26" t="s">
        <v>57</v>
      </c>
      <c r="I32" s="26" t="s">
        <v>88</v>
      </c>
      <c r="J32" s="26" t="s">
        <v>57</v>
      </c>
      <c r="K32" s="27" t="s">
        <v>89</v>
      </c>
      <c r="L32" s="28" t="s">
        <v>56</v>
      </c>
      <c r="M32" s="29" t="str">
        <f t="shared" si="0"/>
        <v>⚠ Missing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120</v>
      </c>
      <c r="C33" s="25" t="s">
        <v>121</v>
      </c>
      <c r="D33" s="23" t="s">
        <v>70</v>
      </c>
      <c r="E33" s="45">
        <v>46128</v>
      </c>
      <c r="F33" s="26" t="s">
        <v>55</v>
      </c>
      <c r="G33" s="26" t="s">
        <v>57</v>
      </c>
      <c r="H33" s="26" t="s">
        <v>57</v>
      </c>
      <c r="I33" s="26" t="s">
        <v>88</v>
      </c>
      <c r="J33" s="26" t="s">
        <v>57</v>
      </c>
      <c r="K33" s="27" t="s">
        <v>89</v>
      </c>
      <c r="L33" s="28" t="s">
        <v>56</v>
      </c>
      <c r="M33" s="29" t="str">
        <f t="shared" si="0"/>
        <v>⚠ Missing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122</v>
      </c>
      <c r="C34" s="44" t="s">
        <v>123</v>
      </c>
      <c r="D34" s="42" t="s">
        <v>70</v>
      </c>
      <c r="E34" s="45">
        <v>46128</v>
      </c>
      <c r="F34" s="26" t="s">
        <v>55</v>
      </c>
      <c r="G34" s="26" t="s">
        <v>57</v>
      </c>
      <c r="H34" s="26" t="s">
        <v>57</v>
      </c>
      <c r="I34" s="26" t="s">
        <v>88</v>
      </c>
      <c r="J34" s="26" t="s">
        <v>57</v>
      </c>
      <c r="K34" s="27" t="s">
        <v>89</v>
      </c>
      <c r="L34" s="28" t="s">
        <v>56</v>
      </c>
      <c r="M34" s="29" t="str">
        <f t="shared" si="0"/>
        <v>⚠ Missing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124</v>
      </c>
      <c r="C35" s="25" t="s">
        <v>125</v>
      </c>
      <c r="D35" s="23" t="s">
        <v>70</v>
      </c>
      <c r="E35" s="45">
        <v>46128</v>
      </c>
      <c r="F35" s="26" t="s">
        <v>55</v>
      </c>
      <c r="G35" s="26" t="s">
        <v>57</v>
      </c>
      <c r="H35" s="26" t="s">
        <v>57</v>
      </c>
      <c r="I35" s="26" t="s">
        <v>88</v>
      </c>
      <c r="J35" s="26" t="s">
        <v>57</v>
      </c>
      <c r="K35" s="27" t="s">
        <v>89</v>
      </c>
      <c r="L35" s="28" t="s">
        <v>56</v>
      </c>
      <c r="M35" s="29" t="str">
        <f t="shared" si="0"/>
        <v>⚠ Missing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126</v>
      </c>
      <c r="C36" s="44" t="s">
        <v>127</v>
      </c>
      <c r="D36" s="42" t="s">
        <v>70</v>
      </c>
      <c r="E36" s="45">
        <v>46128</v>
      </c>
      <c r="F36" s="26" t="s">
        <v>55</v>
      </c>
      <c r="G36" s="26" t="s">
        <v>57</v>
      </c>
      <c r="H36" s="26" t="s">
        <v>57</v>
      </c>
      <c r="I36" s="26" t="s">
        <v>88</v>
      </c>
      <c r="J36" s="26" t="s">
        <v>57</v>
      </c>
      <c r="K36" s="27" t="s">
        <v>89</v>
      </c>
      <c r="L36" s="28" t="s">
        <v>56</v>
      </c>
      <c r="M36" s="29" t="str">
        <f t="shared" si="0"/>
        <v>⚠ Missing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128</v>
      </c>
      <c r="C37" s="25" t="s">
        <v>129</v>
      </c>
      <c r="D37" s="23" t="s">
        <v>70</v>
      </c>
      <c r="E37" s="45">
        <v>46128</v>
      </c>
      <c r="F37" s="26" t="s">
        <v>55</v>
      </c>
      <c r="G37" s="26" t="s">
        <v>57</v>
      </c>
      <c r="H37" s="26" t="s">
        <v>57</v>
      </c>
      <c r="I37" s="26" t="s">
        <v>88</v>
      </c>
      <c r="J37" s="26" t="s">
        <v>57</v>
      </c>
      <c r="K37" s="27" t="s">
        <v>89</v>
      </c>
      <c r="L37" s="28" t="s">
        <v>56</v>
      </c>
      <c r="M37" s="29" t="str">
        <f t="shared" si="0"/>
        <v>⚠ Missing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130</v>
      </c>
      <c r="C38" s="44" t="s">
        <v>131</v>
      </c>
      <c r="D38" s="42" t="s">
        <v>70</v>
      </c>
      <c r="E38" s="45">
        <v>46128</v>
      </c>
      <c r="F38" s="26" t="s">
        <v>55</v>
      </c>
      <c r="G38" s="26" t="s">
        <v>57</v>
      </c>
      <c r="H38" s="26" t="s">
        <v>57</v>
      </c>
      <c r="I38" s="26" t="s">
        <v>88</v>
      </c>
      <c r="J38" s="26" t="s">
        <v>57</v>
      </c>
      <c r="K38" s="27" t="s">
        <v>89</v>
      </c>
      <c r="L38" s="28" t="s">
        <v>56</v>
      </c>
      <c r="M38" s="29" t="str">
        <f t="shared" si="0"/>
        <v>⚠ Missing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132</v>
      </c>
      <c r="C39" s="25" t="s">
        <v>133</v>
      </c>
      <c r="D39" s="23" t="s">
        <v>70</v>
      </c>
      <c r="E39" s="45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134</v>
      </c>
      <c r="C40" s="44" t="s">
        <v>135</v>
      </c>
      <c r="D40" s="42" t="s">
        <v>70</v>
      </c>
      <c r="E40" s="45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74</v>
      </c>
      <c r="L40" s="28" t="s">
        <v>56</v>
      </c>
      <c r="M40" s="29" t="str">
        <f t="shared" si="0"/>
        <v>⚠ Check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136</v>
      </c>
      <c r="C41" s="25" t="s">
        <v>137</v>
      </c>
      <c r="D41" s="23" t="s">
        <v>70</v>
      </c>
      <c r="E41" s="45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138</v>
      </c>
      <c r="L41" s="28" t="s">
        <v>56</v>
      </c>
      <c r="M41" s="29" t="str">
        <f t="shared" si="0"/>
        <v>⚠ Check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139</v>
      </c>
      <c r="C42" s="44" t="s">
        <v>140</v>
      </c>
      <c r="D42" s="42" t="s">
        <v>70</v>
      </c>
      <c r="E42" s="45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57</v>
      </c>
      <c r="K42" s="27" t="s">
        <v>74</v>
      </c>
      <c r="L42" s="28" t="s">
        <v>56</v>
      </c>
      <c r="M42" s="29" t="str">
        <f t="shared" si="0"/>
        <v>⚠ Check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141</v>
      </c>
      <c r="C43" s="25" t="s">
        <v>142</v>
      </c>
      <c r="D43" s="23" t="s">
        <v>70</v>
      </c>
      <c r="E43" s="45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143</v>
      </c>
      <c r="C44" s="44" t="s">
        <v>144</v>
      </c>
      <c r="D44" s="42" t="s">
        <v>70</v>
      </c>
      <c r="E44" s="45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145</v>
      </c>
      <c r="C45" s="25" t="s">
        <v>146</v>
      </c>
      <c r="D45" s="23" t="s">
        <v>70</v>
      </c>
      <c r="E45" s="45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147</v>
      </c>
      <c r="C46" s="44" t="s">
        <v>148</v>
      </c>
      <c r="D46" s="42" t="s">
        <v>70</v>
      </c>
      <c r="E46" s="45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149</v>
      </c>
      <c r="C47" s="25" t="s">
        <v>150</v>
      </c>
      <c r="D47" s="23" t="s">
        <v>70</v>
      </c>
      <c r="E47" s="45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</v>
      </c>
      <c r="L47" s="28" t="s">
        <v>56</v>
      </c>
      <c r="M47" s="29" t="str">
        <f t="shared" si="0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151</v>
      </c>
      <c r="C48" s="44" t="s">
        <v>152</v>
      </c>
      <c r="D48" s="42" t="s">
        <v>70</v>
      </c>
      <c r="E48" s="45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153</v>
      </c>
      <c r="C49" s="25" t="s">
        <v>154</v>
      </c>
      <c r="D49" s="23" t="s">
        <v>155</v>
      </c>
      <c r="E49" s="45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56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156</v>
      </c>
      <c r="C50" s="44" t="s">
        <v>157</v>
      </c>
      <c r="D50" s="42" t="s">
        <v>155</v>
      </c>
      <c r="E50" s="45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158</v>
      </c>
      <c r="C51" s="25" t="s">
        <v>159</v>
      </c>
      <c r="D51" s="23" t="s">
        <v>155</v>
      </c>
      <c r="E51" s="45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160</v>
      </c>
      <c r="C52" s="44" t="s">
        <v>161</v>
      </c>
      <c r="D52" s="42" t="s">
        <v>155</v>
      </c>
      <c r="E52" s="45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162</v>
      </c>
      <c r="C53" s="25" t="s">
        <v>163</v>
      </c>
      <c r="D53" s="23" t="s">
        <v>155</v>
      </c>
      <c r="E53" s="45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164</v>
      </c>
      <c r="C54" s="44" t="s">
        <v>165</v>
      </c>
      <c r="D54" s="42" t="s">
        <v>155</v>
      </c>
      <c r="E54" s="45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166</v>
      </c>
      <c r="C55" s="25" t="s">
        <v>167</v>
      </c>
      <c r="D55" s="23" t="s">
        <v>155</v>
      </c>
      <c r="E55" s="45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168</v>
      </c>
      <c r="C56" s="44" t="s">
        <v>169</v>
      </c>
      <c r="D56" s="42" t="s">
        <v>155</v>
      </c>
      <c r="E56" s="45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170</v>
      </c>
      <c r="C57" s="25" t="s">
        <v>171</v>
      </c>
      <c r="D57" s="23" t="s">
        <v>172</v>
      </c>
      <c r="E57" s="45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173</v>
      </c>
      <c r="L57" s="28" t="s">
        <v>56</v>
      </c>
      <c r="M57" s="29" t="str">
        <f t="shared" si="0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174</v>
      </c>
      <c r="C58" s="44" t="s">
        <v>175</v>
      </c>
      <c r="D58" s="42" t="s">
        <v>172</v>
      </c>
      <c r="E58" s="45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176</v>
      </c>
      <c r="C59" s="25" t="s">
        <v>177</v>
      </c>
      <c r="D59" s="23" t="s">
        <v>172</v>
      </c>
      <c r="E59" s="45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178</v>
      </c>
      <c r="C60" s="44" t="s">
        <v>179</v>
      </c>
      <c r="D60" s="42" t="s">
        <v>172</v>
      </c>
      <c r="E60" s="45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180</v>
      </c>
      <c r="C61" s="25" t="s">
        <v>181</v>
      </c>
      <c r="D61" s="23" t="s">
        <v>172</v>
      </c>
      <c r="E61" s="45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57</v>
      </c>
      <c r="K61" s="27" t="s">
        <v>182</v>
      </c>
      <c r="L61" s="28" t="s">
        <v>56</v>
      </c>
      <c r="M61" s="29" t="str">
        <f t="shared" si="0"/>
        <v>⚠ Check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183</v>
      </c>
      <c r="C62" s="44" t="s">
        <v>184</v>
      </c>
      <c r="D62" s="42" t="s">
        <v>172</v>
      </c>
      <c r="E62" s="45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57</v>
      </c>
      <c r="K62" s="27" t="s">
        <v>173</v>
      </c>
      <c r="L62" s="28" t="s">
        <v>56</v>
      </c>
      <c r="M62" s="29" t="str">
        <f t="shared" si="0"/>
        <v>⚠ Check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185</v>
      </c>
      <c r="C63" s="25" t="s">
        <v>186</v>
      </c>
      <c r="D63" s="23" t="s">
        <v>172</v>
      </c>
      <c r="E63" s="45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187</v>
      </c>
      <c r="C64" s="44" t="s">
        <v>188</v>
      </c>
      <c r="D64" s="42" t="s">
        <v>172</v>
      </c>
      <c r="E64" s="45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182</v>
      </c>
      <c r="L64" s="28" t="s">
        <v>56</v>
      </c>
      <c r="M64" s="29" t="str">
        <f t="shared" si="0"/>
        <v>⚠ Check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189</v>
      </c>
      <c r="C65" s="25" t="s">
        <v>190</v>
      </c>
      <c r="D65" s="23" t="s">
        <v>172</v>
      </c>
      <c r="E65" s="45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57</v>
      </c>
      <c r="K65" s="27" t="s">
        <v>182</v>
      </c>
      <c r="L65" s="28" t="s">
        <v>56</v>
      </c>
      <c r="M65" s="29" t="str">
        <f t="shared" si="0"/>
        <v>⚠ Check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191</v>
      </c>
      <c r="C66" s="44" t="s">
        <v>192</v>
      </c>
      <c r="D66" s="42" t="s">
        <v>172</v>
      </c>
      <c r="E66" s="45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193</v>
      </c>
      <c r="C67" s="25" t="s">
        <v>194</v>
      </c>
      <c r="D67" s="23" t="s">
        <v>172</v>
      </c>
      <c r="E67" s="45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57</v>
      </c>
      <c r="K67" s="27" t="s">
        <v>195</v>
      </c>
      <c r="L67" s="28" t="s">
        <v>56</v>
      </c>
      <c r="M67" s="29" t="str">
        <f t="shared" si="0"/>
        <v>⚠ Check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196</v>
      </c>
      <c r="C68" s="44" t="s">
        <v>197</v>
      </c>
      <c r="D68" s="42" t="s">
        <v>172</v>
      </c>
      <c r="E68" s="45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182</v>
      </c>
      <c r="L68" s="28" t="s">
        <v>56</v>
      </c>
      <c r="M68" s="29" t="str">
        <f t="shared" si="0"/>
        <v>⚠ Check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198</v>
      </c>
      <c r="C69" s="25" t="s">
        <v>199</v>
      </c>
      <c r="D69" s="23" t="s">
        <v>172</v>
      </c>
      <c r="E69" s="45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57</v>
      </c>
      <c r="K69" s="27" t="s">
        <v>195</v>
      </c>
      <c r="L69" s="28" t="s">
        <v>56</v>
      </c>
      <c r="M69" s="29" t="str">
        <f t="shared" ref="M69:M132" si="5">IF(E69="","",IF(H69="Yes","❌ Disc",IF(G69="No","⚠ Missing",IF(J69="Yes","✓ OK","⚠ Check"))))</f>
        <v>⚠ Check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200</v>
      </c>
      <c r="C70" s="44" t="s">
        <v>201</v>
      </c>
      <c r="D70" s="42" t="s">
        <v>172</v>
      </c>
      <c r="E70" s="45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195</v>
      </c>
      <c r="L70" s="28" t="s">
        <v>56</v>
      </c>
      <c r="M70" s="29" t="str">
        <f t="shared" si="5"/>
        <v>⚠ Check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202</v>
      </c>
      <c r="C71" s="25" t="s">
        <v>203</v>
      </c>
      <c r="D71" s="23" t="s">
        <v>172</v>
      </c>
      <c r="E71" s="45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204</v>
      </c>
      <c r="C72" s="44" t="s">
        <v>205</v>
      </c>
      <c r="D72" s="42" t="s">
        <v>172</v>
      </c>
      <c r="E72" s="45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173</v>
      </c>
      <c r="L72" s="28" t="s">
        <v>56</v>
      </c>
      <c r="M72" s="29" t="str">
        <f t="shared" si="5"/>
        <v>⚠ Check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206</v>
      </c>
      <c r="C73" s="25" t="s">
        <v>207</v>
      </c>
      <c r="D73" s="23" t="s">
        <v>208</v>
      </c>
      <c r="E73" s="45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209</v>
      </c>
      <c r="C74" s="44" t="s">
        <v>210</v>
      </c>
      <c r="D74" s="42" t="s">
        <v>208</v>
      </c>
      <c r="E74" s="45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211</v>
      </c>
      <c r="C75" s="25" t="s">
        <v>212</v>
      </c>
      <c r="D75" s="23" t="s">
        <v>208</v>
      </c>
      <c r="E75" s="45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213</v>
      </c>
      <c r="C76" s="44" t="s">
        <v>214</v>
      </c>
      <c r="D76" s="42" t="s">
        <v>208</v>
      </c>
      <c r="E76" s="45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215</v>
      </c>
      <c r="C77" s="25" t="s">
        <v>216</v>
      </c>
      <c r="D77" s="23" t="s">
        <v>208</v>
      </c>
      <c r="E77" s="45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217</v>
      </c>
      <c r="C78" s="44" t="s">
        <v>218</v>
      </c>
      <c r="D78" s="42" t="s">
        <v>208</v>
      </c>
      <c r="E78" s="45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57</v>
      </c>
      <c r="K78" s="27" t="s">
        <v>219</v>
      </c>
      <c r="L78" s="28" t="s">
        <v>56</v>
      </c>
      <c r="M78" s="29" t="str">
        <f t="shared" si="5"/>
        <v>⚠ Check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220</v>
      </c>
      <c r="C79" s="25" t="s">
        <v>221</v>
      </c>
      <c r="D79" s="23" t="s">
        <v>208</v>
      </c>
      <c r="E79" s="45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57</v>
      </c>
      <c r="K79" s="27" t="s">
        <v>222</v>
      </c>
      <c r="L79" s="28" t="s">
        <v>56</v>
      </c>
      <c r="M79" s="29" t="str">
        <f t="shared" si="5"/>
        <v>⚠ Check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223</v>
      </c>
      <c r="C80" s="44" t="s">
        <v>224</v>
      </c>
      <c r="D80" s="42" t="s">
        <v>208</v>
      </c>
      <c r="E80" s="45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225</v>
      </c>
      <c r="C81" s="25" t="s">
        <v>226</v>
      </c>
      <c r="D81" s="23" t="s">
        <v>208</v>
      </c>
      <c r="E81" s="45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57</v>
      </c>
      <c r="K81" s="27" t="s">
        <v>219</v>
      </c>
      <c r="L81" s="28" t="s">
        <v>56</v>
      </c>
      <c r="M81" s="29" t="str">
        <f t="shared" si="5"/>
        <v>⚠ Check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227</v>
      </c>
      <c r="C82" s="44" t="s">
        <v>228</v>
      </c>
      <c r="D82" s="42" t="s">
        <v>208</v>
      </c>
      <c r="E82" s="45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57</v>
      </c>
      <c r="K82" s="27" t="s">
        <v>219</v>
      </c>
      <c r="L82" s="28" t="s">
        <v>56</v>
      </c>
      <c r="M82" s="29" t="str">
        <f t="shared" si="5"/>
        <v>⚠ Check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229</v>
      </c>
      <c r="C83" s="25" t="s">
        <v>230</v>
      </c>
      <c r="D83" s="23" t="s">
        <v>208</v>
      </c>
      <c r="E83" s="45">
        <v>46127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231</v>
      </c>
      <c r="C84" s="44" t="s">
        <v>232</v>
      </c>
      <c r="D84" s="42" t="s">
        <v>208</v>
      </c>
      <c r="E84" s="45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57</v>
      </c>
      <c r="K84" s="27" t="s">
        <v>219</v>
      </c>
      <c r="L84" s="28" t="s">
        <v>56</v>
      </c>
      <c r="M84" s="29" t="str">
        <f t="shared" si="5"/>
        <v>⚠ Check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233</v>
      </c>
      <c r="C85" s="25" t="s">
        <v>234</v>
      </c>
      <c r="D85" s="23" t="s">
        <v>208</v>
      </c>
      <c r="E85" s="45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235</v>
      </c>
      <c r="C86" s="44" t="s">
        <v>236</v>
      </c>
      <c r="D86" s="42" t="s">
        <v>208</v>
      </c>
      <c r="E86" s="45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57</v>
      </c>
      <c r="K86" s="27" t="s">
        <v>219</v>
      </c>
      <c r="L86" s="28" t="s">
        <v>56</v>
      </c>
      <c r="M86" s="29" t="str">
        <f t="shared" si="5"/>
        <v>⚠ Check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237</v>
      </c>
      <c r="C87" s="25" t="s">
        <v>238</v>
      </c>
      <c r="D87" s="23" t="s">
        <v>208</v>
      </c>
      <c r="E87" s="45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57</v>
      </c>
      <c r="K87" s="27" t="s">
        <v>219</v>
      </c>
      <c r="L87" s="28" t="s">
        <v>56</v>
      </c>
      <c r="M87" s="29" t="str">
        <f t="shared" si="5"/>
        <v>⚠ Check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239</v>
      </c>
      <c r="C88" s="44" t="s">
        <v>240</v>
      </c>
      <c r="D88" s="42" t="s">
        <v>208</v>
      </c>
      <c r="E88" s="45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241</v>
      </c>
      <c r="C89" s="25" t="s">
        <v>242</v>
      </c>
      <c r="D89" s="23" t="s">
        <v>208</v>
      </c>
      <c r="E89" s="45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243</v>
      </c>
      <c r="C90" s="44" t="s">
        <v>244</v>
      </c>
      <c r="D90" s="42" t="s">
        <v>208</v>
      </c>
      <c r="E90" s="45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57</v>
      </c>
      <c r="K90" s="27" t="s">
        <v>219</v>
      </c>
      <c r="L90" s="28" t="s">
        <v>56</v>
      </c>
      <c r="M90" s="29" t="str">
        <f t="shared" si="5"/>
        <v>⚠ Check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245</v>
      </c>
      <c r="C91" s="25" t="s">
        <v>246</v>
      </c>
      <c r="D91" s="23" t="s">
        <v>208</v>
      </c>
      <c r="E91" s="45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247</v>
      </c>
      <c r="C92" s="44" t="s">
        <v>248</v>
      </c>
      <c r="D92" s="42" t="s">
        <v>208</v>
      </c>
      <c r="E92" s="45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57</v>
      </c>
      <c r="K92" s="27" t="s">
        <v>219</v>
      </c>
      <c r="L92" s="28" t="s">
        <v>56</v>
      </c>
      <c r="M92" s="29" t="str">
        <f t="shared" si="5"/>
        <v>⚠ Check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249</v>
      </c>
      <c r="C93" s="25" t="s">
        <v>250</v>
      </c>
      <c r="D93" s="23" t="s">
        <v>208</v>
      </c>
      <c r="E93" s="45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251</v>
      </c>
      <c r="C94" s="44" t="s">
        <v>252</v>
      </c>
      <c r="D94" s="42" t="s">
        <v>208</v>
      </c>
      <c r="E94" s="45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253</v>
      </c>
      <c r="C95" s="25" t="s">
        <v>254</v>
      </c>
      <c r="D95" s="23" t="s">
        <v>208</v>
      </c>
      <c r="E95" s="45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255</v>
      </c>
      <c r="C96" s="44" t="s">
        <v>256</v>
      </c>
      <c r="D96" s="42" t="s">
        <v>208</v>
      </c>
      <c r="E96" s="45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57</v>
      </c>
      <c r="K96" s="27" t="s">
        <v>219</v>
      </c>
      <c r="L96" s="28" t="s">
        <v>56</v>
      </c>
      <c r="M96" s="29" t="str">
        <f t="shared" si="5"/>
        <v>⚠ Check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257</v>
      </c>
      <c r="C97" s="25" t="s">
        <v>258</v>
      </c>
      <c r="D97" s="23" t="s">
        <v>208</v>
      </c>
      <c r="E97" s="45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57</v>
      </c>
      <c r="K97" s="27" t="s">
        <v>259</v>
      </c>
      <c r="L97" s="28" t="s">
        <v>56</v>
      </c>
      <c r="M97" s="29" t="str">
        <f t="shared" si="5"/>
        <v>⚠ Check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260</v>
      </c>
      <c r="C98" s="44" t="s">
        <v>261</v>
      </c>
      <c r="D98" s="42" t="s">
        <v>208</v>
      </c>
      <c r="E98" s="45">
        <v>46127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57</v>
      </c>
      <c r="K98" s="46" t="s">
        <v>259</v>
      </c>
      <c r="L98" s="28" t="s">
        <v>56</v>
      </c>
      <c r="M98" s="29" t="str">
        <f t="shared" si="5"/>
        <v>⚠ Check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262</v>
      </c>
      <c r="C99" s="25" t="s">
        <v>263</v>
      </c>
      <c r="D99" s="23" t="s">
        <v>208</v>
      </c>
      <c r="E99" s="45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57</v>
      </c>
      <c r="K99" s="27" t="s">
        <v>264</v>
      </c>
      <c r="L99" s="28" t="s">
        <v>56</v>
      </c>
      <c r="M99" s="29" t="str">
        <f t="shared" si="5"/>
        <v>⚠ Check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265</v>
      </c>
      <c r="C100" s="44" t="s">
        <v>266</v>
      </c>
      <c r="D100" s="42" t="s">
        <v>208</v>
      </c>
      <c r="E100" s="45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57</v>
      </c>
      <c r="K100" s="27" t="s">
        <v>267</v>
      </c>
      <c r="L100" s="28" t="s">
        <v>56</v>
      </c>
      <c r="M100" s="29" t="str">
        <f t="shared" si="5"/>
        <v>⚠ Check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268</v>
      </c>
      <c r="C101" s="25" t="s">
        <v>269</v>
      </c>
      <c r="D101" s="23" t="s">
        <v>208</v>
      </c>
      <c r="E101" s="45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57</v>
      </c>
      <c r="K101" s="46" t="s">
        <v>259</v>
      </c>
      <c r="L101" s="28" t="s">
        <v>56</v>
      </c>
      <c r="M101" s="29" t="str">
        <f t="shared" si="5"/>
        <v>⚠ Check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270</v>
      </c>
      <c r="C102" s="44" t="s">
        <v>271</v>
      </c>
      <c r="D102" s="42" t="s">
        <v>208</v>
      </c>
      <c r="E102" s="45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57</v>
      </c>
      <c r="K102" s="46" t="s">
        <v>259</v>
      </c>
      <c r="L102" s="28" t="s">
        <v>56</v>
      </c>
      <c r="M102" s="29" t="str">
        <f t="shared" si="5"/>
        <v>⚠ Check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272</v>
      </c>
      <c r="C103" s="25" t="s">
        <v>273</v>
      </c>
      <c r="D103" s="23" t="s">
        <v>208</v>
      </c>
      <c r="E103" s="45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57</v>
      </c>
      <c r="K103" s="27" t="s">
        <v>59</v>
      </c>
      <c r="L103" s="28" t="s">
        <v>56</v>
      </c>
      <c r="M103" s="29" t="str">
        <f t="shared" si="5"/>
        <v>⚠ Check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274</v>
      </c>
      <c r="C104" s="44" t="s">
        <v>275</v>
      </c>
      <c r="D104" s="42" t="s">
        <v>208</v>
      </c>
      <c r="E104" s="45">
        <v>46127</v>
      </c>
      <c r="F104" s="26" t="s">
        <v>55</v>
      </c>
      <c r="G104" s="26" t="s">
        <v>56</v>
      </c>
      <c r="H104" s="26" t="s">
        <v>57</v>
      </c>
      <c r="I104" s="26" t="s">
        <v>276</v>
      </c>
      <c r="J104" s="26" t="s">
        <v>57</v>
      </c>
      <c r="K104" s="27" t="s">
        <v>277</v>
      </c>
      <c r="L104" s="28" t="s">
        <v>56</v>
      </c>
      <c r="M104" s="29" t="str">
        <f t="shared" si="5"/>
        <v>⚠ Check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278</v>
      </c>
      <c r="C105" s="25" t="s">
        <v>279</v>
      </c>
      <c r="D105" s="23" t="s">
        <v>208</v>
      </c>
      <c r="E105" s="45">
        <v>46127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280</v>
      </c>
      <c r="C106" s="44" t="s">
        <v>281</v>
      </c>
      <c r="D106" s="42" t="s">
        <v>208</v>
      </c>
      <c r="E106" s="45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282</v>
      </c>
      <c r="C107" s="25" t="s">
        <v>283</v>
      </c>
      <c r="D107" s="23" t="s">
        <v>208</v>
      </c>
      <c r="E107" s="45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284</v>
      </c>
      <c r="C108" s="44" t="s">
        <v>285</v>
      </c>
      <c r="D108" s="42" t="s">
        <v>208</v>
      </c>
      <c r="E108" s="45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286</v>
      </c>
      <c r="C109" s="25" t="s">
        <v>287</v>
      </c>
      <c r="D109" s="23" t="s">
        <v>208</v>
      </c>
      <c r="E109" s="45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288</v>
      </c>
      <c r="C110" s="44" t="s">
        <v>289</v>
      </c>
      <c r="D110" s="42" t="s">
        <v>208</v>
      </c>
      <c r="E110" s="45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290</v>
      </c>
      <c r="C111" s="25" t="s">
        <v>291</v>
      </c>
      <c r="D111" s="23" t="s">
        <v>208</v>
      </c>
      <c r="E111" s="45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57</v>
      </c>
      <c r="K111" s="27" t="s">
        <v>173</v>
      </c>
      <c r="L111" s="28" t="s">
        <v>56</v>
      </c>
      <c r="M111" s="29" t="str">
        <f t="shared" si="5"/>
        <v>⚠ Check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292</v>
      </c>
      <c r="C112" s="44" t="s">
        <v>293</v>
      </c>
      <c r="D112" s="42" t="s">
        <v>208</v>
      </c>
      <c r="E112" s="45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57</v>
      </c>
      <c r="K112" s="27" t="s">
        <v>294</v>
      </c>
      <c r="L112" s="28" t="s">
        <v>56</v>
      </c>
      <c r="M112" s="29" t="str">
        <f t="shared" si="5"/>
        <v>⚠ Check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295</v>
      </c>
      <c r="C113" s="25" t="s">
        <v>296</v>
      </c>
      <c r="D113" s="23" t="s">
        <v>208</v>
      </c>
      <c r="E113" s="45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297</v>
      </c>
      <c r="C114" s="44" t="s">
        <v>298</v>
      </c>
      <c r="D114" s="42" t="s">
        <v>208</v>
      </c>
      <c r="E114" s="45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57</v>
      </c>
      <c r="K114" s="46" t="s">
        <v>259</v>
      </c>
      <c r="L114" s="28" t="s">
        <v>56</v>
      </c>
      <c r="M114" s="29" t="str">
        <f t="shared" si="5"/>
        <v>⚠ Check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299</v>
      </c>
      <c r="C115" s="25" t="s">
        <v>300</v>
      </c>
      <c r="D115" s="23" t="s">
        <v>208</v>
      </c>
      <c r="E115" s="45">
        <v>46127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57</v>
      </c>
      <c r="K115" s="27" t="s">
        <v>301</v>
      </c>
      <c r="L115" s="28" t="s">
        <v>56</v>
      </c>
      <c r="M115" s="29" t="str">
        <f t="shared" si="5"/>
        <v>⚠ Check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302</v>
      </c>
      <c r="C116" s="44" t="s">
        <v>303</v>
      </c>
      <c r="D116" s="42" t="s">
        <v>208</v>
      </c>
      <c r="E116" s="45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304</v>
      </c>
      <c r="C117" s="25" t="s">
        <v>305</v>
      </c>
      <c r="D117" s="23" t="s">
        <v>208</v>
      </c>
      <c r="E117" s="45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306</v>
      </c>
      <c r="C118" s="44" t="s">
        <v>307</v>
      </c>
      <c r="D118" s="42" t="s">
        <v>208</v>
      </c>
      <c r="E118" s="45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308</v>
      </c>
      <c r="C119" s="25" t="s">
        <v>309</v>
      </c>
      <c r="D119" s="23" t="s">
        <v>208</v>
      </c>
      <c r="E119" s="45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310</v>
      </c>
      <c r="C120" s="44" t="s">
        <v>311</v>
      </c>
      <c r="D120" s="42" t="s">
        <v>208</v>
      </c>
      <c r="E120" s="45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312</v>
      </c>
      <c r="C121" s="25" t="s">
        <v>313</v>
      </c>
      <c r="D121" s="23" t="s">
        <v>208</v>
      </c>
      <c r="E121" s="45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57</v>
      </c>
      <c r="K121" s="46" t="s">
        <v>259</v>
      </c>
      <c r="L121" s="28" t="s">
        <v>56</v>
      </c>
      <c r="M121" s="29" t="str">
        <f t="shared" si="5"/>
        <v>⚠ Check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314</v>
      </c>
      <c r="C122" s="44" t="s">
        <v>315</v>
      </c>
      <c r="D122" s="42" t="s">
        <v>208</v>
      </c>
      <c r="E122" s="45">
        <v>46127</v>
      </c>
      <c r="F122" s="26" t="s">
        <v>55</v>
      </c>
      <c r="G122" s="26" t="s">
        <v>56</v>
      </c>
      <c r="H122" s="26" t="s">
        <v>57</v>
      </c>
      <c r="I122" s="26" t="s">
        <v>276</v>
      </c>
      <c r="J122" s="26" t="s">
        <v>57</v>
      </c>
      <c r="K122" s="27" t="s">
        <v>316</v>
      </c>
      <c r="L122" s="28" t="s">
        <v>56</v>
      </c>
      <c r="M122" s="29" t="str">
        <f t="shared" si="5"/>
        <v>⚠ Check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317</v>
      </c>
      <c r="C123" s="25" t="s">
        <v>318</v>
      </c>
      <c r="D123" s="23" t="s">
        <v>208</v>
      </c>
      <c r="E123" s="45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319</v>
      </c>
      <c r="C124" s="44" t="s">
        <v>320</v>
      </c>
      <c r="D124" s="42" t="s">
        <v>208</v>
      </c>
      <c r="E124" s="45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321</v>
      </c>
      <c r="C125" s="25" t="s">
        <v>322</v>
      </c>
      <c r="D125" s="23" t="s">
        <v>208</v>
      </c>
      <c r="E125" s="45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57</v>
      </c>
      <c r="K125" s="27" t="s">
        <v>59</v>
      </c>
      <c r="L125" s="28" t="s">
        <v>56</v>
      </c>
      <c r="M125" s="29" t="str">
        <f t="shared" si="5"/>
        <v>⚠ Check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323</v>
      </c>
      <c r="C126" s="44" t="s">
        <v>324</v>
      </c>
      <c r="D126" s="42" t="s">
        <v>208</v>
      </c>
      <c r="E126" s="45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57</v>
      </c>
      <c r="K126" s="27" t="s">
        <v>325</v>
      </c>
      <c r="L126" s="28" t="s">
        <v>56</v>
      </c>
      <c r="M126" s="29" t="str">
        <f t="shared" si="5"/>
        <v>⚠ Check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326</v>
      </c>
      <c r="C127" s="25" t="s">
        <v>327</v>
      </c>
      <c r="D127" s="23" t="s">
        <v>208</v>
      </c>
      <c r="E127" s="45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57</v>
      </c>
      <c r="K127" s="46" t="s">
        <v>259</v>
      </c>
      <c r="L127" s="28" t="s">
        <v>56</v>
      </c>
      <c r="M127" s="29" t="str">
        <f t="shared" si="5"/>
        <v>⚠ Check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328</v>
      </c>
      <c r="C128" s="44" t="s">
        <v>329</v>
      </c>
      <c r="D128" s="42" t="s">
        <v>208</v>
      </c>
      <c r="E128" s="45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330</v>
      </c>
      <c r="C129" s="25" t="s">
        <v>331</v>
      </c>
      <c r="D129" s="23" t="s">
        <v>208</v>
      </c>
      <c r="E129" s="45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57</v>
      </c>
      <c r="K129" s="46" t="s">
        <v>259</v>
      </c>
      <c r="L129" s="28" t="s">
        <v>56</v>
      </c>
      <c r="M129" s="29" t="str">
        <f t="shared" si="5"/>
        <v>⚠ Check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332</v>
      </c>
      <c r="C130" s="44" t="s">
        <v>333</v>
      </c>
      <c r="D130" s="42" t="s">
        <v>208</v>
      </c>
      <c r="E130" s="45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334</v>
      </c>
      <c r="C131" s="25" t="s">
        <v>335</v>
      </c>
      <c r="D131" s="23" t="s">
        <v>208</v>
      </c>
      <c r="E131" s="45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336</v>
      </c>
      <c r="C132" s="44" t="s">
        <v>337</v>
      </c>
      <c r="D132" s="42" t="s">
        <v>208</v>
      </c>
      <c r="E132" s="45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338</v>
      </c>
      <c r="C133" s="25" t="s">
        <v>339</v>
      </c>
      <c r="D133" s="23" t="s">
        <v>208</v>
      </c>
      <c r="E133" s="45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57</v>
      </c>
      <c r="K133" s="27" t="s">
        <v>259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Check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340</v>
      </c>
      <c r="C134" s="44" t="s">
        <v>341</v>
      </c>
      <c r="D134" s="42" t="s">
        <v>208</v>
      </c>
      <c r="E134" s="45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57</v>
      </c>
      <c r="K134" s="27" t="s">
        <v>342</v>
      </c>
      <c r="L134" s="28" t="s">
        <v>56</v>
      </c>
      <c r="M134" s="29" t="str">
        <f t="shared" si="10"/>
        <v>⚠ Check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343</v>
      </c>
      <c r="C135" s="25" t="s">
        <v>344</v>
      </c>
      <c r="D135" s="23" t="s">
        <v>208</v>
      </c>
      <c r="E135" s="45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345</v>
      </c>
      <c r="C136" s="44" t="s">
        <v>346</v>
      </c>
      <c r="D136" s="42" t="s">
        <v>208</v>
      </c>
      <c r="E136" s="45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57</v>
      </c>
      <c r="K136" s="46" t="s">
        <v>259</v>
      </c>
      <c r="L136" s="28" t="s">
        <v>56</v>
      </c>
      <c r="M136" s="29" t="str">
        <f t="shared" si="10"/>
        <v>⚠ Check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347</v>
      </c>
      <c r="C137" s="25" t="s">
        <v>348</v>
      </c>
      <c r="D137" s="23" t="s">
        <v>208</v>
      </c>
      <c r="E137" s="45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57</v>
      </c>
      <c r="K137" s="46" t="s">
        <v>349</v>
      </c>
      <c r="L137" s="28" t="s">
        <v>56</v>
      </c>
      <c r="M137" s="29" t="str">
        <f t="shared" si="10"/>
        <v>⚠ Check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350</v>
      </c>
      <c r="C138" s="44" t="s">
        <v>351</v>
      </c>
      <c r="D138" s="42" t="s">
        <v>208</v>
      </c>
      <c r="E138" s="45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57</v>
      </c>
      <c r="K138" s="46" t="s">
        <v>259</v>
      </c>
      <c r="L138" s="28" t="s">
        <v>56</v>
      </c>
      <c r="M138" s="29" t="str">
        <f t="shared" si="10"/>
        <v>⚠ Check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352</v>
      </c>
      <c r="C139" s="25" t="s">
        <v>353</v>
      </c>
      <c r="D139" s="23" t="s">
        <v>208</v>
      </c>
      <c r="E139" s="45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57</v>
      </c>
      <c r="K139" s="46" t="s">
        <v>259</v>
      </c>
      <c r="L139" s="28" t="s">
        <v>56</v>
      </c>
      <c r="M139" s="29" t="str">
        <f t="shared" si="10"/>
        <v>⚠ Check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354</v>
      </c>
      <c r="C140" s="44" t="s">
        <v>355</v>
      </c>
      <c r="D140" s="42" t="s">
        <v>208</v>
      </c>
      <c r="E140" s="45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57</v>
      </c>
      <c r="K140" s="46" t="s">
        <v>259</v>
      </c>
      <c r="L140" s="28" t="s">
        <v>56</v>
      </c>
      <c r="M140" s="29" t="str">
        <f t="shared" si="10"/>
        <v>⚠ Check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356</v>
      </c>
      <c r="C141" s="25" t="s">
        <v>357</v>
      </c>
      <c r="D141" s="23" t="s">
        <v>208</v>
      </c>
      <c r="E141" s="45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57</v>
      </c>
      <c r="K141" s="27" t="s">
        <v>358</v>
      </c>
      <c r="L141" s="28" t="s">
        <v>56</v>
      </c>
      <c r="M141" s="29" t="str">
        <f t="shared" si="10"/>
        <v>⚠ Check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359</v>
      </c>
      <c r="C142" s="44" t="s">
        <v>360</v>
      </c>
      <c r="D142" s="42" t="s">
        <v>208</v>
      </c>
      <c r="E142" s="45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57</v>
      </c>
      <c r="K142" s="27" t="s">
        <v>361</v>
      </c>
      <c r="L142" s="28" t="s">
        <v>56</v>
      </c>
      <c r="M142" s="29" t="str">
        <f t="shared" si="10"/>
        <v>⚠ Check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362</v>
      </c>
      <c r="C143" s="25" t="s">
        <v>363</v>
      </c>
      <c r="D143" s="23" t="s">
        <v>208</v>
      </c>
      <c r="E143" s="45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57</v>
      </c>
      <c r="K143" s="27" t="s">
        <v>259</v>
      </c>
      <c r="L143" s="28" t="s">
        <v>56</v>
      </c>
      <c r="M143" s="29" t="str">
        <f t="shared" si="10"/>
        <v>⚠ Check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364</v>
      </c>
      <c r="C144" s="44" t="s">
        <v>365</v>
      </c>
      <c r="D144" s="42" t="s">
        <v>208</v>
      </c>
      <c r="E144" s="45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57</v>
      </c>
      <c r="K144" s="46" t="s">
        <v>259</v>
      </c>
      <c r="L144" s="28" t="s">
        <v>56</v>
      </c>
      <c r="M144" s="29" t="str">
        <f t="shared" si="10"/>
        <v>⚠ Check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366</v>
      </c>
      <c r="C145" s="25" t="s">
        <v>367</v>
      </c>
      <c r="D145" s="23" t="s">
        <v>208</v>
      </c>
      <c r="E145" s="45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57</v>
      </c>
      <c r="K145" s="27" t="s">
        <v>368</v>
      </c>
      <c r="L145" s="28" t="s">
        <v>56</v>
      </c>
      <c r="M145" s="29" t="str">
        <f t="shared" si="10"/>
        <v>⚠ Check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369</v>
      </c>
      <c r="C146" s="44" t="s">
        <v>370</v>
      </c>
      <c r="D146" s="42" t="s">
        <v>208</v>
      </c>
      <c r="E146" s="45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57</v>
      </c>
      <c r="K146" s="27" t="s">
        <v>259</v>
      </c>
      <c r="L146" s="28" t="s">
        <v>56</v>
      </c>
      <c r="M146" s="29" t="str">
        <f t="shared" si="10"/>
        <v>⚠ Check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371</v>
      </c>
      <c r="C147" s="25" t="s">
        <v>372</v>
      </c>
      <c r="D147" s="23" t="s">
        <v>208</v>
      </c>
      <c r="E147" s="45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57</v>
      </c>
      <c r="K147" s="27" t="s">
        <v>259</v>
      </c>
      <c r="L147" s="28" t="s">
        <v>56</v>
      </c>
      <c r="M147" s="29" t="str">
        <f t="shared" si="10"/>
        <v>⚠ Check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373</v>
      </c>
      <c r="C148" s="44" t="s">
        <v>374</v>
      </c>
      <c r="D148" s="42" t="s">
        <v>208</v>
      </c>
      <c r="E148" s="45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57</v>
      </c>
      <c r="K148" s="27" t="s">
        <v>259</v>
      </c>
      <c r="L148" s="28" t="s">
        <v>56</v>
      </c>
      <c r="M148" s="29" t="str">
        <f t="shared" si="10"/>
        <v>⚠ Check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375</v>
      </c>
      <c r="C149" s="25" t="s">
        <v>376</v>
      </c>
      <c r="D149" s="23" t="s">
        <v>208</v>
      </c>
      <c r="E149" s="45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57</v>
      </c>
      <c r="K149" s="27" t="s">
        <v>259</v>
      </c>
      <c r="L149" s="28" t="s">
        <v>56</v>
      </c>
      <c r="M149" s="29" t="str">
        <f t="shared" si="10"/>
        <v>⚠ Check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377</v>
      </c>
      <c r="C150" s="44" t="s">
        <v>378</v>
      </c>
      <c r="D150" s="42" t="s">
        <v>208</v>
      </c>
      <c r="E150" s="45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57</v>
      </c>
      <c r="K150" s="46" t="s">
        <v>259</v>
      </c>
      <c r="L150" s="28" t="s">
        <v>56</v>
      </c>
      <c r="M150" s="29" t="str">
        <f t="shared" si="10"/>
        <v>⚠ Check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379</v>
      </c>
      <c r="C151" s="25" t="s">
        <v>380</v>
      </c>
      <c r="D151" s="23" t="s">
        <v>208</v>
      </c>
      <c r="E151" s="45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57</v>
      </c>
      <c r="K151" s="46" t="s">
        <v>259</v>
      </c>
      <c r="L151" s="28" t="s">
        <v>56</v>
      </c>
      <c r="M151" s="29" t="str">
        <f t="shared" si="10"/>
        <v>⚠ Check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381</v>
      </c>
      <c r="C152" s="44" t="s">
        <v>382</v>
      </c>
      <c r="D152" s="42" t="s">
        <v>208</v>
      </c>
      <c r="E152" s="45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57</v>
      </c>
      <c r="K152" s="46" t="s">
        <v>259</v>
      </c>
      <c r="L152" s="28" t="s">
        <v>56</v>
      </c>
      <c r="M152" s="29" t="str">
        <f t="shared" si="10"/>
        <v>⚠ Check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383</v>
      </c>
      <c r="C153" s="25" t="s">
        <v>384</v>
      </c>
      <c r="D153" s="23" t="s">
        <v>208</v>
      </c>
      <c r="E153" s="45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385</v>
      </c>
      <c r="C154" s="44" t="s">
        <v>386</v>
      </c>
      <c r="D154" s="42" t="s">
        <v>208</v>
      </c>
      <c r="E154" s="45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387</v>
      </c>
      <c r="C155" s="25" t="s">
        <v>388</v>
      </c>
      <c r="D155" s="23" t="s">
        <v>208</v>
      </c>
      <c r="E155" s="45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389</v>
      </c>
      <c r="C156" s="44" t="s">
        <v>390</v>
      </c>
      <c r="D156" s="42" t="s">
        <v>208</v>
      </c>
      <c r="E156" s="45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391</v>
      </c>
      <c r="C157" s="25" t="s">
        <v>392</v>
      </c>
      <c r="D157" s="23" t="s">
        <v>208</v>
      </c>
      <c r="E157" s="45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393</v>
      </c>
      <c r="C158" s="44" t="s">
        <v>394</v>
      </c>
      <c r="D158" s="42" t="s">
        <v>208</v>
      </c>
      <c r="E158" s="45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57</v>
      </c>
      <c r="K158" s="27" t="s">
        <v>59</v>
      </c>
      <c r="L158" s="28" t="s">
        <v>56</v>
      </c>
      <c r="M158" s="29" t="str">
        <f t="shared" si="10"/>
        <v>⚠ Check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395</v>
      </c>
      <c r="C159" s="25" t="s">
        <v>396</v>
      </c>
      <c r="D159" s="23" t="s">
        <v>208</v>
      </c>
      <c r="E159" s="45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57</v>
      </c>
      <c r="K159" s="27" t="s">
        <v>397</v>
      </c>
      <c r="L159" s="28" t="s">
        <v>56</v>
      </c>
      <c r="M159" s="29" t="str">
        <f t="shared" si="10"/>
        <v>⚠ Check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398</v>
      </c>
      <c r="C160" s="44" t="s">
        <v>399</v>
      </c>
      <c r="D160" s="42" t="s">
        <v>208</v>
      </c>
      <c r="E160" s="45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400</v>
      </c>
      <c r="C161" s="25" t="s">
        <v>401</v>
      </c>
      <c r="D161" s="23" t="s">
        <v>208</v>
      </c>
      <c r="E161" s="45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57</v>
      </c>
      <c r="K161" s="27" t="s">
        <v>74</v>
      </c>
      <c r="L161" s="28" t="s">
        <v>56</v>
      </c>
      <c r="M161" s="29" t="str">
        <f t="shared" si="10"/>
        <v>⚠ Check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402</v>
      </c>
      <c r="C162" s="44" t="s">
        <v>403</v>
      </c>
      <c r="D162" s="42" t="s">
        <v>208</v>
      </c>
      <c r="E162" s="45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404</v>
      </c>
      <c r="C163" s="25" t="s">
        <v>405</v>
      </c>
      <c r="D163" s="23" t="s">
        <v>208</v>
      </c>
      <c r="E163" s="45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57</v>
      </c>
      <c r="K163" s="27" t="s">
        <v>173</v>
      </c>
      <c r="L163" s="28" t="s">
        <v>56</v>
      </c>
      <c r="M163" s="29" t="str">
        <f t="shared" si="10"/>
        <v>⚠ Check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406</v>
      </c>
      <c r="C164" s="44" t="s">
        <v>407</v>
      </c>
      <c r="D164" s="42" t="s">
        <v>208</v>
      </c>
      <c r="E164" s="45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408</v>
      </c>
      <c r="C165" s="25" t="s">
        <v>409</v>
      </c>
      <c r="D165" s="23" t="s">
        <v>208</v>
      </c>
      <c r="E165" s="45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410</v>
      </c>
      <c r="C166" s="44" t="s">
        <v>411</v>
      </c>
      <c r="D166" s="42" t="s">
        <v>208</v>
      </c>
      <c r="E166" s="45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57</v>
      </c>
      <c r="K166" s="27" t="s">
        <v>74</v>
      </c>
      <c r="L166" s="28" t="s">
        <v>56</v>
      </c>
      <c r="M166" s="29" t="str">
        <f t="shared" si="10"/>
        <v>⚠ Check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412</v>
      </c>
      <c r="C167" s="25" t="s">
        <v>413</v>
      </c>
      <c r="D167" s="23" t="s">
        <v>208</v>
      </c>
      <c r="E167" s="45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414</v>
      </c>
      <c r="C168" s="44" t="s">
        <v>415</v>
      </c>
      <c r="D168" s="42" t="s">
        <v>208</v>
      </c>
      <c r="E168" s="45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416</v>
      </c>
      <c r="C169" s="25" t="s">
        <v>417</v>
      </c>
      <c r="D169" s="23" t="s">
        <v>208</v>
      </c>
      <c r="E169" s="45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418</v>
      </c>
      <c r="C170" s="44" t="s">
        <v>419</v>
      </c>
      <c r="D170" s="42" t="s">
        <v>208</v>
      </c>
      <c r="E170" s="45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420</v>
      </c>
      <c r="C171" s="25" t="s">
        <v>421</v>
      </c>
      <c r="D171" s="23" t="s">
        <v>208</v>
      </c>
      <c r="E171" s="45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422</v>
      </c>
      <c r="C172" s="44" t="s">
        <v>423</v>
      </c>
      <c r="D172" s="42" t="s">
        <v>208</v>
      </c>
      <c r="E172" s="45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424</v>
      </c>
      <c r="C173" s="25" t="s">
        <v>425</v>
      </c>
      <c r="D173" s="23" t="s">
        <v>208</v>
      </c>
      <c r="E173" s="45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57</v>
      </c>
      <c r="K173" s="27" t="s">
        <v>74</v>
      </c>
      <c r="L173" s="28" t="s">
        <v>56</v>
      </c>
      <c r="M173" s="29" t="str">
        <f t="shared" si="10"/>
        <v>⚠ Check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426</v>
      </c>
      <c r="C174" s="44" t="s">
        <v>427</v>
      </c>
      <c r="D174" s="42" t="s">
        <v>208</v>
      </c>
      <c r="E174" s="45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428</v>
      </c>
      <c r="C175" s="25" t="s">
        <v>429</v>
      </c>
      <c r="D175" s="23" t="s">
        <v>208</v>
      </c>
      <c r="E175" s="45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57</v>
      </c>
      <c r="K175" s="27" t="s">
        <v>74</v>
      </c>
      <c r="L175" s="28" t="s">
        <v>56</v>
      </c>
      <c r="M175" s="29" t="str">
        <f t="shared" si="10"/>
        <v>⚠ Check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430</v>
      </c>
      <c r="C176" s="44" t="s">
        <v>431</v>
      </c>
      <c r="D176" s="42" t="s">
        <v>208</v>
      </c>
      <c r="E176" s="45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432</v>
      </c>
      <c r="C177" s="25" t="s">
        <v>433</v>
      </c>
      <c r="D177" s="23" t="s">
        <v>208</v>
      </c>
      <c r="E177" s="45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434</v>
      </c>
      <c r="C178" s="44" t="s">
        <v>435</v>
      </c>
      <c r="D178" s="42" t="s">
        <v>208</v>
      </c>
      <c r="E178" s="45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57</v>
      </c>
      <c r="K178" s="27" t="s">
        <v>259</v>
      </c>
      <c r="L178" s="28" t="s">
        <v>56</v>
      </c>
      <c r="M178" s="29" t="str">
        <f t="shared" si="10"/>
        <v>⚠ Check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436</v>
      </c>
      <c r="C179" s="25" t="s">
        <v>437</v>
      </c>
      <c r="D179" s="23" t="s">
        <v>208</v>
      </c>
      <c r="E179" s="45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57</v>
      </c>
      <c r="K179" s="46" t="s">
        <v>259</v>
      </c>
      <c r="L179" s="28" t="s">
        <v>56</v>
      </c>
      <c r="M179" s="29" t="str">
        <f t="shared" si="10"/>
        <v>⚠ Check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438</v>
      </c>
      <c r="C180" s="44" t="s">
        <v>439</v>
      </c>
      <c r="D180" s="42" t="s">
        <v>208</v>
      </c>
      <c r="E180" s="45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57</v>
      </c>
      <c r="K180" s="27" t="s">
        <v>349</v>
      </c>
      <c r="L180" s="28" t="s">
        <v>56</v>
      </c>
      <c r="M180" s="29" t="str">
        <f t="shared" si="10"/>
        <v>⚠ Check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440</v>
      </c>
      <c r="C181" s="25" t="s">
        <v>441</v>
      </c>
      <c r="D181" s="23" t="s">
        <v>208</v>
      </c>
      <c r="E181" s="45">
        <v>46127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57</v>
      </c>
      <c r="K181" s="46" t="s">
        <v>259</v>
      </c>
      <c r="L181" s="28" t="s">
        <v>56</v>
      </c>
      <c r="M181" s="29" t="str">
        <f t="shared" si="10"/>
        <v>⚠ Check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442</v>
      </c>
      <c r="C182" s="44" t="s">
        <v>443</v>
      </c>
      <c r="D182" s="42" t="s">
        <v>208</v>
      </c>
      <c r="E182" s="45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57</v>
      </c>
      <c r="K182" s="27" t="s">
        <v>259</v>
      </c>
      <c r="L182" s="28" t="s">
        <v>56</v>
      </c>
      <c r="M182" s="29" t="str">
        <f t="shared" si="10"/>
        <v>⚠ Check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444</v>
      </c>
      <c r="C183" s="25" t="s">
        <v>445</v>
      </c>
      <c r="D183" s="23" t="s">
        <v>208</v>
      </c>
      <c r="E183" s="45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57</v>
      </c>
      <c r="K183" s="46" t="s">
        <v>259</v>
      </c>
      <c r="L183" s="28" t="s">
        <v>56</v>
      </c>
      <c r="M183" s="29" t="str">
        <f t="shared" si="10"/>
        <v>⚠ Check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446</v>
      </c>
      <c r="C184" s="44" t="s">
        <v>447</v>
      </c>
      <c r="D184" s="42" t="s">
        <v>208</v>
      </c>
      <c r="E184" s="45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57</v>
      </c>
      <c r="K184" s="27" t="s">
        <v>448</v>
      </c>
      <c r="L184" s="28" t="s">
        <v>56</v>
      </c>
      <c r="M184" s="29" t="str">
        <f t="shared" si="10"/>
        <v>⚠ Check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449</v>
      </c>
      <c r="C185" s="25" t="s">
        <v>450</v>
      </c>
      <c r="D185" s="23" t="s">
        <v>208</v>
      </c>
      <c r="E185" s="45">
        <v>46127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57</v>
      </c>
      <c r="K185" s="27" t="s">
        <v>451</v>
      </c>
      <c r="L185" s="28" t="s">
        <v>56</v>
      </c>
      <c r="M185" s="29" t="str">
        <f t="shared" si="10"/>
        <v>⚠ Check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452</v>
      </c>
      <c r="C186" s="44" t="s">
        <v>453</v>
      </c>
      <c r="D186" s="42" t="s">
        <v>208</v>
      </c>
      <c r="E186" s="45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454</v>
      </c>
      <c r="C187" s="25" t="s">
        <v>455</v>
      </c>
      <c r="D187" s="23" t="s">
        <v>208</v>
      </c>
      <c r="E187" s="45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456</v>
      </c>
      <c r="C188" s="44" t="s">
        <v>457</v>
      </c>
      <c r="D188" s="42" t="s">
        <v>208</v>
      </c>
      <c r="E188" s="45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458</v>
      </c>
      <c r="C189" s="25" t="s">
        <v>459</v>
      </c>
      <c r="D189" s="23" t="s">
        <v>208</v>
      </c>
      <c r="E189" s="45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460</v>
      </c>
      <c r="C190" s="44" t="s">
        <v>461</v>
      </c>
      <c r="D190" s="42" t="s">
        <v>208</v>
      </c>
      <c r="E190" s="45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462</v>
      </c>
      <c r="C191" s="25" t="s">
        <v>463</v>
      </c>
      <c r="D191" s="23" t="s">
        <v>208</v>
      </c>
      <c r="E191" s="45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57</v>
      </c>
      <c r="K191" s="46" t="s">
        <v>259</v>
      </c>
      <c r="L191" s="28" t="s">
        <v>56</v>
      </c>
      <c r="M191" s="29" t="str">
        <f t="shared" si="10"/>
        <v>⚠ Check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464</v>
      </c>
      <c r="C192" s="44" t="s">
        <v>465</v>
      </c>
      <c r="D192" s="42" t="s">
        <v>208</v>
      </c>
      <c r="E192" s="45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466</v>
      </c>
      <c r="C193" s="25" t="s">
        <v>467</v>
      </c>
      <c r="D193" s="23" t="s">
        <v>208</v>
      </c>
      <c r="E193" s="45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57</v>
      </c>
      <c r="K193" s="46" t="s">
        <v>259</v>
      </c>
      <c r="L193" s="28" t="s">
        <v>56</v>
      </c>
      <c r="M193" s="29" t="str">
        <f t="shared" si="10"/>
        <v>⚠ Check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468</v>
      </c>
      <c r="C194" s="44" t="s">
        <v>469</v>
      </c>
      <c r="D194" s="42" t="s">
        <v>208</v>
      </c>
      <c r="E194" s="45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57</v>
      </c>
      <c r="K194" s="46" t="s">
        <v>259</v>
      </c>
      <c r="L194" s="28" t="s">
        <v>56</v>
      </c>
      <c r="M194" s="29" t="str">
        <f t="shared" si="10"/>
        <v>⚠ Check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470</v>
      </c>
      <c r="C195" s="25" t="s">
        <v>471</v>
      </c>
      <c r="D195" s="23" t="s">
        <v>208</v>
      </c>
      <c r="E195" s="45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57</v>
      </c>
      <c r="K195" s="27" t="s">
        <v>173</v>
      </c>
      <c r="L195" s="28" t="s">
        <v>56</v>
      </c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472</v>
      </c>
      <c r="C196" s="44" t="s">
        <v>473</v>
      </c>
      <c r="D196" s="42" t="s">
        <v>208</v>
      </c>
      <c r="E196" s="45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57</v>
      </c>
      <c r="K196" s="27" t="s">
        <v>474</v>
      </c>
      <c r="L196" s="28" t="s">
        <v>56</v>
      </c>
      <c r="M196" s="29" t="str">
        <f t="shared" si="10"/>
        <v>⚠ Check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475</v>
      </c>
      <c r="C197" s="25" t="s">
        <v>476</v>
      </c>
      <c r="D197" s="23" t="s">
        <v>208</v>
      </c>
      <c r="E197" s="45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57</v>
      </c>
      <c r="K197" s="27" t="s">
        <v>477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Check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478</v>
      </c>
      <c r="C198" s="44" t="s">
        <v>479</v>
      </c>
      <c r="D198" s="42" t="s">
        <v>208</v>
      </c>
      <c r="E198" s="45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480</v>
      </c>
      <c r="C199" s="25" t="s">
        <v>481</v>
      </c>
      <c r="D199" s="23" t="s">
        <v>208</v>
      </c>
      <c r="E199" s="45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482</v>
      </c>
      <c r="C200" s="44" t="s">
        <v>483</v>
      </c>
      <c r="D200" s="42" t="s">
        <v>208</v>
      </c>
      <c r="E200" s="45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484</v>
      </c>
      <c r="C201" s="25" t="s">
        <v>485</v>
      </c>
      <c r="D201" s="23" t="s">
        <v>208</v>
      </c>
      <c r="E201" s="45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486</v>
      </c>
      <c r="C202" s="44" t="s">
        <v>487</v>
      </c>
      <c r="D202" s="42" t="s">
        <v>208</v>
      </c>
      <c r="E202" s="45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57</v>
      </c>
      <c r="K202" s="27" t="s">
        <v>173</v>
      </c>
      <c r="L202" s="28" t="s">
        <v>56</v>
      </c>
      <c r="M202" s="29" t="str">
        <f t="shared" si="15"/>
        <v>⚠ Check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488</v>
      </c>
      <c r="C203" s="25" t="s">
        <v>489</v>
      </c>
      <c r="D203" s="23" t="s">
        <v>208</v>
      </c>
      <c r="E203" s="45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490</v>
      </c>
      <c r="C204" s="44" t="s">
        <v>491</v>
      </c>
      <c r="D204" s="42" t="s">
        <v>208</v>
      </c>
      <c r="E204" s="45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492</v>
      </c>
      <c r="C205" s="25" t="s">
        <v>493</v>
      </c>
      <c r="D205" s="23" t="s">
        <v>208</v>
      </c>
      <c r="E205" s="45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494</v>
      </c>
      <c r="C206" s="44" t="s">
        <v>495</v>
      </c>
      <c r="D206" s="42" t="s">
        <v>208</v>
      </c>
      <c r="E206" s="45">
        <v>46127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496</v>
      </c>
      <c r="C207" s="25" t="s">
        <v>497</v>
      </c>
      <c r="D207" s="23" t="s">
        <v>208</v>
      </c>
      <c r="E207" s="45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57</v>
      </c>
      <c r="K207" s="27" t="s">
        <v>498</v>
      </c>
      <c r="L207" s="28" t="s">
        <v>56</v>
      </c>
      <c r="M207" s="29" t="str">
        <f t="shared" si="15"/>
        <v>⚠ Check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499</v>
      </c>
      <c r="C208" s="44" t="s">
        <v>500</v>
      </c>
      <c r="D208" s="42" t="s">
        <v>208</v>
      </c>
      <c r="E208" s="45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501</v>
      </c>
      <c r="C209" s="25" t="s">
        <v>502</v>
      </c>
      <c r="D209" s="23" t="s">
        <v>208</v>
      </c>
      <c r="E209" s="45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503</v>
      </c>
      <c r="C210" s="44" t="s">
        <v>504</v>
      </c>
      <c r="D210" s="42" t="s">
        <v>208</v>
      </c>
      <c r="E210" s="45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505</v>
      </c>
      <c r="C211" s="25" t="s">
        <v>506</v>
      </c>
      <c r="D211" s="23" t="s">
        <v>208</v>
      </c>
      <c r="E211" s="45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507</v>
      </c>
      <c r="C212" s="44" t="s">
        <v>508</v>
      </c>
      <c r="D212" s="42" t="s">
        <v>208</v>
      </c>
      <c r="E212" s="45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509</v>
      </c>
      <c r="C213" s="25" t="s">
        <v>510</v>
      </c>
      <c r="D213" s="23" t="s">
        <v>208</v>
      </c>
      <c r="E213" s="45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57</v>
      </c>
      <c r="K213" s="27" t="s">
        <v>74</v>
      </c>
      <c r="L213" s="28" t="s">
        <v>56</v>
      </c>
      <c r="M213" s="29" t="str">
        <f t="shared" si="15"/>
        <v>⚠ Check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511</v>
      </c>
      <c r="C214" s="44" t="s">
        <v>512</v>
      </c>
      <c r="D214" s="42" t="s">
        <v>208</v>
      </c>
      <c r="E214" s="45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513</v>
      </c>
      <c r="C215" s="25" t="s">
        <v>514</v>
      </c>
      <c r="D215" s="23" t="s">
        <v>208</v>
      </c>
      <c r="E215" s="45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515</v>
      </c>
      <c r="C216" s="44" t="s">
        <v>516</v>
      </c>
      <c r="D216" s="42" t="s">
        <v>208</v>
      </c>
      <c r="E216" s="45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517</v>
      </c>
      <c r="C217" s="25" t="s">
        <v>518</v>
      </c>
      <c r="D217" s="23" t="s">
        <v>208</v>
      </c>
      <c r="E217" s="45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519</v>
      </c>
      <c r="C218" s="44" t="s">
        <v>520</v>
      </c>
      <c r="D218" s="42" t="s">
        <v>208</v>
      </c>
      <c r="E218" s="45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57</v>
      </c>
      <c r="K218" s="27" t="s">
        <v>521</v>
      </c>
      <c r="L218" s="28" t="s">
        <v>56</v>
      </c>
      <c r="M218" s="29" t="str">
        <f t="shared" si="15"/>
        <v>⚠ Check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522</v>
      </c>
      <c r="C219" s="25" t="s">
        <v>523</v>
      </c>
      <c r="D219" s="23" t="s">
        <v>208</v>
      </c>
      <c r="E219" s="45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524</v>
      </c>
      <c r="C220" s="44" t="s">
        <v>525</v>
      </c>
      <c r="D220" s="42" t="s">
        <v>208</v>
      </c>
      <c r="E220" s="45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526</v>
      </c>
      <c r="C221" s="25" t="s">
        <v>527</v>
      </c>
      <c r="D221" s="23" t="s">
        <v>208</v>
      </c>
      <c r="E221" s="45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57</v>
      </c>
      <c r="K221" s="27" t="s">
        <v>74</v>
      </c>
      <c r="L221" s="28" t="s">
        <v>56</v>
      </c>
      <c r="M221" s="29" t="str">
        <f t="shared" si="15"/>
        <v>⚠ Check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528</v>
      </c>
      <c r="C222" s="44" t="s">
        <v>529</v>
      </c>
      <c r="D222" s="42" t="s">
        <v>208</v>
      </c>
      <c r="E222" s="45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530</v>
      </c>
      <c r="C223" s="25" t="s">
        <v>531</v>
      </c>
      <c r="D223" s="23" t="s">
        <v>208</v>
      </c>
      <c r="E223" s="45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57</v>
      </c>
      <c r="K223" s="27" t="s">
        <v>532</v>
      </c>
      <c r="L223" s="28" t="s">
        <v>56</v>
      </c>
      <c r="M223" s="29" t="str">
        <f t="shared" si="15"/>
        <v>⚠ Check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533</v>
      </c>
      <c r="C224" s="44" t="s">
        <v>534</v>
      </c>
      <c r="D224" s="42" t="s">
        <v>208</v>
      </c>
      <c r="E224" s="45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535</v>
      </c>
      <c r="C225" s="25" t="s">
        <v>536</v>
      </c>
      <c r="D225" s="23" t="s">
        <v>208</v>
      </c>
      <c r="E225" s="45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537</v>
      </c>
      <c r="C226" s="44" t="s">
        <v>538</v>
      </c>
      <c r="D226" s="42" t="s">
        <v>208</v>
      </c>
      <c r="E226" s="45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539</v>
      </c>
      <c r="C227" s="25" t="s">
        <v>540</v>
      </c>
      <c r="D227" s="23" t="s">
        <v>208</v>
      </c>
      <c r="E227" s="45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541</v>
      </c>
      <c r="C228" s="44" t="s">
        <v>542</v>
      </c>
      <c r="D228" s="42" t="s">
        <v>208</v>
      </c>
      <c r="E228" s="45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57</v>
      </c>
      <c r="K228" s="27" t="s">
        <v>173</v>
      </c>
      <c r="L228" s="28" t="s">
        <v>56</v>
      </c>
      <c r="M228" s="29" t="str">
        <f t="shared" si="15"/>
        <v>⚠ Check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543</v>
      </c>
      <c r="C229" s="25" t="s">
        <v>544</v>
      </c>
      <c r="D229" s="23" t="s">
        <v>208</v>
      </c>
      <c r="E229" s="45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57</v>
      </c>
      <c r="K229" s="27" t="s">
        <v>545</v>
      </c>
      <c r="L229" s="28" t="s">
        <v>56</v>
      </c>
      <c r="M229" s="29" t="str">
        <f t="shared" si="15"/>
        <v>⚠ Check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546</v>
      </c>
      <c r="C230" s="44" t="s">
        <v>547</v>
      </c>
      <c r="D230" s="42" t="s">
        <v>208</v>
      </c>
      <c r="E230" s="45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548</v>
      </c>
      <c r="C231" s="25" t="s">
        <v>549</v>
      </c>
      <c r="D231" s="23" t="s">
        <v>208</v>
      </c>
      <c r="E231" s="45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550</v>
      </c>
      <c r="C232" s="44" t="s">
        <v>551</v>
      </c>
      <c r="D232" s="42" t="s">
        <v>208</v>
      </c>
      <c r="E232" s="45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552</v>
      </c>
      <c r="C233" s="25" t="s">
        <v>553</v>
      </c>
      <c r="D233" s="23" t="s">
        <v>208</v>
      </c>
      <c r="E233" s="45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554</v>
      </c>
      <c r="C234" s="44" t="s">
        <v>555</v>
      </c>
      <c r="D234" s="42" t="s">
        <v>208</v>
      </c>
      <c r="E234" s="45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556</v>
      </c>
      <c r="C235" s="25" t="s">
        <v>557</v>
      </c>
      <c r="D235" s="23" t="s">
        <v>208</v>
      </c>
      <c r="E235" s="45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558</v>
      </c>
      <c r="C236" s="44" t="s">
        <v>559</v>
      </c>
      <c r="D236" s="42" t="s">
        <v>208</v>
      </c>
      <c r="E236" s="45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57</v>
      </c>
      <c r="K236" s="27" t="s">
        <v>59</v>
      </c>
      <c r="L236" s="28" t="s">
        <v>56</v>
      </c>
      <c r="M236" s="29" t="str">
        <f t="shared" si="15"/>
        <v>⚠ Check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560</v>
      </c>
      <c r="C237" s="25" t="s">
        <v>561</v>
      </c>
      <c r="D237" s="23" t="s">
        <v>208</v>
      </c>
      <c r="E237" s="45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562</v>
      </c>
      <c r="C238" s="44" t="s">
        <v>563</v>
      </c>
      <c r="D238" s="42" t="s">
        <v>208</v>
      </c>
      <c r="E238" s="45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564</v>
      </c>
      <c r="C239" s="25" t="s">
        <v>565</v>
      </c>
      <c r="D239" s="23" t="s">
        <v>208</v>
      </c>
      <c r="E239" s="45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57</v>
      </c>
      <c r="K239" s="27" t="s">
        <v>566</v>
      </c>
      <c r="L239" s="28" t="s">
        <v>56</v>
      </c>
      <c r="M239" s="29" t="str">
        <f t="shared" si="15"/>
        <v>⚠ Check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567</v>
      </c>
      <c r="C240" s="44" t="s">
        <v>568</v>
      </c>
      <c r="D240" s="42" t="s">
        <v>208</v>
      </c>
      <c r="E240" s="45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57</v>
      </c>
      <c r="K240" s="27" t="s">
        <v>569</v>
      </c>
      <c r="L240" s="28" t="s">
        <v>56</v>
      </c>
      <c r="M240" s="29" t="str">
        <f t="shared" si="15"/>
        <v>⚠ Check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570</v>
      </c>
      <c r="C241" s="25" t="s">
        <v>571</v>
      </c>
      <c r="D241" s="23" t="s">
        <v>208</v>
      </c>
      <c r="E241" s="45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572</v>
      </c>
      <c r="C242" s="44" t="s">
        <v>573</v>
      </c>
      <c r="D242" s="42" t="s">
        <v>208</v>
      </c>
      <c r="E242" s="45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574</v>
      </c>
      <c r="C243" s="25" t="s">
        <v>575</v>
      </c>
      <c r="D243" s="23" t="s">
        <v>208</v>
      </c>
      <c r="E243" s="45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576</v>
      </c>
      <c r="C244" s="44" t="s">
        <v>577</v>
      </c>
      <c r="D244" s="42" t="s">
        <v>208</v>
      </c>
      <c r="E244" s="45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578</v>
      </c>
      <c r="C245" s="25" t="s">
        <v>579</v>
      </c>
      <c r="D245" s="23" t="s">
        <v>208</v>
      </c>
      <c r="E245" s="45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580</v>
      </c>
      <c r="C246" s="44" t="s">
        <v>581</v>
      </c>
      <c r="D246" s="42" t="s">
        <v>208</v>
      </c>
      <c r="E246" s="45">
        <v>46127</v>
      </c>
      <c r="F246" s="26" t="s">
        <v>55</v>
      </c>
      <c r="G246" s="26" t="s">
        <v>56</v>
      </c>
      <c r="H246" s="26" t="s">
        <v>57</v>
      </c>
      <c r="I246" s="26" t="s">
        <v>276</v>
      </c>
      <c r="J246" s="26" t="s">
        <v>57</v>
      </c>
      <c r="K246" s="27" t="s">
        <v>569</v>
      </c>
      <c r="L246" s="28" t="s">
        <v>56</v>
      </c>
      <c r="M246" s="29" t="str">
        <f t="shared" si="15"/>
        <v>⚠ Check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582</v>
      </c>
      <c r="C247" s="25" t="s">
        <v>583</v>
      </c>
      <c r="D247" s="23" t="s">
        <v>208</v>
      </c>
      <c r="E247" s="45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584</v>
      </c>
      <c r="C248" s="44" t="s">
        <v>585</v>
      </c>
      <c r="D248" s="42" t="s">
        <v>208</v>
      </c>
      <c r="E248" s="45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586</v>
      </c>
      <c r="C249" s="25" t="s">
        <v>587</v>
      </c>
      <c r="D249" s="23" t="s">
        <v>208</v>
      </c>
      <c r="E249" s="45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588</v>
      </c>
      <c r="C250" s="44" t="s">
        <v>589</v>
      </c>
      <c r="D250" s="42" t="s">
        <v>208</v>
      </c>
      <c r="E250" s="45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590</v>
      </c>
      <c r="C251" s="25" t="s">
        <v>591</v>
      </c>
      <c r="D251" s="23" t="s">
        <v>208</v>
      </c>
      <c r="E251" s="45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57</v>
      </c>
      <c r="K251" s="27" t="s">
        <v>592</v>
      </c>
      <c r="L251" s="28" t="s">
        <v>56</v>
      </c>
      <c r="M251" s="29" t="str">
        <f t="shared" si="15"/>
        <v>⚠ Check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593</v>
      </c>
      <c r="C252" s="44" t="s">
        <v>594</v>
      </c>
      <c r="D252" s="42" t="s">
        <v>208</v>
      </c>
      <c r="E252" s="45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595</v>
      </c>
      <c r="C253" s="25" t="s">
        <v>596</v>
      </c>
      <c r="D253" s="23" t="s">
        <v>208</v>
      </c>
      <c r="E253" s="45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597</v>
      </c>
      <c r="C254" s="44" t="s">
        <v>598</v>
      </c>
      <c r="D254" s="42" t="s">
        <v>208</v>
      </c>
      <c r="E254" s="45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57</v>
      </c>
      <c r="K254" s="27" t="s">
        <v>545</v>
      </c>
      <c r="L254" s="28" t="s">
        <v>56</v>
      </c>
      <c r="M254" s="29" t="str">
        <f t="shared" si="15"/>
        <v>⚠ Check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599</v>
      </c>
      <c r="C255" s="25" t="s">
        <v>600</v>
      </c>
      <c r="D255" s="23" t="s">
        <v>208</v>
      </c>
      <c r="E255" s="45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601</v>
      </c>
      <c r="C256" s="44" t="s">
        <v>602</v>
      </c>
      <c r="D256" s="42" t="s">
        <v>208</v>
      </c>
      <c r="E256" s="45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603</v>
      </c>
      <c r="C257" s="25" t="s">
        <v>604</v>
      </c>
      <c r="D257" s="23" t="s">
        <v>208</v>
      </c>
      <c r="E257" s="45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605</v>
      </c>
      <c r="C258" s="44" t="s">
        <v>606</v>
      </c>
      <c r="D258" s="42" t="s">
        <v>208</v>
      </c>
      <c r="E258" s="45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607</v>
      </c>
      <c r="C259" s="25" t="s">
        <v>608</v>
      </c>
      <c r="D259" s="23" t="s">
        <v>208</v>
      </c>
      <c r="E259" s="45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57</v>
      </c>
      <c r="K259" s="27" t="s">
        <v>74</v>
      </c>
      <c r="L259" s="28" t="s">
        <v>56</v>
      </c>
      <c r="M259" s="29" t="str">
        <f t="shared" si="15"/>
        <v>⚠ Check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609</v>
      </c>
      <c r="C260" s="44" t="s">
        <v>610</v>
      </c>
      <c r="D260" s="42" t="s">
        <v>208</v>
      </c>
      <c r="E260" s="45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57</v>
      </c>
      <c r="K260" s="27" t="s">
        <v>611</v>
      </c>
      <c r="L260" s="28" t="s">
        <v>56</v>
      </c>
      <c r="M260" s="29" t="str">
        <f t="shared" si="15"/>
        <v>⚠ Check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612</v>
      </c>
      <c r="C261" s="25" t="s">
        <v>613</v>
      </c>
      <c r="D261" s="23" t="s">
        <v>208</v>
      </c>
      <c r="E261" s="45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6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614</v>
      </c>
      <c r="C262" s="44" t="s">
        <v>615</v>
      </c>
      <c r="D262" s="42" t="s">
        <v>208</v>
      </c>
      <c r="E262" s="45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57</v>
      </c>
      <c r="K262" s="27" t="s">
        <v>616</v>
      </c>
      <c r="L262" s="28" t="s">
        <v>56</v>
      </c>
      <c r="M262" s="29" t="str">
        <f t="shared" si="20"/>
        <v>⚠ Check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617</v>
      </c>
      <c r="C263" s="25" t="s">
        <v>618</v>
      </c>
      <c r="D263" s="23" t="s">
        <v>208</v>
      </c>
      <c r="E263" s="45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57</v>
      </c>
      <c r="K263" s="27" t="s">
        <v>619</v>
      </c>
      <c r="L263" s="28" t="s">
        <v>56</v>
      </c>
      <c r="M263" s="29" t="str">
        <f t="shared" si="20"/>
        <v>⚠ Check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620</v>
      </c>
      <c r="C264" s="44" t="s">
        <v>621</v>
      </c>
      <c r="D264" s="42" t="s">
        <v>208</v>
      </c>
      <c r="E264" s="45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57</v>
      </c>
      <c r="K264" s="27" t="s">
        <v>622</v>
      </c>
      <c r="L264" s="28" t="s">
        <v>56</v>
      </c>
      <c r="M264" s="29" t="str">
        <f t="shared" si="20"/>
        <v>⚠ Check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623</v>
      </c>
      <c r="C265" s="25" t="s">
        <v>624</v>
      </c>
      <c r="D265" s="23" t="s">
        <v>208</v>
      </c>
      <c r="E265" s="45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625</v>
      </c>
      <c r="C266" s="44" t="s">
        <v>626</v>
      </c>
      <c r="D266" s="42" t="s">
        <v>208</v>
      </c>
      <c r="E266" s="45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627</v>
      </c>
      <c r="C267" s="25" t="s">
        <v>628</v>
      </c>
      <c r="D267" s="23" t="s">
        <v>208</v>
      </c>
      <c r="E267" s="45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629</v>
      </c>
      <c r="C268" s="44" t="s">
        <v>630</v>
      </c>
      <c r="D268" s="42" t="s">
        <v>208</v>
      </c>
      <c r="E268" s="45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631</v>
      </c>
      <c r="C269" s="25" t="s">
        <v>632</v>
      </c>
      <c r="D269" s="23" t="s">
        <v>208</v>
      </c>
      <c r="E269" s="45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633</v>
      </c>
      <c r="C270" s="44" t="s">
        <v>634</v>
      </c>
      <c r="D270" s="42" t="s">
        <v>208</v>
      </c>
      <c r="E270" s="45">
        <v>46127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635</v>
      </c>
      <c r="C271" s="25" t="s">
        <v>636</v>
      </c>
      <c r="D271" s="23" t="s">
        <v>208</v>
      </c>
      <c r="E271" s="45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637</v>
      </c>
      <c r="C272" s="44" t="s">
        <v>638</v>
      </c>
      <c r="D272" s="42" t="s">
        <v>208</v>
      </c>
      <c r="E272" s="45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639</v>
      </c>
      <c r="C273" s="25" t="s">
        <v>640</v>
      </c>
      <c r="D273" s="23" t="s">
        <v>208</v>
      </c>
      <c r="E273" s="45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641</v>
      </c>
      <c r="C274" s="44" t="s">
        <v>642</v>
      </c>
      <c r="D274" s="42" t="s">
        <v>208</v>
      </c>
      <c r="E274" s="45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643</v>
      </c>
      <c r="C275" s="25" t="s">
        <v>644</v>
      </c>
      <c r="D275" s="23" t="s">
        <v>208</v>
      </c>
      <c r="E275" s="45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57</v>
      </c>
      <c r="K275" s="27" t="s">
        <v>645</v>
      </c>
      <c r="L275" s="28" t="s">
        <v>56</v>
      </c>
      <c r="M275" s="29" t="str">
        <f t="shared" si="20"/>
        <v>⚠ Check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646</v>
      </c>
      <c r="C276" s="44" t="s">
        <v>647</v>
      </c>
      <c r="D276" s="42" t="s">
        <v>208</v>
      </c>
      <c r="E276" s="45">
        <v>46127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57</v>
      </c>
      <c r="K276" s="27" t="s">
        <v>301</v>
      </c>
      <c r="L276" s="28" t="s">
        <v>56</v>
      </c>
      <c r="M276" s="29" t="str">
        <f t="shared" si="20"/>
        <v>⚠ Check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648</v>
      </c>
      <c r="C277" s="25" t="s">
        <v>649</v>
      </c>
      <c r="D277" s="23" t="s">
        <v>208</v>
      </c>
      <c r="E277" s="45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650</v>
      </c>
      <c r="C278" s="44" t="s">
        <v>651</v>
      </c>
      <c r="D278" s="42" t="s">
        <v>208</v>
      </c>
      <c r="E278" s="45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652</v>
      </c>
      <c r="C279" s="25" t="s">
        <v>653</v>
      </c>
      <c r="D279" s="23" t="s">
        <v>208</v>
      </c>
      <c r="E279" s="45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654</v>
      </c>
      <c r="C280" s="44" t="s">
        <v>655</v>
      </c>
      <c r="D280" s="42" t="s">
        <v>208</v>
      </c>
      <c r="E280" s="45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656</v>
      </c>
      <c r="C281" s="25" t="s">
        <v>657</v>
      </c>
      <c r="D281" s="23" t="s">
        <v>208</v>
      </c>
      <c r="E281" s="45">
        <v>46127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658</v>
      </c>
      <c r="C282" s="44" t="s">
        <v>659</v>
      </c>
      <c r="D282" s="42" t="s">
        <v>208</v>
      </c>
      <c r="E282" s="45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660</v>
      </c>
      <c r="C283" s="25" t="s">
        <v>661</v>
      </c>
      <c r="D283" s="23" t="s">
        <v>208</v>
      </c>
      <c r="E283" s="45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57</v>
      </c>
      <c r="K283" s="27" t="s">
        <v>74</v>
      </c>
      <c r="L283" s="28" t="s">
        <v>56</v>
      </c>
      <c r="M283" s="29" t="str">
        <f t="shared" si="20"/>
        <v>⚠ Check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662</v>
      </c>
      <c r="C284" s="44" t="s">
        <v>663</v>
      </c>
      <c r="D284" s="42" t="s">
        <v>208</v>
      </c>
      <c r="E284" s="45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664</v>
      </c>
      <c r="C285" s="25" t="s">
        <v>665</v>
      </c>
      <c r="D285" s="23" t="s">
        <v>208</v>
      </c>
      <c r="E285" s="45">
        <v>46127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57</v>
      </c>
      <c r="K285" s="27" t="s">
        <v>666</v>
      </c>
      <c r="L285" s="28" t="s">
        <v>56</v>
      </c>
      <c r="M285" s="29" t="str">
        <f t="shared" si="20"/>
        <v>⚠ Check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667</v>
      </c>
      <c r="C286" s="44" t="s">
        <v>668</v>
      </c>
      <c r="D286" s="42" t="s">
        <v>208</v>
      </c>
      <c r="E286" s="45">
        <v>46127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57</v>
      </c>
      <c r="K286" s="46" t="s">
        <v>259</v>
      </c>
      <c r="L286" s="28" t="s">
        <v>56</v>
      </c>
      <c r="M286" s="29" t="str">
        <f t="shared" si="20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669</v>
      </c>
      <c r="C287" s="25" t="s">
        <v>670</v>
      </c>
      <c r="D287" s="23" t="s">
        <v>208</v>
      </c>
      <c r="E287" s="45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57</v>
      </c>
      <c r="K287" s="27" t="s">
        <v>671</v>
      </c>
      <c r="L287" s="28" t="s">
        <v>56</v>
      </c>
      <c r="M287" s="29" t="str">
        <f t="shared" si="20"/>
        <v>⚠ Check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672</v>
      </c>
      <c r="C288" s="44" t="s">
        <v>673</v>
      </c>
      <c r="D288" s="42" t="s">
        <v>208</v>
      </c>
      <c r="E288" s="45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57</v>
      </c>
      <c r="K288" s="27" t="s">
        <v>74</v>
      </c>
      <c r="L288" s="28" t="s">
        <v>56</v>
      </c>
      <c r="M288" s="29" t="str">
        <f t="shared" si="20"/>
        <v>⚠ Check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674</v>
      </c>
      <c r="C289" s="25" t="s">
        <v>675</v>
      </c>
      <c r="D289" s="23" t="s">
        <v>208</v>
      </c>
      <c r="E289" s="45">
        <v>46127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676</v>
      </c>
      <c r="C290" s="44" t="s">
        <v>677</v>
      </c>
      <c r="D290" s="42" t="s">
        <v>208</v>
      </c>
      <c r="E290" s="45">
        <v>46127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57</v>
      </c>
      <c r="K290" s="27" t="s">
        <v>678</v>
      </c>
      <c r="L290" s="28" t="s">
        <v>56</v>
      </c>
      <c r="M290" s="29" t="str">
        <f t="shared" si="20"/>
        <v>⚠ Check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679</v>
      </c>
      <c r="C291" s="25" t="s">
        <v>680</v>
      </c>
      <c r="D291" s="23" t="s">
        <v>208</v>
      </c>
      <c r="E291" s="45">
        <v>46127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57</v>
      </c>
      <c r="K291" s="27" t="s">
        <v>259</v>
      </c>
      <c r="L291" s="28" t="s">
        <v>56</v>
      </c>
      <c r="M291" s="29" t="str">
        <f t="shared" si="20"/>
        <v>⚠ Check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681</v>
      </c>
      <c r="C292" s="44" t="s">
        <v>682</v>
      </c>
      <c r="D292" s="42" t="s">
        <v>208</v>
      </c>
      <c r="E292" s="45">
        <v>46127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57</v>
      </c>
      <c r="K292" s="27" t="s">
        <v>666</v>
      </c>
      <c r="L292" s="28" t="s">
        <v>56</v>
      </c>
      <c r="M292" s="29" t="str">
        <f t="shared" si="20"/>
        <v>⚠ Check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683</v>
      </c>
      <c r="C293" s="25" t="s">
        <v>684</v>
      </c>
      <c r="D293" s="23" t="s">
        <v>208</v>
      </c>
      <c r="E293" s="45">
        <v>46127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57</v>
      </c>
      <c r="K293" s="27" t="s">
        <v>666</v>
      </c>
      <c r="L293" s="28" t="s">
        <v>56</v>
      </c>
      <c r="M293" s="29" t="str">
        <f t="shared" si="20"/>
        <v>⚠ Check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685</v>
      </c>
      <c r="C294" s="44" t="s">
        <v>686</v>
      </c>
      <c r="D294" s="42" t="s">
        <v>208</v>
      </c>
      <c r="E294" s="45">
        <v>46127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57</v>
      </c>
      <c r="K294" s="27" t="s">
        <v>173</v>
      </c>
      <c r="L294" s="28" t="s">
        <v>56</v>
      </c>
      <c r="M294" s="29" t="str">
        <f t="shared" si="20"/>
        <v>⚠ Check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687</v>
      </c>
      <c r="C295" s="25" t="s">
        <v>688</v>
      </c>
      <c r="D295" s="23" t="s">
        <v>208</v>
      </c>
      <c r="E295" s="45">
        <v>46127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57</v>
      </c>
      <c r="K295" s="27" t="s">
        <v>59</v>
      </c>
      <c r="L295" s="28" t="s">
        <v>56</v>
      </c>
      <c r="M295" s="29" t="str">
        <f t="shared" si="20"/>
        <v>⚠ Check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689</v>
      </c>
      <c r="C296" s="44" t="s">
        <v>690</v>
      </c>
      <c r="D296" s="42" t="s">
        <v>208</v>
      </c>
      <c r="E296" s="45">
        <v>46127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57</v>
      </c>
      <c r="K296" s="27" t="s">
        <v>645</v>
      </c>
      <c r="L296" s="28" t="s">
        <v>56</v>
      </c>
      <c r="M296" s="29" t="str">
        <f t="shared" si="20"/>
        <v>⚠ Check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603" priority="46">
      <formula>MOD(ROW(),2)=0</formula>
    </cfRule>
  </conditionalFormatting>
  <conditionalFormatting sqref="G5:G296">
    <cfRule type="expression" dxfId="602" priority="6">
      <formula>G5="No"</formula>
    </cfRule>
    <cfRule type="expression" dxfId="601" priority="5">
      <formula>G5="Yes"</formula>
    </cfRule>
  </conditionalFormatting>
  <conditionalFormatting sqref="H5:H296">
    <cfRule type="expression" dxfId="600" priority="7">
      <formula>H5="Yes"</formula>
    </cfRule>
  </conditionalFormatting>
  <conditionalFormatting sqref="J5:J296">
    <cfRule type="expression" dxfId="599" priority="8">
      <formula>J5="Yes"</formula>
    </cfRule>
    <cfRule type="expression" dxfId="598" priority="9">
      <formula>J5="No"</formula>
    </cfRule>
  </conditionalFormatting>
  <conditionalFormatting sqref="M5:M296">
    <cfRule type="expression" dxfId="597" priority="2">
      <formula>M5="❌ Disc"</formula>
    </cfRule>
    <cfRule type="expression" dxfId="596" priority="3">
      <formula>M5="⚠ Missing"</formula>
    </cfRule>
    <cfRule type="expression" dxfId="595" priority="4">
      <formula>M5="⚠ Check"</formula>
    </cfRule>
    <cfRule type="expression" dxfId="594" priority="1">
      <formula>M5="✓ OK"</formula>
    </cfRule>
  </conditionalFormatting>
  <conditionalFormatting sqref="P5:P296">
    <cfRule type="expression" dxfId="593" priority="14">
      <formula>P5="Yes"</formula>
    </cfRule>
    <cfRule type="expression" dxfId="592" priority="15">
      <formula>P5="No"</formula>
    </cfRule>
  </conditionalFormatting>
  <conditionalFormatting sqref="Q5:Q296">
    <cfRule type="expression" dxfId="591" priority="16">
      <formula>Q5="Yes"</formula>
    </cfRule>
  </conditionalFormatting>
  <conditionalFormatting sqref="S5:S296">
    <cfRule type="expression" dxfId="590" priority="17">
      <formula>S5="Yes"</formula>
    </cfRule>
    <cfRule type="expression" dxfId="589" priority="18">
      <formula>S5="No"</formula>
    </cfRule>
  </conditionalFormatting>
  <conditionalFormatting sqref="V5:V296">
    <cfRule type="expression" dxfId="588" priority="10">
      <formula>V5="✓ OK"</formula>
    </cfRule>
    <cfRule type="expression" dxfId="587" priority="11">
      <formula>V5="❌ Disc"</formula>
    </cfRule>
    <cfRule type="expression" dxfId="586" priority="12">
      <formula>V5="⚠ Missing"</formula>
    </cfRule>
    <cfRule type="expression" dxfId="585" priority="13">
      <formula>V5="⚠ Check"</formula>
    </cfRule>
  </conditionalFormatting>
  <conditionalFormatting sqref="Y5:Y296">
    <cfRule type="expression" dxfId="584" priority="24">
      <formula>Y5="No"</formula>
    </cfRule>
    <cfRule type="expression" dxfId="583" priority="23">
      <formula>Y5="Yes"</formula>
    </cfRule>
  </conditionalFormatting>
  <conditionalFormatting sqref="Z5:Z296">
    <cfRule type="expression" dxfId="582" priority="25">
      <formula>Z5="Yes"</formula>
    </cfRule>
  </conditionalFormatting>
  <conditionalFormatting sqref="AB5:AB296">
    <cfRule type="expression" dxfId="581" priority="26">
      <formula>AB5="Yes"</formula>
    </cfRule>
    <cfRule type="expression" dxfId="580" priority="27">
      <formula>AB5="No"</formula>
    </cfRule>
  </conditionalFormatting>
  <conditionalFormatting sqref="AE5:AE296">
    <cfRule type="expression" dxfId="579" priority="20">
      <formula>AE5="❌ Disc"</formula>
    </cfRule>
    <cfRule type="expression" dxfId="578" priority="21">
      <formula>AE5="⚠ Missing"</formula>
    </cfRule>
    <cfRule type="expression" dxfId="577" priority="22">
      <formula>AE5="⚠ Check"</formula>
    </cfRule>
    <cfRule type="expression" dxfId="576" priority="19">
      <formula>AE5="✓ OK"</formula>
    </cfRule>
  </conditionalFormatting>
  <conditionalFormatting sqref="AH5:AH296">
    <cfRule type="expression" dxfId="575" priority="32">
      <formula>AH5="Yes"</formula>
    </cfRule>
    <cfRule type="expression" dxfId="574" priority="33">
      <formula>AH5="No"</formula>
    </cfRule>
  </conditionalFormatting>
  <conditionalFormatting sqref="AI5:AI296">
    <cfRule type="expression" dxfId="573" priority="34">
      <formula>AI5="Yes"</formula>
    </cfRule>
  </conditionalFormatting>
  <conditionalFormatting sqref="AK5:AK296">
    <cfRule type="expression" dxfId="572" priority="35">
      <formula>AK5="Yes"</formula>
    </cfRule>
    <cfRule type="expression" dxfId="571" priority="36">
      <formula>AK5="No"</formula>
    </cfRule>
  </conditionalFormatting>
  <conditionalFormatting sqref="AN5:AN296">
    <cfRule type="expression" dxfId="570" priority="29">
      <formula>AN5="❌ Disc"</formula>
    </cfRule>
    <cfRule type="expression" dxfId="569" priority="30">
      <formula>AN5="⚠ Missing"</formula>
    </cfRule>
    <cfRule type="expression" dxfId="568" priority="31">
      <formula>AN5="⚠ Check"</formula>
    </cfRule>
    <cfRule type="expression" dxfId="567" priority="28">
      <formula>AN5="✓ OK"</formula>
    </cfRule>
  </conditionalFormatting>
  <conditionalFormatting sqref="AQ5:AQ296">
    <cfRule type="expression" dxfId="566" priority="42">
      <formula>AQ5="No"</formula>
    </cfRule>
    <cfRule type="expression" dxfId="565" priority="41">
      <formula>AQ5="Yes"</formula>
    </cfRule>
  </conditionalFormatting>
  <conditionalFormatting sqref="AR5:AR296">
    <cfRule type="expression" dxfId="564" priority="43">
      <formula>AR5="Yes"</formula>
    </cfRule>
  </conditionalFormatting>
  <conditionalFormatting sqref="AT5:AT296">
    <cfRule type="expression" dxfId="563" priority="44">
      <formula>AT5="Yes"</formula>
    </cfRule>
    <cfRule type="expression" dxfId="562" priority="45">
      <formula>AT5="No"</formula>
    </cfRule>
  </conditionalFormatting>
  <conditionalFormatting sqref="AW5:AW296">
    <cfRule type="expression" dxfId="561" priority="37">
      <formula>AW5="✓ OK"</formula>
    </cfRule>
    <cfRule type="expression" dxfId="560" priority="38">
      <formula>AW5="❌ Disc"</formula>
    </cfRule>
    <cfRule type="expression" dxfId="559" priority="39">
      <formula>AW5="⚠ Missing"</formula>
    </cfRule>
    <cfRule type="expression" dxfId="558" priority="40">
      <formula>AW5="⚠ Check"</formula>
    </cfRule>
  </conditionalFormatting>
  <dataValidations count="2">
    <dataValidation type="list" allowBlank="1" sqref="AT5:AT296 AQ5:AR296 AK5:AK296 AH5:AI296 AB5:AB296 Y5:Z296 S5:S296 P5:Q296 J5:J296 G5:H296" xr:uid="{00000000-0002-0000-0100-000000000000}">
      <formula1>"Yes,No"</formula1>
    </dataValidation>
    <dataValidation type="list" allowBlank="1" sqref="R5:R296 AS5:AS296 AJ5:AJ296 AA5:AA296 I5:I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6" activePane="bottomRight" state="frozen"/>
      <selection pane="topRight" activeCell="H13" sqref="H13"/>
      <selection pane="bottomLeft" activeCell="H13" sqref="H13"/>
      <selection pane="bottomRight" activeCell="G67" sqref="G67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691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692</v>
      </c>
      <c r="C5" s="25" t="s">
        <v>693</v>
      </c>
      <c r="D5" s="23" t="s">
        <v>694</v>
      </c>
      <c r="E5" s="45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695</v>
      </c>
      <c r="C6" s="44" t="s">
        <v>696</v>
      </c>
      <c r="D6" s="42" t="s">
        <v>694</v>
      </c>
      <c r="E6" s="45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697</v>
      </c>
      <c r="C7" s="25" t="s">
        <v>698</v>
      </c>
      <c r="D7" s="23" t="s">
        <v>694</v>
      </c>
      <c r="E7" s="45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699</v>
      </c>
      <c r="C8" s="44" t="s">
        <v>700</v>
      </c>
      <c r="D8" s="42" t="s">
        <v>694</v>
      </c>
      <c r="E8" s="45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701</v>
      </c>
      <c r="C9" s="25" t="s">
        <v>702</v>
      </c>
      <c r="D9" s="23" t="s">
        <v>694</v>
      </c>
      <c r="E9" s="45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703</v>
      </c>
      <c r="C10" s="44" t="s">
        <v>704</v>
      </c>
      <c r="D10" s="42" t="s">
        <v>694</v>
      </c>
      <c r="E10" s="45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705</v>
      </c>
      <c r="C11" s="25" t="s">
        <v>706</v>
      </c>
      <c r="D11" s="23" t="s">
        <v>694</v>
      </c>
      <c r="E11" s="45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707</v>
      </c>
      <c r="C12" s="44" t="s">
        <v>708</v>
      </c>
      <c r="D12" s="42" t="s">
        <v>694</v>
      </c>
      <c r="E12" s="45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709</v>
      </c>
      <c r="C13" s="25" t="s">
        <v>710</v>
      </c>
      <c r="D13" s="23" t="s">
        <v>694</v>
      </c>
      <c r="E13" s="45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711</v>
      </c>
      <c r="C14" s="44" t="s">
        <v>712</v>
      </c>
      <c r="D14" s="42" t="s">
        <v>694</v>
      </c>
      <c r="E14" s="45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713</v>
      </c>
      <c r="C15" s="25" t="s">
        <v>714</v>
      </c>
      <c r="D15" s="23" t="s">
        <v>694</v>
      </c>
      <c r="E15" s="45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715</v>
      </c>
      <c r="C16" s="44" t="s">
        <v>716</v>
      </c>
      <c r="D16" s="42" t="s">
        <v>694</v>
      </c>
      <c r="E16" s="45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717</v>
      </c>
      <c r="C17" s="25" t="s">
        <v>718</v>
      </c>
      <c r="D17" s="23" t="s">
        <v>694</v>
      </c>
      <c r="E17" s="45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719</v>
      </c>
      <c r="C18" s="44" t="s">
        <v>720</v>
      </c>
      <c r="D18" s="42" t="s">
        <v>694</v>
      </c>
      <c r="E18" s="45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721</v>
      </c>
      <c r="C19" s="25" t="s">
        <v>722</v>
      </c>
      <c r="D19" s="23" t="s">
        <v>694</v>
      </c>
      <c r="E19" s="45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723</v>
      </c>
      <c r="C20" s="44" t="s">
        <v>724</v>
      </c>
      <c r="D20" s="42" t="s">
        <v>694</v>
      </c>
      <c r="E20" s="45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725</v>
      </c>
      <c r="C21" s="25" t="s">
        <v>726</v>
      </c>
      <c r="D21" s="23" t="s">
        <v>694</v>
      </c>
      <c r="E21" s="45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727</v>
      </c>
      <c r="C22" s="44" t="s">
        <v>728</v>
      </c>
      <c r="D22" s="42" t="s">
        <v>694</v>
      </c>
      <c r="E22" s="45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729</v>
      </c>
      <c r="C23" s="25" t="s">
        <v>730</v>
      </c>
      <c r="D23" s="23" t="s">
        <v>694</v>
      </c>
      <c r="E23" s="45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731</v>
      </c>
      <c r="C24" s="44" t="s">
        <v>732</v>
      </c>
      <c r="D24" s="42" t="s">
        <v>694</v>
      </c>
      <c r="E24" s="45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733</v>
      </c>
      <c r="C25" s="25" t="s">
        <v>734</v>
      </c>
      <c r="D25" s="23" t="s">
        <v>694</v>
      </c>
      <c r="E25" s="45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735</v>
      </c>
      <c r="C26" s="44" t="s">
        <v>736</v>
      </c>
      <c r="D26" s="42" t="s">
        <v>694</v>
      </c>
      <c r="E26" s="45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737</v>
      </c>
      <c r="C27" s="25" t="s">
        <v>738</v>
      </c>
      <c r="D27" s="23" t="s">
        <v>694</v>
      </c>
      <c r="E27" s="45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739</v>
      </c>
      <c r="C28" s="44" t="s">
        <v>740</v>
      </c>
      <c r="D28" s="42" t="s">
        <v>694</v>
      </c>
      <c r="E28" s="45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741</v>
      </c>
      <c r="C29" s="25" t="s">
        <v>742</v>
      </c>
      <c r="D29" s="23" t="s">
        <v>743</v>
      </c>
      <c r="E29" s="45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57</v>
      </c>
      <c r="K29" s="27" t="s">
        <v>744</v>
      </c>
      <c r="L29" s="28" t="s">
        <v>56</v>
      </c>
      <c r="M29" s="29" t="str">
        <f t="shared" si="0"/>
        <v>⚠ Check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745</v>
      </c>
      <c r="C30" s="44" t="s">
        <v>746</v>
      </c>
      <c r="D30" s="42" t="s">
        <v>743</v>
      </c>
      <c r="E30" s="45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747</v>
      </c>
      <c r="C31" s="25" t="s">
        <v>748</v>
      </c>
      <c r="D31" s="23" t="s">
        <v>743</v>
      </c>
      <c r="E31" s="45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749</v>
      </c>
      <c r="C32" s="44" t="s">
        <v>750</v>
      </c>
      <c r="D32" s="42" t="s">
        <v>743</v>
      </c>
      <c r="E32" s="45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751</v>
      </c>
      <c r="C33" s="25" t="s">
        <v>752</v>
      </c>
      <c r="D33" s="23" t="s">
        <v>743</v>
      </c>
      <c r="E33" s="45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753</v>
      </c>
      <c r="C34" s="44" t="s">
        <v>754</v>
      </c>
      <c r="D34" s="42" t="s">
        <v>743</v>
      </c>
      <c r="E34" s="45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755</v>
      </c>
      <c r="C35" s="25" t="s">
        <v>756</v>
      </c>
      <c r="D35" s="23" t="s">
        <v>743</v>
      </c>
      <c r="E35" s="45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757</v>
      </c>
      <c r="C36" s="44" t="s">
        <v>758</v>
      </c>
      <c r="D36" s="42" t="s">
        <v>743</v>
      </c>
      <c r="E36" s="45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759</v>
      </c>
      <c r="C37" s="25" t="s">
        <v>760</v>
      </c>
      <c r="D37" s="23" t="s">
        <v>743</v>
      </c>
      <c r="E37" s="45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761</v>
      </c>
      <c r="C38" s="44" t="s">
        <v>762</v>
      </c>
      <c r="D38" s="42" t="s">
        <v>743</v>
      </c>
      <c r="E38" s="45">
        <v>46128</v>
      </c>
      <c r="F38" s="26" t="s">
        <v>55</v>
      </c>
      <c r="G38" s="26" t="s">
        <v>57</v>
      </c>
      <c r="H38" s="26" t="s">
        <v>57</v>
      </c>
      <c r="I38" s="26" t="s">
        <v>88</v>
      </c>
      <c r="J38" s="26" t="s">
        <v>57</v>
      </c>
      <c r="K38" s="27" t="s">
        <v>89</v>
      </c>
      <c r="L38" s="28" t="s">
        <v>56</v>
      </c>
      <c r="M38" s="29" t="str">
        <f t="shared" si="5"/>
        <v>⚠ Missing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763</v>
      </c>
      <c r="C39" s="25" t="s">
        <v>764</v>
      </c>
      <c r="D39" s="23" t="s">
        <v>743</v>
      </c>
      <c r="E39" s="45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744</v>
      </c>
      <c r="L39" s="28" t="s">
        <v>56</v>
      </c>
      <c r="M39" s="29" t="str">
        <f t="shared" si="5"/>
        <v>⚠ Check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765</v>
      </c>
      <c r="C40" s="44" t="s">
        <v>766</v>
      </c>
      <c r="D40" s="42" t="s">
        <v>743</v>
      </c>
      <c r="E40" s="45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767</v>
      </c>
      <c r="C41" s="25" t="s">
        <v>768</v>
      </c>
      <c r="D41" s="23" t="s">
        <v>743</v>
      </c>
      <c r="E41" s="45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769</v>
      </c>
      <c r="C42" s="44" t="s">
        <v>770</v>
      </c>
      <c r="D42" s="42" t="s">
        <v>743</v>
      </c>
      <c r="E42" s="45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771</v>
      </c>
      <c r="C43" s="25" t="s">
        <v>772</v>
      </c>
      <c r="D43" s="23" t="s">
        <v>743</v>
      </c>
      <c r="E43" s="45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773</v>
      </c>
      <c r="C44" s="44" t="s">
        <v>774</v>
      </c>
      <c r="D44" s="42" t="s">
        <v>743</v>
      </c>
      <c r="E44" s="45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775</v>
      </c>
      <c r="C45" s="25" t="s">
        <v>776</v>
      </c>
      <c r="D45" s="23" t="s">
        <v>743</v>
      </c>
      <c r="E45" s="45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777</v>
      </c>
      <c r="C46" s="44" t="s">
        <v>778</v>
      </c>
      <c r="D46" s="42" t="s">
        <v>743</v>
      </c>
      <c r="E46" s="45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779</v>
      </c>
      <c r="C47" s="25" t="s">
        <v>780</v>
      </c>
      <c r="D47" s="23" t="s">
        <v>743</v>
      </c>
      <c r="E47" s="45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744</v>
      </c>
      <c r="L47" s="28" t="s">
        <v>56</v>
      </c>
      <c r="M47" s="29" t="str">
        <f t="shared" si="5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781</v>
      </c>
      <c r="C48" s="44" t="s">
        <v>782</v>
      </c>
      <c r="D48" s="42" t="s">
        <v>743</v>
      </c>
      <c r="E48" s="45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783</v>
      </c>
      <c r="C49" s="25" t="s">
        <v>784</v>
      </c>
      <c r="D49" s="23" t="s">
        <v>743</v>
      </c>
      <c r="E49" s="45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57</v>
      </c>
      <c r="K49" s="27" t="s">
        <v>744</v>
      </c>
      <c r="L49" s="28" t="s">
        <v>56</v>
      </c>
      <c r="M49" s="29" t="str">
        <f t="shared" si="5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785</v>
      </c>
      <c r="C50" s="44" t="s">
        <v>786</v>
      </c>
      <c r="D50" s="42" t="s">
        <v>743</v>
      </c>
      <c r="E50" s="45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787</v>
      </c>
      <c r="C51" s="25" t="s">
        <v>788</v>
      </c>
      <c r="D51" s="23" t="s">
        <v>743</v>
      </c>
      <c r="E51" s="45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789</v>
      </c>
      <c r="C52" s="44" t="s">
        <v>790</v>
      </c>
      <c r="D52" s="42" t="s">
        <v>743</v>
      </c>
      <c r="E52" s="45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791</v>
      </c>
      <c r="C53" s="25" t="s">
        <v>792</v>
      </c>
      <c r="D53" s="23" t="s">
        <v>743</v>
      </c>
      <c r="E53" s="45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57</v>
      </c>
      <c r="K53" s="27" t="s">
        <v>744</v>
      </c>
      <c r="L53" s="28" t="s">
        <v>56</v>
      </c>
      <c r="M53" s="29" t="str">
        <f t="shared" si="5"/>
        <v>⚠ Check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793</v>
      </c>
      <c r="C54" s="44" t="s">
        <v>794</v>
      </c>
      <c r="D54" s="42" t="s">
        <v>743</v>
      </c>
      <c r="E54" s="45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795</v>
      </c>
      <c r="C55" s="25" t="s">
        <v>796</v>
      </c>
      <c r="D55" s="23" t="s">
        <v>743</v>
      </c>
      <c r="E55" s="45">
        <v>46128</v>
      </c>
      <c r="F55" s="26" t="s">
        <v>55</v>
      </c>
      <c r="G55" s="26" t="s">
        <v>57</v>
      </c>
      <c r="H55" s="26" t="s">
        <v>57</v>
      </c>
      <c r="I55" s="26" t="s">
        <v>88</v>
      </c>
      <c r="J55" s="26" t="s">
        <v>57</v>
      </c>
      <c r="K55" s="27" t="s">
        <v>89</v>
      </c>
      <c r="L55" s="28" t="s">
        <v>56</v>
      </c>
      <c r="M55" s="29" t="str">
        <f t="shared" si="5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797</v>
      </c>
      <c r="C56" s="44" t="s">
        <v>798</v>
      </c>
      <c r="D56" s="42" t="s">
        <v>743</v>
      </c>
      <c r="E56" s="45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799</v>
      </c>
      <c r="C57" s="25" t="s">
        <v>800</v>
      </c>
      <c r="D57" s="23" t="s">
        <v>743</v>
      </c>
      <c r="E57" s="45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801</v>
      </c>
      <c r="C58" s="44" t="s">
        <v>802</v>
      </c>
      <c r="D58" s="42" t="s">
        <v>743</v>
      </c>
      <c r="E58" s="45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803</v>
      </c>
      <c r="C59" s="25" t="s">
        <v>804</v>
      </c>
      <c r="D59" s="23" t="s">
        <v>743</v>
      </c>
      <c r="E59" s="45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/>
      <c r="L59" s="28" t="s">
        <v>57</v>
      </c>
      <c r="M59" s="29" t="str">
        <f t="shared" si="5"/>
        <v>⚠ Check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805</v>
      </c>
      <c r="C60" s="44" t="s">
        <v>806</v>
      </c>
      <c r="D60" s="42" t="s">
        <v>743</v>
      </c>
      <c r="E60" s="45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807</v>
      </c>
      <c r="C61" s="25" t="s">
        <v>808</v>
      </c>
      <c r="D61" s="23" t="s">
        <v>743</v>
      </c>
      <c r="E61" s="45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809</v>
      </c>
      <c r="C62" s="44" t="s">
        <v>810</v>
      </c>
      <c r="D62" s="42" t="s">
        <v>743</v>
      </c>
      <c r="E62" s="45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811</v>
      </c>
      <c r="C63" s="25" t="s">
        <v>812</v>
      </c>
      <c r="D63" s="23" t="s">
        <v>743</v>
      </c>
      <c r="E63" s="45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813</v>
      </c>
      <c r="L63" s="28" t="s">
        <v>56</v>
      </c>
      <c r="M63" s="29" t="str">
        <f t="shared" si="5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814</v>
      </c>
      <c r="C64" s="44" t="s">
        <v>815</v>
      </c>
      <c r="D64" s="42" t="s">
        <v>743</v>
      </c>
      <c r="E64" s="45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813</v>
      </c>
      <c r="L64" s="28" t="s">
        <v>56</v>
      </c>
      <c r="M64" s="29" t="str">
        <f t="shared" si="5"/>
        <v>⚠ Check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816</v>
      </c>
      <c r="C65" s="25" t="s">
        <v>817</v>
      </c>
      <c r="D65" s="23" t="s">
        <v>743</v>
      </c>
      <c r="E65" s="45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818</v>
      </c>
      <c r="C66" s="44" t="s">
        <v>819</v>
      </c>
      <c r="D66" s="42" t="s">
        <v>743</v>
      </c>
      <c r="E66" s="45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820</v>
      </c>
      <c r="C67" s="25" t="s">
        <v>821</v>
      </c>
      <c r="D67" s="23" t="s">
        <v>743</v>
      </c>
      <c r="E67" s="45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57" priority="46">
      <formula>MOD(ROW(),2)=0</formula>
    </cfRule>
  </conditionalFormatting>
  <conditionalFormatting sqref="G5:G67">
    <cfRule type="expression" dxfId="556" priority="6">
      <formula>G5="No"</formula>
    </cfRule>
    <cfRule type="expression" dxfId="555" priority="5">
      <formula>G5="Yes"</formula>
    </cfRule>
  </conditionalFormatting>
  <conditionalFormatting sqref="H5:H67">
    <cfRule type="expression" dxfId="554" priority="7">
      <formula>H5="Yes"</formula>
    </cfRule>
  </conditionalFormatting>
  <conditionalFormatting sqref="J5:J67">
    <cfRule type="expression" dxfId="553" priority="8">
      <formula>J5="Yes"</formula>
    </cfRule>
    <cfRule type="expression" dxfId="552" priority="9">
      <formula>J5="No"</formula>
    </cfRule>
  </conditionalFormatting>
  <conditionalFormatting sqref="M5:M67">
    <cfRule type="expression" dxfId="551" priority="2">
      <formula>M5="❌ Disc"</formula>
    </cfRule>
    <cfRule type="expression" dxfId="550" priority="3">
      <formula>M5="⚠ Missing"</formula>
    </cfRule>
    <cfRule type="expression" dxfId="549" priority="4">
      <formula>M5="⚠ Check"</formula>
    </cfRule>
    <cfRule type="expression" dxfId="548" priority="1">
      <formula>M5="✓ OK"</formula>
    </cfRule>
  </conditionalFormatting>
  <conditionalFormatting sqref="P5:P67">
    <cfRule type="expression" dxfId="547" priority="14">
      <formula>P5="Yes"</formula>
    </cfRule>
    <cfRule type="expression" dxfId="546" priority="15">
      <formula>P5="No"</formula>
    </cfRule>
  </conditionalFormatting>
  <conditionalFormatting sqref="Q5:Q67">
    <cfRule type="expression" dxfId="545" priority="16">
      <formula>Q5="Yes"</formula>
    </cfRule>
  </conditionalFormatting>
  <conditionalFormatting sqref="S5:S67">
    <cfRule type="expression" dxfId="544" priority="17">
      <formula>S5="Yes"</formula>
    </cfRule>
    <cfRule type="expression" dxfId="543" priority="18">
      <formula>S5="No"</formula>
    </cfRule>
  </conditionalFormatting>
  <conditionalFormatting sqref="V5:V67">
    <cfRule type="expression" dxfId="542" priority="10">
      <formula>V5="✓ OK"</formula>
    </cfRule>
    <cfRule type="expression" dxfId="541" priority="11">
      <formula>V5="❌ Disc"</formula>
    </cfRule>
    <cfRule type="expression" dxfId="540" priority="12">
      <formula>V5="⚠ Missing"</formula>
    </cfRule>
    <cfRule type="expression" dxfId="539" priority="13">
      <formula>V5="⚠ Check"</formula>
    </cfRule>
  </conditionalFormatting>
  <conditionalFormatting sqref="Y5:Y67">
    <cfRule type="expression" dxfId="538" priority="24">
      <formula>Y5="No"</formula>
    </cfRule>
    <cfRule type="expression" dxfId="537" priority="23">
      <formula>Y5="Yes"</formula>
    </cfRule>
  </conditionalFormatting>
  <conditionalFormatting sqref="Z5:Z67">
    <cfRule type="expression" dxfId="536" priority="25">
      <formula>Z5="Yes"</formula>
    </cfRule>
  </conditionalFormatting>
  <conditionalFormatting sqref="AB5:AB67">
    <cfRule type="expression" dxfId="535" priority="26">
      <formula>AB5="Yes"</formula>
    </cfRule>
    <cfRule type="expression" dxfId="534" priority="27">
      <formula>AB5="No"</formula>
    </cfRule>
  </conditionalFormatting>
  <conditionalFormatting sqref="AE5:AE67">
    <cfRule type="expression" dxfId="533" priority="20">
      <formula>AE5="❌ Disc"</formula>
    </cfRule>
    <cfRule type="expression" dxfId="532" priority="21">
      <formula>AE5="⚠ Missing"</formula>
    </cfRule>
    <cfRule type="expression" dxfId="531" priority="22">
      <formula>AE5="⚠ Check"</formula>
    </cfRule>
    <cfRule type="expression" dxfId="530" priority="19">
      <formula>AE5="✓ OK"</formula>
    </cfRule>
  </conditionalFormatting>
  <conditionalFormatting sqref="AH5:AH67">
    <cfRule type="expression" dxfId="529" priority="32">
      <formula>AH5="Yes"</formula>
    </cfRule>
    <cfRule type="expression" dxfId="528" priority="33">
      <formula>AH5="No"</formula>
    </cfRule>
  </conditionalFormatting>
  <conditionalFormatting sqref="AI5:AI67">
    <cfRule type="expression" dxfId="527" priority="34">
      <formula>AI5="Yes"</formula>
    </cfRule>
  </conditionalFormatting>
  <conditionalFormatting sqref="AK5:AK67">
    <cfRule type="expression" dxfId="526" priority="35">
      <formula>AK5="Yes"</formula>
    </cfRule>
    <cfRule type="expression" dxfId="525" priority="36">
      <formula>AK5="No"</formula>
    </cfRule>
  </conditionalFormatting>
  <conditionalFormatting sqref="AN5:AN67">
    <cfRule type="expression" dxfId="524" priority="29">
      <formula>AN5="❌ Disc"</formula>
    </cfRule>
    <cfRule type="expression" dxfId="523" priority="30">
      <formula>AN5="⚠ Missing"</formula>
    </cfRule>
    <cfRule type="expression" dxfId="522" priority="31">
      <formula>AN5="⚠ Check"</formula>
    </cfRule>
    <cfRule type="expression" dxfId="521" priority="28">
      <formula>AN5="✓ OK"</formula>
    </cfRule>
  </conditionalFormatting>
  <conditionalFormatting sqref="AQ5:AQ67">
    <cfRule type="expression" dxfId="520" priority="42">
      <formula>AQ5="No"</formula>
    </cfRule>
    <cfRule type="expression" dxfId="519" priority="41">
      <formula>AQ5="Yes"</formula>
    </cfRule>
  </conditionalFormatting>
  <conditionalFormatting sqref="AR5:AR67">
    <cfRule type="expression" dxfId="518" priority="43">
      <formula>AR5="Yes"</formula>
    </cfRule>
  </conditionalFormatting>
  <conditionalFormatting sqref="AT5:AT67">
    <cfRule type="expression" dxfId="517" priority="44">
      <formula>AT5="Yes"</formula>
    </cfRule>
    <cfRule type="expression" dxfId="516" priority="45">
      <formula>AT5="No"</formula>
    </cfRule>
  </conditionalFormatting>
  <conditionalFormatting sqref="AW5:AW67">
    <cfRule type="expression" dxfId="515" priority="37">
      <formula>AW5="✓ OK"</formula>
    </cfRule>
    <cfRule type="expression" dxfId="514" priority="38">
      <formula>AW5="❌ Disc"</formula>
    </cfRule>
    <cfRule type="expression" dxfId="513" priority="39">
      <formula>AW5="⚠ Missing"</formula>
    </cfRule>
    <cfRule type="expression" dxfId="512" priority="40">
      <formula>AW5="⚠ Check"</formula>
    </cfRule>
  </conditionalFormatting>
  <dataValidations count="2">
    <dataValidation type="list" allowBlank="1" sqref="AT5:AT67 AQ5:AR67 AK5:AK67 AH5:AI67 AB5:AB67 Y5:Z67 S5:S67 P5:Q67 G5:H67 J5:J67" xr:uid="{00000000-0002-0000-0200-000000000000}">
      <formula1>"Yes,No"</formula1>
    </dataValidation>
    <dataValidation type="list" allowBlank="1" sqref="R5:R67 AS5:AS67 AJ5:AJ67 AA5:AA67 I5:I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G9" sqref="G9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33203125" bestFit="1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822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823</v>
      </c>
      <c r="C5" s="25" t="s">
        <v>824</v>
      </c>
      <c r="D5" s="23" t="s">
        <v>825</v>
      </c>
      <c r="E5" s="45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182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826</v>
      </c>
      <c r="C6" s="44" t="s">
        <v>827</v>
      </c>
      <c r="D6" s="42" t="s">
        <v>825</v>
      </c>
      <c r="E6" s="45">
        <v>46128</v>
      </c>
      <c r="F6" s="26" t="s">
        <v>55</v>
      </c>
      <c r="G6" s="47" t="s">
        <v>828</v>
      </c>
      <c r="H6" s="26" t="s">
        <v>57</v>
      </c>
      <c r="I6" s="47" t="s">
        <v>828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829</v>
      </c>
      <c r="C7" s="25" t="s">
        <v>830</v>
      </c>
      <c r="D7" s="23" t="s">
        <v>825</v>
      </c>
      <c r="E7" s="45">
        <v>46128</v>
      </c>
      <c r="F7" s="26" t="s">
        <v>55</v>
      </c>
      <c r="G7" s="26" t="s">
        <v>57</v>
      </c>
      <c r="H7" s="26" t="s">
        <v>57</v>
      </c>
      <c r="I7" s="26" t="s">
        <v>88</v>
      </c>
      <c r="J7" s="26" t="s">
        <v>57</v>
      </c>
      <c r="K7" s="27"/>
      <c r="L7" s="28" t="s">
        <v>56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831</v>
      </c>
      <c r="C8" s="44" t="s">
        <v>832</v>
      </c>
      <c r="D8" s="42" t="s">
        <v>825</v>
      </c>
      <c r="E8" s="45">
        <v>46128</v>
      </c>
      <c r="F8" s="26" t="s">
        <v>55</v>
      </c>
      <c r="G8" s="26" t="s">
        <v>57</v>
      </c>
      <c r="H8" s="26" t="s">
        <v>57</v>
      </c>
      <c r="I8" s="26" t="s">
        <v>88</v>
      </c>
      <c r="J8" s="26" t="s">
        <v>57</v>
      </c>
      <c r="K8" s="27"/>
      <c r="L8" s="28" t="s">
        <v>56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833</v>
      </c>
      <c r="C9" s="25" t="s">
        <v>834</v>
      </c>
      <c r="D9" s="23" t="s">
        <v>825</v>
      </c>
      <c r="E9" s="45">
        <v>46128</v>
      </c>
      <c r="F9" s="26" t="s">
        <v>55</v>
      </c>
      <c r="G9" s="47" t="s">
        <v>828</v>
      </c>
      <c r="H9" s="26" t="s">
        <v>57</v>
      </c>
      <c r="I9" s="47" t="s">
        <v>828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835</v>
      </c>
      <c r="C10" s="44" t="s">
        <v>836</v>
      </c>
      <c r="D10" s="42" t="s">
        <v>825</v>
      </c>
      <c r="E10" s="45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837</v>
      </c>
      <c r="C11" s="25" t="s">
        <v>838</v>
      </c>
      <c r="D11" s="23" t="s">
        <v>825</v>
      </c>
      <c r="E11" s="45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839</v>
      </c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840</v>
      </c>
      <c r="C12" s="44" t="s">
        <v>841</v>
      </c>
      <c r="D12" s="42" t="s">
        <v>825</v>
      </c>
      <c r="E12" s="45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842</v>
      </c>
      <c r="C13" s="25" t="s">
        <v>843</v>
      </c>
      <c r="D13" s="23" t="s">
        <v>825</v>
      </c>
      <c r="E13" s="45">
        <v>46128</v>
      </c>
      <c r="F13" s="26" t="s">
        <v>55</v>
      </c>
      <c r="G13" s="47" t="s">
        <v>828</v>
      </c>
      <c r="H13" s="26" t="s">
        <v>57</v>
      </c>
      <c r="I13" s="47" t="s">
        <v>828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844</v>
      </c>
      <c r="C14" s="44" t="s">
        <v>845</v>
      </c>
      <c r="D14" s="42" t="s">
        <v>825</v>
      </c>
      <c r="E14" s="45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846</v>
      </c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847</v>
      </c>
      <c r="C15" s="25" t="s">
        <v>848</v>
      </c>
      <c r="D15" s="23" t="s">
        <v>825</v>
      </c>
      <c r="E15" s="45">
        <v>46128</v>
      </c>
      <c r="F15" s="26" t="s">
        <v>55</v>
      </c>
      <c r="G15" s="47" t="s">
        <v>828</v>
      </c>
      <c r="H15" s="26" t="s">
        <v>57</v>
      </c>
      <c r="I15" s="47" t="s">
        <v>828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849</v>
      </c>
      <c r="C16" s="44" t="s">
        <v>850</v>
      </c>
      <c r="D16" s="42" t="s">
        <v>825</v>
      </c>
      <c r="E16" s="45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839</v>
      </c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851</v>
      </c>
      <c r="C17" s="25" t="s">
        <v>852</v>
      </c>
      <c r="D17" s="23" t="s">
        <v>825</v>
      </c>
      <c r="E17" s="45">
        <v>46128</v>
      </c>
      <c r="F17" s="26" t="s">
        <v>55</v>
      </c>
      <c r="G17" s="47" t="s">
        <v>828</v>
      </c>
      <c r="H17" s="26" t="s">
        <v>57</v>
      </c>
      <c r="I17" s="47" t="s">
        <v>828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853</v>
      </c>
      <c r="C18" s="44" t="s">
        <v>854</v>
      </c>
      <c r="D18" s="42" t="s">
        <v>825</v>
      </c>
      <c r="E18" s="45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855</v>
      </c>
      <c r="C19" s="25" t="s">
        <v>856</v>
      </c>
      <c r="D19" s="23" t="s">
        <v>825</v>
      </c>
      <c r="E19" s="45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857</v>
      </c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858</v>
      </c>
      <c r="C20" s="44" t="s">
        <v>859</v>
      </c>
      <c r="D20" s="42" t="s">
        <v>825</v>
      </c>
      <c r="E20" s="45">
        <v>46128</v>
      </c>
      <c r="F20" s="26" t="s">
        <v>55</v>
      </c>
      <c r="G20" s="47" t="s">
        <v>828</v>
      </c>
      <c r="H20" s="26" t="s">
        <v>57</v>
      </c>
      <c r="I20" s="47" t="s">
        <v>828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860</v>
      </c>
      <c r="C21" s="25" t="s">
        <v>861</v>
      </c>
      <c r="D21" s="23" t="s">
        <v>825</v>
      </c>
      <c r="E21" s="45">
        <v>46128</v>
      </c>
      <c r="F21" s="26" t="s">
        <v>55</v>
      </c>
      <c r="G21" s="47" t="s">
        <v>828</v>
      </c>
      <c r="H21" s="26" t="s">
        <v>57</v>
      </c>
      <c r="I21" s="47" t="s">
        <v>828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862</v>
      </c>
      <c r="C22" s="44" t="s">
        <v>863</v>
      </c>
      <c r="D22" s="42" t="s">
        <v>825</v>
      </c>
      <c r="E22" s="45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864</v>
      </c>
      <c r="C23" s="25" t="s">
        <v>865</v>
      </c>
      <c r="D23" s="23" t="s">
        <v>825</v>
      </c>
      <c r="E23" s="45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839</v>
      </c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866</v>
      </c>
      <c r="C24" s="44" t="s">
        <v>867</v>
      </c>
      <c r="D24" s="42" t="s">
        <v>825</v>
      </c>
      <c r="E24" s="45">
        <v>46128</v>
      </c>
      <c r="F24" s="26" t="s">
        <v>55</v>
      </c>
      <c r="G24" s="47" t="s">
        <v>828</v>
      </c>
      <c r="H24" s="26" t="s">
        <v>57</v>
      </c>
      <c r="I24" s="47" t="s">
        <v>828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868</v>
      </c>
      <c r="C25" s="25" t="s">
        <v>869</v>
      </c>
      <c r="D25" s="23" t="s">
        <v>825</v>
      </c>
      <c r="E25" s="45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870</v>
      </c>
      <c r="C26" s="44" t="s">
        <v>871</v>
      </c>
      <c r="D26" s="42" t="s">
        <v>825</v>
      </c>
      <c r="E26" s="45">
        <v>46128</v>
      </c>
      <c r="F26" s="26" t="s">
        <v>55</v>
      </c>
      <c r="G26" s="47" t="s">
        <v>828</v>
      </c>
      <c r="H26" s="26" t="s">
        <v>57</v>
      </c>
      <c r="I26" s="47" t="s">
        <v>828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872</v>
      </c>
      <c r="C27" s="25" t="s">
        <v>873</v>
      </c>
      <c r="D27" s="23" t="s">
        <v>825</v>
      </c>
      <c r="E27" s="45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874</v>
      </c>
      <c r="C28" s="44" t="s">
        <v>875</v>
      </c>
      <c r="D28" s="42" t="s">
        <v>825</v>
      </c>
      <c r="E28" s="45">
        <v>46128</v>
      </c>
      <c r="F28" s="26" t="s">
        <v>55</v>
      </c>
      <c r="G28" s="47" t="s">
        <v>828</v>
      </c>
      <c r="H28" s="26" t="s">
        <v>57</v>
      </c>
      <c r="I28" s="47" t="s">
        <v>828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876</v>
      </c>
      <c r="C29" s="25" t="s">
        <v>877</v>
      </c>
      <c r="D29" s="23" t="s">
        <v>825</v>
      </c>
      <c r="E29" s="45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846</v>
      </c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878</v>
      </c>
      <c r="C30" s="44" t="s">
        <v>879</v>
      </c>
      <c r="D30" s="42" t="s">
        <v>825</v>
      </c>
      <c r="E30" s="45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880</v>
      </c>
      <c r="C31" s="25" t="s">
        <v>881</v>
      </c>
      <c r="D31" s="23" t="s">
        <v>882</v>
      </c>
      <c r="E31" s="45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883</v>
      </c>
      <c r="C32" s="44" t="s">
        <v>884</v>
      </c>
      <c r="D32" s="42" t="s">
        <v>882</v>
      </c>
      <c r="E32" s="45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885</v>
      </c>
      <c r="C33" s="25" t="s">
        <v>886</v>
      </c>
      <c r="D33" s="23" t="s">
        <v>882</v>
      </c>
      <c r="E33" s="45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887</v>
      </c>
      <c r="C34" s="44" t="s">
        <v>888</v>
      </c>
      <c r="D34" s="42" t="s">
        <v>882</v>
      </c>
      <c r="E34" s="45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889</v>
      </c>
      <c r="C35" s="25" t="s">
        <v>890</v>
      </c>
      <c r="D35" s="23" t="s">
        <v>882</v>
      </c>
      <c r="E35" s="45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891</v>
      </c>
      <c r="C36" s="44" t="s">
        <v>892</v>
      </c>
      <c r="D36" s="42" t="s">
        <v>882</v>
      </c>
      <c r="E36" s="45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893</v>
      </c>
      <c r="C37" s="25" t="s">
        <v>894</v>
      </c>
      <c r="D37" s="23" t="s">
        <v>882</v>
      </c>
      <c r="E37" s="45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895</v>
      </c>
      <c r="C38" s="44" t="s">
        <v>896</v>
      </c>
      <c r="D38" s="42" t="s">
        <v>882</v>
      </c>
      <c r="E38" s="45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897</v>
      </c>
      <c r="C39" s="25" t="s">
        <v>898</v>
      </c>
      <c r="D39" s="23" t="s">
        <v>882</v>
      </c>
      <c r="E39" s="45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899</v>
      </c>
      <c r="C40" s="44" t="s">
        <v>900</v>
      </c>
      <c r="D40" s="42" t="s">
        <v>882</v>
      </c>
      <c r="E40" s="45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901</v>
      </c>
      <c r="C41" s="25" t="s">
        <v>902</v>
      </c>
      <c r="D41" s="23" t="s">
        <v>882</v>
      </c>
      <c r="E41" s="45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903</v>
      </c>
      <c r="C42" s="44" t="s">
        <v>904</v>
      </c>
      <c r="D42" s="42" t="s">
        <v>882</v>
      </c>
      <c r="E42" s="45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905</v>
      </c>
      <c r="C43" s="25" t="s">
        <v>906</v>
      </c>
      <c r="D43" s="23" t="s">
        <v>882</v>
      </c>
      <c r="E43" s="45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907</v>
      </c>
      <c r="C44" s="44" t="s">
        <v>908</v>
      </c>
      <c r="D44" s="42" t="s">
        <v>882</v>
      </c>
      <c r="E44" s="45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909</v>
      </c>
      <c r="C45" s="25" t="s">
        <v>910</v>
      </c>
      <c r="D45" s="23" t="s">
        <v>882</v>
      </c>
      <c r="E45" s="45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911</v>
      </c>
      <c r="C46" s="44" t="s">
        <v>912</v>
      </c>
      <c r="D46" s="42" t="s">
        <v>882</v>
      </c>
      <c r="E46" s="45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913</v>
      </c>
      <c r="C47" s="25" t="s">
        <v>914</v>
      </c>
      <c r="D47" s="23" t="s">
        <v>882</v>
      </c>
      <c r="E47" s="45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915</v>
      </c>
      <c r="C48" s="44" t="s">
        <v>916</v>
      </c>
      <c r="D48" s="42" t="s">
        <v>882</v>
      </c>
      <c r="E48" s="45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917</v>
      </c>
      <c r="C49" s="25" t="s">
        <v>918</v>
      </c>
      <c r="D49" s="23" t="s">
        <v>882</v>
      </c>
      <c r="E49" s="45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919</v>
      </c>
      <c r="C50" s="44" t="s">
        <v>920</v>
      </c>
      <c r="D50" s="42" t="s">
        <v>882</v>
      </c>
      <c r="E50" s="45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921</v>
      </c>
      <c r="C51" s="25" t="s">
        <v>922</v>
      </c>
      <c r="D51" s="23" t="s">
        <v>882</v>
      </c>
      <c r="E51" s="45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923</v>
      </c>
      <c r="C52" s="44" t="s">
        <v>924</v>
      </c>
      <c r="D52" s="42" t="s">
        <v>882</v>
      </c>
      <c r="E52" s="45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182</v>
      </c>
      <c r="L52" s="28" t="s">
        <v>56</v>
      </c>
      <c r="M52" s="29" t="str">
        <f t="shared" si="5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925</v>
      </c>
      <c r="C53" s="25" t="s">
        <v>926</v>
      </c>
      <c r="D53" s="23" t="s">
        <v>882</v>
      </c>
      <c r="E53" s="45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927</v>
      </c>
      <c r="C54" s="44" t="s">
        <v>928</v>
      </c>
      <c r="D54" s="42" t="s">
        <v>882</v>
      </c>
      <c r="E54" s="45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929</v>
      </c>
      <c r="C55" s="25" t="s">
        <v>929</v>
      </c>
      <c r="D55" s="23" t="s">
        <v>882</v>
      </c>
      <c r="E55" s="45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930</v>
      </c>
      <c r="C56" s="44" t="s">
        <v>931</v>
      </c>
      <c r="D56" s="42" t="s">
        <v>882</v>
      </c>
      <c r="E56" s="45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932</v>
      </c>
      <c r="C57" s="25" t="s">
        <v>933</v>
      </c>
      <c r="D57" s="23" t="s">
        <v>882</v>
      </c>
      <c r="E57" s="45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182</v>
      </c>
      <c r="L57" s="28" t="s">
        <v>56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934</v>
      </c>
      <c r="C58" s="44" t="s">
        <v>935</v>
      </c>
      <c r="D58" s="42" t="s">
        <v>882</v>
      </c>
      <c r="E58" s="45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936</v>
      </c>
      <c r="C59" s="25" t="s">
        <v>937</v>
      </c>
      <c r="D59" s="23" t="s">
        <v>882</v>
      </c>
      <c r="E59" s="45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938</v>
      </c>
      <c r="C60" s="44" t="s">
        <v>939</v>
      </c>
      <c r="D60" s="42" t="s">
        <v>882</v>
      </c>
      <c r="E60" s="45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57</v>
      </c>
      <c r="K60" s="27" t="s">
        <v>182</v>
      </c>
      <c r="L60" s="28" t="s">
        <v>56</v>
      </c>
      <c r="M60" s="29" t="str">
        <f t="shared" si="5"/>
        <v>⚠ Check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940</v>
      </c>
      <c r="C61" s="25" t="s">
        <v>941</v>
      </c>
      <c r="D61" s="23" t="s">
        <v>882</v>
      </c>
      <c r="E61" s="45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942</v>
      </c>
      <c r="C62" s="44" t="s">
        <v>943</v>
      </c>
      <c r="D62" s="42" t="s">
        <v>882</v>
      </c>
      <c r="E62" s="45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944</v>
      </c>
      <c r="C63" s="25" t="s">
        <v>945</v>
      </c>
      <c r="D63" s="23" t="s">
        <v>882</v>
      </c>
      <c r="E63" s="45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182</v>
      </c>
      <c r="L63" s="28" t="s">
        <v>56</v>
      </c>
      <c r="M63" s="29" t="str">
        <f t="shared" si="5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946</v>
      </c>
      <c r="C64" s="44" t="s">
        <v>947</v>
      </c>
      <c r="D64" s="42" t="s">
        <v>882</v>
      </c>
      <c r="E64" s="45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948</v>
      </c>
      <c r="C65" s="25" t="s">
        <v>948</v>
      </c>
      <c r="D65" s="23" t="s">
        <v>882</v>
      </c>
      <c r="E65" s="45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949</v>
      </c>
      <c r="C66" s="44" t="s">
        <v>950</v>
      </c>
      <c r="D66" s="42" t="s">
        <v>882</v>
      </c>
      <c r="E66" s="45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951</v>
      </c>
      <c r="C67" s="25" t="s">
        <v>952</v>
      </c>
      <c r="D67" s="23" t="s">
        <v>882</v>
      </c>
      <c r="E67" s="45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953</v>
      </c>
      <c r="C68" s="44" t="s">
        <v>954</v>
      </c>
      <c r="D68" s="42" t="s">
        <v>882</v>
      </c>
      <c r="E68" s="45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182</v>
      </c>
      <c r="L68" s="28" t="s">
        <v>56</v>
      </c>
      <c r="M68" s="29" t="str">
        <f t="shared" si="5"/>
        <v>⚠ Check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955</v>
      </c>
      <c r="C69" s="25" t="s">
        <v>956</v>
      </c>
      <c r="D69" s="23" t="s">
        <v>882</v>
      </c>
      <c r="E69" s="45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957</v>
      </c>
      <c r="C70" s="44" t="s">
        <v>958</v>
      </c>
      <c r="D70" s="42" t="s">
        <v>882</v>
      </c>
      <c r="E70" s="45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959</v>
      </c>
      <c r="C71" s="25" t="s">
        <v>960</v>
      </c>
      <c r="D71" s="23" t="s">
        <v>882</v>
      </c>
      <c r="E71" s="45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961</v>
      </c>
      <c r="C72" s="44" t="s">
        <v>962</v>
      </c>
      <c r="D72" s="42" t="s">
        <v>882</v>
      </c>
      <c r="E72" s="45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182</v>
      </c>
      <c r="L72" s="28" t="s">
        <v>56</v>
      </c>
      <c r="M72" s="29" t="str">
        <f t="shared" si="10"/>
        <v>⚠ Check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963</v>
      </c>
      <c r="C73" s="25" t="s">
        <v>964</v>
      </c>
      <c r="D73" s="23" t="s">
        <v>882</v>
      </c>
      <c r="E73" s="45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965</v>
      </c>
      <c r="C74" s="44" t="s">
        <v>966</v>
      </c>
      <c r="D74" s="42" t="s">
        <v>882</v>
      </c>
      <c r="E74" s="45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57</v>
      </c>
      <c r="K74" s="27" t="s">
        <v>182</v>
      </c>
      <c r="L74" s="28" t="s">
        <v>56</v>
      </c>
      <c r="M74" s="29" t="str">
        <f t="shared" si="10"/>
        <v>⚠ Check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967</v>
      </c>
      <c r="C75" s="25" t="s">
        <v>967</v>
      </c>
      <c r="D75" s="23" t="s">
        <v>882</v>
      </c>
      <c r="E75" s="45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968</v>
      </c>
      <c r="C76" s="44" t="s">
        <v>969</v>
      </c>
      <c r="D76" s="42" t="s">
        <v>882</v>
      </c>
      <c r="E76" s="45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970</v>
      </c>
      <c r="C77" s="25" t="s">
        <v>971</v>
      </c>
      <c r="D77" s="23" t="s">
        <v>882</v>
      </c>
      <c r="E77" s="45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972</v>
      </c>
      <c r="C78" s="44" t="s">
        <v>973</v>
      </c>
      <c r="D78" s="42" t="s">
        <v>882</v>
      </c>
      <c r="E78" s="45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974</v>
      </c>
      <c r="C79" s="25" t="s">
        <v>975</v>
      </c>
      <c r="D79" s="23" t="s">
        <v>882</v>
      </c>
      <c r="E79" s="45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976</v>
      </c>
      <c r="C80" s="44" t="s">
        <v>977</v>
      </c>
      <c r="D80" s="42" t="s">
        <v>882</v>
      </c>
      <c r="E80" s="45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978</v>
      </c>
      <c r="C81" s="25" t="s">
        <v>979</v>
      </c>
      <c r="D81" s="23" t="s">
        <v>882</v>
      </c>
      <c r="E81" s="45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980</v>
      </c>
      <c r="C82" s="44" t="s">
        <v>981</v>
      </c>
      <c r="D82" s="42" t="s">
        <v>882</v>
      </c>
      <c r="E82" s="45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982</v>
      </c>
      <c r="C83" s="25" t="s">
        <v>983</v>
      </c>
      <c r="D83" s="23" t="s">
        <v>882</v>
      </c>
      <c r="E83" s="45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984</v>
      </c>
      <c r="C84" s="44" t="s">
        <v>985</v>
      </c>
      <c r="D84" s="42" t="s">
        <v>882</v>
      </c>
      <c r="E84" s="45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986</v>
      </c>
      <c r="C85" s="25" t="s">
        <v>987</v>
      </c>
      <c r="D85" s="23" t="s">
        <v>882</v>
      </c>
      <c r="E85" s="45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M6:AW6 I7:AW7 M8:AW9 A10:AW12 M13:AW13 A14:AW14 M15:AW15 A16:AW16 M17:AW17 A18:AW19 M20:AW21 A22:AW23 M24:AW24 A25:AW25 M26:AW26 A27:AW27 M28:AW28 A29:AW85 A7:G7 G8 I8:L8 A6:F6 A8:F9 A13:F13 A15:F15 A17:F17 A20:F21 A24:F24 A26:F26 A28:F28">
    <cfRule type="expression" dxfId="511" priority="126">
      <formula>MOD(ROW(),2)=0</formula>
    </cfRule>
  </conditionalFormatting>
  <conditionalFormatting sqref="G5 G7:G8 G10:G12 G14 G16 G18:G19 G22:G23 G25 G27 G29:G85">
    <cfRule type="expression" dxfId="510" priority="86">
      <formula>G5="No"</formula>
    </cfRule>
    <cfRule type="expression" dxfId="509" priority="85">
      <formula>G5="Yes"</formula>
    </cfRule>
  </conditionalFormatting>
  <conditionalFormatting sqref="G6">
    <cfRule type="expression" dxfId="508" priority="77">
      <formula>G6="Yes"</formula>
    </cfRule>
    <cfRule type="expression" dxfId="507" priority="79">
      <formula>MOD(ROW(),2)=0</formula>
    </cfRule>
    <cfRule type="expression" dxfId="506" priority="78">
      <formula>G6="No"</formula>
    </cfRule>
  </conditionalFormatting>
  <conditionalFormatting sqref="G9">
    <cfRule type="expression" dxfId="505" priority="71">
      <formula>MOD(ROW(),2)=0</formula>
    </cfRule>
    <cfRule type="expression" dxfId="504" priority="70">
      <formula>G9="No"</formula>
    </cfRule>
    <cfRule type="expression" dxfId="503" priority="69">
      <formula>G9="Yes"</formula>
    </cfRule>
  </conditionalFormatting>
  <conditionalFormatting sqref="G13">
    <cfRule type="expression" dxfId="502" priority="61">
      <formula>G13="Yes"</formula>
    </cfRule>
    <cfRule type="expression" dxfId="501" priority="62">
      <formula>G13="No"</formula>
    </cfRule>
    <cfRule type="expression" dxfId="500" priority="63">
      <formula>MOD(ROW(),2)=0</formula>
    </cfRule>
  </conditionalFormatting>
  <conditionalFormatting sqref="G15">
    <cfRule type="expression" dxfId="499" priority="55">
      <formula>MOD(ROW(),2)=0</formula>
    </cfRule>
    <cfRule type="expression" dxfId="498" priority="54">
      <formula>G15="No"</formula>
    </cfRule>
    <cfRule type="expression" dxfId="497" priority="53">
      <formula>G15="Yes"</formula>
    </cfRule>
  </conditionalFormatting>
  <conditionalFormatting sqref="G17">
    <cfRule type="expression" dxfId="496" priority="45">
      <formula>G17="Yes"</formula>
    </cfRule>
    <cfRule type="expression" dxfId="495" priority="46">
      <formula>G17="No"</formula>
    </cfRule>
    <cfRule type="expression" dxfId="494" priority="47">
      <formula>MOD(ROW(),2)=0</formula>
    </cfRule>
  </conditionalFormatting>
  <conditionalFormatting sqref="G20:G21">
    <cfRule type="expression" dxfId="493" priority="30">
      <formula>G20="No"</formula>
    </cfRule>
    <cfRule type="expression" dxfId="492" priority="29">
      <formula>G20="Yes"</formula>
    </cfRule>
    <cfRule type="expression" dxfId="491" priority="31">
      <formula>MOD(ROW(),2)=0</formula>
    </cfRule>
  </conditionalFormatting>
  <conditionalFormatting sqref="G24">
    <cfRule type="expression" dxfId="490" priority="23">
      <formula>MOD(ROW(),2)=0</formula>
    </cfRule>
    <cfRule type="expression" dxfId="489" priority="21">
      <formula>G24="Yes"</formula>
    </cfRule>
    <cfRule type="expression" dxfId="488" priority="22">
      <formula>G24="No"</formula>
    </cfRule>
  </conditionalFormatting>
  <conditionalFormatting sqref="G26">
    <cfRule type="expression" dxfId="487" priority="13">
      <formula>G26="Yes"</formula>
    </cfRule>
    <cfRule type="expression" dxfId="486" priority="14">
      <formula>G26="No"</formula>
    </cfRule>
    <cfRule type="expression" dxfId="485" priority="15">
      <formula>MOD(ROW(),2)=0</formula>
    </cfRule>
  </conditionalFormatting>
  <conditionalFormatting sqref="G28">
    <cfRule type="expression" dxfId="484" priority="5">
      <formula>G28="Yes"</formula>
    </cfRule>
    <cfRule type="expression" dxfId="483" priority="7">
      <formula>MOD(ROW(),2)=0</formula>
    </cfRule>
    <cfRule type="expression" dxfId="482" priority="6">
      <formula>G28="No"</formula>
    </cfRule>
  </conditionalFormatting>
  <conditionalFormatting sqref="H5:H85">
    <cfRule type="expression" dxfId="481" priority="1">
      <formula>H5="Yes"</formula>
    </cfRule>
  </conditionalFormatting>
  <conditionalFormatting sqref="I6">
    <cfRule type="expression" dxfId="480" priority="76">
      <formula>MOD(ROW(),2)=0</formula>
    </cfRule>
  </conditionalFormatting>
  <conditionalFormatting sqref="I9">
    <cfRule type="expression" dxfId="479" priority="68">
      <formula>MOD(ROW(),2)=0</formula>
    </cfRule>
  </conditionalFormatting>
  <conditionalFormatting sqref="I13">
    <cfRule type="expression" dxfId="478" priority="60">
      <formula>MOD(ROW(),2)=0</formula>
    </cfRule>
  </conditionalFormatting>
  <conditionalFormatting sqref="I15">
    <cfRule type="expression" dxfId="477" priority="52">
      <formula>MOD(ROW(),2)=0</formula>
    </cfRule>
  </conditionalFormatting>
  <conditionalFormatting sqref="I17">
    <cfRule type="expression" dxfId="476" priority="44">
      <formula>MOD(ROW(),2)=0</formula>
    </cfRule>
  </conditionalFormatting>
  <conditionalFormatting sqref="I20:I21">
    <cfRule type="expression" dxfId="475" priority="28">
      <formula>MOD(ROW(),2)=0</formula>
    </cfRule>
  </conditionalFormatting>
  <conditionalFormatting sqref="I24">
    <cfRule type="expression" dxfId="474" priority="20">
      <formula>MOD(ROW(),2)=0</formula>
    </cfRule>
  </conditionalFormatting>
  <conditionalFormatting sqref="I26">
    <cfRule type="expression" dxfId="473" priority="12">
      <formula>MOD(ROW(),2)=0</formula>
    </cfRule>
  </conditionalFormatting>
  <conditionalFormatting sqref="I28">
    <cfRule type="expression" dxfId="472" priority="4">
      <formula>MOD(ROW(),2)=0</formula>
    </cfRule>
  </conditionalFormatting>
  <conditionalFormatting sqref="J5:J85">
    <cfRule type="expression" dxfId="471" priority="3">
      <formula>J5="No"</formula>
    </cfRule>
    <cfRule type="expression" dxfId="470" priority="2">
      <formula>J5="Yes"</formula>
    </cfRule>
  </conditionalFormatting>
  <conditionalFormatting sqref="J6:L6">
    <cfRule type="expression" dxfId="469" priority="80">
      <formula>MOD(ROW(),2)=0</formula>
    </cfRule>
  </conditionalFormatting>
  <conditionalFormatting sqref="J9:L9 H6:H9">
    <cfRule type="expression" dxfId="468" priority="72">
      <formula>MOD(ROW(),2)=0</formula>
    </cfRule>
  </conditionalFormatting>
  <conditionalFormatting sqref="J13:L13 H13">
    <cfRule type="expression" dxfId="467" priority="64">
      <formula>MOD(ROW(),2)=0</formula>
    </cfRule>
  </conditionalFormatting>
  <conditionalFormatting sqref="J15:L15 H15">
    <cfRule type="expression" dxfId="466" priority="56">
      <formula>MOD(ROW(),2)=0</formula>
    </cfRule>
  </conditionalFormatting>
  <conditionalFormatting sqref="J17:L17 H17">
    <cfRule type="expression" dxfId="465" priority="48">
      <formula>MOD(ROW(),2)=0</formula>
    </cfRule>
  </conditionalFormatting>
  <conditionalFormatting sqref="J20:L21 H20:H21">
    <cfRule type="expression" dxfId="464" priority="32">
      <formula>MOD(ROW(),2)=0</formula>
    </cfRule>
  </conditionalFormatting>
  <conditionalFormatting sqref="J24:L24 H24">
    <cfRule type="expression" dxfId="463" priority="24">
      <formula>MOD(ROW(),2)=0</formula>
    </cfRule>
  </conditionalFormatting>
  <conditionalFormatting sqref="J26:L26 H26">
    <cfRule type="expression" dxfId="462" priority="16">
      <formula>MOD(ROW(),2)=0</formula>
    </cfRule>
  </conditionalFormatting>
  <conditionalFormatting sqref="J28:L28 H28">
    <cfRule type="expression" dxfId="461" priority="8">
      <formula>MOD(ROW(),2)=0</formula>
    </cfRule>
  </conditionalFormatting>
  <conditionalFormatting sqref="M5:M85">
    <cfRule type="expression" dxfId="460" priority="82">
      <formula>M5="❌ Disc"</formula>
    </cfRule>
    <cfRule type="expression" dxfId="459" priority="83">
      <formula>M5="⚠ Missing"</formula>
    </cfRule>
    <cfRule type="expression" dxfId="458" priority="84">
      <formula>M5="⚠ Check"</formula>
    </cfRule>
    <cfRule type="expression" dxfId="457" priority="81">
      <formula>M5="✓ OK"</formula>
    </cfRule>
  </conditionalFormatting>
  <conditionalFormatting sqref="P5:P85">
    <cfRule type="expression" dxfId="456" priority="94">
      <formula>P5="Yes"</formula>
    </cfRule>
    <cfRule type="expression" dxfId="455" priority="95">
      <formula>P5="No"</formula>
    </cfRule>
  </conditionalFormatting>
  <conditionalFormatting sqref="Q5:Q85">
    <cfRule type="expression" dxfId="454" priority="96">
      <formula>Q5="Yes"</formula>
    </cfRule>
  </conditionalFormatting>
  <conditionalFormatting sqref="S5:S85">
    <cfRule type="expression" dxfId="453" priority="97">
      <formula>S5="Yes"</formula>
    </cfRule>
    <cfRule type="expression" dxfId="452" priority="98">
      <formula>S5="No"</formula>
    </cfRule>
  </conditionalFormatting>
  <conditionalFormatting sqref="V5:V85">
    <cfRule type="expression" dxfId="451" priority="90">
      <formula>V5="✓ OK"</formula>
    </cfRule>
    <cfRule type="expression" dxfId="450" priority="91">
      <formula>V5="❌ Disc"</formula>
    </cfRule>
    <cfRule type="expression" dxfId="449" priority="92">
      <formula>V5="⚠ Missing"</formula>
    </cfRule>
    <cfRule type="expression" dxfId="448" priority="93">
      <formula>V5="⚠ Check"</formula>
    </cfRule>
  </conditionalFormatting>
  <conditionalFormatting sqref="Y5:Y85">
    <cfRule type="expression" dxfId="447" priority="103">
      <formula>Y5="Yes"</formula>
    </cfRule>
    <cfRule type="expression" dxfId="446" priority="104">
      <formula>Y5="No"</formula>
    </cfRule>
  </conditionalFormatting>
  <conditionalFormatting sqref="Z5:Z85">
    <cfRule type="expression" dxfId="445" priority="105">
      <formula>Z5="Yes"</formula>
    </cfRule>
  </conditionalFormatting>
  <conditionalFormatting sqref="AB5:AB85">
    <cfRule type="expression" dxfId="444" priority="106">
      <formula>AB5="Yes"</formula>
    </cfRule>
    <cfRule type="expression" dxfId="443" priority="107">
      <formula>AB5="No"</formula>
    </cfRule>
  </conditionalFormatting>
  <conditionalFormatting sqref="AE5:AE85">
    <cfRule type="expression" dxfId="442" priority="99">
      <formula>AE5="✓ OK"</formula>
    </cfRule>
    <cfRule type="expression" dxfId="441" priority="100">
      <formula>AE5="❌ Disc"</formula>
    </cfRule>
    <cfRule type="expression" dxfId="440" priority="101">
      <formula>AE5="⚠ Missing"</formula>
    </cfRule>
    <cfRule type="expression" dxfId="439" priority="102">
      <formula>AE5="⚠ Check"</formula>
    </cfRule>
  </conditionalFormatting>
  <conditionalFormatting sqref="AH5:AH85">
    <cfRule type="expression" dxfId="438" priority="112">
      <formula>AH5="Yes"</formula>
    </cfRule>
    <cfRule type="expression" dxfId="437" priority="113">
      <formula>AH5="No"</formula>
    </cfRule>
  </conditionalFormatting>
  <conditionalFormatting sqref="AI5:AI85">
    <cfRule type="expression" dxfId="436" priority="114">
      <formula>AI5="Yes"</formula>
    </cfRule>
  </conditionalFormatting>
  <conditionalFormatting sqref="AK5:AK85">
    <cfRule type="expression" dxfId="435" priority="116">
      <formula>AK5="No"</formula>
    </cfRule>
    <cfRule type="expression" dxfId="434" priority="115">
      <formula>AK5="Yes"</formula>
    </cfRule>
  </conditionalFormatting>
  <conditionalFormatting sqref="AN5:AN85">
    <cfRule type="expression" dxfId="433" priority="108">
      <formula>AN5="✓ OK"</formula>
    </cfRule>
    <cfRule type="expression" dxfId="432" priority="109">
      <formula>AN5="❌ Disc"</formula>
    </cfRule>
    <cfRule type="expression" dxfId="431" priority="110">
      <formula>AN5="⚠ Missing"</formula>
    </cfRule>
    <cfRule type="expression" dxfId="430" priority="111">
      <formula>AN5="⚠ Check"</formula>
    </cfRule>
  </conditionalFormatting>
  <conditionalFormatting sqref="AQ5:AQ85">
    <cfRule type="expression" dxfId="429" priority="122">
      <formula>AQ5="No"</formula>
    </cfRule>
    <cfRule type="expression" dxfId="428" priority="121">
      <formula>AQ5="Yes"</formula>
    </cfRule>
  </conditionalFormatting>
  <conditionalFormatting sqref="AR5:AR85">
    <cfRule type="expression" dxfId="427" priority="123">
      <formula>AR5="Yes"</formula>
    </cfRule>
  </conditionalFormatting>
  <conditionalFormatting sqref="AT5:AT85">
    <cfRule type="expression" dxfId="426" priority="124">
      <formula>AT5="Yes"</formula>
    </cfRule>
    <cfRule type="expression" dxfId="425" priority="125">
      <formula>AT5="No"</formula>
    </cfRule>
  </conditionalFormatting>
  <conditionalFormatting sqref="AW5:AW85">
    <cfRule type="expression" dxfId="424" priority="117">
      <formula>AW5="✓ OK"</formula>
    </cfRule>
    <cfRule type="expression" dxfId="423" priority="118">
      <formula>AW5="❌ Disc"</formula>
    </cfRule>
    <cfRule type="expression" dxfId="422" priority="119">
      <formula>AW5="⚠ Missing"</formula>
    </cfRule>
    <cfRule type="expression" dxfId="421" priority="120">
      <formula>AW5="⚠ Check"</formula>
    </cfRule>
  </conditionalFormatting>
  <dataValidations count="4">
    <dataValidation type="list" allowBlank="1" sqref="AT5:AT85 AQ5:AR85 AK5:AK85 AH5:AI85 AB5:AB85 Y5:Z85 S5:S85 P5:Q85 G5:H5 H28 G10:H12 H13 G14:H14 H15 G16:H16 H17 G18:H19 H20:H21 G22:H23 H24 G25:H25 H26 G7:G8 G27:H27 G29:H85 J5:J85 H6:H9" xr:uid="{00000000-0002-0000-0300-000000000000}">
      <formula1>"Yes,No"</formula1>
    </dataValidation>
    <dataValidation type="list" allowBlank="1" sqref="R5:R85 AS5:AS85 AJ5:AJ85 AA5:AA85 I5 I29:I85 I10:I12 I14 I16 I18:I19 I22:I23 I25 I27 I7:I8" xr:uid="{00000000-0002-0000-0300-000003000000}">
      <formula1>"Good finish,Minor defect,Major defect,Discontinued,Not Available"</formula1>
    </dataValidation>
    <dataValidation type="list" allowBlank="1" sqref="I6 I9 I13 I15 I17 I20:I21 I24 I26 I28" xr:uid="{442355B7-DAF0-4221-AF32-7CB7CC0AB2F1}">
      <formula1>"Represented by Sample,Good finish,Minor defect,Major defect,Discontinued,Not Available"</formula1>
    </dataValidation>
    <dataValidation type="list" allowBlank="1" sqref="G6 G9 G13 G15 G17 G20:G21 G24 G26 G28" xr:uid="{E4E02668-C70A-479A-807C-4763C9D19C4B}">
      <formula1>"Yes,No,Represented by Sample"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158" activePane="bottomRight" state="frozen"/>
      <selection pane="topRight" activeCell="H13" sqref="H13"/>
      <selection pane="bottomLeft" activeCell="H13" sqref="H13"/>
      <selection pane="bottomRight" activeCell="G170" sqref="G170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988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989</v>
      </c>
      <c r="C5" s="25" t="s">
        <v>990</v>
      </c>
      <c r="D5" s="23" t="s">
        <v>991</v>
      </c>
      <c r="E5" s="45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992</v>
      </c>
      <c r="C6" s="44" t="s">
        <v>993</v>
      </c>
      <c r="D6" s="42" t="s">
        <v>991</v>
      </c>
      <c r="E6" s="45">
        <v>46132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994</v>
      </c>
      <c r="C7" s="25" t="s">
        <v>995</v>
      </c>
      <c r="D7" s="23" t="s">
        <v>991</v>
      </c>
      <c r="E7" s="45">
        <v>46132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996</v>
      </c>
      <c r="C8" s="44" t="s">
        <v>997</v>
      </c>
      <c r="D8" s="42" t="s">
        <v>991</v>
      </c>
      <c r="E8" s="45">
        <v>46132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998</v>
      </c>
      <c r="C9" s="25" t="s">
        <v>999</v>
      </c>
      <c r="D9" s="23" t="s">
        <v>991</v>
      </c>
      <c r="E9" s="45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1000</v>
      </c>
      <c r="C10" s="44" t="s">
        <v>1001</v>
      </c>
      <c r="D10" s="42" t="s">
        <v>991</v>
      </c>
      <c r="E10" s="45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1002</v>
      </c>
      <c r="C11" s="25" t="s">
        <v>1003</v>
      </c>
      <c r="D11" s="23" t="s">
        <v>991</v>
      </c>
      <c r="E11" s="45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1004</v>
      </c>
      <c r="C12" s="44" t="s">
        <v>1005</v>
      </c>
      <c r="D12" s="42" t="s">
        <v>991</v>
      </c>
      <c r="E12" s="45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1006</v>
      </c>
      <c r="C13" s="25" t="s">
        <v>1007</v>
      </c>
      <c r="D13" s="23" t="s">
        <v>991</v>
      </c>
      <c r="E13" s="45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1008</v>
      </c>
      <c r="C14" s="44" t="s">
        <v>1009</v>
      </c>
      <c r="D14" s="42" t="s">
        <v>991</v>
      </c>
      <c r="E14" s="45">
        <v>46132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1010</v>
      </c>
      <c r="C15" s="25" t="s">
        <v>1011</v>
      </c>
      <c r="D15" s="23" t="s">
        <v>991</v>
      </c>
      <c r="E15" s="45">
        <v>46129</v>
      </c>
      <c r="F15" s="26" t="s">
        <v>55</v>
      </c>
      <c r="G15" s="26" t="s">
        <v>56</v>
      </c>
      <c r="H15" s="26" t="s">
        <v>57</v>
      </c>
      <c r="I15" s="26" t="s">
        <v>276</v>
      </c>
      <c r="J15" s="26" t="s">
        <v>57</v>
      </c>
      <c r="K15" s="27" t="s">
        <v>1012</v>
      </c>
      <c r="L15" s="28" t="s">
        <v>57</v>
      </c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1013</v>
      </c>
      <c r="C16" s="44" t="s">
        <v>1014</v>
      </c>
      <c r="D16" s="42" t="s">
        <v>991</v>
      </c>
      <c r="E16" s="45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1015</v>
      </c>
      <c r="C17" s="25" t="s">
        <v>1016</v>
      </c>
      <c r="D17" s="23" t="s">
        <v>991</v>
      </c>
      <c r="E17" s="45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1017</v>
      </c>
      <c r="C18" s="44" t="s">
        <v>1018</v>
      </c>
      <c r="D18" s="42" t="s">
        <v>991</v>
      </c>
      <c r="E18" s="45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1019</v>
      </c>
      <c r="C19" s="25" t="s">
        <v>1020</v>
      </c>
      <c r="D19" s="23" t="s">
        <v>991</v>
      </c>
      <c r="E19" s="45">
        <v>46132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1021</v>
      </c>
      <c r="C20" s="44" t="s">
        <v>1022</v>
      </c>
      <c r="D20" s="42" t="s">
        <v>991</v>
      </c>
      <c r="E20" s="45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1023</v>
      </c>
      <c r="C21" s="25" t="s">
        <v>1024</v>
      </c>
      <c r="D21" s="23" t="s">
        <v>991</v>
      </c>
      <c r="E21" s="45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1025</v>
      </c>
      <c r="C22" s="44" t="s">
        <v>1026</v>
      </c>
      <c r="D22" s="42" t="s">
        <v>991</v>
      </c>
      <c r="E22" s="45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1027</v>
      </c>
      <c r="C23" s="25" t="s">
        <v>1028</v>
      </c>
      <c r="D23" s="23" t="s">
        <v>991</v>
      </c>
      <c r="E23" s="45">
        <v>46129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1029</v>
      </c>
      <c r="C24" s="44" t="s">
        <v>1030</v>
      </c>
      <c r="D24" s="42" t="s">
        <v>991</v>
      </c>
      <c r="E24" s="45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1031</v>
      </c>
      <c r="C25" s="25" t="s">
        <v>1032</v>
      </c>
      <c r="D25" s="23" t="s">
        <v>991</v>
      </c>
      <c r="E25" s="45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1033</v>
      </c>
      <c r="C26" s="44" t="s">
        <v>1034</v>
      </c>
      <c r="D26" s="42" t="s">
        <v>991</v>
      </c>
      <c r="E26" s="45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1035</v>
      </c>
      <c r="C27" s="25" t="s">
        <v>1036</v>
      </c>
      <c r="D27" s="23" t="s">
        <v>991</v>
      </c>
      <c r="E27" s="45">
        <v>46129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1037</v>
      </c>
      <c r="C28" s="44" t="s">
        <v>1038</v>
      </c>
      <c r="D28" s="42" t="s">
        <v>991</v>
      </c>
      <c r="E28" s="45">
        <v>46129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1039</v>
      </c>
      <c r="C29" s="25" t="s">
        <v>1040</v>
      </c>
      <c r="D29" s="23" t="s">
        <v>991</v>
      </c>
      <c r="E29" s="45">
        <v>46129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1041</v>
      </c>
      <c r="C30" s="44" t="s">
        <v>1042</v>
      </c>
      <c r="D30" s="42" t="s">
        <v>991</v>
      </c>
      <c r="E30" s="45">
        <v>46132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1043</v>
      </c>
      <c r="C31" s="25" t="s">
        <v>1044</v>
      </c>
      <c r="D31" s="23" t="s">
        <v>991</v>
      </c>
      <c r="E31" s="45">
        <v>46129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1045</v>
      </c>
      <c r="C32" s="44" t="s">
        <v>1046</v>
      </c>
      <c r="D32" s="42" t="s">
        <v>991</v>
      </c>
      <c r="E32" s="45">
        <v>46132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1047</v>
      </c>
      <c r="C33" s="25" t="s">
        <v>1048</v>
      </c>
      <c r="D33" s="23" t="s">
        <v>991</v>
      </c>
      <c r="E33" s="45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1049</v>
      </c>
      <c r="C34" s="44" t="s">
        <v>1050</v>
      </c>
      <c r="D34" s="42" t="s">
        <v>991</v>
      </c>
      <c r="E34" s="45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1051</v>
      </c>
      <c r="C35" s="25" t="s">
        <v>1052</v>
      </c>
      <c r="D35" s="23" t="s">
        <v>991</v>
      </c>
      <c r="E35" s="45">
        <v>46129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1053</v>
      </c>
      <c r="C36" s="44" t="s">
        <v>1054</v>
      </c>
      <c r="D36" s="42" t="s">
        <v>991</v>
      </c>
      <c r="E36" s="45">
        <v>46129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1055</v>
      </c>
      <c r="C37" s="25" t="s">
        <v>1056</v>
      </c>
      <c r="D37" s="23" t="s">
        <v>991</v>
      </c>
      <c r="E37" s="45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1057</v>
      </c>
      <c r="C38" s="44" t="s">
        <v>1058</v>
      </c>
      <c r="D38" s="42" t="s">
        <v>991</v>
      </c>
      <c r="E38" s="45">
        <v>46129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1059</v>
      </c>
      <c r="C39" s="25" t="s">
        <v>1060</v>
      </c>
      <c r="D39" s="23" t="s">
        <v>991</v>
      </c>
      <c r="E39" s="45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1061</v>
      </c>
      <c r="C40" s="44" t="s">
        <v>1062</v>
      </c>
      <c r="D40" s="42" t="s">
        <v>991</v>
      </c>
      <c r="E40" s="45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1063</v>
      </c>
      <c r="C41" s="25" t="s">
        <v>1064</v>
      </c>
      <c r="D41" s="23" t="s">
        <v>991</v>
      </c>
      <c r="E41" s="45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1065</v>
      </c>
      <c r="C42" s="44" t="s">
        <v>1066</v>
      </c>
      <c r="D42" s="42" t="s">
        <v>991</v>
      </c>
      <c r="E42" s="45">
        <v>46129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1067</v>
      </c>
      <c r="C43" s="25" t="s">
        <v>1068</v>
      </c>
      <c r="D43" s="23" t="s">
        <v>991</v>
      </c>
      <c r="E43" s="45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1069</v>
      </c>
      <c r="C44" s="44" t="s">
        <v>1070</v>
      </c>
      <c r="D44" s="42" t="s">
        <v>991</v>
      </c>
      <c r="E44" s="45">
        <v>46129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1071</v>
      </c>
      <c r="C45" s="25" t="s">
        <v>1072</v>
      </c>
      <c r="D45" s="23" t="s">
        <v>991</v>
      </c>
      <c r="E45" s="45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1073</v>
      </c>
      <c r="C46" s="44" t="s">
        <v>1074</v>
      </c>
      <c r="D46" s="42" t="s">
        <v>991</v>
      </c>
      <c r="E46" s="45">
        <v>46129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1075</v>
      </c>
      <c r="C47" s="25" t="s">
        <v>1076</v>
      </c>
      <c r="D47" s="23" t="s">
        <v>991</v>
      </c>
      <c r="E47" s="45">
        <v>46132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1077</v>
      </c>
      <c r="C48" s="44" t="s">
        <v>1078</v>
      </c>
      <c r="D48" s="42" t="s">
        <v>991</v>
      </c>
      <c r="E48" s="45">
        <v>46129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1079</v>
      </c>
      <c r="C49" s="25" t="s">
        <v>1080</v>
      </c>
      <c r="D49" s="23" t="s">
        <v>991</v>
      </c>
      <c r="E49" s="45">
        <v>46129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1081</v>
      </c>
      <c r="C50" s="44" t="s">
        <v>1082</v>
      </c>
      <c r="D50" s="42" t="s">
        <v>991</v>
      </c>
      <c r="E50" s="45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1083</v>
      </c>
      <c r="C51" s="25" t="s">
        <v>1084</v>
      </c>
      <c r="D51" s="23" t="s">
        <v>991</v>
      </c>
      <c r="E51" s="45">
        <v>46132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1085</v>
      </c>
      <c r="C52" s="44" t="s">
        <v>1086</v>
      </c>
      <c r="D52" s="42" t="s">
        <v>991</v>
      </c>
      <c r="E52" s="45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1087</v>
      </c>
      <c r="C53" s="25" t="s">
        <v>1088</v>
      </c>
      <c r="D53" s="23" t="s">
        <v>991</v>
      </c>
      <c r="E53" s="45">
        <v>46132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1089</v>
      </c>
      <c r="C54" s="44" t="s">
        <v>1090</v>
      </c>
      <c r="D54" s="42" t="s">
        <v>1091</v>
      </c>
      <c r="E54" s="45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1092</v>
      </c>
      <c r="C55" s="25" t="s">
        <v>1093</v>
      </c>
      <c r="D55" s="23" t="s">
        <v>1091</v>
      </c>
      <c r="E55" s="45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1094</v>
      </c>
      <c r="C56" s="44" t="s">
        <v>1095</v>
      </c>
      <c r="D56" s="42" t="s">
        <v>1091</v>
      </c>
      <c r="E56" s="45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1096</v>
      </c>
      <c r="C57" s="25" t="s">
        <v>1097</v>
      </c>
      <c r="D57" s="23" t="s">
        <v>1091</v>
      </c>
      <c r="E57" s="45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1098</v>
      </c>
      <c r="C58" s="44" t="s">
        <v>1099</v>
      </c>
      <c r="D58" s="42" t="s">
        <v>1091</v>
      </c>
      <c r="E58" s="45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1100</v>
      </c>
      <c r="C59" s="25" t="s">
        <v>1101</v>
      </c>
      <c r="D59" s="23" t="s">
        <v>1091</v>
      </c>
      <c r="E59" s="45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1102</v>
      </c>
      <c r="C60" s="44" t="s">
        <v>1103</v>
      </c>
      <c r="D60" s="42" t="s">
        <v>1091</v>
      </c>
      <c r="E60" s="45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1104</v>
      </c>
      <c r="C61" s="25" t="s">
        <v>1105</v>
      </c>
      <c r="D61" s="23" t="s">
        <v>1091</v>
      </c>
      <c r="E61" s="45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1106</v>
      </c>
      <c r="C62" s="44" t="s">
        <v>1107</v>
      </c>
      <c r="D62" s="42" t="s">
        <v>1091</v>
      </c>
      <c r="E62" s="45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1108</v>
      </c>
      <c r="C63" s="25" t="s">
        <v>1109</v>
      </c>
      <c r="D63" s="23" t="s">
        <v>1091</v>
      </c>
      <c r="E63" s="45">
        <v>46128</v>
      </c>
      <c r="F63" s="26" t="s">
        <v>55</v>
      </c>
      <c r="G63" s="26" t="s">
        <v>56</v>
      </c>
      <c r="H63" s="26" t="s">
        <v>57</v>
      </c>
      <c r="I63" s="26" t="s">
        <v>276</v>
      </c>
      <c r="J63" s="26" t="s">
        <v>57</v>
      </c>
      <c r="K63" s="27" t="s">
        <v>1110</v>
      </c>
      <c r="L63" s="28" t="s">
        <v>56</v>
      </c>
      <c r="M63" s="29" t="str">
        <f t="shared" si="5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1111</v>
      </c>
      <c r="C64" s="44" t="s">
        <v>1112</v>
      </c>
      <c r="D64" s="42" t="s">
        <v>1091</v>
      </c>
      <c r="E64" s="45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1113</v>
      </c>
      <c r="C65" s="25" t="s">
        <v>1114</v>
      </c>
      <c r="D65" s="23" t="s">
        <v>1091</v>
      </c>
      <c r="E65" s="45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1115</v>
      </c>
      <c r="C66" s="44" t="s">
        <v>1116</v>
      </c>
      <c r="D66" s="42" t="s">
        <v>1091</v>
      </c>
      <c r="E66" s="45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1117</v>
      </c>
      <c r="C67" s="25" t="s">
        <v>1118</v>
      </c>
      <c r="D67" s="23" t="s">
        <v>1091</v>
      </c>
      <c r="E67" s="45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1119</v>
      </c>
      <c r="C68" s="44" t="s">
        <v>1120</v>
      </c>
      <c r="D68" s="42" t="s">
        <v>1091</v>
      </c>
      <c r="E68" s="45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1121</v>
      </c>
      <c r="C69" s="25" t="s">
        <v>1122</v>
      </c>
      <c r="D69" s="23" t="s">
        <v>1091</v>
      </c>
      <c r="E69" s="45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0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1123</v>
      </c>
      <c r="C70" s="44" t="s">
        <v>1124</v>
      </c>
      <c r="D70" s="42" t="s">
        <v>1091</v>
      </c>
      <c r="E70" s="45">
        <v>46128</v>
      </c>
      <c r="F70" s="26" t="s">
        <v>55</v>
      </c>
      <c r="G70" s="26" t="s">
        <v>56</v>
      </c>
      <c r="H70" s="26" t="s">
        <v>57</v>
      </c>
      <c r="I70" s="26" t="s">
        <v>1125</v>
      </c>
      <c r="J70" s="26" t="s">
        <v>57</v>
      </c>
      <c r="K70" s="27" t="s">
        <v>1110</v>
      </c>
      <c r="L70" s="28" t="s">
        <v>56</v>
      </c>
      <c r="M70" s="29" t="str">
        <f t="shared" si="10"/>
        <v>⚠ Check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1126</v>
      </c>
      <c r="C71" s="25" t="s">
        <v>1127</v>
      </c>
      <c r="D71" s="23" t="s">
        <v>1091</v>
      </c>
      <c r="E71" s="45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1128</v>
      </c>
      <c r="C72" s="44" t="s">
        <v>1129</v>
      </c>
      <c r="D72" s="42" t="s">
        <v>1091</v>
      </c>
      <c r="E72" s="45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1130</v>
      </c>
      <c r="C73" s="25" t="s">
        <v>1131</v>
      </c>
      <c r="D73" s="23" t="s">
        <v>1091</v>
      </c>
      <c r="E73" s="45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1132</v>
      </c>
      <c r="C74" s="44" t="s">
        <v>1133</v>
      </c>
      <c r="D74" s="42" t="s">
        <v>1091</v>
      </c>
      <c r="E74" s="45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1134</v>
      </c>
      <c r="C75" s="25" t="s">
        <v>1135</v>
      </c>
      <c r="D75" s="23" t="s">
        <v>1091</v>
      </c>
      <c r="E75" s="45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1136</v>
      </c>
      <c r="C76" s="44" t="s">
        <v>1137</v>
      </c>
      <c r="D76" s="42" t="s">
        <v>1091</v>
      </c>
      <c r="E76" s="45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1138</v>
      </c>
      <c r="C77" s="25" t="s">
        <v>1139</v>
      </c>
      <c r="D77" s="23" t="s">
        <v>1091</v>
      </c>
      <c r="E77" s="45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1140</v>
      </c>
      <c r="C78" s="44" t="s">
        <v>1141</v>
      </c>
      <c r="D78" s="42" t="s">
        <v>1091</v>
      </c>
      <c r="E78" s="45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1142</v>
      </c>
      <c r="C79" s="25" t="s">
        <v>1143</v>
      </c>
      <c r="D79" s="23" t="s">
        <v>1091</v>
      </c>
      <c r="E79" s="45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1144</v>
      </c>
      <c r="C80" s="44" t="s">
        <v>1145</v>
      </c>
      <c r="D80" s="42" t="s">
        <v>1091</v>
      </c>
      <c r="E80" s="45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1146</v>
      </c>
      <c r="C81" s="25" t="s">
        <v>1147</v>
      </c>
      <c r="D81" s="23" t="s">
        <v>1091</v>
      </c>
      <c r="E81" s="45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1148</v>
      </c>
      <c r="C82" s="44" t="s">
        <v>1149</v>
      </c>
      <c r="D82" s="42" t="s">
        <v>1091</v>
      </c>
      <c r="E82" s="45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1150</v>
      </c>
      <c r="C83" s="25" t="s">
        <v>1151</v>
      </c>
      <c r="D83" s="23" t="s">
        <v>1091</v>
      </c>
      <c r="E83" s="45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1152</v>
      </c>
      <c r="C84" s="44" t="s">
        <v>1153</v>
      </c>
      <c r="D84" s="42" t="s">
        <v>1091</v>
      </c>
      <c r="E84" s="45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1154</v>
      </c>
      <c r="C85" s="25" t="s">
        <v>1155</v>
      </c>
      <c r="D85" s="23" t="s">
        <v>1091</v>
      </c>
      <c r="E85" s="45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1156</v>
      </c>
      <c r="C86" s="44" t="s">
        <v>1157</v>
      </c>
      <c r="D86" s="42" t="s">
        <v>1091</v>
      </c>
      <c r="E86" s="45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1158</v>
      </c>
      <c r="C87" s="25" t="s">
        <v>1159</v>
      </c>
      <c r="D87" s="23" t="s">
        <v>1091</v>
      </c>
      <c r="E87" s="45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1160</v>
      </c>
      <c r="C88" s="44" t="s">
        <v>1161</v>
      </c>
      <c r="D88" s="42" t="s">
        <v>1091</v>
      </c>
      <c r="E88" s="45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1162</v>
      </c>
      <c r="C89" s="25" t="s">
        <v>1163</v>
      </c>
      <c r="D89" s="23" t="s">
        <v>1091</v>
      </c>
      <c r="E89" s="45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1164</v>
      </c>
      <c r="C90" s="44" t="s">
        <v>1165</v>
      </c>
      <c r="D90" s="42" t="s">
        <v>1091</v>
      </c>
      <c r="E90" s="45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1166</v>
      </c>
      <c r="C91" s="25" t="s">
        <v>1167</v>
      </c>
      <c r="D91" s="23" t="s">
        <v>1091</v>
      </c>
      <c r="E91" s="45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1168</v>
      </c>
      <c r="C92" s="44" t="s">
        <v>1169</v>
      </c>
      <c r="D92" s="42" t="s">
        <v>1091</v>
      </c>
      <c r="E92" s="45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10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1170</v>
      </c>
      <c r="C93" s="25" t="s">
        <v>1171</v>
      </c>
      <c r="D93" s="23" t="s">
        <v>1091</v>
      </c>
      <c r="E93" s="45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1172</v>
      </c>
      <c r="C94" s="44" t="s">
        <v>1173</v>
      </c>
      <c r="D94" s="42" t="s">
        <v>1091</v>
      </c>
      <c r="E94" s="45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1174</v>
      </c>
      <c r="C95" s="25" t="s">
        <v>1175</v>
      </c>
      <c r="D95" s="23" t="s">
        <v>1091</v>
      </c>
      <c r="E95" s="45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1176</v>
      </c>
      <c r="C96" s="44" t="s">
        <v>1177</v>
      </c>
      <c r="D96" s="42" t="s">
        <v>1091</v>
      </c>
      <c r="E96" s="45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1178</v>
      </c>
      <c r="C97" s="25" t="s">
        <v>1179</v>
      </c>
      <c r="D97" s="23" t="s">
        <v>1091</v>
      </c>
      <c r="E97" s="45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1180</v>
      </c>
      <c r="C98" s="44" t="s">
        <v>1181</v>
      </c>
      <c r="D98" s="42" t="s">
        <v>1091</v>
      </c>
      <c r="E98" s="45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1182</v>
      </c>
      <c r="C99" s="25" t="s">
        <v>1183</v>
      </c>
      <c r="D99" s="23" t="s">
        <v>1091</v>
      </c>
      <c r="E99" s="45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1184</v>
      </c>
      <c r="C100" s="44" t="s">
        <v>1185</v>
      </c>
      <c r="D100" s="42" t="s">
        <v>1091</v>
      </c>
      <c r="E100" s="45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1186</v>
      </c>
      <c r="C101" s="25" t="s">
        <v>1187</v>
      </c>
      <c r="D101" s="23" t="s">
        <v>1091</v>
      </c>
      <c r="E101" s="45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ref="M101:M132" si="15">IF(E101="","",IF(H101="Yes","❌ Disc",IF(G101="No","⚠ Missing",IF(J101="Yes","✓ OK","⚠ Check"))))</f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1188</v>
      </c>
      <c r="C102" s="44" t="s">
        <v>1189</v>
      </c>
      <c r="D102" s="42" t="s">
        <v>1091</v>
      </c>
      <c r="E102" s="45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1190</v>
      </c>
      <c r="C103" s="25" t="s">
        <v>1191</v>
      </c>
      <c r="D103" s="23" t="s">
        <v>1091</v>
      </c>
      <c r="E103" s="45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1192</v>
      </c>
      <c r="C104" s="44" t="s">
        <v>1193</v>
      </c>
      <c r="D104" s="42" t="s">
        <v>1091</v>
      </c>
      <c r="E104" s="45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1194</v>
      </c>
      <c r="C105" s="25" t="s">
        <v>1195</v>
      </c>
      <c r="D105" s="23" t="s">
        <v>1091</v>
      </c>
      <c r="E105" s="45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1196</v>
      </c>
      <c r="C106" s="44" t="s">
        <v>1197</v>
      </c>
      <c r="D106" s="42" t="s">
        <v>1091</v>
      </c>
      <c r="E106" s="45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1198</v>
      </c>
      <c r="C107" s="25" t="s">
        <v>1199</v>
      </c>
      <c r="D107" s="23" t="s">
        <v>1091</v>
      </c>
      <c r="E107" s="45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1200</v>
      </c>
      <c r="C108" s="44" t="s">
        <v>1201</v>
      </c>
      <c r="D108" s="42" t="s">
        <v>1091</v>
      </c>
      <c r="E108" s="45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1202</v>
      </c>
      <c r="C109" s="25" t="s">
        <v>1203</v>
      </c>
      <c r="D109" s="23" t="s">
        <v>1091</v>
      </c>
      <c r="E109" s="45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1204</v>
      </c>
      <c r="C110" s="44" t="s">
        <v>1205</v>
      </c>
      <c r="D110" s="42" t="s">
        <v>1091</v>
      </c>
      <c r="E110" s="45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1206</v>
      </c>
      <c r="C111" s="25" t="s">
        <v>1207</v>
      </c>
      <c r="D111" s="23" t="s">
        <v>1091</v>
      </c>
      <c r="E111" s="45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1208</v>
      </c>
      <c r="C112" s="44" t="s">
        <v>1209</v>
      </c>
      <c r="D112" s="42" t="s">
        <v>1091</v>
      </c>
      <c r="E112" s="45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1210</v>
      </c>
      <c r="C113" s="25" t="s">
        <v>1211</v>
      </c>
      <c r="D113" s="23" t="s">
        <v>1091</v>
      </c>
      <c r="E113" s="45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1212</v>
      </c>
      <c r="C114" s="44" t="s">
        <v>1213</v>
      </c>
      <c r="D114" s="42" t="s">
        <v>1091</v>
      </c>
      <c r="E114" s="45">
        <v>46129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1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1214</v>
      </c>
      <c r="C115" s="25" t="s">
        <v>1215</v>
      </c>
      <c r="D115" s="23" t="s">
        <v>1091</v>
      </c>
      <c r="E115" s="45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1216</v>
      </c>
      <c r="C116" s="44" t="s">
        <v>1217</v>
      </c>
      <c r="D116" s="42" t="s">
        <v>1091</v>
      </c>
      <c r="E116" s="45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1218</v>
      </c>
      <c r="C117" s="25" t="s">
        <v>1219</v>
      </c>
      <c r="D117" s="23" t="s">
        <v>1091</v>
      </c>
      <c r="E117" s="45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1220</v>
      </c>
      <c r="C118" s="44" t="s">
        <v>1221</v>
      </c>
      <c r="D118" s="42" t="s">
        <v>1091</v>
      </c>
      <c r="E118" s="45">
        <v>46129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1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1222</v>
      </c>
      <c r="C119" s="25" t="s">
        <v>1223</v>
      </c>
      <c r="D119" s="23" t="s">
        <v>1091</v>
      </c>
      <c r="E119" s="45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1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1224</v>
      </c>
      <c r="C120" s="44" t="s">
        <v>1225</v>
      </c>
      <c r="D120" s="42" t="s">
        <v>1091</v>
      </c>
      <c r="E120" s="45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1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1226</v>
      </c>
      <c r="C121" s="25" t="s">
        <v>1227</v>
      </c>
      <c r="D121" s="23" t="s">
        <v>1091</v>
      </c>
      <c r="E121" s="45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1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1228</v>
      </c>
      <c r="C122" s="44" t="s">
        <v>1229</v>
      </c>
      <c r="D122" s="42" t="s">
        <v>1091</v>
      </c>
      <c r="E122" s="45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1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1230</v>
      </c>
      <c r="C123" s="25" t="s">
        <v>1231</v>
      </c>
      <c r="D123" s="23" t="s">
        <v>1091</v>
      </c>
      <c r="E123" s="45">
        <v>46129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1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1232</v>
      </c>
      <c r="C124" s="44" t="s">
        <v>1233</v>
      </c>
      <c r="D124" s="42" t="s">
        <v>1091</v>
      </c>
      <c r="E124" s="45">
        <v>46129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1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1234</v>
      </c>
      <c r="C125" s="25" t="s">
        <v>1235</v>
      </c>
      <c r="D125" s="23" t="s">
        <v>1091</v>
      </c>
      <c r="E125" s="45">
        <v>46129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1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1236</v>
      </c>
      <c r="C126" s="44" t="s">
        <v>1237</v>
      </c>
      <c r="D126" s="42" t="s">
        <v>1091</v>
      </c>
      <c r="E126" s="45">
        <v>46129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1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1238</v>
      </c>
      <c r="C127" s="25" t="s">
        <v>1239</v>
      </c>
      <c r="D127" s="23" t="s">
        <v>1091</v>
      </c>
      <c r="E127" s="45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1240</v>
      </c>
      <c r="C128" s="44" t="s">
        <v>1241</v>
      </c>
      <c r="D128" s="42" t="s">
        <v>1091</v>
      </c>
      <c r="E128" s="45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1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1242</v>
      </c>
      <c r="C129" s="25" t="s">
        <v>1243</v>
      </c>
      <c r="D129" s="23" t="s">
        <v>1091</v>
      </c>
      <c r="E129" s="45">
        <v>46129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1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1244</v>
      </c>
      <c r="C130" s="44" t="s">
        <v>1245</v>
      </c>
      <c r="D130" s="42" t="s">
        <v>1091</v>
      </c>
      <c r="E130" s="45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1246</v>
      </c>
      <c r="C131" s="25" t="s">
        <v>1247</v>
      </c>
      <c r="D131" s="23" t="s">
        <v>1091</v>
      </c>
      <c r="E131" s="45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1248</v>
      </c>
      <c r="C132" s="44" t="s">
        <v>1249</v>
      </c>
      <c r="D132" s="42" t="s">
        <v>1091</v>
      </c>
      <c r="E132" s="45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1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1250</v>
      </c>
      <c r="C133" s="25" t="s">
        <v>1251</v>
      </c>
      <c r="D133" s="23" t="s">
        <v>1091</v>
      </c>
      <c r="E133" s="45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68" si="2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1252</v>
      </c>
      <c r="C134" s="44" t="s">
        <v>1253</v>
      </c>
      <c r="D134" s="42" t="s">
        <v>1091</v>
      </c>
      <c r="E134" s="45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2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1254</v>
      </c>
      <c r="C135" s="25" t="s">
        <v>1255</v>
      </c>
      <c r="D135" s="23" t="s">
        <v>1091</v>
      </c>
      <c r="E135" s="45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2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1256</v>
      </c>
      <c r="C136" s="44" t="s">
        <v>1257</v>
      </c>
      <c r="D136" s="42" t="s">
        <v>1091</v>
      </c>
      <c r="E136" s="45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2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1258</v>
      </c>
      <c r="C137" s="25" t="s">
        <v>1259</v>
      </c>
      <c r="D137" s="23" t="s">
        <v>1091</v>
      </c>
      <c r="E137" s="45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2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1260</v>
      </c>
      <c r="C138" s="44" t="s">
        <v>1261</v>
      </c>
      <c r="D138" s="42" t="s">
        <v>1091</v>
      </c>
      <c r="E138" s="45">
        <v>46128</v>
      </c>
      <c r="F138" s="26" t="s">
        <v>55</v>
      </c>
      <c r="G138" s="26" t="s">
        <v>56</v>
      </c>
      <c r="H138" s="26" t="s">
        <v>57</v>
      </c>
      <c r="I138" s="26" t="s">
        <v>276</v>
      </c>
      <c r="J138" s="26" t="s">
        <v>57</v>
      </c>
      <c r="K138" s="27" t="s">
        <v>1110</v>
      </c>
      <c r="L138" s="28" t="s">
        <v>56</v>
      </c>
      <c r="M138" s="29" t="str">
        <f t="shared" si="20"/>
        <v>⚠ Check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1262</v>
      </c>
      <c r="C139" s="25" t="s">
        <v>1263</v>
      </c>
      <c r="D139" s="23" t="s">
        <v>1091</v>
      </c>
      <c r="E139" s="45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2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1264</v>
      </c>
      <c r="C140" s="44" t="s">
        <v>1265</v>
      </c>
      <c r="D140" s="42" t="s">
        <v>1091</v>
      </c>
      <c r="E140" s="45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2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1266</v>
      </c>
      <c r="C141" s="25" t="s">
        <v>1267</v>
      </c>
      <c r="D141" s="23" t="s">
        <v>1091</v>
      </c>
      <c r="E141" s="45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2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1268</v>
      </c>
      <c r="C142" s="44" t="s">
        <v>1269</v>
      </c>
      <c r="D142" s="42" t="s">
        <v>1091</v>
      </c>
      <c r="E142" s="45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2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1270</v>
      </c>
      <c r="C143" s="25" t="s">
        <v>1271</v>
      </c>
      <c r="D143" s="23" t="s">
        <v>1091</v>
      </c>
      <c r="E143" s="45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2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1272</v>
      </c>
      <c r="C144" s="44" t="s">
        <v>1273</v>
      </c>
      <c r="D144" s="42" t="s">
        <v>1091</v>
      </c>
      <c r="E144" s="45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2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1274</v>
      </c>
      <c r="C145" s="25" t="s">
        <v>1275</v>
      </c>
      <c r="D145" s="23" t="s">
        <v>1091</v>
      </c>
      <c r="E145" s="45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2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1276</v>
      </c>
      <c r="C146" s="44" t="s">
        <v>1277</v>
      </c>
      <c r="D146" s="42" t="s">
        <v>1091</v>
      </c>
      <c r="E146" s="45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2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1278</v>
      </c>
      <c r="C147" s="25" t="s">
        <v>1279</v>
      </c>
      <c r="D147" s="23" t="s">
        <v>1091</v>
      </c>
      <c r="E147" s="45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2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1280</v>
      </c>
      <c r="C148" s="44" t="s">
        <v>1281</v>
      </c>
      <c r="D148" s="42" t="s">
        <v>1091</v>
      </c>
      <c r="E148" s="45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2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1282</v>
      </c>
      <c r="C149" s="25" t="s">
        <v>1283</v>
      </c>
      <c r="D149" s="23" t="s">
        <v>1091</v>
      </c>
      <c r="E149" s="45">
        <v>46128</v>
      </c>
      <c r="F149" s="26" t="s">
        <v>55</v>
      </c>
      <c r="G149" s="26" t="s">
        <v>56</v>
      </c>
      <c r="H149" s="26" t="s">
        <v>57</v>
      </c>
      <c r="I149" s="26" t="s">
        <v>276</v>
      </c>
      <c r="J149" s="26" t="s">
        <v>57</v>
      </c>
      <c r="K149" s="27" t="s">
        <v>1110</v>
      </c>
      <c r="L149" s="28" t="s">
        <v>56</v>
      </c>
      <c r="M149" s="29" t="str">
        <f t="shared" si="20"/>
        <v>⚠ Check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1284</v>
      </c>
      <c r="C150" s="44" t="s">
        <v>1285</v>
      </c>
      <c r="D150" s="42" t="s">
        <v>1091</v>
      </c>
      <c r="E150" s="45">
        <v>46132</v>
      </c>
      <c r="F150" s="26" t="s">
        <v>55</v>
      </c>
      <c r="G150" s="26" t="s">
        <v>57</v>
      </c>
      <c r="H150" s="26" t="s">
        <v>57</v>
      </c>
      <c r="I150" s="26" t="s">
        <v>88</v>
      </c>
      <c r="J150" s="26" t="s">
        <v>57</v>
      </c>
      <c r="K150" s="27" t="s">
        <v>89</v>
      </c>
      <c r="L150" s="28" t="s">
        <v>56</v>
      </c>
      <c r="M150" s="29" t="str">
        <f t="shared" si="20"/>
        <v>⚠ Missing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1286</v>
      </c>
      <c r="C151" s="25" t="s">
        <v>1287</v>
      </c>
      <c r="D151" s="23" t="s">
        <v>1091</v>
      </c>
      <c r="E151" s="45">
        <v>46132</v>
      </c>
      <c r="F151" s="26" t="s">
        <v>55</v>
      </c>
      <c r="G151" s="26" t="s">
        <v>57</v>
      </c>
      <c r="H151" s="26" t="s">
        <v>57</v>
      </c>
      <c r="I151" s="26" t="s">
        <v>88</v>
      </c>
      <c r="J151" s="26" t="s">
        <v>57</v>
      </c>
      <c r="K151" s="27" t="s">
        <v>89</v>
      </c>
      <c r="L151" s="28" t="s">
        <v>56</v>
      </c>
      <c r="M151" s="29" t="str">
        <f t="shared" si="20"/>
        <v>⚠ Missing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1288</v>
      </c>
      <c r="C152" s="44" t="s">
        <v>1289</v>
      </c>
      <c r="D152" s="42" t="s">
        <v>1091</v>
      </c>
      <c r="E152" s="45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2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1290</v>
      </c>
      <c r="C153" s="25" t="s">
        <v>1291</v>
      </c>
      <c r="D153" s="23" t="s">
        <v>1091</v>
      </c>
      <c r="E153" s="45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2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1292</v>
      </c>
      <c r="C154" s="44" t="s">
        <v>1293</v>
      </c>
      <c r="D154" s="23" t="s">
        <v>1091</v>
      </c>
      <c r="E154" s="45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2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1294</v>
      </c>
      <c r="C155" s="25" t="s">
        <v>1295</v>
      </c>
      <c r="D155" s="23" t="s">
        <v>1091</v>
      </c>
      <c r="E155" s="45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2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1296</v>
      </c>
      <c r="C156" s="44" t="s">
        <v>1297</v>
      </c>
      <c r="D156" s="42" t="s">
        <v>1091</v>
      </c>
      <c r="E156" s="45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2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1298</v>
      </c>
      <c r="C157" s="25" t="s">
        <v>1299</v>
      </c>
      <c r="D157" s="23" t="s">
        <v>1091</v>
      </c>
      <c r="E157" s="45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2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1300</v>
      </c>
      <c r="C158" s="44" t="s">
        <v>1301</v>
      </c>
      <c r="D158" s="42" t="s">
        <v>1091</v>
      </c>
      <c r="E158" s="45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2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1302</v>
      </c>
      <c r="C159" s="25" t="s">
        <v>1303</v>
      </c>
      <c r="D159" s="23" t="s">
        <v>1091</v>
      </c>
      <c r="E159" s="45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2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1304</v>
      </c>
      <c r="C160" s="44" t="s">
        <v>1305</v>
      </c>
      <c r="D160" s="42" t="s">
        <v>1091</v>
      </c>
      <c r="E160" s="45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2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1306</v>
      </c>
      <c r="C161" s="25" t="s">
        <v>1307</v>
      </c>
      <c r="D161" s="23" t="s">
        <v>1091</v>
      </c>
      <c r="E161" s="45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2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1308</v>
      </c>
      <c r="C162" s="44" t="s">
        <v>1309</v>
      </c>
      <c r="D162" s="42" t="s">
        <v>1091</v>
      </c>
      <c r="E162" s="45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2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1310</v>
      </c>
      <c r="C163" s="25" t="s">
        <v>1311</v>
      </c>
      <c r="D163" s="23" t="s">
        <v>1091</v>
      </c>
      <c r="E163" s="45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2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1312</v>
      </c>
      <c r="C164" s="44" t="s">
        <v>1313</v>
      </c>
      <c r="D164" s="42" t="s">
        <v>1091</v>
      </c>
      <c r="E164" s="45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2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1314</v>
      </c>
      <c r="C165" s="25" t="s">
        <v>1315</v>
      </c>
      <c r="D165" s="23" t="s">
        <v>1091</v>
      </c>
      <c r="E165" s="45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2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1316</v>
      </c>
      <c r="C166" s="44" t="s">
        <v>1317</v>
      </c>
      <c r="D166" s="42" t="s">
        <v>1091</v>
      </c>
      <c r="E166" s="45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2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1318</v>
      </c>
      <c r="C167" s="25" t="s">
        <v>1319</v>
      </c>
      <c r="D167" s="23" t="s">
        <v>1091</v>
      </c>
      <c r="E167" s="45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2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1320</v>
      </c>
      <c r="C168" s="44" t="s">
        <v>1321</v>
      </c>
      <c r="D168" s="42" t="s">
        <v>1091</v>
      </c>
      <c r="E168" s="45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2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20" priority="46">
      <formula>MOD(ROW(),2)=0</formula>
    </cfRule>
  </conditionalFormatting>
  <conditionalFormatting sqref="G5:G168">
    <cfRule type="expression" dxfId="419" priority="6">
      <formula>G5="No"</formula>
    </cfRule>
    <cfRule type="expression" dxfId="418" priority="5">
      <formula>G5="Yes"</formula>
    </cfRule>
  </conditionalFormatting>
  <conditionalFormatting sqref="H5:H168">
    <cfRule type="expression" dxfId="417" priority="7">
      <formula>H5="Yes"</formula>
    </cfRule>
  </conditionalFormatting>
  <conditionalFormatting sqref="J5:J168">
    <cfRule type="expression" dxfId="416" priority="8">
      <formula>J5="Yes"</formula>
    </cfRule>
    <cfRule type="expression" dxfId="415" priority="9">
      <formula>J5="No"</formula>
    </cfRule>
  </conditionalFormatting>
  <conditionalFormatting sqref="M5:M168">
    <cfRule type="expression" dxfId="414" priority="2">
      <formula>M5="❌ Disc"</formula>
    </cfRule>
    <cfRule type="expression" dxfId="413" priority="3">
      <formula>M5="⚠ Missing"</formula>
    </cfRule>
    <cfRule type="expression" dxfId="412" priority="4">
      <formula>M5="⚠ Check"</formula>
    </cfRule>
    <cfRule type="expression" dxfId="411" priority="1">
      <formula>M5="✓ OK"</formula>
    </cfRule>
  </conditionalFormatting>
  <conditionalFormatting sqref="P5:P168">
    <cfRule type="expression" dxfId="410" priority="14">
      <formula>P5="Yes"</formula>
    </cfRule>
    <cfRule type="expression" dxfId="409" priority="15">
      <formula>P5="No"</formula>
    </cfRule>
  </conditionalFormatting>
  <conditionalFormatting sqref="Q5:Q168">
    <cfRule type="expression" dxfId="408" priority="16">
      <formula>Q5="Yes"</formula>
    </cfRule>
  </conditionalFormatting>
  <conditionalFormatting sqref="S5:S168">
    <cfRule type="expression" dxfId="407" priority="17">
      <formula>S5="Yes"</formula>
    </cfRule>
    <cfRule type="expression" dxfId="406" priority="18">
      <formula>S5="No"</formula>
    </cfRule>
  </conditionalFormatting>
  <conditionalFormatting sqref="V5:V168">
    <cfRule type="expression" dxfId="405" priority="10">
      <formula>V5="✓ OK"</formula>
    </cfRule>
    <cfRule type="expression" dxfId="404" priority="11">
      <formula>V5="❌ Disc"</formula>
    </cfRule>
    <cfRule type="expression" dxfId="403" priority="12">
      <formula>V5="⚠ Missing"</formula>
    </cfRule>
    <cfRule type="expression" dxfId="402" priority="13">
      <formula>V5="⚠ Check"</formula>
    </cfRule>
  </conditionalFormatting>
  <conditionalFormatting sqref="Y5:Y168">
    <cfRule type="expression" dxfId="401" priority="24">
      <formula>Y5="No"</formula>
    </cfRule>
    <cfRule type="expression" dxfId="400" priority="23">
      <formula>Y5="Yes"</formula>
    </cfRule>
  </conditionalFormatting>
  <conditionalFormatting sqref="Z5:Z168">
    <cfRule type="expression" dxfId="399" priority="25">
      <formula>Z5="Yes"</formula>
    </cfRule>
  </conditionalFormatting>
  <conditionalFormatting sqref="AB5:AB168">
    <cfRule type="expression" dxfId="398" priority="26">
      <formula>AB5="Yes"</formula>
    </cfRule>
    <cfRule type="expression" dxfId="397" priority="27">
      <formula>AB5="No"</formula>
    </cfRule>
  </conditionalFormatting>
  <conditionalFormatting sqref="AE5:AE168">
    <cfRule type="expression" dxfId="396" priority="20">
      <formula>AE5="❌ Disc"</formula>
    </cfRule>
    <cfRule type="expression" dxfId="395" priority="21">
      <formula>AE5="⚠ Missing"</formula>
    </cfRule>
    <cfRule type="expression" dxfId="394" priority="22">
      <formula>AE5="⚠ Check"</formula>
    </cfRule>
    <cfRule type="expression" dxfId="393" priority="19">
      <formula>AE5="✓ OK"</formula>
    </cfRule>
  </conditionalFormatting>
  <conditionalFormatting sqref="AH5:AH168">
    <cfRule type="expression" dxfId="392" priority="32">
      <formula>AH5="Yes"</formula>
    </cfRule>
    <cfRule type="expression" dxfId="391" priority="33">
      <formula>AH5="No"</formula>
    </cfRule>
  </conditionalFormatting>
  <conditionalFormatting sqref="AI5:AI168">
    <cfRule type="expression" dxfId="390" priority="34">
      <formula>AI5="Yes"</formula>
    </cfRule>
  </conditionalFormatting>
  <conditionalFormatting sqref="AK5:AK168">
    <cfRule type="expression" dxfId="389" priority="35">
      <formula>AK5="Yes"</formula>
    </cfRule>
    <cfRule type="expression" dxfId="388" priority="36">
      <formula>AK5="No"</formula>
    </cfRule>
  </conditionalFormatting>
  <conditionalFormatting sqref="AN5:AN168">
    <cfRule type="expression" dxfId="387" priority="29">
      <formula>AN5="❌ Disc"</formula>
    </cfRule>
    <cfRule type="expression" dxfId="386" priority="30">
      <formula>AN5="⚠ Missing"</formula>
    </cfRule>
    <cfRule type="expression" dxfId="385" priority="31">
      <formula>AN5="⚠ Check"</formula>
    </cfRule>
    <cfRule type="expression" dxfId="384" priority="28">
      <formula>AN5="✓ OK"</formula>
    </cfRule>
  </conditionalFormatting>
  <conditionalFormatting sqref="AQ5:AQ168">
    <cfRule type="expression" dxfId="383" priority="42">
      <formula>AQ5="No"</formula>
    </cfRule>
    <cfRule type="expression" dxfId="382" priority="41">
      <formula>AQ5="Yes"</formula>
    </cfRule>
  </conditionalFormatting>
  <conditionalFormatting sqref="AR5:AR168">
    <cfRule type="expression" dxfId="381" priority="43">
      <formula>AR5="Yes"</formula>
    </cfRule>
  </conditionalFormatting>
  <conditionalFormatting sqref="AT5:AT168">
    <cfRule type="expression" dxfId="380" priority="44">
      <formula>AT5="Yes"</formula>
    </cfRule>
    <cfRule type="expression" dxfId="379" priority="45">
      <formula>AT5="No"</formula>
    </cfRule>
  </conditionalFormatting>
  <conditionalFormatting sqref="AW5:AW168">
    <cfRule type="expression" dxfId="378" priority="37">
      <formula>AW5="✓ OK"</formula>
    </cfRule>
    <cfRule type="expression" dxfId="377" priority="38">
      <formula>AW5="❌ Disc"</formula>
    </cfRule>
    <cfRule type="expression" dxfId="376" priority="39">
      <formula>AW5="⚠ Missing"</formula>
    </cfRule>
    <cfRule type="expression" dxfId="375" priority="40">
      <formula>AW5="⚠ Check"</formula>
    </cfRule>
  </conditionalFormatting>
  <dataValidations count="2">
    <dataValidation type="list" allowBlank="1" sqref="AT5:AT168 AQ5:AR168 AK5:AK168 AH5:AI168 AB5:AB168 Y5:Z168 S5:S168 P5:Q168 G5:H168 J5:J168" xr:uid="{00000000-0002-0000-0400-000000000000}">
      <formula1>"Yes,No"</formula1>
    </dataValidation>
    <dataValidation type="list" allowBlank="1" sqref="R5:R168 AS5:AS168 AJ5:AJ168 AA5:AA168 I5:I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F5" sqref="F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1322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1323</v>
      </c>
      <c r="C5" s="25" t="s">
        <v>1324</v>
      </c>
      <c r="D5" s="23" t="s">
        <v>1325</v>
      </c>
      <c r="E5" s="45">
        <v>46132</v>
      </c>
      <c r="F5" s="26" t="s">
        <v>55</v>
      </c>
      <c r="G5" s="26" t="s">
        <v>57</v>
      </c>
      <c r="H5" s="26" t="s">
        <v>57</v>
      </c>
      <c r="I5" s="26" t="s">
        <v>88</v>
      </c>
      <c r="J5" s="26" t="s">
        <v>57</v>
      </c>
      <c r="K5" s="27" t="s">
        <v>89</v>
      </c>
      <c r="L5" s="28" t="s">
        <v>56</v>
      </c>
      <c r="M5" s="29" t="str">
        <f t="shared" ref="M5:M68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1326</v>
      </c>
      <c r="C6" s="44" t="s">
        <v>1327</v>
      </c>
      <c r="D6" s="42" t="s">
        <v>1325</v>
      </c>
      <c r="E6" s="45">
        <v>46132</v>
      </c>
      <c r="F6" s="26" t="s">
        <v>55</v>
      </c>
      <c r="G6" s="26" t="s">
        <v>57</v>
      </c>
      <c r="H6" s="26" t="s">
        <v>57</v>
      </c>
      <c r="I6" s="26" t="s">
        <v>88</v>
      </c>
      <c r="J6" s="26" t="s">
        <v>57</v>
      </c>
      <c r="K6" s="27" t="s">
        <v>89</v>
      </c>
      <c r="L6" s="28" t="s">
        <v>56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1328</v>
      </c>
      <c r="C7" s="25" t="s">
        <v>1329</v>
      </c>
      <c r="D7" s="23" t="s">
        <v>1325</v>
      </c>
      <c r="E7" s="45">
        <v>46132</v>
      </c>
      <c r="F7" s="26" t="s">
        <v>55</v>
      </c>
      <c r="G7" s="26" t="s">
        <v>57</v>
      </c>
      <c r="H7" s="26" t="s">
        <v>57</v>
      </c>
      <c r="I7" s="26" t="s">
        <v>88</v>
      </c>
      <c r="J7" s="26" t="s">
        <v>57</v>
      </c>
      <c r="K7" s="27" t="s">
        <v>89</v>
      </c>
      <c r="L7" s="28" t="s">
        <v>56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1330</v>
      </c>
      <c r="C8" s="44" t="s">
        <v>1331</v>
      </c>
      <c r="D8" s="42" t="s">
        <v>1325</v>
      </c>
      <c r="E8" s="45">
        <v>46132</v>
      </c>
      <c r="F8" s="26" t="s">
        <v>55</v>
      </c>
      <c r="G8" s="26" t="s">
        <v>57</v>
      </c>
      <c r="H8" s="26" t="s">
        <v>57</v>
      </c>
      <c r="I8" s="26" t="s">
        <v>88</v>
      </c>
      <c r="J8" s="26" t="s">
        <v>57</v>
      </c>
      <c r="K8" s="27" t="s">
        <v>89</v>
      </c>
      <c r="L8" s="28" t="s">
        <v>56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1332</v>
      </c>
      <c r="C9" s="25" t="s">
        <v>1333</v>
      </c>
      <c r="D9" s="23" t="s">
        <v>1325</v>
      </c>
      <c r="E9" s="45">
        <v>46132</v>
      </c>
      <c r="F9" s="26" t="s">
        <v>55</v>
      </c>
      <c r="G9" s="26" t="s">
        <v>57</v>
      </c>
      <c r="H9" s="26" t="s">
        <v>57</v>
      </c>
      <c r="I9" s="26" t="s">
        <v>88</v>
      </c>
      <c r="J9" s="26" t="s">
        <v>57</v>
      </c>
      <c r="K9" s="27" t="s">
        <v>89</v>
      </c>
      <c r="L9" s="28" t="s">
        <v>56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1334</v>
      </c>
      <c r="C10" s="44" t="s">
        <v>1335</v>
      </c>
      <c r="D10" s="42" t="s">
        <v>1325</v>
      </c>
      <c r="E10" s="45">
        <v>46132</v>
      </c>
      <c r="F10" s="26" t="s">
        <v>55</v>
      </c>
      <c r="G10" s="26" t="s">
        <v>57</v>
      </c>
      <c r="H10" s="26" t="s">
        <v>57</v>
      </c>
      <c r="I10" s="26" t="s">
        <v>88</v>
      </c>
      <c r="J10" s="26" t="s">
        <v>57</v>
      </c>
      <c r="K10" s="27" t="s">
        <v>89</v>
      </c>
      <c r="L10" s="28" t="s">
        <v>56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1336</v>
      </c>
      <c r="C11" s="25" t="s">
        <v>1337</v>
      </c>
      <c r="D11" s="23" t="s">
        <v>1325</v>
      </c>
      <c r="E11" s="45">
        <v>46132</v>
      </c>
      <c r="F11" s="26" t="s">
        <v>55</v>
      </c>
      <c r="G11" s="26" t="s">
        <v>57</v>
      </c>
      <c r="H11" s="26" t="s">
        <v>57</v>
      </c>
      <c r="I11" s="26" t="s">
        <v>88</v>
      </c>
      <c r="J11" s="26" t="s">
        <v>57</v>
      </c>
      <c r="K11" s="27" t="s">
        <v>89</v>
      </c>
      <c r="L11" s="28" t="s">
        <v>56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1338</v>
      </c>
      <c r="C12" s="44" t="s">
        <v>1339</v>
      </c>
      <c r="D12" s="42" t="s">
        <v>1325</v>
      </c>
      <c r="E12" s="45">
        <v>46132</v>
      </c>
      <c r="F12" s="26" t="s">
        <v>55</v>
      </c>
      <c r="G12" s="26" t="s">
        <v>57</v>
      </c>
      <c r="H12" s="26" t="s">
        <v>57</v>
      </c>
      <c r="I12" s="26" t="s">
        <v>88</v>
      </c>
      <c r="J12" s="26" t="s">
        <v>57</v>
      </c>
      <c r="K12" s="27" t="s">
        <v>89</v>
      </c>
      <c r="L12" s="28" t="s">
        <v>56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1340</v>
      </c>
      <c r="C13" s="25" t="s">
        <v>1341</v>
      </c>
      <c r="D13" s="23" t="s">
        <v>1325</v>
      </c>
      <c r="E13" s="45">
        <v>46132</v>
      </c>
      <c r="F13" s="26" t="s">
        <v>55</v>
      </c>
      <c r="G13" s="26" t="s">
        <v>57</v>
      </c>
      <c r="H13" s="26" t="s">
        <v>57</v>
      </c>
      <c r="I13" s="26" t="s">
        <v>88</v>
      </c>
      <c r="J13" s="26" t="s">
        <v>57</v>
      </c>
      <c r="K13" s="27" t="s">
        <v>89</v>
      </c>
      <c r="L13" s="28" t="s">
        <v>56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1342</v>
      </c>
      <c r="C14" s="44" t="s">
        <v>1343</v>
      </c>
      <c r="D14" s="42" t="s">
        <v>1325</v>
      </c>
      <c r="E14" s="45">
        <v>46132</v>
      </c>
      <c r="F14" s="26" t="s">
        <v>55</v>
      </c>
      <c r="G14" s="26" t="s">
        <v>57</v>
      </c>
      <c r="H14" s="26" t="s">
        <v>57</v>
      </c>
      <c r="I14" s="26" t="s">
        <v>88</v>
      </c>
      <c r="J14" s="26" t="s">
        <v>57</v>
      </c>
      <c r="K14" s="27" t="s">
        <v>89</v>
      </c>
      <c r="L14" s="28" t="s">
        <v>56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1344</v>
      </c>
      <c r="C15" s="25" t="s">
        <v>1345</v>
      </c>
      <c r="D15" s="23" t="s">
        <v>1325</v>
      </c>
      <c r="E15" s="45">
        <v>46132</v>
      </c>
      <c r="F15" s="26" t="s">
        <v>55</v>
      </c>
      <c r="G15" s="26" t="s">
        <v>57</v>
      </c>
      <c r="H15" s="26" t="s">
        <v>57</v>
      </c>
      <c r="I15" s="26" t="s">
        <v>88</v>
      </c>
      <c r="J15" s="26" t="s">
        <v>57</v>
      </c>
      <c r="K15" s="27" t="s">
        <v>89</v>
      </c>
      <c r="L15" s="28" t="s">
        <v>56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1346</v>
      </c>
      <c r="C16" s="44" t="s">
        <v>1347</v>
      </c>
      <c r="D16" s="42" t="s">
        <v>1325</v>
      </c>
      <c r="E16" s="45">
        <v>46132</v>
      </c>
      <c r="F16" s="26" t="s">
        <v>55</v>
      </c>
      <c r="G16" s="26" t="s">
        <v>57</v>
      </c>
      <c r="H16" s="26" t="s">
        <v>57</v>
      </c>
      <c r="I16" s="26" t="s">
        <v>88</v>
      </c>
      <c r="J16" s="26" t="s">
        <v>57</v>
      </c>
      <c r="K16" s="27" t="s">
        <v>89</v>
      </c>
      <c r="L16" s="28" t="s">
        <v>56</v>
      </c>
      <c r="M16" s="29" t="str">
        <f t="shared" si="0"/>
        <v>⚠ Missing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1348</v>
      </c>
      <c r="C17" s="25" t="s">
        <v>1349</v>
      </c>
      <c r="D17" s="23" t="s">
        <v>1325</v>
      </c>
      <c r="E17" s="45">
        <v>46132</v>
      </c>
      <c r="F17" s="26" t="s">
        <v>55</v>
      </c>
      <c r="G17" s="26" t="s">
        <v>57</v>
      </c>
      <c r="H17" s="26" t="s">
        <v>57</v>
      </c>
      <c r="I17" s="26" t="s">
        <v>88</v>
      </c>
      <c r="J17" s="26" t="s">
        <v>57</v>
      </c>
      <c r="K17" s="27" t="s">
        <v>89</v>
      </c>
      <c r="L17" s="28" t="s">
        <v>56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1350</v>
      </c>
      <c r="C18" s="44" t="s">
        <v>1351</v>
      </c>
      <c r="D18" s="42" t="s">
        <v>1325</v>
      </c>
      <c r="E18" s="45">
        <v>46132</v>
      </c>
      <c r="F18" s="26" t="s">
        <v>55</v>
      </c>
      <c r="G18" s="26" t="s">
        <v>57</v>
      </c>
      <c r="H18" s="26" t="s">
        <v>57</v>
      </c>
      <c r="I18" s="26" t="s">
        <v>88</v>
      </c>
      <c r="J18" s="26" t="s">
        <v>57</v>
      </c>
      <c r="K18" s="27" t="s">
        <v>89</v>
      </c>
      <c r="L18" s="28" t="s">
        <v>56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1352</v>
      </c>
      <c r="C19" s="25" t="s">
        <v>1353</v>
      </c>
      <c r="D19" s="23" t="s">
        <v>1325</v>
      </c>
      <c r="E19" s="45">
        <v>46132</v>
      </c>
      <c r="F19" s="26" t="s">
        <v>55</v>
      </c>
      <c r="G19" s="26" t="s">
        <v>57</v>
      </c>
      <c r="H19" s="26" t="s">
        <v>57</v>
      </c>
      <c r="I19" s="26" t="s">
        <v>88</v>
      </c>
      <c r="J19" s="26" t="s">
        <v>57</v>
      </c>
      <c r="K19" s="27" t="s">
        <v>89</v>
      </c>
      <c r="L19" s="28" t="s">
        <v>56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1354</v>
      </c>
      <c r="C20" s="44" t="s">
        <v>1355</v>
      </c>
      <c r="D20" s="42" t="s">
        <v>1325</v>
      </c>
      <c r="E20" s="45">
        <v>46132</v>
      </c>
      <c r="F20" s="26" t="s">
        <v>55</v>
      </c>
      <c r="G20" s="26" t="s">
        <v>57</v>
      </c>
      <c r="H20" s="26" t="s">
        <v>57</v>
      </c>
      <c r="I20" s="26" t="s">
        <v>88</v>
      </c>
      <c r="J20" s="26" t="s">
        <v>57</v>
      </c>
      <c r="K20" s="27" t="s">
        <v>89</v>
      </c>
      <c r="L20" s="28" t="s">
        <v>56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1356</v>
      </c>
      <c r="C21" s="25" t="s">
        <v>1357</v>
      </c>
      <c r="D21" s="23" t="s">
        <v>1325</v>
      </c>
      <c r="E21" s="45">
        <v>46132</v>
      </c>
      <c r="F21" s="26" t="s">
        <v>55</v>
      </c>
      <c r="G21" s="26" t="s">
        <v>57</v>
      </c>
      <c r="H21" s="26" t="s">
        <v>57</v>
      </c>
      <c r="I21" s="26" t="s">
        <v>88</v>
      </c>
      <c r="J21" s="26" t="s">
        <v>57</v>
      </c>
      <c r="K21" s="27" t="s">
        <v>89</v>
      </c>
      <c r="L21" s="28" t="s">
        <v>56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1358</v>
      </c>
      <c r="C22" s="44" t="s">
        <v>1359</v>
      </c>
      <c r="D22" s="42" t="s">
        <v>1325</v>
      </c>
      <c r="E22" s="45">
        <v>46132</v>
      </c>
      <c r="F22" s="26" t="s">
        <v>55</v>
      </c>
      <c r="G22" s="26" t="s">
        <v>57</v>
      </c>
      <c r="H22" s="26" t="s">
        <v>57</v>
      </c>
      <c r="I22" s="26" t="s">
        <v>88</v>
      </c>
      <c r="J22" s="26" t="s">
        <v>57</v>
      </c>
      <c r="K22" s="27" t="s">
        <v>89</v>
      </c>
      <c r="L22" s="28" t="s">
        <v>56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1360</v>
      </c>
      <c r="C23" s="25" t="s">
        <v>1361</v>
      </c>
      <c r="D23" s="23" t="s">
        <v>1325</v>
      </c>
      <c r="E23" s="45">
        <v>46132</v>
      </c>
      <c r="F23" s="26" t="s">
        <v>55</v>
      </c>
      <c r="G23" s="26" t="s">
        <v>57</v>
      </c>
      <c r="H23" s="26" t="s">
        <v>57</v>
      </c>
      <c r="I23" s="26" t="s">
        <v>88</v>
      </c>
      <c r="J23" s="26" t="s">
        <v>57</v>
      </c>
      <c r="K23" s="27" t="s">
        <v>89</v>
      </c>
      <c r="L23" s="28" t="s">
        <v>56</v>
      </c>
      <c r="M23" s="29" t="str">
        <f t="shared" si="0"/>
        <v>⚠ Missing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1362</v>
      </c>
      <c r="C24" s="44" t="s">
        <v>1363</v>
      </c>
      <c r="D24" s="42" t="s">
        <v>1325</v>
      </c>
      <c r="E24" s="45">
        <v>46132</v>
      </c>
      <c r="F24" s="26" t="s">
        <v>55</v>
      </c>
      <c r="G24" s="26" t="s">
        <v>57</v>
      </c>
      <c r="H24" s="26" t="s">
        <v>57</v>
      </c>
      <c r="I24" s="26" t="s">
        <v>88</v>
      </c>
      <c r="J24" s="26" t="s">
        <v>57</v>
      </c>
      <c r="K24" s="27" t="s">
        <v>89</v>
      </c>
      <c r="L24" s="28" t="s">
        <v>56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1364</v>
      </c>
      <c r="C25" s="25" t="s">
        <v>1365</v>
      </c>
      <c r="D25" s="23" t="s">
        <v>1325</v>
      </c>
      <c r="E25" s="45">
        <v>46132</v>
      </c>
      <c r="F25" s="26" t="s">
        <v>55</v>
      </c>
      <c r="G25" s="26" t="s">
        <v>57</v>
      </c>
      <c r="H25" s="26" t="s">
        <v>57</v>
      </c>
      <c r="I25" s="26" t="s">
        <v>88</v>
      </c>
      <c r="J25" s="26" t="s">
        <v>57</v>
      </c>
      <c r="K25" s="27" t="s">
        <v>89</v>
      </c>
      <c r="L25" s="28" t="s">
        <v>56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1366</v>
      </c>
      <c r="C26" s="44" t="s">
        <v>1367</v>
      </c>
      <c r="D26" s="42" t="s">
        <v>1325</v>
      </c>
      <c r="E26" s="45">
        <v>46132</v>
      </c>
      <c r="F26" s="26" t="s">
        <v>55</v>
      </c>
      <c r="G26" s="26" t="s">
        <v>57</v>
      </c>
      <c r="H26" s="26" t="s">
        <v>57</v>
      </c>
      <c r="I26" s="26" t="s">
        <v>88</v>
      </c>
      <c r="J26" s="26" t="s">
        <v>57</v>
      </c>
      <c r="K26" s="27" t="s">
        <v>89</v>
      </c>
      <c r="L26" s="28" t="s">
        <v>56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1368</v>
      </c>
      <c r="C27" s="25" t="s">
        <v>1369</v>
      </c>
      <c r="D27" s="23" t="s">
        <v>1325</v>
      </c>
      <c r="E27" s="45">
        <v>46132</v>
      </c>
      <c r="F27" s="26" t="s">
        <v>55</v>
      </c>
      <c r="G27" s="26" t="s">
        <v>57</v>
      </c>
      <c r="H27" s="26" t="s">
        <v>57</v>
      </c>
      <c r="I27" s="26" t="s">
        <v>88</v>
      </c>
      <c r="J27" s="26" t="s">
        <v>57</v>
      </c>
      <c r="K27" s="27" t="s">
        <v>89</v>
      </c>
      <c r="L27" s="28" t="s">
        <v>56</v>
      </c>
      <c r="M27" s="29" t="str">
        <f t="shared" si="0"/>
        <v>⚠ Missing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1370</v>
      </c>
      <c r="C28" s="44" t="s">
        <v>1371</v>
      </c>
      <c r="D28" s="42" t="s">
        <v>1325</v>
      </c>
      <c r="E28" s="45">
        <v>46132</v>
      </c>
      <c r="F28" s="26" t="s">
        <v>55</v>
      </c>
      <c r="G28" s="26" t="s">
        <v>57</v>
      </c>
      <c r="H28" s="26" t="s">
        <v>57</v>
      </c>
      <c r="I28" s="26" t="s">
        <v>88</v>
      </c>
      <c r="J28" s="26" t="s">
        <v>57</v>
      </c>
      <c r="K28" s="27" t="s">
        <v>89</v>
      </c>
      <c r="L28" s="28" t="s">
        <v>56</v>
      </c>
      <c r="M28" s="29" t="str">
        <f t="shared" si="0"/>
        <v>⚠ Missing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1372</v>
      </c>
      <c r="C29" s="25" t="s">
        <v>1373</v>
      </c>
      <c r="D29" s="23" t="s">
        <v>1325</v>
      </c>
      <c r="E29" s="45">
        <v>46132</v>
      </c>
      <c r="F29" s="26" t="s">
        <v>55</v>
      </c>
      <c r="G29" s="26" t="s">
        <v>57</v>
      </c>
      <c r="H29" s="26" t="s">
        <v>57</v>
      </c>
      <c r="I29" s="26" t="s">
        <v>88</v>
      </c>
      <c r="J29" s="26" t="s">
        <v>57</v>
      </c>
      <c r="K29" s="27" t="s">
        <v>89</v>
      </c>
      <c r="L29" s="28" t="s">
        <v>56</v>
      </c>
      <c r="M29" s="29" t="str">
        <f t="shared" si="0"/>
        <v>⚠ Missing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1374</v>
      </c>
      <c r="C30" s="44" t="s">
        <v>1375</v>
      </c>
      <c r="D30" s="42" t="s">
        <v>1325</v>
      </c>
      <c r="E30" s="45">
        <v>46132</v>
      </c>
      <c r="F30" s="26" t="s">
        <v>55</v>
      </c>
      <c r="G30" s="26" t="s">
        <v>57</v>
      </c>
      <c r="H30" s="26" t="s">
        <v>57</v>
      </c>
      <c r="I30" s="26" t="s">
        <v>88</v>
      </c>
      <c r="J30" s="26" t="s">
        <v>57</v>
      </c>
      <c r="K30" s="27" t="s">
        <v>89</v>
      </c>
      <c r="L30" s="28" t="s">
        <v>56</v>
      </c>
      <c r="M30" s="29" t="str">
        <f t="shared" si="0"/>
        <v>⚠ Missing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1376</v>
      </c>
      <c r="C31" s="25" t="s">
        <v>1377</v>
      </c>
      <c r="D31" s="23" t="s">
        <v>1325</v>
      </c>
      <c r="E31" s="45">
        <v>46132</v>
      </c>
      <c r="F31" s="26" t="s">
        <v>55</v>
      </c>
      <c r="G31" s="26" t="s">
        <v>57</v>
      </c>
      <c r="H31" s="26" t="s">
        <v>57</v>
      </c>
      <c r="I31" s="26" t="s">
        <v>88</v>
      </c>
      <c r="J31" s="26" t="s">
        <v>57</v>
      </c>
      <c r="K31" s="27" t="s">
        <v>89</v>
      </c>
      <c r="L31" s="28" t="s">
        <v>56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1378</v>
      </c>
      <c r="C32" s="44" t="s">
        <v>1379</v>
      </c>
      <c r="D32" s="42" t="s">
        <v>1325</v>
      </c>
      <c r="E32" s="45">
        <v>46132</v>
      </c>
      <c r="F32" s="26" t="s">
        <v>55</v>
      </c>
      <c r="G32" s="26" t="s">
        <v>57</v>
      </c>
      <c r="H32" s="26" t="s">
        <v>57</v>
      </c>
      <c r="I32" s="26" t="s">
        <v>88</v>
      </c>
      <c r="J32" s="26" t="s">
        <v>57</v>
      </c>
      <c r="K32" s="27" t="s">
        <v>89</v>
      </c>
      <c r="L32" s="28" t="s">
        <v>56</v>
      </c>
      <c r="M32" s="29" t="str">
        <f t="shared" si="0"/>
        <v>⚠ Missing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1380</v>
      </c>
      <c r="C33" s="25" t="s">
        <v>1381</v>
      </c>
      <c r="D33" s="23" t="s">
        <v>1325</v>
      </c>
      <c r="E33" s="45">
        <v>46132</v>
      </c>
      <c r="F33" s="26" t="s">
        <v>55</v>
      </c>
      <c r="G33" s="26" t="s">
        <v>57</v>
      </c>
      <c r="H33" s="26" t="s">
        <v>57</v>
      </c>
      <c r="I33" s="26" t="s">
        <v>88</v>
      </c>
      <c r="J33" s="26" t="s">
        <v>57</v>
      </c>
      <c r="K33" s="27" t="s">
        <v>89</v>
      </c>
      <c r="L33" s="28" t="s">
        <v>56</v>
      </c>
      <c r="M33" s="29" t="str">
        <f t="shared" si="0"/>
        <v>⚠ Missing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1382</v>
      </c>
      <c r="C34" s="44" t="s">
        <v>1383</v>
      </c>
      <c r="D34" s="42" t="s">
        <v>1325</v>
      </c>
      <c r="E34" s="45">
        <v>46132</v>
      </c>
      <c r="F34" s="26" t="s">
        <v>55</v>
      </c>
      <c r="G34" s="26" t="s">
        <v>57</v>
      </c>
      <c r="H34" s="26" t="s">
        <v>57</v>
      </c>
      <c r="I34" s="26" t="s">
        <v>88</v>
      </c>
      <c r="J34" s="26" t="s">
        <v>57</v>
      </c>
      <c r="K34" s="27" t="s">
        <v>89</v>
      </c>
      <c r="L34" s="28" t="s">
        <v>56</v>
      </c>
      <c r="M34" s="29" t="str">
        <f t="shared" si="0"/>
        <v>⚠ Missing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1384</v>
      </c>
      <c r="C35" s="25" t="s">
        <v>1385</v>
      </c>
      <c r="D35" s="23" t="s">
        <v>1325</v>
      </c>
      <c r="E35" s="45">
        <v>46132</v>
      </c>
      <c r="F35" s="26" t="s">
        <v>55</v>
      </c>
      <c r="G35" s="26" t="s">
        <v>57</v>
      </c>
      <c r="H35" s="26" t="s">
        <v>57</v>
      </c>
      <c r="I35" s="26" t="s">
        <v>88</v>
      </c>
      <c r="J35" s="26" t="s">
        <v>57</v>
      </c>
      <c r="K35" s="27" t="s">
        <v>89</v>
      </c>
      <c r="L35" s="28" t="s">
        <v>56</v>
      </c>
      <c r="M35" s="29" t="str">
        <f t="shared" si="0"/>
        <v>⚠ Missing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1386</v>
      </c>
      <c r="C36" s="44" t="s">
        <v>1387</v>
      </c>
      <c r="D36" s="42" t="s">
        <v>1325</v>
      </c>
      <c r="E36" s="45">
        <v>46132</v>
      </c>
      <c r="F36" s="26" t="s">
        <v>55</v>
      </c>
      <c r="G36" s="26" t="s">
        <v>57</v>
      </c>
      <c r="H36" s="26" t="s">
        <v>57</v>
      </c>
      <c r="I36" s="26" t="s">
        <v>88</v>
      </c>
      <c r="J36" s="26" t="s">
        <v>57</v>
      </c>
      <c r="K36" s="27" t="s">
        <v>89</v>
      </c>
      <c r="L36" s="28" t="s">
        <v>56</v>
      </c>
      <c r="M36" s="29" t="str">
        <f t="shared" si="0"/>
        <v>⚠ Missing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1388</v>
      </c>
      <c r="C37" s="25" t="s">
        <v>1389</v>
      </c>
      <c r="D37" s="23" t="s">
        <v>1325</v>
      </c>
      <c r="E37" s="45">
        <v>46132</v>
      </c>
      <c r="F37" s="26" t="s">
        <v>55</v>
      </c>
      <c r="G37" s="26" t="s">
        <v>57</v>
      </c>
      <c r="H37" s="26" t="s">
        <v>57</v>
      </c>
      <c r="I37" s="26" t="s">
        <v>88</v>
      </c>
      <c r="J37" s="26" t="s">
        <v>57</v>
      </c>
      <c r="K37" s="27" t="s">
        <v>89</v>
      </c>
      <c r="L37" s="28" t="s">
        <v>56</v>
      </c>
      <c r="M37" s="29" t="str">
        <f t="shared" si="0"/>
        <v>⚠ Missing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1390</v>
      </c>
      <c r="C38" s="44" t="s">
        <v>1391</v>
      </c>
      <c r="D38" s="42" t="s">
        <v>1325</v>
      </c>
      <c r="E38" s="45">
        <v>46132</v>
      </c>
      <c r="F38" s="26" t="s">
        <v>55</v>
      </c>
      <c r="G38" s="26" t="s">
        <v>57</v>
      </c>
      <c r="H38" s="26" t="s">
        <v>57</v>
      </c>
      <c r="I38" s="26" t="s">
        <v>88</v>
      </c>
      <c r="J38" s="26" t="s">
        <v>57</v>
      </c>
      <c r="K38" s="27" t="s">
        <v>89</v>
      </c>
      <c r="L38" s="28" t="s">
        <v>56</v>
      </c>
      <c r="M38" s="29" t="str">
        <f t="shared" si="0"/>
        <v>⚠ Missing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1392</v>
      </c>
      <c r="C39" s="25" t="s">
        <v>1393</v>
      </c>
      <c r="D39" s="23" t="s">
        <v>1325</v>
      </c>
      <c r="E39" s="45">
        <v>46132</v>
      </c>
      <c r="F39" s="26" t="s">
        <v>55</v>
      </c>
      <c r="G39" s="26" t="s">
        <v>57</v>
      </c>
      <c r="H39" s="26" t="s">
        <v>57</v>
      </c>
      <c r="I39" s="26" t="s">
        <v>88</v>
      </c>
      <c r="J39" s="26" t="s">
        <v>57</v>
      </c>
      <c r="K39" s="27" t="s">
        <v>89</v>
      </c>
      <c r="L39" s="28" t="s">
        <v>56</v>
      </c>
      <c r="M39" s="29" t="str">
        <f t="shared" si="0"/>
        <v>⚠ Missing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1394</v>
      </c>
      <c r="C40" s="44" t="s">
        <v>1395</v>
      </c>
      <c r="D40" s="42" t="s">
        <v>1325</v>
      </c>
      <c r="E40" s="45">
        <v>46132</v>
      </c>
      <c r="F40" s="26" t="s">
        <v>55</v>
      </c>
      <c r="G40" s="26" t="s">
        <v>57</v>
      </c>
      <c r="H40" s="26" t="s">
        <v>57</v>
      </c>
      <c r="I40" s="26" t="s">
        <v>88</v>
      </c>
      <c r="J40" s="26" t="s">
        <v>57</v>
      </c>
      <c r="K40" s="27" t="s">
        <v>89</v>
      </c>
      <c r="L40" s="28" t="s">
        <v>56</v>
      </c>
      <c r="M40" s="29" t="str">
        <f t="shared" si="0"/>
        <v>⚠ Missing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1396</v>
      </c>
      <c r="C41" s="25" t="s">
        <v>1397</v>
      </c>
      <c r="D41" s="23" t="s">
        <v>1325</v>
      </c>
      <c r="E41" s="45">
        <v>46132</v>
      </c>
      <c r="F41" s="26" t="s">
        <v>55</v>
      </c>
      <c r="G41" s="26" t="s">
        <v>57</v>
      </c>
      <c r="H41" s="26" t="s">
        <v>57</v>
      </c>
      <c r="I41" s="26" t="s">
        <v>88</v>
      </c>
      <c r="J41" s="26" t="s">
        <v>57</v>
      </c>
      <c r="K41" s="27" t="s">
        <v>89</v>
      </c>
      <c r="L41" s="28" t="s">
        <v>56</v>
      </c>
      <c r="M41" s="29" t="str">
        <f t="shared" si="0"/>
        <v>⚠ Missing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1398</v>
      </c>
      <c r="C42" s="44" t="s">
        <v>1399</v>
      </c>
      <c r="D42" s="42" t="s">
        <v>1325</v>
      </c>
      <c r="E42" s="45">
        <v>46132</v>
      </c>
      <c r="F42" s="26" t="s">
        <v>55</v>
      </c>
      <c r="G42" s="26" t="s">
        <v>57</v>
      </c>
      <c r="H42" s="26" t="s">
        <v>57</v>
      </c>
      <c r="I42" s="26" t="s">
        <v>88</v>
      </c>
      <c r="J42" s="26" t="s">
        <v>57</v>
      </c>
      <c r="K42" s="27" t="s">
        <v>89</v>
      </c>
      <c r="L42" s="28" t="s">
        <v>56</v>
      </c>
      <c r="M42" s="29" t="str">
        <f t="shared" si="0"/>
        <v>⚠ Missing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1400</v>
      </c>
      <c r="C43" s="25" t="s">
        <v>1401</v>
      </c>
      <c r="D43" s="23" t="s">
        <v>1325</v>
      </c>
      <c r="E43" s="45">
        <v>46132</v>
      </c>
      <c r="F43" s="26" t="s">
        <v>55</v>
      </c>
      <c r="G43" s="26" t="s">
        <v>57</v>
      </c>
      <c r="H43" s="26" t="s">
        <v>57</v>
      </c>
      <c r="I43" s="26" t="s">
        <v>88</v>
      </c>
      <c r="J43" s="26" t="s">
        <v>57</v>
      </c>
      <c r="K43" s="27" t="s">
        <v>89</v>
      </c>
      <c r="L43" s="28" t="s">
        <v>56</v>
      </c>
      <c r="M43" s="29" t="str">
        <f t="shared" si="0"/>
        <v>⚠ Missing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1402</v>
      </c>
      <c r="C44" s="44" t="s">
        <v>1403</v>
      </c>
      <c r="D44" s="42" t="s">
        <v>1325</v>
      </c>
      <c r="E44" s="45">
        <v>46132</v>
      </c>
      <c r="F44" s="26" t="s">
        <v>55</v>
      </c>
      <c r="G44" s="26" t="s">
        <v>57</v>
      </c>
      <c r="H44" s="26" t="s">
        <v>57</v>
      </c>
      <c r="I44" s="26" t="s">
        <v>88</v>
      </c>
      <c r="J44" s="26" t="s">
        <v>57</v>
      </c>
      <c r="K44" s="27" t="s">
        <v>89</v>
      </c>
      <c r="L44" s="28" t="s">
        <v>56</v>
      </c>
      <c r="M44" s="29" t="str">
        <f t="shared" si="0"/>
        <v>⚠ Missing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1404</v>
      </c>
      <c r="C45" s="25" t="s">
        <v>1405</v>
      </c>
      <c r="D45" s="23" t="s">
        <v>1325</v>
      </c>
      <c r="E45" s="45">
        <v>46132</v>
      </c>
      <c r="F45" s="26" t="s">
        <v>55</v>
      </c>
      <c r="G45" s="26" t="s">
        <v>57</v>
      </c>
      <c r="H45" s="26" t="s">
        <v>57</v>
      </c>
      <c r="I45" s="26" t="s">
        <v>88</v>
      </c>
      <c r="J45" s="26" t="s">
        <v>57</v>
      </c>
      <c r="K45" s="27" t="s">
        <v>89</v>
      </c>
      <c r="L45" s="28" t="s">
        <v>56</v>
      </c>
      <c r="M45" s="29" t="str">
        <f t="shared" si="0"/>
        <v>⚠ Missing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1406</v>
      </c>
      <c r="C46" s="44" t="s">
        <v>1407</v>
      </c>
      <c r="D46" s="42" t="s">
        <v>1325</v>
      </c>
      <c r="E46" s="45">
        <v>46132</v>
      </c>
      <c r="F46" s="26" t="s">
        <v>55</v>
      </c>
      <c r="G46" s="26" t="s">
        <v>57</v>
      </c>
      <c r="H46" s="26" t="s">
        <v>57</v>
      </c>
      <c r="I46" s="26" t="s">
        <v>88</v>
      </c>
      <c r="J46" s="26" t="s">
        <v>57</v>
      </c>
      <c r="K46" s="27" t="s">
        <v>89</v>
      </c>
      <c r="L46" s="28" t="s">
        <v>56</v>
      </c>
      <c r="M46" s="29" t="str">
        <f t="shared" si="0"/>
        <v>⚠ Missing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1408</v>
      </c>
      <c r="C47" s="25" t="s">
        <v>1409</v>
      </c>
      <c r="D47" s="23" t="s">
        <v>1325</v>
      </c>
      <c r="E47" s="45">
        <v>46132</v>
      </c>
      <c r="F47" s="26" t="s">
        <v>55</v>
      </c>
      <c r="G47" s="26" t="s">
        <v>57</v>
      </c>
      <c r="H47" s="26" t="s">
        <v>57</v>
      </c>
      <c r="I47" s="26" t="s">
        <v>88</v>
      </c>
      <c r="J47" s="26" t="s">
        <v>57</v>
      </c>
      <c r="K47" s="27" t="s">
        <v>89</v>
      </c>
      <c r="L47" s="28" t="s">
        <v>56</v>
      </c>
      <c r="M47" s="29" t="str">
        <f t="shared" si="0"/>
        <v>⚠ Missing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1410</v>
      </c>
      <c r="C48" s="44" t="s">
        <v>1411</v>
      </c>
      <c r="D48" s="42" t="s">
        <v>1325</v>
      </c>
      <c r="E48" s="45">
        <v>46132</v>
      </c>
      <c r="F48" s="26" t="s">
        <v>55</v>
      </c>
      <c r="G48" s="26" t="s">
        <v>57</v>
      </c>
      <c r="H48" s="26" t="s">
        <v>57</v>
      </c>
      <c r="I48" s="26" t="s">
        <v>88</v>
      </c>
      <c r="J48" s="26" t="s">
        <v>57</v>
      </c>
      <c r="K48" s="27" t="s">
        <v>89</v>
      </c>
      <c r="L48" s="28" t="s">
        <v>56</v>
      </c>
      <c r="M48" s="29" t="str">
        <f t="shared" si="0"/>
        <v>⚠ Missing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1412</v>
      </c>
      <c r="C49" s="25" t="s">
        <v>1413</v>
      </c>
      <c r="D49" s="23" t="s">
        <v>1325</v>
      </c>
      <c r="E49" s="45">
        <v>46132</v>
      </c>
      <c r="F49" s="26" t="s">
        <v>55</v>
      </c>
      <c r="G49" s="26" t="s">
        <v>57</v>
      </c>
      <c r="H49" s="26" t="s">
        <v>57</v>
      </c>
      <c r="I49" s="26" t="s">
        <v>88</v>
      </c>
      <c r="J49" s="26" t="s">
        <v>57</v>
      </c>
      <c r="K49" s="27" t="s">
        <v>89</v>
      </c>
      <c r="L49" s="28" t="s">
        <v>56</v>
      </c>
      <c r="M49" s="29" t="str">
        <f t="shared" si="0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1414</v>
      </c>
      <c r="C50" s="44" t="s">
        <v>1415</v>
      </c>
      <c r="D50" s="42" t="s">
        <v>1325</v>
      </c>
      <c r="E50" s="45">
        <v>46132</v>
      </c>
      <c r="F50" s="26" t="s">
        <v>55</v>
      </c>
      <c r="G50" s="26" t="s">
        <v>57</v>
      </c>
      <c r="H50" s="26" t="s">
        <v>57</v>
      </c>
      <c r="I50" s="26" t="s">
        <v>88</v>
      </c>
      <c r="J50" s="26" t="s">
        <v>57</v>
      </c>
      <c r="K50" s="27" t="s">
        <v>89</v>
      </c>
      <c r="L50" s="28" t="s">
        <v>56</v>
      </c>
      <c r="M50" s="29" t="str">
        <f t="shared" si="0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1416</v>
      </c>
      <c r="C51" s="25" t="s">
        <v>1417</v>
      </c>
      <c r="D51" s="23" t="s">
        <v>1325</v>
      </c>
      <c r="E51" s="45">
        <v>46132</v>
      </c>
      <c r="F51" s="26" t="s">
        <v>55</v>
      </c>
      <c r="G51" s="26" t="s">
        <v>57</v>
      </c>
      <c r="H51" s="26" t="s">
        <v>57</v>
      </c>
      <c r="I51" s="26" t="s">
        <v>88</v>
      </c>
      <c r="J51" s="26" t="s">
        <v>57</v>
      </c>
      <c r="K51" s="27" t="s">
        <v>89</v>
      </c>
      <c r="L51" s="28" t="s">
        <v>56</v>
      </c>
      <c r="M51" s="29" t="str">
        <f t="shared" si="0"/>
        <v>⚠ Missing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1418</v>
      </c>
      <c r="C52" s="44" t="s">
        <v>1419</v>
      </c>
      <c r="D52" s="42" t="s">
        <v>1325</v>
      </c>
      <c r="E52" s="45">
        <v>46132</v>
      </c>
      <c r="F52" s="26" t="s">
        <v>55</v>
      </c>
      <c r="G52" s="26" t="s">
        <v>57</v>
      </c>
      <c r="H52" s="26" t="s">
        <v>57</v>
      </c>
      <c r="I52" s="26" t="s">
        <v>88</v>
      </c>
      <c r="J52" s="26" t="s">
        <v>57</v>
      </c>
      <c r="K52" s="27" t="s">
        <v>89</v>
      </c>
      <c r="L52" s="28" t="s">
        <v>56</v>
      </c>
      <c r="M52" s="29" t="str">
        <f t="shared" si="0"/>
        <v>⚠ Missing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1420</v>
      </c>
      <c r="C53" s="25" t="s">
        <v>1421</v>
      </c>
      <c r="D53" s="23" t="s">
        <v>1325</v>
      </c>
      <c r="E53" s="45">
        <v>46132</v>
      </c>
      <c r="F53" s="26" t="s">
        <v>55</v>
      </c>
      <c r="G53" s="26" t="s">
        <v>57</v>
      </c>
      <c r="H53" s="26" t="s">
        <v>57</v>
      </c>
      <c r="I53" s="26" t="s">
        <v>88</v>
      </c>
      <c r="J53" s="26" t="s">
        <v>57</v>
      </c>
      <c r="K53" s="27" t="s">
        <v>89</v>
      </c>
      <c r="L53" s="28" t="s">
        <v>56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1422</v>
      </c>
      <c r="C54" s="44" t="s">
        <v>1423</v>
      </c>
      <c r="D54" s="42" t="s">
        <v>1325</v>
      </c>
      <c r="E54" s="45">
        <v>46132</v>
      </c>
      <c r="F54" s="26" t="s">
        <v>55</v>
      </c>
      <c r="G54" s="26" t="s">
        <v>57</v>
      </c>
      <c r="H54" s="26" t="s">
        <v>57</v>
      </c>
      <c r="I54" s="26" t="s">
        <v>88</v>
      </c>
      <c r="J54" s="26" t="s">
        <v>57</v>
      </c>
      <c r="K54" s="27" t="s">
        <v>89</v>
      </c>
      <c r="L54" s="28" t="s">
        <v>56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1424</v>
      </c>
      <c r="C55" s="25" t="s">
        <v>1425</v>
      </c>
      <c r="D55" s="23" t="s">
        <v>1325</v>
      </c>
      <c r="E55" s="45">
        <v>46132</v>
      </c>
      <c r="F55" s="26" t="s">
        <v>55</v>
      </c>
      <c r="G55" s="26" t="s">
        <v>57</v>
      </c>
      <c r="H55" s="26" t="s">
        <v>57</v>
      </c>
      <c r="I55" s="26" t="s">
        <v>88</v>
      </c>
      <c r="J55" s="26" t="s">
        <v>57</v>
      </c>
      <c r="K55" s="27" t="s">
        <v>89</v>
      </c>
      <c r="L55" s="28" t="s">
        <v>56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1426</v>
      </c>
      <c r="C56" s="44" t="s">
        <v>1427</v>
      </c>
      <c r="D56" s="42" t="s">
        <v>1325</v>
      </c>
      <c r="E56" s="45">
        <v>46132</v>
      </c>
      <c r="F56" s="26" t="s">
        <v>55</v>
      </c>
      <c r="G56" s="26" t="s">
        <v>57</v>
      </c>
      <c r="H56" s="26" t="s">
        <v>57</v>
      </c>
      <c r="I56" s="26" t="s">
        <v>88</v>
      </c>
      <c r="J56" s="26" t="s">
        <v>57</v>
      </c>
      <c r="K56" s="27" t="s">
        <v>89</v>
      </c>
      <c r="L56" s="28" t="s">
        <v>56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1428</v>
      </c>
      <c r="C57" s="25" t="s">
        <v>1429</v>
      </c>
      <c r="D57" s="23" t="s">
        <v>1325</v>
      </c>
      <c r="E57" s="45">
        <v>46132</v>
      </c>
      <c r="F57" s="26" t="s">
        <v>55</v>
      </c>
      <c r="G57" s="26" t="s">
        <v>57</v>
      </c>
      <c r="H57" s="26" t="s">
        <v>57</v>
      </c>
      <c r="I57" s="26" t="s">
        <v>88</v>
      </c>
      <c r="J57" s="26" t="s">
        <v>57</v>
      </c>
      <c r="K57" s="27" t="s">
        <v>89</v>
      </c>
      <c r="L57" s="28" t="s">
        <v>56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1430</v>
      </c>
      <c r="C58" s="44" t="s">
        <v>1431</v>
      </c>
      <c r="D58" s="42" t="s">
        <v>1325</v>
      </c>
      <c r="E58" s="45">
        <v>46132</v>
      </c>
      <c r="F58" s="26" t="s">
        <v>55</v>
      </c>
      <c r="G58" s="26" t="s">
        <v>57</v>
      </c>
      <c r="H58" s="26" t="s">
        <v>57</v>
      </c>
      <c r="I58" s="26" t="s">
        <v>88</v>
      </c>
      <c r="J58" s="26" t="s">
        <v>57</v>
      </c>
      <c r="K58" s="27" t="s">
        <v>89</v>
      </c>
      <c r="L58" s="28" t="s">
        <v>56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1432</v>
      </c>
      <c r="C59" s="25" t="s">
        <v>1433</v>
      </c>
      <c r="D59" s="23" t="s">
        <v>1325</v>
      </c>
      <c r="E59" s="45">
        <v>46132</v>
      </c>
      <c r="F59" s="26" t="s">
        <v>55</v>
      </c>
      <c r="G59" s="26" t="s">
        <v>57</v>
      </c>
      <c r="H59" s="26" t="s">
        <v>57</v>
      </c>
      <c r="I59" s="26" t="s">
        <v>88</v>
      </c>
      <c r="J59" s="26" t="s">
        <v>57</v>
      </c>
      <c r="K59" s="27" t="s">
        <v>89</v>
      </c>
      <c r="L59" s="28" t="s">
        <v>56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1434</v>
      </c>
      <c r="C60" s="44" t="s">
        <v>1435</v>
      </c>
      <c r="D60" s="42" t="s">
        <v>1325</v>
      </c>
      <c r="E60" s="45">
        <v>46132</v>
      </c>
      <c r="F60" s="26" t="s">
        <v>55</v>
      </c>
      <c r="G60" s="26" t="s">
        <v>57</v>
      </c>
      <c r="H60" s="26" t="s">
        <v>57</v>
      </c>
      <c r="I60" s="26" t="s">
        <v>88</v>
      </c>
      <c r="J60" s="26" t="s">
        <v>57</v>
      </c>
      <c r="K60" s="27" t="s">
        <v>89</v>
      </c>
      <c r="L60" s="28" t="s">
        <v>56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1436</v>
      </c>
      <c r="C61" s="25" t="s">
        <v>1437</v>
      </c>
      <c r="D61" s="23" t="s">
        <v>1325</v>
      </c>
      <c r="E61" s="45">
        <v>46132</v>
      </c>
      <c r="F61" s="26" t="s">
        <v>55</v>
      </c>
      <c r="G61" s="26" t="s">
        <v>57</v>
      </c>
      <c r="H61" s="26" t="s">
        <v>57</v>
      </c>
      <c r="I61" s="26" t="s">
        <v>88</v>
      </c>
      <c r="J61" s="26" t="s">
        <v>57</v>
      </c>
      <c r="K61" s="27" t="s">
        <v>89</v>
      </c>
      <c r="L61" s="28" t="s">
        <v>56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1438</v>
      </c>
      <c r="C62" s="44" t="s">
        <v>1439</v>
      </c>
      <c r="D62" s="42" t="s">
        <v>1325</v>
      </c>
      <c r="E62" s="45">
        <v>46132</v>
      </c>
      <c r="F62" s="26" t="s">
        <v>55</v>
      </c>
      <c r="G62" s="26" t="s">
        <v>57</v>
      </c>
      <c r="H62" s="26" t="s">
        <v>57</v>
      </c>
      <c r="I62" s="26" t="s">
        <v>88</v>
      </c>
      <c r="J62" s="26" t="s">
        <v>57</v>
      </c>
      <c r="K62" s="27" t="s">
        <v>89</v>
      </c>
      <c r="L62" s="28" t="s">
        <v>56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1440</v>
      </c>
      <c r="C63" s="25" t="s">
        <v>1441</v>
      </c>
      <c r="D63" s="23" t="s">
        <v>1325</v>
      </c>
      <c r="E63" s="45">
        <v>46132</v>
      </c>
      <c r="F63" s="26" t="s">
        <v>55</v>
      </c>
      <c r="G63" s="26" t="s">
        <v>57</v>
      </c>
      <c r="H63" s="26" t="s">
        <v>57</v>
      </c>
      <c r="I63" s="26" t="s">
        <v>88</v>
      </c>
      <c r="J63" s="26" t="s">
        <v>57</v>
      </c>
      <c r="K63" s="27" t="s">
        <v>89</v>
      </c>
      <c r="L63" s="28" t="s">
        <v>56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1442</v>
      </c>
      <c r="C64" s="44" t="s">
        <v>1443</v>
      </c>
      <c r="D64" s="42" t="s">
        <v>1325</v>
      </c>
      <c r="E64" s="45">
        <v>46132</v>
      </c>
      <c r="F64" s="26" t="s">
        <v>55</v>
      </c>
      <c r="G64" s="26" t="s">
        <v>57</v>
      </c>
      <c r="H64" s="26" t="s">
        <v>57</v>
      </c>
      <c r="I64" s="26" t="s">
        <v>88</v>
      </c>
      <c r="J64" s="26" t="s">
        <v>57</v>
      </c>
      <c r="K64" s="27" t="s">
        <v>89</v>
      </c>
      <c r="L64" s="28" t="s">
        <v>56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1444</v>
      </c>
      <c r="C65" s="25" t="s">
        <v>1445</v>
      </c>
      <c r="D65" s="23" t="s">
        <v>1325</v>
      </c>
      <c r="E65" s="45">
        <v>46132</v>
      </c>
      <c r="F65" s="26" t="s">
        <v>55</v>
      </c>
      <c r="G65" s="26" t="s">
        <v>57</v>
      </c>
      <c r="H65" s="26" t="s">
        <v>57</v>
      </c>
      <c r="I65" s="26" t="s">
        <v>88</v>
      </c>
      <c r="J65" s="26" t="s">
        <v>57</v>
      </c>
      <c r="K65" s="27" t="s">
        <v>89</v>
      </c>
      <c r="L65" s="28" t="s">
        <v>56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1446</v>
      </c>
      <c r="C66" s="44" t="s">
        <v>1447</v>
      </c>
      <c r="D66" s="42" t="s">
        <v>1325</v>
      </c>
      <c r="E66" s="45">
        <v>46132</v>
      </c>
      <c r="F66" s="26" t="s">
        <v>55</v>
      </c>
      <c r="G66" s="26" t="s">
        <v>57</v>
      </c>
      <c r="H66" s="26" t="s">
        <v>57</v>
      </c>
      <c r="I66" s="26" t="s">
        <v>88</v>
      </c>
      <c r="J66" s="26" t="s">
        <v>57</v>
      </c>
      <c r="K66" s="27" t="s">
        <v>89</v>
      </c>
      <c r="L66" s="28" t="s">
        <v>56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1448</v>
      </c>
      <c r="C67" s="25" t="s">
        <v>1449</v>
      </c>
      <c r="D67" s="23" t="s">
        <v>1325</v>
      </c>
      <c r="E67" s="45">
        <v>46132</v>
      </c>
      <c r="F67" s="26" t="s">
        <v>55</v>
      </c>
      <c r="G67" s="26" t="s">
        <v>57</v>
      </c>
      <c r="H67" s="26" t="s">
        <v>57</v>
      </c>
      <c r="I67" s="26" t="s">
        <v>88</v>
      </c>
      <c r="J67" s="26" t="s">
        <v>57</v>
      </c>
      <c r="K67" s="27" t="s">
        <v>89</v>
      </c>
      <c r="L67" s="28" t="s">
        <v>56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1450</v>
      </c>
      <c r="C68" s="44" t="s">
        <v>1451</v>
      </c>
      <c r="D68" s="42" t="s">
        <v>1325</v>
      </c>
      <c r="E68" s="45">
        <v>46132</v>
      </c>
      <c r="F68" s="26" t="s">
        <v>55</v>
      </c>
      <c r="G68" s="26" t="s">
        <v>57</v>
      </c>
      <c r="H68" s="26" t="s">
        <v>57</v>
      </c>
      <c r="I68" s="26" t="s">
        <v>88</v>
      </c>
      <c r="J68" s="26" t="s">
        <v>57</v>
      </c>
      <c r="K68" s="27" t="s">
        <v>89</v>
      </c>
      <c r="L68" s="28" t="s">
        <v>56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1452</v>
      </c>
      <c r="C69" s="25" t="s">
        <v>1453</v>
      </c>
      <c r="D69" s="23" t="s">
        <v>1325</v>
      </c>
      <c r="E69" s="45">
        <v>46132</v>
      </c>
      <c r="F69" s="26" t="s">
        <v>55</v>
      </c>
      <c r="G69" s="26" t="s">
        <v>57</v>
      </c>
      <c r="H69" s="26" t="s">
        <v>57</v>
      </c>
      <c r="I69" s="26" t="s">
        <v>88</v>
      </c>
      <c r="J69" s="26" t="s">
        <v>57</v>
      </c>
      <c r="K69" s="27" t="s">
        <v>89</v>
      </c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1454</v>
      </c>
      <c r="C70" s="44" t="s">
        <v>1455</v>
      </c>
      <c r="D70" s="42" t="s">
        <v>1325</v>
      </c>
      <c r="E70" s="45">
        <v>46132</v>
      </c>
      <c r="F70" s="26" t="s">
        <v>55</v>
      </c>
      <c r="G70" s="26" t="s">
        <v>57</v>
      </c>
      <c r="H70" s="26" t="s">
        <v>57</v>
      </c>
      <c r="I70" s="26" t="s">
        <v>88</v>
      </c>
      <c r="J70" s="26" t="s">
        <v>57</v>
      </c>
      <c r="K70" s="27" t="s">
        <v>89</v>
      </c>
      <c r="L70" s="28" t="s">
        <v>56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1456</v>
      </c>
      <c r="C71" s="25" t="s">
        <v>1457</v>
      </c>
      <c r="D71" s="23" t="s">
        <v>1325</v>
      </c>
      <c r="E71" s="45">
        <v>46132</v>
      </c>
      <c r="F71" s="26" t="s">
        <v>55</v>
      </c>
      <c r="G71" s="26" t="s">
        <v>57</v>
      </c>
      <c r="H71" s="26" t="s">
        <v>57</v>
      </c>
      <c r="I71" s="26" t="s">
        <v>88</v>
      </c>
      <c r="J71" s="26" t="s">
        <v>57</v>
      </c>
      <c r="K71" s="27" t="s">
        <v>89</v>
      </c>
      <c r="L71" s="28" t="s">
        <v>56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1458</v>
      </c>
      <c r="C72" s="44" t="s">
        <v>1459</v>
      </c>
      <c r="D72" s="42" t="s">
        <v>1325</v>
      </c>
      <c r="E72" s="45">
        <v>46132</v>
      </c>
      <c r="F72" s="26" t="s">
        <v>55</v>
      </c>
      <c r="G72" s="26" t="s">
        <v>57</v>
      </c>
      <c r="H72" s="26" t="s">
        <v>57</v>
      </c>
      <c r="I72" s="26" t="s">
        <v>88</v>
      </c>
      <c r="J72" s="26" t="s">
        <v>57</v>
      </c>
      <c r="K72" s="27" t="s">
        <v>89</v>
      </c>
      <c r="L72" s="28" t="s">
        <v>56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1460</v>
      </c>
      <c r="C73" s="25" t="s">
        <v>1461</v>
      </c>
      <c r="D73" s="23" t="s">
        <v>1325</v>
      </c>
      <c r="E73" s="45">
        <v>46132</v>
      </c>
      <c r="F73" s="26" t="s">
        <v>55</v>
      </c>
      <c r="G73" s="26" t="s">
        <v>57</v>
      </c>
      <c r="H73" s="26" t="s">
        <v>57</v>
      </c>
      <c r="I73" s="26" t="s">
        <v>88</v>
      </c>
      <c r="J73" s="26" t="s">
        <v>57</v>
      </c>
      <c r="K73" s="27" t="s">
        <v>89</v>
      </c>
      <c r="L73" s="28" t="s">
        <v>56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1462</v>
      </c>
      <c r="C74" s="44" t="s">
        <v>1463</v>
      </c>
      <c r="D74" s="42" t="s">
        <v>1325</v>
      </c>
      <c r="E74" s="45">
        <v>46132</v>
      </c>
      <c r="F74" s="26" t="s">
        <v>55</v>
      </c>
      <c r="G74" s="26" t="s">
        <v>57</v>
      </c>
      <c r="H74" s="26" t="s">
        <v>57</v>
      </c>
      <c r="I74" s="26" t="s">
        <v>88</v>
      </c>
      <c r="J74" s="26" t="s">
        <v>57</v>
      </c>
      <c r="K74" s="27" t="s">
        <v>89</v>
      </c>
      <c r="L74" s="28" t="s">
        <v>56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1464</v>
      </c>
      <c r="C75" s="25" t="s">
        <v>1465</v>
      </c>
      <c r="D75" s="23" t="s">
        <v>1325</v>
      </c>
      <c r="E75" s="45">
        <v>46132</v>
      </c>
      <c r="F75" s="26" t="s">
        <v>55</v>
      </c>
      <c r="G75" s="26" t="s">
        <v>57</v>
      </c>
      <c r="H75" s="26" t="s">
        <v>57</v>
      </c>
      <c r="I75" s="26" t="s">
        <v>88</v>
      </c>
      <c r="J75" s="26" t="s">
        <v>57</v>
      </c>
      <c r="K75" s="27" t="s">
        <v>89</v>
      </c>
      <c r="L75" s="28" t="s">
        <v>56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1466</v>
      </c>
      <c r="C76" s="44" t="s">
        <v>1467</v>
      </c>
      <c r="D76" s="42" t="s">
        <v>1325</v>
      </c>
      <c r="E76" s="45">
        <v>46132</v>
      </c>
      <c r="F76" s="26" t="s">
        <v>55</v>
      </c>
      <c r="G76" s="26" t="s">
        <v>57</v>
      </c>
      <c r="H76" s="26" t="s">
        <v>57</v>
      </c>
      <c r="I76" s="26" t="s">
        <v>88</v>
      </c>
      <c r="J76" s="26" t="s">
        <v>57</v>
      </c>
      <c r="K76" s="27" t="s">
        <v>89</v>
      </c>
      <c r="L76" s="28" t="s">
        <v>56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1468</v>
      </c>
      <c r="C77" s="25" t="s">
        <v>1469</v>
      </c>
      <c r="D77" s="23" t="s">
        <v>1325</v>
      </c>
      <c r="E77" s="45">
        <v>46132</v>
      </c>
      <c r="F77" s="26" t="s">
        <v>55</v>
      </c>
      <c r="G77" s="26" t="s">
        <v>57</v>
      </c>
      <c r="H77" s="26" t="s">
        <v>57</v>
      </c>
      <c r="I77" s="26" t="s">
        <v>88</v>
      </c>
      <c r="J77" s="26" t="s">
        <v>57</v>
      </c>
      <c r="K77" s="27" t="s">
        <v>89</v>
      </c>
      <c r="L77" s="28" t="s">
        <v>56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1470</v>
      </c>
      <c r="C78" s="44" t="s">
        <v>1471</v>
      </c>
      <c r="D78" s="42" t="s">
        <v>1325</v>
      </c>
      <c r="E78" s="45">
        <v>46132</v>
      </c>
      <c r="F78" s="26" t="s">
        <v>55</v>
      </c>
      <c r="G78" s="26" t="s">
        <v>57</v>
      </c>
      <c r="H78" s="26" t="s">
        <v>57</v>
      </c>
      <c r="I78" s="26" t="s">
        <v>88</v>
      </c>
      <c r="J78" s="26" t="s">
        <v>57</v>
      </c>
      <c r="K78" s="27" t="s">
        <v>89</v>
      </c>
      <c r="L78" s="28" t="s">
        <v>56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1472</v>
      </c>
      <c r="C79" s="25" t="s">
        <v>1473</v>
      </c>
      <c r="D79" s="23" t="s">
        <v>1325</v>
      </c>
      <c r="E79" s="45">
        <v>46132</v>
      </c>
      <c r="F79" s="26" t="s">
        <v>55</v>
      </c>
      <c r="G79" s="26" t="s">
        <v>57</v>
      </c>
      <c r="H79" s="26" t="s">
        <v>57</v>
      </c>
      <c r="I79" s="26" t="s">
        <v>88</v>
      </c>
      <c r="J79" s="26" t="s">
        <v>57</v>
      </c>
      <c r="K79" s="27" t="s">
        <v>89</v>
      </c>
      <c r="L79" s="28" t="s">
        <v>56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1474</v>
      </c>
      <c r="C80" s="44" t="s">
        <v>1475</v>
      </c>
      <c r="D80" s="42" t="s">
        <v>1325</v>
      </c>
      <c r="E80" s="45">
        <v>46132</v>
      </c>
      <c r="F80" s="26" t="s">
        <v>55</v>
      </c>
      <c r="G80" s="26" t="s">
        <v>57</v>
      </c>
      <c r="H80" s="26" t="s">
        <v>57</v>
      </c>
      <c r="I80" s="26" t="s">
        <v>88</v>
      </c>
      <c r="J80" s="26" t="s">
        <v>57</v>
      </c>
      <c r="K80" s="27" t="s">
        <v>89</v>
      </c>
      <c r="L80" s="28" t="s">
        <v>56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1476</v>
      </c>
      <c r="C81" s="25" t="s">
        <v>1477</v>
      </c>
      <c r="D81" s="23" t="s">
        <v>1325</v>
      </c>
      <c r="E81" s="45">
        <v>46132</v>
      </c>
      <c r="F81" s="26" t="s">
        <v>55</v>
      </c>
      <c r="G81" s="26" t="s">
        <v>57</v>
      </c>
      <c r="H81" s="26" t="s">
        <v>57</v>
      </c>
      <c r="I81" s="26" t="s">
        <v>88</v>
      </c>
      <c r="J81" s="26" t="s">
        <v>57</v>
      </c>
      <c r="K81" s="27" t="s">
        <v>89</v>
      </c>
      <c r="L81" s="28" t="s">
        <v>56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1478</v>
      </c>
      <c r="C82" s="44" t="s">
        <v>1479</v>
      </c>
      <c r="D82" s="42" t="s">
        <v>1325</v>
      </c>
      <c r="E82" s="45">
        <v>46132</v>
      </c>
      <c r="F82" s="26" t="s">
        <v>55</v>
      </c>
      <c r="G82" s="26" t="s">
        <v>57</v>
      </c>
      <c r="H82" s="26" t="s">
        <v>57</v>
      </c>
      <c r="I82" s="26" t="s">
        <v>88</v>
      </c>
      <c r="J82" s="26" t="s">
        <v>57</v>
      </c>
      <c r="K82" s="27" t="s">
        <v>89</v>
      </c>
      <c r="L82" s="28" t="s">
        <v>56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1480</v>
      </c>
      <c r="C83" s="25" t="s">
        <v>1481</v>
      </c>
      <c r="D83" s="23" t="s">
        <v>1325</v>
      </c>
      <c r="E83" s="45">
        <v>46132</v>
      </c>
      <c r="F83" s="26" t="s">
        <v>55</v>
      </c>
      <c r="G83" s="26" t="s">
        <v>57</v>
      </c>
      <c r="H83" s="26" t="s">
        <v>57</v>
      </c>
      <c r="I83" s="26" t="s">
        <v>88</v>
      </c>
      <c r="J83" s="26" t="s">
        <v>57</v>
      </c>
      <c r="K83" s="27" t="s">
        <v>89</v>
      </c>
      <c r="L83" s="28" t="s">
        <v>56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1482</v>
      </c>
      <c r="C84" s="44" t="s">
        <v>1483</v>
      </c>
      <c r="D84" s="42" t="s">
        <v>1325</v>
      </c>
      <c r="E84" s="45">
        <v>46132</v>
      </c>
      <c r="F84" s="26" t="s">
        <v>55</v>
      </c>
      <c r="G84" s="26" t="s">
        <v>57</v>
      </c>
      <c r="H84" s="26" t="s">
        <v>57</v>
      </c>
      <c r="I84" s="26" t="s">
        <v>88</v>
      </c>
      <c r="J84" s="26" t="s">
        <v>57</v>
      </c>
      <c r="K84" s="27" t="s">
        <v>89</v>
      </c>
      <c r="L84" s="28" t="s">
        <v>56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1484</v>
      </c>
      <c r="C85" s="25" t="s">
        <v>1485</v>
      </c>
      <c r="D85" s="23" t="s">
        <v>1325</v>
      </c>
      <c r="E85" s="45">
        <v>46132</v>
      </c>
      <c r="F85" s="26" t="s">
        <v>55</v>
      </c>
      <c r="G85" s="26" t="s">
        <v>57</v>
      </c>
      <c r="H85" s="26" t="s">
        <v>57</v>
      </c>
      <c r="I85" s="26" t="s">
        <v>88</v>
      </c>
      <c r="J85" s="26" t="s">
        <v>57</v>
      </c>
      <c r="K85" s="27" t="s">
        <v>89</v>
      </c>
      <c r="L85" s="28" t="s">
        <v>56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1486</v>
      </c>
      <c r="C86" s="44" t="s">
        <v>1487</v>
      </c>
      <c r="D86" s="42" t="s">
        <v>1325</v>
      </c>
      <c r="E86" s="45">
        <v>46132</v>
      </c>
      <c r="F86" s="26" t="s">
        <v>55</v>
      </c>
      <c r="G86" s="26" t="s">
        <v>57</v>
      </c>
      <c r="H86" s="26" t="s">
        <v>57</v>
      </c>
      <c r="I86" s="26" t="s">
        <v>88</v>
      </c>
      <c r="J86" s="26" t="s">
        <v>57</v>
      </c>
      <c r="K86" s="27" t="s">
        <v>89</v>
      </c>
      <c r="L86" s="28" t="s">
        <v>56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1488</v>
      </c>
      <c r="C87" s="25" t="s">
        <v>1489</v>
      </c>
      <c r="D87" s="23" t="s">
        <v>1325</v>
      </c>
      <c r="E87" s="45">
        <v>46132</v>
      </c>
      <c r="F87" s="26" t="s">
        <v>55</v>
      </c>
      <c r="G87" s="26" t="s">
        <v>57</v>
      </c>
      <c r="H87" s="26" t="s">
        <v>57</v>
      </c>
      <c r="I87" s="26" t="s">
        <v>88</v>
      </c>
      <c r="J87" s="26" t="s">
        <v>57</v>
      </c>
      <c r="K87" s="27" t="s">
        <v>89</v>
      </c>
      <c r="L87" s="28" t="s">
        <v>56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1490</v>
      </c>
      <c r="C88" s="44" t="s">
        <v>1491</v>
      </c>
      <c r="D88" s="42" t="s">
        <v>1325</v>
      </c>
      <c r="E88" s="45">
        <v>46132</v>
      </c>
      <c r="F88" s="26" t="s">
        <v>55</v>
      </c>
      <c r="G88" s="26" t="s">
        <v>57</v>
      </c>
      <c r="H88" s="26" t="s">
        <v>57</v>
      </c>
      <c r="I88" s="26" t="s">
        <v>88</v>
      </c>
      <c r="J88" s="26" t="s">
        <v>57</v>
      </c>
      <c r="K88" s="27" t="s">
        <v>89</v>
      </c>
      <c r="L88" s="28" t="s">
        <v>56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1492</v>
      </c>
      <c r="C89" s="25" t="s">
        <v>1493</v>
      </c>
      <c r="D89" s="23" t="s">
        <v>1325</v>
      </c>
      <c r="E89" s="45">
        <v>46132</v>
      </c>
      <c r="F89" s="26" t="s">
        <v>55</v>
      </c>
      <c r="G89" s="26" t="s">
        <v>57</v>
      </c>
      <c r="H89" s="26" t="s">
        <v>57</v>
      </c>
      <c r="I89" s="26" t="s">
        <v>88</v>
      </c>
      <c r="J89" s="26" t="s">
        <v>57</v>
      </c>
      <c r="K89" s="27" t="s">
        <v>89</v>
      </c>
      <c r="L89" s="28" t="s">
        <v>56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1494</v>
      </c>
      <c r="C90" s="44" t="s">
        <v>1495</v>
      </c>
      <c r="D90" s="42" t="s">
        <v>1325</v>
      </c>
      <c r="E90" s="45">
        <v>46132</v>
      </c>
      <c r="F90" s="26" t="s">
        <v>55</v>
      </c>
      <c r="G90" s="26" t="s">
        <v>57</v>
      </c>
      <c r="H90" s="26" t="s">
        <v>57</v>
      </c>
      <c r="I90" s="26" t="s">
        <v>88</v>
      </c>
      <c r="J90" s="26" t="s">
        <v>57</v>
      </c>
      <c r="K90" s="27" t="s">
        <v>89</v>
      </c>
      <c r="L90" s="28" t="s">
        <v>56</v>
      </c>
      <c r="M90" s="29" t="str">
        <f t="shared" si="5"/>
        <v>⚠ Missing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1496</v>
      </c>
      <c r="C91" s="25" t="s">
        <v>1497</v>
      </c>
      <c r="D91" s="23" t="s">
        <v>1325</v>
      </c>
      <c r="E91" s="45">
        <v>46132</v>
      </c>
      <c r="F91" s="26" t="s">
        <v>55</v>
      </c>
      <c r="G91" s="26" t="s">
        <v>57</v>
      </c>
      <c r="H91" s="26" t="s">
        <v>57</v>
      </c>
      <c r="I91" s="26" t="s">
        <v>88</v>
      </c>
      <c r="J91" s="26" t="s">
        <v>57</v>
      </c>
      <c r="K91" s="27" t="s">
        <v>89</v>
      </c>
      <c r="L91" s="28" t="s">
        <v>56</v>
      </c>
      <c r="M91" s="29" t="str">
        <f t="shared" si="5"/>
        <v>⚠ Missing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1498</v>
      </c>
      <c r="C92" s="44" t="s">
        <v>1499</v>
      </c>
      <c r="D92" s="42" t="s">
        <v>1325</v>
      </c>
      <c r="E92" s="45">
        <v>46132</v>
      </c>
      <c r="F92" s="26" t="s">
        <v>55</v>
      </c>
      <c r="G92" s="26" t="s">
        <v>57</v>
      </c>
      <c r="H92" s="26" t="s">
        <v>57</v>
      </c>
      <c r="I92" s="26" t="s">
        <v>88</v>
      </c>
      <c r="J92" s="26" t="s">
        <v>57</v>
      </c>
      <c r="K92" s="27" t="s">
        <v>89</v>
      </c>
      <c r="L92" s="28" t="s">
        <v>56</v>
      </c>
      <c r="M92" s="29" t="str">
        <f t="shared" si="5"/>
        <v>⚠ Missing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1500</v>
      </c>
      <c r="C93" s="25" t="s">
        <v>1501</v>
      </c>
      <c r="D93" s="23" t="s">
        <v>1325</v>
      </c>
      <c r="E93" s="45">
        <v>46132</v>
      </c>
      <c r="F93" s="26" t="s">
        <v>55</v>
      </c>
      <c r="G93" s="26" t="s">
        <v>57</v>
      </c>
      <c r="H93" s="26" t="s">
        <v>57</v>
      </c>
      <c r="I93" s="26" t="s">
        <v>88</v>
      </c>
      <c r="J93" s="26" t="s">
        <v>57</v>
      </c>
      <c r="K93" s="27" t="s">
        <v>89</v>
      </c>
      <c r="L93" s="28" t="s">
        <v>56</v>
      </c>
      <c r="M93" s="29" t="str">
        <f t="shared" si="5"/>
        <v>⚠ Missing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1502</v>
      </c>
      <c r="C94" s="44" t="s">
        <v>1503</v>
      </c>
      <c r="D94" s="42" t="s">
        <v>1325</v>
      </c>
      <c r="E94" s="45">
        <v>46132</v>
      </c>
      <c r="F94" s="26" t="s">
        <v>55</v>
      </c>
      <c r="G94" s="26" t="s">
        <v>57</v>
      </c>
      <c r="H94" s="26" t="s">
        <v>57</v>
      </c>
      <c r="I94" s="26" t="s">
        <v>88</v>
      </c>
      <c r="J94" s="26" t="s">
        <v>57</v>
      </c>
      <c r="K94" s="27" t="s">
        <v>89</v>
      </c>
      <c r="L94" s="28" t="s">
        <v>56</v>
      </c>
      <c r="M94" s="29" t="str">
        <f t="shared" si="5"/>
        <v>⚠ Missing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1504</v>
      </c>
      <c r="C95" s="25" t="s">
        <v>1505</v>
      </c>
      <c r="D95" s="23" t="s">
        <v>1325</v>
      </c>
      <c r="E95" s="45">
        <v>46132</v>
      </c>
      <c r="F95" s="26" t="s">
        <v>55</v>
      </c>
      <c r="G95" s="26" t="s">
        <v>57</v>
      </c>
      <c r="H95" s="26" t="s">
        <v>57</v>
      </c>
      <c r="I95" s="26" t="s">
        <v>88</v>
      </c>
      <c r="J95" s="26" t="s">
        <v>57</v>
      </c>
      <c r="K95" s="27" t="s">
        <v>89</v>
      </c>
      <c r="L95" s="28" t="s">
        <v>56</v>
      </c>
      <c r="M95" s="29" t="str">
        <f t="shared" si="5"/>
        <v>⚠ Missing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1506</v>
      </c>
      <c r="C96" s="44" t="s">
        <v>1507</v>
      </c>
      <c r="D96" s="42" t="s">
        <v>1325</v>
      </c>
      <c r="E96" s="45">
        <v>46132</v>
      </c>
      <c r="F96" s="26" t="s">
        <v>55</v>
      </c>
      <c r="G96" s="26" t="s">
        <v>57</v>
      </c>
      <c r="H96" s="26" t="s">
        <v>57</v>
      </c>
      <c r="I96" s="26" t="s">
        <v>88</v>
      </c>
      <c r="J96" s="26" t="s">
        <v>57</v>
      </c>
      <c r="K96" s="27" t="s">
        <v>89</v>
      </c>
      <c r="L96" s="28" t="s">
        <v>56</v>
      </c>
      <c r="M96" s="29" t="str">
        <f t="shared" si="5"/>
        <v>⚠ Missing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1508</v>
      </c>
      <c r="C97" s="25" t="s">
        <v>1509</v>
      </c>
      <c r="D97" s="23" t="s">
        <v>1325</v>
      </c>
      <c r="E97" s="45">
        <v>46132</v>
      </c>
      <c r="F97" s="26" t="s">
        <v>55</v>
      </c>
      <c r="G97" s="26" t="s">
        <v>57</v>
      </c>
      <c r="H97" s="26" t="s">
        <v>57</v>
      </c>
      <c r="I97" s="26" t="s">
        <v>88</v>
      </c>
      <c r="J97" s="26" t="s">
        <v>57</v>
      </c>
      <c r="K97" s="27" t="s">
        <v>89</v>
      </c>
      <c r="L97" s="28" t="s">
        <v>56</v>
      </c>
      <c r="M97" s="29" t="str">
        <f t="shared" si="5"/>
        <v>⚠ Missing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1510</v>
      </c>
      <c r="C98" s="44" t="s">
        <v>1511</v>
      </c>
      <c r="D98" s="42" t="s">
        <v>1325</v>
      </c>
      <c r="E98" s="45">
        <v>46132</v>
      </c>
      <c r="F98" s="26" t="s">
        <v>55</v>
      </c>
      <c r="G98" s="26" t="s">
        <v>57</v>
      </c>
      <c r="H98" s="26" t="s">
        <v>57</v>
      </c>
      <c r="I98" s="26" t="s">
        <v>88</v>
      </c>
      <c r="J98" s="26" t="s">
        <v>57</v>
      </c>
      <c r="K98" s="27" t="s">
        <v>89</v>
      </c>
      <c r="L98" s="28" t="s">
        <v>56</v>
      </c>
      <c r="M98" s="29" t="str">
        <f t="shared" si="5"/>
        <v>⚠ Missing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1512</v>
      </c>
      <c r="C99" s="25" t="s">
        <v>1513</v>
      </c>
      <c r="D99" s="23" t="s">
        <v>1325</v>
      </c>
      <c r="E99" s="45">
        <v>46132</v>
      </c>
      <c r="F99" s="26" t="s">
        <v>55</v>
      </c>
      <c r="G99" s="26" t="s">
        <v>57</v>
      </c>
      <c r="H99" s="26" t="s">
        <v>57</v>
      </c>
      <c r="I99" s="26" t="s">
        <v>88</v>
      </c>
      <c r="J99" s="26" t="s">
        <v>57</v>
      </c>
      <c r="K99" s="27" t="s">
        <v>89</v>
      </c>
      <c r="L99" s="28" t="s">
        <v>56</v>
      </c>
      <c r="M99" s="29" t="str">
        <f t="shared" si="5"/>
        <v>⚠ Missing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1514</v>
      </c>
      <c r="C100" s="44" t="s">
        <v>1515</v>
      </c>
      <c r="D100" s="42" t="s">
        <v>1325</v>
      </c>
      <c r="E100" s="45">
        <v>46132</v>
      </c>
      <c r="F100" s="26" t="s">
        <v>55</v>
      </c>
      <c r="G100" s="26" t="s">
        <v>57</v>
      </c>
      <c r="H100" s="26" t="s">
        <v>57</v>
      </c>
      <c r="I100" s="26" t="s">
        <v>88</v>
      </c>
      <c r="J100" s="26" t="s">
        <v>57</v>
      </c>
      <c r="K100" s="27" t="s">
        <v>89</v>
      </c>
      <c r="L100" s="28" t="s">
        <v>56</v>
      </c>
      <c r="M100" s="29" t="str">
        <f t="shared" si="5"/>
        <v>⚠ Missing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1516</v>
      </c>
      <c r="C101" s="25" t="s">
        <v>1517</v>
      </c>
      <c r="D101" s="23" t="s">
        <v>1325</v>
      </c>
      <c r="E101" s="45">
        <v>46132</v>
      </c>
      <c r="F101" s="26" t="s">
        <v>55</v>
      </c>
      <c r="G101" s="26" t="s">
        <v>57</v>
      </c>
      <c r="H101" s="26" t="s">
        <v>57</v>
      </c>
      <c r="I101" s="26" t="s">
        <v>88</v>
      </c>
      <c r="J101" s="26" t="s">
        <v>57</v>
      </c>
      <c r="K101" s="27" t="s">
        <v>89</v>
      </c>
      <c r="L101" s="28" t="s">
        <v>56</v>
      </c>
      <c r="M101" s="29" t="str">
        <f t="shared" si="5"/>
        <v>⚠ Missing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1518</v>
      </c>
      <c r="C102" s="44" t="s">
        <v>1519</v>
      </c>
      <c r="D102" s="42" t="s">
        <v>1325</v>
      </c>
      <c r="E102" s="45">
        <v>46132</v>
      </c>
      <c r="F102" s="26" t="s">
        <v>55</v>
      </c>
      <c r="G102" s="26" t="s">
        <v>57</v>
      </c>
      <c r="H102" s="26" t="s">
        <v>57</v>
      </c>
      <c r="I102" s="26" t="s">
        <v>88</v>
      </c>
      <c r="J102" s="26" t="s">
        <v>57</v>
      </c>
      <c r="K102" s="27" t="s">
        <v>89</v>
      </c>
      <c r="L102" s="28" t="s">
        <v>56</v>
      </c>
      <c r="M102" s="29" t="str">
        <f t="shared" si="5"/>
        <v>⚠ Missing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1520</v>
      </c>
      <c r="C103" s="25" t="s">
        <v>1521</v>
      </c>
      <c r="D103" s="23" t="s">
        <v>1325</v>
      </c>
      <c r="E103" s="45">
        <v>46132</v>
      </c>
      <c r="F103" s="26" t="s">
        <v>55</v>
      </c>
      <c r="G103" s="26" t="s">
        <v>57</v>
      </c>
      <c r="H103" s="26" t="s">
        <v>57</v>
      </c>
      <c r="I103" s="26" t="s">
        <v>88</v>
      </c>
      <c r="J103" s="26" t="s">
        <v>57</v>
      </c>
      <c r="K103" s="27" t="s">
        <v>89</v>
      </c>
      <c r="L103" s="28" t="s">
        <v>56</v>
      </c>
      <c r="M103" s="29" t="str">
        <f t="shared" si="5"/>
        <v>⚠ Missing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1522</v>
      </c>
      <c r="C104" s="44" t="s">
        <v>1523</v>
      </c>
      <c r="D104" s="42" t="s">
        <v>1325</v>
      </c>
      <c r="E104" s="45">
        <v>46132</v>
      </c>
      <c r="F104" s="26" t="s">
        <v>55</v>
      </c>
      <c r="G104" s="26" t="s">
        <v>57</v>
      </c>
      <c r="H104" s="26" t="s">
        <v>57</v>
      </c>
      <c r="I104" s="26" t="s">
        <v>88</v>
      </c>
      <c r="J104" s="26" t="s">
        <v>57</v>
      </c>
      <c r="K104" s="27" t="s">
        <v>89</v>
      </c>
      <c r="L104" s="28" t="s">
        <v>56</v>
      </c>
      <c r="M104" s="29" t="str">
        <f t="shared" si="5"/>
        <v>⚠ Missing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1524</v>
      </c>
      <c r="C105" s="25" t="s">
        <v>1525</v>
      </c>
      <c r="D105" s="23" t="s">
        <v>1325</v>
      </c>
      <c r="E105" s="45">
        <v>46132</v>
      </c>
      <c r="F105" s="26" t="s">
        <v>55</v>
      </c>
      <c r="G105" s="26" t="s">
        <v>57</v>
      </c>
      <c r="H105" s="26" t="s">
        <v>57</v>
      </c>
      <c r="I105" s="26" t="s">
        <v>88</v>
      </c>
      <c r="J105" s="26" t="s">
        <v>57</v>
      </c>
      <c r="K105" s="27" t="s">
        <v>89</v>
      </c>
      <c r="L105" s="28" t="s">
        <v>56</v>
      </c>
      <c r="M105" s="29" t="str">
        <f t="shared" si="5"/>
        <v>⚠ Missing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1526</v>
      </c>
      <c r="C106" s="44" t="s">
        <v>1527</v>
      </c>
      <c r="D106" s="42" t="s">
        <v>1325</v>
      </c>
      <c r="E106" s="45">
        <v>46132</v>
      </c>
      <c r="F106" s="26" t="s">
        <v>55</v>
      </c>
      <c r="G106" s="26" t="s">
        <v>57</v>
      </c>
      <c r="H106" s="26" t="s">
        <v>57</v>
      </c>
      <c r="I106" s="26" t="s">
        <v>88</v>
      </c>
      <c r="J106" s="26" t="s">
        <v>57</v>
      </c>
      <c r="K106" s="27" t="s">
        <v>89</v>
      </c>
      <c r="L106" s="28" t="s">
        <v>56</v>
      </c>
      <c r="M106" s="29" t="str">
        <f t="shared" si="5"/>
        <v>⚠ Missing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1528</v>
      </c>
      <c r="C107" s="25" t="s">
        <v>1529</v>
      </c>
      <c r="D107" s="23" t="s">
        <v>1325</v>
      </c>
      <c r="E107" s="45">
        <v>46132</v>
      </c>
      <c r="F107" s="26" t="s">
        <v>55</v>
      </c>
      <c r="G107" s="26" t="s">
        <v>57</v>
      </c>
      <c r="H107" s="26" t="s">
        <v>57</v>
      </c>
      <c r="I107" s="26" t="s">
        <v>88</v>
      </c>
      <c r="J107" s="26" t="s">
        <v>57</v>
      </c>
      <c r="K107" s="27" t="s">
        <v>89</v>
      </c>
      <c r="L107" s="28" t="s">
        <v>56</v>
      </c>
      <c r="M107" s="29" t="str">
        <f t="shared" si="5"/>
        <v>⚠ Missing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1530</v>
      </c>
      <c r="C108" s="44" t="s">
        <v>1531</v>
      </c>
      <c r="D108" s="42" t="s">
        <v>1325</v>
      </c>
      <c r="E108" s="45">
        <v>46132</v>
      </c>
      <c r="F108" s="26" t="s">
        <v>55</v>
      </c>
      <c r="G108" s="26" t="s">
        <v>57</v>
      </c>
      <c r="H108" s="26" t="s">
        <v>57</v>
      </c>
      <c r="I108" s="26" t="s">
        <v>88</v>
      </c>
      <c r="J108" s="26" t="s">
        <v>57</v>
      </c>
      <c r="K108" s="27" t="s">
        <v>89</v>
      </c>
      <c r="L108" s="28" t="s">
        <v>56</v>
      </c>
      <c r="M108" s="29" t="str">
        <f t="shared" si="5"/>
        <v>⚠ Missing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1532</v>
      </c>
      <c r="C109" s="25" t="s">
        <v>1533</v>
      </c>
      <c r="D109" s="23" t="s">
        <v>1325</v>
      </c>
      <c r="E109" s="45">
        <v>46132</v>
      </c>
      <c r="F109" s="26" t="s">
        <v>55</v>
      </c>
      <c r="G109" s="26" t="s">
        <v>57</v>
      </c>
      <c r="H109" s="26" t="s">
        <v>57</v>
      </c>
      <c r="I109" s="26" t="s">
        <v>88</v>
      </c>
      <c r="J109" s="26" t="s">
        <v>57</v>
      </c>
      <c r="K109" s="27" t="s">
        <v>89</v>
      </c>
      <c r="L109" s="28" t="s">
        <v>56</v>
      </c>
      <c r="M109" s="29" t="str">
        <f t="shared" si="5"/>
        <v>⚠ Missing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1534</v>
      </c>
      <c r="C110" s="44" t="s">
        <v>1535</v>
      </c>
      <c r="D110" s="42" t="s">
        <v>1325</v>
      </c>
      <c r="E110" s="45">
        <v>46132</v>
      </c>
      <c r="F110" s="26" t="s">
        <v>55</v>
      </c>
      <c r="G110" s="26" t="s">
        <v>57</v>
      </c>
      <c r="H110" s="26" t="s">
        <v>57</v>
      </c>
      <c r="I110" s="26" t="s">
        <v>88</v>
      </c>
      <c r="J110" s="26" t="s">
        <v>57</v>
      </c>
      <c r="K110" s="27" t="s">
        <v>89</v>
      </c>
      <c r="L110" s="28" t="s">
        <v>56</v>
      </c>
      <c r="M110" s="29" t="str">
        <f t="shared" si="5"/>
        <v>⚠ Missing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1536</v>
      </c>
      <c r="C111" s="25" t="s">
        <v>1537</v>
      </c>
      <c r="D111" s="23" t="s">
        <v>1325</v>
      </c>
      <c r="E111" s="45">
        <v>46132</v>
      </c>
      <c r="F111" s="26" t="s">
        <v>55</v>
      </c>
      <c r="G111" s="26" t="s">
        <v>57</v>
      </c>
      <c r="H111" s="26" t="s">
        <v>57</v>
      </c>
      <c r="I111" s="26" t="s">
        <v>88</v>
      </c>
      <c r="J111" s="26" t="s">
        <v>57</v>
      </c>
      <c r="K111" s="27" t="s">
        <v>89</v>
      </c>
      <c r="L111" s="28" t="s">
        <v>56</v>
      </c>
      <c r="M111" s="29" t="str">
        <f t="shared" si="5"/>
        <v>⚠ Missing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1538</v>
      </c>
      <c r="C112" s="44" t="s">
        <v>1539</v>
      </c>
      <c r="D112" s="42" t="s">
        <v>1325</v>
      </c>
      <c r="E112" s="45">
        <v>46132</v>
      </c>
      <c r="F112" s="26" t="s">
        <v>55</v>
      </c>
      <c r="G112" s="26" t="s">
        <v>57</v>
      </c>
      <c r="H112" s="26" t="s">
        <v>57</v>
      </c>
      <c r="I112" s="26" t="s">
        <v>88</v>
      </c>
      <c r="J112" s="26" t="s">
        <v>57</v>
      </c>
      <c r="K112" s="27" t="s">
        <v>89</v>
      </c>
      <c r="L112" s="28" t="s">
        <v>56</v>
      </c>
      <c r="M112" s="29" t="str">
        <f t="shared" si="5"/>
        <v>⚠ Missing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1540</v>
      </c>
      <c r="C113" s="25" t="s">
        <v>1541</v>
      </c>
      <c r="D113" s="23" t="s">
        <v>1325</v>
      </c>
      <c r="E113" s="45">
        <v>46132</v>
      </c>
      <c r="F113" s="26" t="s">
        <v>55</v>
      </c>
      <c r="G113" s="26" t="s">
        <v>57</v>
      </c>
      <c r="H113" s="26" t="s">
        <v>57</v>
      </c>
      <c r="I113" s="26" t="s">
        <v>88</v>
      </c>
      <c r="J113" s="26" t="s">
        <v>57</v>
      </c>
      <c r="K113" s="27" t="s">
        <v>89</v>
      </c>
      <c r="L113" s="28" t="s">
        <v>56</v>
      </c>
      <c r="M113" s="29" t="str">
        <f t="shared" si="5"/>
        <v>⚠ Missing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1542</v>
      </c>
      <c r="C114" s="44" t="s">
        <v>1543</v>
      </c>
      <c r="D114" s="42" t="s">
        <v>1325</v>
      </c>
      <c r="E114" s="45">
        <v>46132</v>
      </c>
      <c r="F114" s="26" t="s">
        <v>55</v>
      </c>
      <c r="G114" s="26" t="s">
        <v>57</v>
      </c>
      <c r="H114" s="26" t="s">
        <v>57</v>
      </c>
      <c r="I114" s="26" t="s">
        <v>88</v>
      </c>
      <c r="J114" s="26" t="s">
        <v>57</v>
      </c>
      <c r="K114" s="27" t="s">
        <v>89</v>
      </c>
      <c r="L114" s="28" t="s">
        <v>56</v>
      </c>
      <c r="M114" s="29" t="str">
        <f t="shared" si="5"/>
        <v>⚠ Missing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1544</v>
      </c>
      <c r="C115" s="25" t="s">
        <v>1545</v>
      </c>
      <c r="D115" s="23" t="s">
        <v>1325</v>
      </c>
      <c r="E115" s="45">
        <v>46132</v>
      </c>
      <c r="F115" s="26" t="s">
        <v>55</v>
      </c>
      <c r="G115" s="26" t="s">
        <v>57</v>
      </c>
      <c r="H115" s="26" t="s">
        <v>57</v>
      </c>
      <c r="I115" s="26" t="s">
        <v>88</v>
      </c>
      <c r="J115" s="26" t="s">
        <v>57</v>
      </c>
      <c r="K115" s="27" t="s">
        <v>89</v>
      </c>
      <c r="L115" s="28" t="s">
        <v>56</v>
      </c>
      <c r="M115" s="29" t="str">
        <f t="shared" si="5"/>
        <v>⚠ Missing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1546</v>
      </c>
      <c r="C116" s="44" t="s">
        <v>1547</v>
      </c>
      <c r="D116" s="42" t="s">
        <v>1325</v>
      </c>
      <c r="E116" s="45">
        <v>46132</v>
      </c>
      <c r="F116" s="26" t="s">
        <v>55</v>
      </c>
      <c r="G116" s="26" t="s">
        <v>57</v>
      </c>
      <c r="H116" s="26" t="s">
        <v>57</v>
      </c>
      <c r="I116" s="26" t="s">
        <v>88</v>
      </c>
      <c r="J116" s="26" t="s">
        <v>57</v>
      </c>
      <c r="K116" s="27" t="s">
        <v>89</v>
      </c>
      <c r="L116" s="28" t="s">
        <v>56</v>
      </c>
      <c r="M116" s="29" t="str">
        <f t="shared" si="5"/>
        <v>⚠ Missing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1548</v>
      </c>
      <c r="C117" s="25" t="s">
        <v>1549</v>
      </c>
      <c r="D117" s="23" t="s">
        <v>1325</v>
      </c>
      <c r="E117" s="45">
        <v>46132</v>
      </c>
      <c r="F117" s="26" t="s">
        <v>55</v>
      </c>
      <c r="G117" s="26" t="s">
        <v>57</v>
      </c>
      <c r="H117" s="26" t="s">
        <v>57</v>
      </c>
      <c r="I117" s="26" t="s">
        <v>88</v>
      </c>
      <c r="J117" s="26" t="s">
        <v>57</v>
      </c>
      <c r="K117" s="27" t="s">
        <v>89</v>
      </c>
      <c r="L117" s="28" t="s">
        <v>56</v>
      </c>
      <c r="M117" s="29" t="str">
        <f t="shared" si="5"/>
        <v>⚠ Missing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1550</v>
      </c>
      <c r="C118" s="44" t="s">
        <v>1551</v>
      </c>
      <c r="D118" s="42" t="s">
        <v>1325</v>
      </c>
      <c r="E118" s="45">
        <v>46132</v>
      </c>
      <c r="F118" s="26" t="s">
        <v>55</v>
      </c>
      <c r="G118" s="26" t="s">
        <v>57</v>
      </c>
      <c r="H118" s="26" t="s">
        <v>57</v>
      </c>
      <c r="I118" s="26" t="s">
        <v>88</v>
      </c>
      <c r="J118" s="26" t="s">
        <v>57</v>
      </c>
      <c r="K118" s="27" t="s">
        <v>89</v>
      </c>
      <c r="L118" s="28" t="s">
        <v>56</v>
      </c>
      <c r="M118" s="29" t="str">
        <f t="shared" si="5"/>
        <v>⚠ Missing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1552</v>
      </c>
      <c r="C119" s="25" t="s">
        <v>1553</v>
      </c>
      <c r="D119" s="23" t="s">
        <v>1325</v>
      </c>
      <c r="E119" s="45">
        <v>46132</v>
      </c>
      <c r="F119" s="26" t="s">
        <v>55</v>
      </c>
      <c r="G119" s="26" t="s">
        <v>57</v>
      </c>
      <c r="H119" s="26" t="s">
        <v>57</v>
      </c>
      <c r="I119" s="26" t="s">
        <v>88</v>
      </c>
      <c r="J119" s="26" t="s">
        <v>57</v>
      </c>
      <c r="K119" s="27" t="s">
        <v>89</v>
      </c>
      <c r="L119" s="28" t="s">
        <v>56</v>
      </c>
      <c r="M119" s="29" t="str">
        <f t="shared" si="5"/>
        <v>⚠ Missing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1554</v>
      </c>
      <c r="C120" s="44" t="s">
        <v>1555</v>
      </c>
      <c r="D120" s="42" t="s">
        <v>1325</v>
      </c>
      <c r="E120" s="45">
        <v>46132</v>
      </c>
      <c r="F120" s="26" t="s">
        <v>55</v>
      </c>
      <c r="G120" s="26" t="s">
        <v>57</v>
      </c>
      <c r="H120" s="26" t="s">
        <v>57</v>
      </c>
      <c r="I120" s="26" t="s">
        <v>88</v>
      </c>
      <c r="J120" s="26" t="s">
        <v>57</v>
      </c>
      <c r="K120" s="27" t="s">
        <v>89</v>
      </c>
      <c r="L120" s="28" t="s">
        <v>56</v>
      </c>
      <c r="M120" s="29" t="str">
        <f t="shared" si="5"/>
        <v>⚠ Missing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1556</v>
      </c>
      <c r="C121" s="25" t="s">
        <v>1557</v>
      </c>
      <c r="D121" s="23" t="s">
        <v>1325</v>
      </c>
      <c r="E121" s="45">
        <v>46132</v>
      </c>
      <c r="F121" s="26" t="s">
        <v>55</v>
      </c>
      <c r="G121" s="26" t="s">
        <v>57</v>
      </c>
      <c r="H121" s="26" t="s">
        <v>57</v>
      </c>
      <c r="I121" s="26" t="s">
        <v>88</v>
      </c>
      <c r="J121" s="26" t="s">
        <v>57</v>
      </c>
      <c r="K121" s="27" t="s">
        <v>89</v>
      </c>
      <c r="L121" s="28" t="s">
        <v>56</v>
      </c>
      <c r="M121" s="29" t="str">
        <f t="shared" si="5"/>
        <v>⚠ Missing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1558</v>
      </c>
      <c r="C122" s="44" t="s">
        <v>1559</v>
      </c>
      <c r="D122" s="42" t="s">
        <v>1325</v>
      </c>
      <c r="E122" s="45">
        <v>46132</v>
      </c>
      <c r="F122" s="26" t="s">
        <v>55</v>
      </c>
      <c r="G122" s="26" t="s">
        <v>57</v>
      </c>
      <c r="H122" s="26" t="s">
        <v>57</v>
      </c>
      <c r="I122" s="26" t="s">
        <v>88</v>
      </c>
      <c r="J122" s="26" t="s">
        <v>57</v>
      </c>
      <c r="K122" s="27" t="s">
        <v>89</v>
      </c>
      <c r="L122" s="28" t="s">
        <v>56</v>
      </c>
      <c r="M122" s="29" t="str">
        <f t="shared" si="5"/>
        <v>⚠ Missing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1560</v>
      </c>
      <c r="C123" s="25" t="s">
        <v>1561</v>
      </c>
      <c r="D123" s="23" t="s">
        <v>1325</v>
      </c>
      <c r="E123" s="45">
        <v>46132</v>
      </c>
      <c r="F123" s="26" t="s">
        <v>55</v>
      </c>
      <c r="G123" s="26" t="s">
        <v>57</v>
      </c>
      <c r="H123" s="26" t="s">
        <v>57</v>
      </c>
      <c r="I123" s="26" t="s">
        <v>88</v>
      </c>
      <c r="J123" s="26" t="s">
        <v>57</v>
      </c>
      <c r="K123" s="27" t="s">
        <v>89</v>
      </c>
      <c r="L123" s="28" t="s">
        <v>56</v>
      </c>
      <c r="M123" s="29" t="str">
        <f t="shared" si="5"/>
        <v>⚠ Missing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1562</v>
      </c>
      <c r="C124" s="44" t="s">
        <v>1563</v>
      </c>
      <c r="D124" s="42" t="s">
        <v>1325</v>
      </c>
      <c r="E124" s="45">
        <v>46132</v>
      </c>
      <c r="F124" s="26" t="s">
        <v>55</v>
      </c>
      <c r="G124" s="26" t="s">
        <v>57</v>
      </c>
      <c r="H124" s="26" t="s">
        <v>57</v>
      </c>
      <c r="I124" s="26" t="s">
        <v>88</v>
      </c>
      <c r="J124" s="26" t="s">
        <v>57</v>
      </c>
      <c r="K124" s="27" t="s">
        <v>89</v>
      </c>
      <c r="L124" s="28" t="s">
        <v>56</v>
      </c>
      <c r="M124" s="29" t="str">
        <f t="shared" si="5"/>
        <v>⚠ Missing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1564</v>
      </c>
      <c r="C125" s="25" t="s">
        <v>1565</v>
      </c>
      <c r="D125" s="23" t="s">
        <v>1325</v>
      </c>
      <c r="E125" s="45">
        <v>46132</v>
      </c>
      <c r="F125" s="26" t="s">
        <v>55</v>
      </c>
      <c r="G125" s="26" t="s">
        <v>57</v>
      </c>
      <c r="H125" s="26" t="s">
        <v>57</v>
      </c>
      <c r="I125" s="26" t="s">
        <v>88</v>
      </c>
      <c r="J125" s="26" t="s">
        <v>57</v>
      </c>
      <c r="K125" s="27" t="s">
        <v>89</v>
      </c>
      <c r="L125" s="28" t="s">
        <v>56</v>
      </c>
      <c r="M125" s="29" t="str">
        <f t="shared" si="5"/>
        <v>⚠ Missing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1566</v>
      </c>
      <c r="C126" s="44" t="s">
        <v>1567</v>
      </c>
      <c r="D126" s="42" t="s">
        <v>1325</v>
      </c>
      <c r="E126" s="45">
        <v>46132</v>
      </c>
      <c r="F126" s="26" t="s">
        <v>55</v>
      </c>
      <c r="G126" s="26" t="s">
        <v>57</v>
      </c>
      <c r="H126" s="26" t="s">
        <v>57</v>
      </c>
      <c r="I126" s="26" t="s">
        <v>88</v>
      </c>
      <c r="J126" s="26" t="s">
        <v>57</v>
      </c>
      <c r="K126" s="27" t="s">
        <v>89</v>
      </c>
      <c r="L126" s="28" t="s">
        <v>56</v>
      </c>
      <c r="M126" s="29" t="str">
        <f t="shared" si="5"/>
        <v>⚠ Missing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1568</v>
      </c>
      <c r="C127" s="25" t="s">
        <v>1569</v>
      </c>
      <c r="D127" s="23" t="s">
        <v>1325</v>
      </c>
      <c r="E127" s="45">
        <v>46132</v>
      </c>
      <c r="F127" s="26" t="s">
        <v>55</v>
      </c>
      <c r="G127" s="26" t="s">
        <v>57</v>
      </c>
      <c r="H127" s="26" t="s">
        <v>57</v>
      </c>
      <c r="I127" s="26" t="s">
        <v>88</v>
      </c>
      <c r="J127" s="26" t="s">
        <v>57</v>
      </c>
      <c r="K127" s="27" t="s">
        <v>89</v>
      </c>
      <c r="L127" s="28" t="s">
        <v>56</v>
      </c>
      <c r="M127" s="29" t="str">
        <f t="shared" si="5"/>
        <v>⚠ Missing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1570</v>
      </c>
      <c r="C128" s="44" t="s">
        <v>1571</v>
      </c>
      <c r="D128" s="42" t="s">
        <v>1325</v>
      </c>
      <c r="E128" s="45">
        <v>46132</v>
      </c>
      <c r="F128" s="26" t="s">
        <v>55</v>
      </c>
      <c r="G128" s="26" t="s">
        <v>57</v>
      </c>
      <c r="H128" s="26" t="s">
        <v>57</v>
      </c>
      <c r="I128" s="26" t="s">
        <v>88</v>
      </c>
      <c r="J128" s="26" t="s">
        <v>57</v>
      </c>
      <c r="K128" s="27" t="s">
        <v>89</v>
      </c>
      <c r="L128" s="28" t="s">
        <v>56</v>
      </c>
      <c r="M128" s="29" t="str">
        <f t="shared" si="5"/>
        <v>⚠ Missing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1572</v>
      </c>
      <c r="C129" s="25" t="s">
        <v>1573</v>
      </c>
      <c r="D129" s="23" t="s">
        <v>1325</v>
      </c>
      <c r="E129" s="45">
        <v>46132</v>
      </c>
      <c r="F129" s="26" t="s">
        <v>55</v>
      </c>
      <c r="G129" s="26" t="s">
        <v>57</v>
      </c>
      <c r="H129" s="26" t="s">
        <v>57</v>
      </c>
      <c r="I129" s="26" t="s">
        <v>88</v>
      </c>
      <c r="J129" s="26" t="s">
        <v>57</v>
      </c>
      <c r="K129" s="27" t="s">
        <v>89</v>
      </c>
      <c r="L129" s="28" t="s">
        <v>56</v>
      </c>
      <c r="M129" s="29" t="str">
        <f t="shared" si="5"/>
        <v>⚠ Missing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1574</v>
      </c>
      <c r="C130" s="44" t="s">
        <v>1575</v>
      </c>
      <c r="D130" s="42" t="s">
        <v>1325</v>
      </c>
      <c r="E130" s="45">
        <v>46132</v>
      </c>
      <c r="F130" s="26" t="s">
        <v>55</v>
      </c>
      <c r="G130" s="26" t="s">
        <v>57</v>
      </c>
      <c r="H130" s="26" t="s">
        <v>57</v>
      </c>
      <c r="I130" s="26" t="s">
        <v>88</v>
      </c>
      <c r="J130" s="26" t="s">
        <v>57</v>
      </c>
      <c r="K130" s="27" t="s">
        <v>89</v>
      </c>
      <c r="L130" s="28" t="s">
        <v>56</v>
      </c>
      <c r="M130" s="29" t="str">
        <f t="shared" si="5"/>
        <v>⚠ Missing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1576</v>
      </c>
      <c r="C131" s="25" t="s">
        <v>1577</v>
      </c>
      <c r="D131" s="23" t="s">
        <v>1325</v>
      </c>
      <c r="E131" s="45">
        <v>46132</v>
      </c>
      <c r="F131" s="26" t="s">
        <v>55</v>
      </c>
      <c r="G131" s="26" t="s">
        <v>57</v>
      </c>
      <c r="H131" s="26" t="s">
        <v>57</v>
      </c>
      <c r="I131" s="26" t="s">
        <v>88</v>
      </c>
      <c r="J131" s="26" t="s">
        <v>57</v>
      </c>
      <c r="K131" s="27" t="s">
        <v>89</v>
      </c>
      <c r="L131" s="28" t="s">
        <v>56</v>
      </c>
      <c r="M131" s="29" t="str">
        <f t="shared" si="5"/>
        <v>⚠ Missing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1578</v>
      </c>
      <c r="C132" s="44" t="s">
        <v>1579</v>
      </c>
      <c r="D132" s="42" t="s">
        <v>1325</v>
      </c>
      <c r="E132" s="45">
        <v>46132</v>
      </c>
      <c r="F132" s="26" t="s">
        <v>55</v>
      </c>
      <c r="G132" s="26" t="s">
        <v>57</v>
      </c>
      <c r="H132" s="26" t="s">
        <v>57</v>
      </c>
      <c r="I132" s="26" t="s">
        <v>88</v>
      </c>
      <c r="J132" s="26" t="s">
        <v>57</v>
      </c>
      <c r="K132" s="27" t="s">
        <v>89</v>
      </c>
      <c r="L132" s="28" t="s">
        <v>56</v>
      </c>
      <c r="M132" s="29" t="str">
        <f t="shared" si="5"/>
        <v>⚠ Missing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1580</v>
      </c>
      <c r="C133" s="25" t="s">
        <v>1581</v>
      </c>
      <c r="D133" s="23" t="s">
        <v>1325</v>
      </c>
      <c r="E133" s="45">
        <v>46132</v>
      </c>
      <c r="F133" s="26" t="s">
        <v>55</v>
      </c>
      <c r="G133" s="26" t="s">
        <v>57</v>
      </c>
      <c r="H133" s="26" t="s">
        <v>57</v>
      </c>
      <c r="I133" s="26" t="s">
        <v>88</v>
      </c>
      <c r="J133" s="26" t="s">
        <v>57</v>
      </c>
      <c r="K133" s="27" t="s">
        <v>89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Missing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1582</v>
      </c>
      <c r="C134" s="44" t="s">
        <v>1583</v>
      </c>
      <c r="D134" s="42" t="s">
        <v>1325</v>
      </c>
      <c r="E134" s="45">
        <v>46132</v>
      </c>
      <c r="F134" s="26" t="s">
        <v>55</v>
      </c>
      <c r="G134" s="26" t="s">
        <v>57</v>
      </c>
      <c r="H134" s="26" t="s">
        <v>57</v>
      </c>
      <c r="I134" s="26" t="s">
        <v>88</v>
      </c>
      <c r="J134" s="26" t="s">
        <v>57</v>
      </c>
      <c r="K134" s="27" t="s">
        <v>89</v>
      </c>
      <c r="L134" s="28" t="s">
        <v>56</v>
      </c>
      <c r="M134" s="29" t="str">
        <f t="shared" si="10"/>
        <v>⚠ Missing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1584</v>
      </c>
      <c r="C135" s="25" t="s">
        <v>1585</v>
      </c>
      <c r="D135" s="23" t="s">
        <v>1325</v>
      </c>
      <c r="E135" s="45">
        <v>46132</v>
      </c>
      <c r="F135" s="26" t="s">
        <v>55</v>
      </c>
      <c r="G135" s="26" t="s">
        <v>57</v>
      </c>
      <c r="H135" s="26" t="s">
        <v>57</v>
      </c>
      <c r="I135" s="26" t="s">
        <v>88</v>
      </c>
      <c r="J135" s="26" t="s">
        <v>57</v>
      </c>
      <c r="K135" s="27" t="s">
        <v>89</v>
      </c>
      <c r="L135" s="28" t="s">
        <v>56</v>
      </c>
      <c r="M135" s="29" t="str">
        <f t="shared" si="10"/>
        <v>⚠ Missing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1586</v>
      </c>
      <c r="C136" s="44" t="s">
        <v>1587</v>
      </c>
      <c r="D136" s="42" t="s">
        <v>1325</v>
      </c>
      <c r="E136" s="45">
        <v>46132</v>
      </c>
      <c r="F136" s="26" t="s">
        <v>55</v>
      </c>
      <c r="G136" s="26" t="s">
        <v>57</v>
      </c>
      <c r="H136" s="26" t="s">
        <v>57</v>
      </c>
      <c r="I136" s="26" t="s">
        <v>88</v>
      </c>
      <c r="J136" s="26" t="s">
        <v>57</v>
      </c>
      <c r="K136" s="27" t="s">
        <v>89</v>
      </c>
      <c r="L136" s="28" t="s">
        <v>56</v>
      </c>
      <c r="M136" s="29" t="str">
        <f t="shared" si="10"/>
        <v>⚠ Missing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1588</v>
      </c>
      <c r="C137" s="25" t="s">
        <v>1589</v>
      </c>
      <c r="D137" s="23" t="s">
        <v>1325</v>
      </c>
      <c r="E137" s="45">
        <v>46132</v>
      </c>
      <c r="F137" s="26" t="s">
        <v>55</v>
      </c>
      <c r="G137" s="26" t="s">
        <v>57</v>
      </c>
      <c r="H137" s="26" t="s">
        <v>57</v>
      </c>
      <c r="I137" s="26" t="s">
        <v>88</v>
      </c>
      <c r="J137" s="26" t="s">
        <v>57</v>
      </c>
      <c r="K137" s="27" t="s">
        <v>89</v>
      </c>
      <c r="L137" s="28" t="s">
        <v>56</v>
      </c>
      <c r="M137" s="29" t="str">
        <f t="shared" si="10"/>
        <v>⚠ Missing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1590</v>
      </c>
      <c r="C138" s="44" t="s">
        <v>1591</v>
      </c>
      <c r="D138" s="42" t="s">
        <v>1325</v>
      </c>
      <c r="E138" s="45">
        <v>46132</v>
      </c>
      <c r="F138" s="26" t="s">
        <v>55</v>
      </c>
      <c r="G138" s="26" t="s">
        <v>57</v>
      </c>
      <c r="H138" s="26" t="s">
        <v>57</v>
      </c>
      <c r="I138" s="26" t="s">
        <v>88</v>
      </c>
      <c r="J138" s="26" t="s">
        <v>57</v>
      </c>
      <c r="K138" s="27" t="s">
        <v>89</v>
      </c>
      <c r="L138" s="28" t="s">
        <v>56</v>
      </c>
      <c r="M138" s="29" t="str">
        <f t="shared" si="10"/>
        <v>⚠ Missing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1592</v>
      </c>
      <c r="C139" s="25" t="s">
        <v>1593</v>
      </c>
      <c r="D139" s="23" t="s">
        <v>1325</v>
      </c>
      <c r="E139" s="45">
        <v>46132</v>
      </c>
      <c r="F139" s="26" t="s">
        <v>55</v>
      </c>
      <c r="G139" s="26" t="s">
        <v>57</v>
      </c>
      <c r="H139" s="26" t="s">
        <v>57</v>
      </c>
      <c r="I139" s="26" t="s">
        <v>88</v>
      </c>
      <c r="J139" s="26" t="s">
        <v>57</v>
      </c>
      <c r="K139" s="27" t="s">
        <v>89</v>
      </c>
      <c r="L139" s="28" t="s">
        <v>56</v>
      </c>
      <c r="M139" s="29" t="str">
        <f t="shared" si="10"/>
        <v>⚠ Missing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1594</v>
      </c>
      <c r="C140" s="44" t="s">
        <v>1595</v>
      </c>
      <c r="D140" s="42" t="s">
        <v>1325</v>
      </c>
      <c r="E140" s="45">
        <v>46132</v>
      </c>
      <c r="F140" s="26" t="s">
        <v>55</v>
      </c>
      <c r="G140" s="26" t="s">
        <v>57</v>
      </c>
      <c r="H140" s="26" t="s">
        <v>57</v>
      </c>
      <c r="I140" s="26" t="s">
        <v>88</v>
      </c>
      <c r="J140" s="26" t="s">
        <v>57</v>
      </c>
      <c r="K140" s="27" t="s">
        <v>89</v>
      </c>
      <c r="L140" s="28" t="s">
        <v>56</v>
      </c>
      <c r="M140" s="29" t="str">
        <f t="shared" si="10"/>
        <v>⚠ Missing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1596</v>
      </c>
      <c r="C141" s="25" t="s">
        <v>1597</v>
      </c>
      <c r="D141" s="23" t="s">
        <v>1325</v>
      </c>
      <c r="E141" s="45">
        <v>46132</v>
      </c>
      <c r="F141" s="26" t="s">
        <v>55</v>
      </c>
      <c r="G141" s="26" t="s">
        <v>57</v>
      </c>
      <c r="H141" s="26" t="s">
        <v>57</v>
      </c>
      <c r="I141" s="26" t="s">
        <v>88</v>
      </c>
      <c r="J141" s="26" t="s">
        <v>57</v>
      </c>
      <c r="K141" s="27" t="s">
        <v>89</v>
      </c>
      <c r="L141" s="28" t="s">
        <v>56</v>
      </c>
      <c r="M141" s="29" t="str">
        <f t="shared" si="10"/>
        <v>⚠ Missing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1598</v>
      </c>
      <c r="C142" s="44" t="s">
        <v>1599</v>
      </c>
      <c r="D142" s="42" t="s">
        <v>1325</v>
      </c>
      <c r="E142" s="45">
        <v>46132</v>
      </c>
      <c r="F142" s="26" t="s">
        <v>55</v>
      </c>
      <c r="G142" s="26" t="s">
        <v>57</v>
      </c>
      <c r="H142" s="26" t="s">
        <v>57</v>
      </c>
      <c r="I142" s="26" t="s">
        <v>88</v>
      </c>
      <c r="J142" s="26" t="s">
        <v>57</v>
      </c>
      <c r="K142" s="27" t="s">
        <v>89</v>
      </c>
      <c r="L142" s="28" t="s">
        <v>56</v>
      </c>
      <c r="M142" s="29" t="str">
        <f t="shared" si="10"/>
        <v>⚠ Missing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1600</v>
      </c>
      <c r="C143" s="25" t="s">
        <v>1601</v>
      </c>
      <c r="D143" s="23" t="s">
        <v>1325</v>
      </c>
      <c r="E143" s="45">
        <v>46132</v>
      </c>
      <c r="F143" s="26" t="s">
        <v>55</v>
      </c>
      <c r="G143" s="26" t="s">
        <v>57</v>
      </c>
      <c r="H143" s="26" t="s">
        <v>57</v>
      </c>
      <c r="I143" s="26" t="s">
        <v>88</v>
      </c>
      <c r="J143" s="26" t="s">
        <v>57</v>
      </c>
      <c r="K143" s="27" t="s">
        <v>89</v>
      </c>
      <c r="L143" s="28" t="s">
        <v>56</v>
      </c>
      <c r="M143" s="29" t="str">
        <f t="shared" si="10"/>
        <v>⚠ Missing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1602</v>
      </c>
      <c r="C144" s="44" t="s">
        <v>1603</v>
      </c>
      <c r="D144" s="42" t="s">
        <v>1325</v>
      </c>
      <c r="E144" s="45">
        <v>46132</v>
      </c>
      <c r="F144" s="26" t="s">
        <v>55</v>
      </c>
      <c r="G144" s="26" t="s">
        <v>57</v>
      </c>
      <c r="H144" s="26" t="s">
        <v>57</v>
      </c>
      <c r="I144" s="26" t="s">
        <v>88</v>
      </c>
      <c r="J144" s="26" t="s">
        <v>57</v>
      </c>
      <c r="K144" s="27" t="s">
        <v>89</v>
      </c>
      <c r="L144" s="28" t="s">
        <v>56</v>
      </c>
      <c r="M144" s="29" t="str">
        <f t="shared" si="10"/>
        <v>⚠ Missing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1604</v>
      </c>
      <c r="C145" s="25" t="s">
        <v>1605</v>
      </c>
      <c r="D145" s="23" t="s">
        <v>1325</v>
      </c>
      <c r="E145" s="45">
        <v>46132</v>
      </c>
      <c r="F145" s="26" t="s">
        <v>55</v>
      </c>
      <c r="G145" s="26" t="s">
        <v>57</v>
      </c>
      <c r="H145" s="26" t="s">
        <v>57</v>
      </c>
      <c r="I145" s="26" t="s">
        <v>88</v>
      </c>
      <c r="J145" s="26" t="s">
        <v>57</v>
      </c>
      <c r="K145" s="27" t="s">
        <v>89</v>
      </c>
      <c r="L145" s="28" t="s">
        <v>56</v>
      </c>
      <c r="M145" s="29" t="str">
        <f t="shared" si="10"/>
        <v>⚠ Missing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1606</v>
      </c>
      <c r="C146" s="44" t="s">
        <v>1607</v>
      </c>
      <c r="D146" s="42" t="s">
        <v>1325</v>
      </c>
      <c r="E146" s="45">
        <v>46132</v>
      </c>
      <c r="F146" s="26" t="s">
        <v>55</v>
      </c>
      <c r="G146" s="26" t="s">
        <v>57</v>
      </c>
      <c r="H146" s="26" t="s">
        <v>57</v>
      </c>
      <c r="I146" s="26" t="s">
        <v>88</v>
      </c>
      <c r="J146" s="26" t="s">
        <v>57</v>
      </c>
      <c r="K146" s="27" t="s">
        <v>89</v>
      </c>
      <c r="L146" s="28" t="s">
        <v>56</v>
      </c>
      <c r="M146" s="29" t="str">
        <f t="shared" si="10"/>
        <v>⚠ Missing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1608</v>
      </c>
      <c r="C147" s="25" t="s">
        <v>1609</v>
      </c>
      <c r="D147" s="23" t="s">
        <v>1325</v>
      </c>
      <c r="E147" s="45">
        <v>46132</v>
      </c>
      <c r="F147" s="26" t="s">
        <v>55</v>
      </c>
      <c r="G147" s="26" t="s">
        <v>57</v>
      </c>
      <c r="H147" s="26" t="s">
        <v>57</v>
      </c>
      <c r="I147" s="26" t="s">
        <v>88</v>
      </c>
      <c r="J147" s="26" t="s">
        <v>57</v>
      </c>
      <c r="K147" s="27" t="s">
        <v>89</v>
      </c>
      <c r="L147" s="28" t="s">
        <v>56</v>
      </c>
      <c r="M147" s="29" t="str">
        <f t="shared" si="10"/>
        <v>⚠ Missing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1610</v>
      </c>
      <c r="C148" s="44" t="s">
        <v>1611</v>
      </c>
      <c r="D148" s="42" t="s">
        <v>1325</v>
      </c>
      <c r="E148" s="45">
        <v>46132</v>
      </c>
      <c r="F148" s="26" t="s">
        <v>55</v>
      </c>
      <c r="G148" s="26" t="s">
        <v>57</v>
      </c>
      <c r="H148" s="26" t="s">
        <v>57</v>
      </c>
      <c r="I148" s="26" t="s">
        <v>88</v>
      </c>
      <c r="J148" s="26" t="s">
        <v>57</v>
      </c>
      <c r="K148" s="27" t="s">
        <v>89</v>
      </c>
      <c r="L148" s="28" t="s">
        <v>56</v>
      </c>
      <c r="M148" s="29" t="str">
        <f t="shared" si="10"/>
        <v>⚠ Missing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1612</v>
      </c>
      <c r="C149" s="25" t="s">
        <v>1613</v>
      </c>
      <c r="D149" s="23" t="s">
        <v>1325</v>
      </c>
      <c r="E149" s="45">
        <v>46132</v>
      </c>
      <c r="F149" s="26" t="s">
        <v>55</v>
      </c>
      <c r="G149" s="26" t="s">
        <v>57</v>
      </c>
      <c r="H149" s="26" t="s">
        <v>57</v>
      </c>
      <c r="I149" s="26" t="s">
        <v>88</v>
      </c>
      <c r="J149" s="26" t="s">
        <v>57</v>
      </c>
      <c r="K149" s="27" t="s">
        <v>89</v>
      </c>
      <c r="L149" s="28" t="s">
        <v>56</v>
      </c>
      <c r="M149" s="29" t="str">
        <f t="shared" si="10"/>
        <v>⚠ Missing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1614</v>
      </c>
      <c r="C150" s="44" t="s">
        <v>1615</v>
      </c>
      <c r="D150" s="42" t="s">
        <v>1325</v>
      </c>
      <c r="E150" s="45">
        <v>46132</v>
      </c>
      <c r="F150" s="26" t="s">
        <v>55</v>
      </c>
      <c r="G150" s="26" t="s">
        <v>57</v>
      </c>
      <c r="H150" s="26" t="s">
        <v>57</v>
      </c>
      <c r="I150" s="26" t="s">
        <v>88</v>
      </c>
      <c r="J150" s="26" t="s">
        <v>57</v>
      </c>
      <c r="K150" s="27" t="s">
        <v>89</v>
      </c>
      <c r="L150" s="28" t="s">
        <v>56</v>
      </c>
      <c r="M150" s="29" t="str">
        <f t="shared" si="10"/>
        <v>⚠ Missing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1616</v>
      </c>
      <c r="C151" s="25" t="s">
        <v>1617</v>
      </c>
      <c r="D151" s="23" t="s">
        <v>1325</v>
      </c>
      <c r="E151" s="45">
        <v>46132</v>
      </c>
      <c r="F151" s="26" t="s">
        <v>55</v>
      </c>
      <c r="G151" s="26" t="s">
        <v>57</v>
      </c>
      <c r="H151" s="26" t="s">
        <v>57</v>
      </c>
      <c r="I151" s="26" t="s">
        <v>88</v>
      </c>
      <c r="J151" s="26" t="s">
        <v>57</v>
      </c>
      <c r="K151" s="27" t="s">
        <v>89</v>
      </c>
      <c r="L151" s="28" t="s">
        <v>56</v>
      </c>
      <c r="M151" s="29" t="str">
        <f t="shared" si="10"/>
        <v>⚠ Missing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1618</v>
      </c>
      <c r="C152" s="44" t="s">
        <v>1619</v>
      </c>
      <c r="D152" s="42" t="s">
        <v>1325</v>
      </c>
      <c r="E152" s="45">
        <v>46132</v>
      </c>
      <c r="F152" s="26" t="s">
        <v>55</v>
      </c>
      <c r="G152" s="26" t="s">
        <v>57</v>
      </c>
      <c r="H152" s="26" t="s">
        <v>57</v>
      </c>
      <c r="I152" s="26" t="s">
        <v>88</v>
      </c>
      <c r="J152" s="26" t="s">
        <v>57</v>
      </c>
      <c r="K152" s="27" t="s">
        <v>89</v>
      </c>
      <c r="L152" s="28" t="s">
        <v>56</v>
      </c>
      <c r="M152" s="29" t="str">
        <f t="shared" si="10"/>
        <v>⚠ Missing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1620</v>
      </c>
      <c r="C153" s="25" t="s">
        <v>1621</v>
      </c>
      <c r="D153" s="23" t="s">
        <v>1325</v>
      </c>
      <c r="E153" s="45">
        <v>46132</v>
      </c>
      <c r="F153" s="26" t="s">
        <v>55</v>
      </c>
      <c r="G153" s="26" t="s">
        <v>57</v>
      </c>
      <c r="H153" s="26" t="s">
        <v>57</v>
      </c>
      <c r="I153" s="26" t="s">
        <v>88</v>
      </c>
      <c r="J153" s="26" t="s">
        <v>57</v>
      </c>
      <c r="K153" s="27" t="s">
        <v>89</v>
      </c>
      <c r="L153" s="28" t="s">
        <v>56</v>
      </c>
      <c r="M153" s="29" t="str">
        <f t="shared" si="10"/>
        <v>⚠ Missing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1622</v>
      </c>
      <c r="C154" s="44" t="s">
        <v>1623</v>
      </c>
      <c r="D154" s="42" t="s">
        <v>1325</v>
      </c>
      <c r="E154" s="45">
        <v>46132</v>
      </c>
      <c r="F154" s="26" t="s">
        <v>55</v>
      </c>
      <c r="G154" s="26" t="s">
        <v>57</v>
      </c>
      <c r="H154" s="26" t="s">
        <v>57</v>
      </c>
      <c r="I154" s="26" t="s">
        <v>88</v>
      </c>
      <c r="J154" s="26" t="s">
        <v>57</v>
      </c>
      <c r="K154" s="27" t="s">
        <v>89</v>
      </c>
      <c r="L154" s="28" t="s">
        <v>56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1624</v>
      </c>
      <c r="C155" s="25" t="s">
        <v>1625</v>
      </c>
      <c r="D155" s="23" t="s">
        <v>1325</v>
      </c>
      <c r="E155" s="45">
        <v>46132</v>
      </c>
      <c r="F155" s="26" t="s">
        <v>55</v>
      </c>
      <c r="G155" s="26" t="s">
        <v>57</v>
      </c>
      <c r="H155" s="26" t="s">
        <v>57</v>
      </c>
      <c r="I155" s="26" t="s">
        <v>88</v>
      </c>
      <c r="J155" s="26" t="s">
        <v>57</v>
      </c>
      <c r="K155" s="27" t="s">
        <v>89</v>
      </c>
      <c r="L155" s="28" t="s">
        <v>56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1626</v>
      </c>
      <c r="C156" s="44" t="s">
        <v>1627</v>
      </c>
      <c r="D156" s="42" t="s">
        <v>1325</v>
      </c>
      <c r="E156" s="45">
        <v>46132</v>
      </c>
      <c r="F156" s="26" t="s">
        <v>55</v>
      </c>
      <c r="G156" s="26" t="s">
        <v>57</v>
      </c>
      <c r="H156" s="26" t="s">
        <v>57</v>
      </c>
      <c r="I156" s="26" t="s">
        <v>88</v>
      </c>
      <c r="J156" s="26" t="s">
        <v>57</v>
      </c>
      <c r="K156" s="27" t="s">
        <v>89</v>
      </c>
      <c r="L156" s="28" t="s">
        <v>56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1628</v>
      </c>
      <c r="C157" s="25" t="s">
        <v>1629</v>
      </c>
      <c r="D157" s="23" t="s">
        <v>1325</v>
      </c>
      <c r="E157" s="45">
        <v>46132</v>
      </c>
      <c r="F157" s="26" t="s">
        <v>55</v>
      </c>
      <c r="G157" s="26" t="s">
        <v>57</v>
      </c>
      <c r="H157" s="26" t="s">
        <v>57</v>
      </c>
      <c r="I157" s="26" t="s">
        <v>88</v>
      </c>
      <c r="J157" s="26" t="s">
        <v>57</v>
      </c>
      <c r="K157" s="27" t="s">
        <v>89</v>
      </c>
      <c r="L157" s="28" t="s">
        <v>56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1630</v>
      </c>
      <c r="C158" s="44" t="s">
        <v>1631</v>
      </c>
      <c r="D158" s="42" t="s">
        <v>1325</v>
      </c>
      <c r="E158" s="45">
        <v>46132</v>
      </c>
      <c r="F158" s="26" t="s">
        <v>55</v>
      </c>
      <c r="G158" s="26" t="s">
        <v>57</v>
      </c>
      <c r="H158" s="26" t="s">
        <v>57</v>
      </c>
      <c r="I158" s="26" t="s">
        <v>88</v>
      </c>
      <c r="J158" s="26" t="s">
        <v>57</v>
      </c>
      <c r="K158" s="27" t="s">
        <v>89</v>
      </c>
      <c r="L158" s="28" t="s">
        <v>56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1632</v>
      </c>
      <c r="C159" s="25" t="s">
        <v>1633</v>
      </c>
      <c r="D159" s="23" t="s">
        <v>1325</v>
      </c>
      <c r="E159" s="45">
        <v>46132</v>
      </c>
      <c r="F159" s="26" t="s">
        <v>55</v>
      </c>
      <c r="G159" s="26" t="s">
        <v>57</v>
      </c>
      <c r="H159" s="26" t="s">
        <v>57</v>
      </c>
      <c r="I159" s="26" t="s">
        <v>88</v>
      </c>
      <c r="J159" s="26" t="s">
        <v>57</v>
      </c>
      <c r="K159" s="27" t="s">
        <v>89</v>
      </c>
      <c r="L159" s="28" t="s">
        <v>56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1634</v>
      </c>
      <c r="C160" s="44" t="s">
        <v>1635</v>
      </c>
      <c r="D160" s="42" t="s">
        <v>1325</v>
      </c>
      <c r="E160" s="45">
        <v>46132</v>
      </c>
      <c r="F160" s="26" t="s">
        <v>55</v>
      </c>
      <c r="G160" s="26" t="s">
        <v>57</v>
      </c>
      <c r="H160" s="26" t="s">
        <v>57</v>
      </c>
      <c r="I160" s="26" t="s">
        <v>88</v>
      </c>
      <c r="J160" s="26" t="s">
        <v>57</v>
      </c>
      <c r="K160" s="27" t="s">
        <v>89</v>
      </c>
      <c r="L160" s="28" t="s">
        <v>56</v>
      </c>
      <c r="M160" s="29" t="str">
        <f t="shared" si="10"/>
        <v>⚠ Missing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1636</v>
      </c>
      <c r="C161" s="25" t="s">
        <v>1637</v>
      </c>
      <c r="D161" s="23" t="s">
        <v>1325</v>
      </c>
      <c r="E161" s="45">
        <v>46132</v>
      </c>
      <c r="F161" s="26" t="s">
        <v>55</v>
      </c>
      <c r="G161" s="26" t="s">
        <v>57</v>
      </c>
      <c r="H161" s="26" t="s">
        <v>57</v>
      </c>
      <c r="I161" s="26" t="s">
        <v>88</v>
      </c>
      <c r="J161" s="26" t="s">
        <v>57</v>
      </c>
      <c r="K161" s="27" t="s">
        <v>89</v>
      </c>
      <c r="L161" s="28" t="s">
        <v>56</v>
      </c>
      <c r="M161" s="29" t="str">
        <f t="shared" si="10"/>
        <v>⚠ Missing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1638</v>
      </c>
      <c r="C162" s="44" t="s">
        <v>1639</v>
      </c>
      <c r="D162" s="42" t="s">
        <v>1325</v>
      </c>
      <c r="E162" s="45">
        <v>46132</v>
      </c>
      <c r="F162" s="26" t="s">
        <v>55</v>
      </c>
      <c r="G162" s="26" t="s">
        <v>57</v>
      </c>
      <c r="H162" s="26" t="s">
        <v>57</v>
      </c>
      <c r="I162" s="26" t="s">
        <v>88</v>
      </c>
      <c r="J162" s="26" t="s">
        <v>57</v>
      </c>
      <c r="K162" s="27" t="s">
        <v>89</v>
      </c>
      <c r="L162" s="28" t="s">
        <v>56</v>
      </c>
      <c r="M162" s="29" t="str">
        <f t="shared" si="10"/>
        <v>⚠ Missing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1640</v>
      </c>
      <c r="C163" s="25" t="s">
        <v>1641</v>
      </c>
      <c r="D163" s="23" t="s">
        <v>1325</v>
      </c>
      <c r="E163" s="45">
        <v>46132</v>
      </c>
      <c r="F163" s="26" t="s">
        <v>55</v>
      </c>
      <c r="G163" s="26" t="s">
        <v>57</v>
      </c>
      <c r="H163" s="26" t="s">
        <v>57</v>
      </c>
      <c r="I163" s="26" t="s">
        <v>88</v>
      </c>
      <c r="J163" s="26" t="s">
        <v>57</v>
      </c>
      <c r="K163" s="27" t="s">
        <v>89</v>
      </c>
      <c r="L163" s="28" t="s">
        <v>56</v>
      </c>
      <c r="M163" s="29" t="str">
        <f t="shared" si="10"/>
        <v>⚠ Missing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1642</v>
      </c>
      <c r="C164" s="44" t="s">
        <v>1643</v>
      </c>
      <c r="D164" s="42" t="s">
        <v>1325</v>
      </c>
      <c r="E164" s="45">
        <v>46132</v>
      </c>
      <c r="F164" s="26" t="s">
        <v>55</v>
      </c>
      <c r="G164" s="26" t="s">
        <v>57</v>
      </c>
      <c r="H164" s="26" t="s">
        <v>57</v>
      </c>
      <c r="I164" s="26" t="s">
        <v>88</v>
      </c>
      <c r="J164" s="26" t="s">
        <v>57</v>
      </c>
      <c r="K164" s="27" t="s">
        <v>89</v>
      </c>
      <c r="L164" s="28" t="s">
        <v>56</v>
      </c>
      <c r="M164" s="29" t="str">
        <f t="shared" si="10"/>
        <v>⚠ Missing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1644</v>
      </c>
      <c r="C165" s="25" t="s">
        <v>1645</v>
      </c>
      <c r="D165" s="23" t="s">
        <v>1325</v>
      </c>
      <c r="E165" s="45">
        <v>46132</v>
      </c>
      <c r="F165" s="26" t="s">
        <v>55</v>
      </c>
      <c r="G165" s="26" t="s">
        <v>57</v>
      </c>
      <c r="H165" s="26" t="s">
        <v>57</v>
      </c>
      <c r="I165" s="26" t="s">
        <v>88</v>
      </c>
      <c r="J165" s="26" t="s">
        <v>57</v>
      </c>
      <c r="K165" s="27" t="s">
        <v>89</v>
      </c>
      <c r="L165" s="28" t="s">
        <v>56</v>
      </c>
      <c r="M165" s="29" t="str">
        <f t="shared" si="10"/>
        <v>⚠ Missing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1646</v>
      </c>
      <c r="C166" s="44" t="s">
        <v>1647</v>
      </c>
      <c r="D166" s="42" t="s">
        <v>1325</v>
      </c>
      <c r="E166" s="45">
        <v>46132</v>
      </c>
      <c r="F166" s="26" t="s">
        <v>55</v>
      </c>
      <c r="G166" s="26" t="s">
        <v>57</v>
      </c>
      <c r="H166" s="26" t="s">
        <v>57</v>
      </c>
      <c r="I166" s="26" t="s">
        <v>88</v>
      </c>
      <c r="J166" s="26" t="s">
        <v>57</v>
      </c>
      <c r="K166" s="27" t="s">
        <v>89</v>
      </c>
      <c r="L166" s="28" t="s">
        <v>56</v>
      </c>
      <c r="M166" s="29" t="str">
        <f t="shared" si="10"/>
        <v>⚠ Missing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1648</v>
      </c>
      <c r="C167" s="25" t="s">
        <v>1649</v>
      </c>
      <c r="D167" s="23" t="s">
        <v>1325</v>
      </c>
      <c r="E167" s="45">
        <v>46132</v>
      </c>
      <c r="F167" s="26" t="s">
        <v>55</v>
      </c>
      <c r="G167" s="26" t="s">
        <v>57</v>
      </c>
      <c r="H167" s="26" t="s">
        <v>57</v>
      </c>
      <c r="I167" s="26" t="s">
        <v>88</v>
      </c>
      <c r="J167" s="26" t="s">
        <v>57</v>
      </c>
      <c r="K167" s="27" t="s">
        <v>89</v>
      </c>
      <c r="L167" s="28" t="s">
        <v>56</v>
      </c>
      <c r="M167" s="29" t="str">
        <f t="shared" si="10"/>
        <v>⚠ Missing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1650</v>
      </c>
      <c r="C168" s="44" t="s">
        <v>1651</v>
      </c>
      <c r="D168" s="42" t="s">
        <v>1325</v>
      </c>
      <c r="E168" s="45">
        <v>46132</v>
      </c>
      <c r="F168" s="26" t="s">
        <v>55</v>
      </c>
      <c r="G168" s="26" t="s">
        <v>57</v>
      </c>
      <c r="H168" s="26" t="s">
        <v>57</v>
      </c>
      <c r="I168" s="26" t="s">
        <v>88</v>
      </c>
      <c r="J168" s="26" t="s">
        <v>57</v>
      </c>
      <c r="K168" s="27" t="s">
        <v>89</v>
      </c>
      <c r="L168" s="28" t="s">
        <v>56</v>
      </c>
      <c r="M168" s="29" t="str">
        <f t="shared" si="10"/>
        <v>⚠ Missing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1652</v>
      </c>
      <c r="C169" s="25" t="s">
        <v>1653</v>
      </c>
      <c r="D169" s="23" t="s">
        <v>1325</v>
      </c>
      <c r="E169" s="45">
        <v>46132</v>
      </c>
      <c r="F169" s="26" t="s">
        <v>55</v>
      </c>
      <c r="G169" s="26" t="s">
        <v>57</v>
      </c>
      <c r="H169" s="26" t="s">
        <v>57</v>
      </c>
      <c r="I169" s="26" t="s">
        <v>88</v>
      </c>
      <c r="J169" s="26" t="s">
        <v>57</v>
      </c>
      <c r="K169" s="27" t="s">
        <v>89</v>
      </c>
      <c r="L169" s="28" t="s">
        <v>56</v>
      </c>
      <c r="M169" s="29" t="str">
        <f t="shared" si="10"/>
        <v>⚠ Missing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1654</v>
      </c>
      <c r="C170" s="44" t="s">
        <v>1655</v>
      </c>
      <c r="D170" s="42" t="s">
        <v>1325</v>
      </c>
      <c r="E170" s="45">
        <v>46132</v>
      </c>
      <c r="F170" s="26" t="s">
        <v>55</v>
      </c>
      <c r="G170" s="26" t="s">
        <v>57</v>
      </c>
      <c r="H170" s="26" t="s">
        <v>57</v>
      </c>
      <c r="I170" s="26" t="s">
        <v>88</v>
      </c>
      <c r="J170" s="26" t="s">
        <v>57</v>
      </c>
      <c r="K170" s="27" t="s">
        <v>89</v>
      </c>
      <c r="L170" s="28" t="s">
        <v>56</v>
      </c>
      <c r="M170" s="29" t="str">
        <f t="shared" si="10"/>
        <v>⚠ Missing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1656</v>
      </c>
      <c r="C171" s="25" t="s">
        <v>1657</v>
      </c>
      <c r="D171" s="23" t="s">
        <v>1325</v>
      </c>
      <c r="E171" s="45">
        <v>46132</v>
      </c>
      <c r="F171" s="26" t="s">
        <v>55</v>
      </c>
      <c r="G171" s="26" t="s">
        <v>57</v>
      </c>
      <c r="H171" s="26" t="s">
        <v>57</v>
      </c>
      <c r="I171" s="26" t="s">
        <v>88</v>
      </c>
      <c r="J171" s="26" t="s">
        <v>57</v>
      </c>
      <c r="K171" s="27" t="s">
        <v>89</v>
      </c>
      <c r="L171" s="28" t="s">
        <v>56</v>
      </c>
      <c r="M171" s="29" t="str">
        <f t="shared" si="10"/>
        <v>⚠ Missing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1658</v>
      </c>
      <c r="C172" s="44" t="s">
        <v>1659</v>
      </c>
      <c r="D172" s="42" t="s">
        <v>1325</v>
      </c>
      <c r="E172" s="45">
        <v>46132</v>
      </c>
      <c r="F172" s="26" t="s">
        <v>55</v>
      </c>
      <c r="G172" s="26" t="s">
        <v>57</v>
      </c>
      <c r="H172" s="26" t="s">
        <v>57</v>
      </c>
      <c r="I172" s="26" t="s">
        <v>88</v>
      </c>
      <c r="J172" s="26" t="s">
        <v>57</v>
      </c>
      <c r="K172" s="27" t="s">
        <v>89</v>
      </c>
      <c r="L172" s="28" t="s">
        <v>56</v>
      </c>
      <c r="M172" s="29" t="str">
        <f t="shared" si="10"/>
        <v>⚠ Missing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1660</v>
      </c>
      <c r="C173" s="25" t="s">
        <v>1661</v>
      </c>
      <c r="D173" s="23" t="s">
        <v>1325</v>
      </c>
      <c r="E173" s="45">
        <v>46132</v>
      </c>
      <c r="F173" s="26" t="s">
        <v>55</v>
      </c>
      <c r="G173" s="26" t="s">
        <v>57</v>
      </c>
      <c r="H173" s="26" t="s">
        <v>57</v>
      </c>
      <c r="I173" s="26" t="s">
        <v>88</v>
      </c>
      <c r="J173" s="26" t="s">
        <v>57</v>
      </c>
      <c r="K173" s="27" t="s">
        <v>89</v>
      </c>
      <c r="L173" s="28" t="s">
        <v>56</v>
      </c>
      <c r="M173" s="29" t="str">
        <f t="shared" si="10"/>
        <v>⚠ Missing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1662</v>
      </c>
      <c r="C174" s="44" t="s">
        <v>1663</v>
      </c>
      <c r="D174" s="42" t="s">
        <v>1325</v>
      </c>
      <c r="E174" s="45">
        <v>46132</v>
      </c>
      <c r="F174" s="26" t="s">
        <v>55</v>
      </c>
      <c r="G174" s="26" t="s">
        <v>57</v>
      </c>
      <c r="H174" s="26" t="s">
        <v>57</v>
      </c>
      <c r="I174" s="26" t="s">
        <v>88</v>
      </c>
      <c r="J174" s="26" t="s">
        <v>57</v>
      </c>
      <c r="K174" s="27" t="s">
        <v>89</v>
      </c>
      <c r="L174" s="28" t="s">
        <v>56</v>
      </c>
      <c r="M174" s="29" t="str">
        <f t="shared" si="10"/>
        <v>⚠ Missing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1664</v>
      </c>
      <c r="C175" s="25" t="s">
        <v>1665</v>
      </c>
      <c r="D175" s="23" t="s">
        <v>1325</v>
      </c>
      <c r="E175" s="45">
        <v>46132</v>
      </c>
      <c r="F175" s="26" t="s">
        <v>55</v>
      </c>
      <c r="G175" s="26" t="s">
        <v>57</v>
      </c>
      <c r="H175" s="26" t="s">
        <v>57</v>
      </c>
      <c r="I175" s="26" t="s">
        <v>88</v>
      </c>
      <c r="J175" s="26" t="s">
        <v>57</v>
      </c>
      <c r="K175" s="27" t="s">
        <v>89</v>
      </c>
      <c r="L175" s="28" t="s">
        <v>56</v>
      </c>
      <c r="M175" s="29" t="str">
        <f t="shared" si="10"/>
        <v>⚠ Missing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1666</v>
      </c>
      <c r="C176" s="44" t="s">
        <v>1667</v>
      </c>
      <c r="D176" s="42" t="s">
        <v>1325</v>
      </c>
      <c r="E176" s="45">
        <v>46132</v>
      </c>
      <c r="F176" s="26" t="s">
        <v>55</v>
      </c>
      <c r="G176" s="26" t="s">
        <v>57</v>
      </c>
      <c r="H176" s="26" t="s">
        <v>57</v>
      </c>
      <c r="I176" s="26" t="s">
        <v>88</v>
      </c>
      <c r="J176" s="26" t="s">
        <v>57</v>
      </c>
      <c r="K176" s="27" t="s">
        <v>89</v>
      </c>
      <c r="L176" s="28" t="s">
        <v>56</v>
      </c>
      <c r="M176" s="29" t="str">
        <f t="shared" si="10"/>
        <v>⚠ Missing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1668</v>
      </c>
      <c r="C177" s="25" t="s">
        <v>1669</v>
      </c>
      <c r="D177" s="23" t="s">
        <v>1325</v>
      </c>
      <c r="E177" s="45">
        <v>46132</v>
      </c>
      <c r="F177" s="26" t="s">
        <v>55</v>
      </c>
      <c r="G177" s="26" t="s">
        <v>57</v>
      </c>
      <c r="H177" s="26" t="s">
        <v>57</v>
      </c>
      <c r="I177" s="26" t="s">
        <v>88</v>
      </c>
      <c r="J177" s="26" t="s">
        <v>57</v>
      </c>
      <c r="K177" s="27" t="s">
        <v>89</v>
      </c>
      <c r="L177" s="28" t="s">
        <v>56</v>
      </c>
      <c r="M177" s="29" t="str">
        <f t="shared" si="10"/>
        <v>⚠ Missing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1670</v>
      </c>
      <c r="C178" s="44" t="s">
        <v>1671</v>
      </c>
      <c r="D178" s="42" t="s">
        <v>1325</v>
      </c>
      <c r="E178" s="45">
        <v>46132</v>
      </c>
      <c r="F178" s="26" t="s">
        <v>55</v>
      </c>
      <c r="G178" s="26" t="s">
        <v>57</v>
      </c>
      <c r="H178" s="26" t="s">
        <v>57</v>
      </c>
      <c r="I178" s="26" t="s">
        <v>88</v>
      </c>
      <c r="J178" s="26" t="s">
        <v>57</v>
      </c>
      <c r="K178" s="27" t="s">
        <v>89</v>
      </c>
      <c r="L178" s="28" t="s">
        <v>56</v>
      </c>
      <c r="M178" s="29" t="str">
        <f t="shared" si="10"/>
        <v>⚠ Missing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1672</v>
      </c>
      <c r="C179" s="25" t="s">
        <v>1673</v>
      </c>
      <c r="D179" s="23" t="s">
        <v>1325</v>
      </c>
      <c r="E179" s="45">
        <v>46132</v>
      </c>
      <c r="F179" s="26" t="s">
        <v>55</v>
      </c>
      <c r="G179" s="26" t="s">
        <v>57</v>
      </c>
      <c r="H179" s="26" t="s">
        <v>57</v>
      </c>
      <c r="I179" s="26" t="s">
        <v>88</v>
      </c>
      <c r="J179" s="26" t="s">
        <v>57</v>
      </c>
      <c r="K179" s="27" t="s">
        <v>89</v>
      </c>
      <c r="L179" s="28" t="s">
        <v>56</v>
      </c>
      <c r="M179" s="29" t="str">
        <f t="shared" si="10"/>
        <v>⚠ Missing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1674</v>
      </c>
      <c r="C180" s="44" t="s">
        <v>1675</v>
      </c>
      <c r="D180" s="42" t="s">
        <v>1325</v>
      </c>
      <c r="E180" s="45">
        <v>46132</v>
      </c>
      <c r="F180" s="26" t="s">
        <v>55</v>
      </c>
      <c r="G180" s="26" t="s">
        <v>57</v>
      </c>
      <c r="H180" s="26" t="s">
        <v>57</v>
      </c>
      <c r="I180" s="26" t="s">
        <v>88</v>
      </c>
      <c r="J180" s="26" t="s">
        <v>57</v>
      </c>
      <c r="K180" s="27" t="s">
        <v>89</v>
      </c>
      <c r="L180" s="28" t="s">
        <v>56</v>
      </c>
      <c r="M180" s="29" t="str">
        <f t="shared" si="10"/>
        <v>⚠ Missing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1676</v>
      </c>
      <c r="C181" s="25" t="s">
        <v>1677</v>
      </c>
      <c r="D181" s="23" t="s">
        <v>1325</v>
      </c>
      <c r="E181" s="45">
        <v>46132</v>
      </c>
      <c r="F181" s="26" t="s">
        <v>55</v>
      </c>
      <c r="G181" s="26" t="s">
        <v>57</v>
      </c>
      <c r="H181" s="26" t="s">
        <v>57</v>
      </c>
      <c r="I181" s="26" t="s">
        <v>88</v>
      </c>
      <c r="J181" s="26" t="s">
        <v>57</v>
      </c>
      <c r="K181" s="27" t="s">
        <v>89</v>
      </c>
      <c r="L181" s="28" t="s">
        <v>56</v>
      </c>
      <c r="M181" s="29" t="str">
        <f t="shared" si="10"/>
        <v>⚠ Missing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1678</v>
      </c>
      <c r="C182" s="44" t="s">
        <v>1679</v>
      </c>
      <c r="D182" s="42" t="s">
        <v>1325</v>
      </c>
      <c r="E182" s="45">
        <v>46132</v>
      </c>
      <c r="F182" s="26" t="s">
        <v>55</v>
      </c>
      <c r="G182" s="26" t="s">
        <v>57</v>
      </c>
      <c r="H182" s="26" t="s">
        <v>57</v>
      </c>
      <c r="I182" s="26" t="s">
        <v>88</v>
      </c>
      <c r="J182" s="26" t="s">
        <v>57</v>
      </c>
      <c r="K182" s="27" t="s">
        <v>89</v>
      </c>
      <c r="L182" s="28" t="s">
        <v>56</v>
      </c>
      <c r="M182" s="29" t="str">
        <f t="shared" si="10"/>
        <v>⚠ Missing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1680</v>
      </c>
      <c r="C183" s="25" t="s">
        <v>1681</v>
      </c>
      <c r="D183" s="23" t="s">
        <v>1325</v>
      </c>
      <c r="E183" s="45">
        <v>46132</v>
      </c>
      <c r="F183" s="26" t="s">
        <v>55</v>
      </c>
      <c r="G183" s="26" t="s">
        <v>57</v>
      </c>
      <c r="H183" s="26" t="s">
        <v>57</v>
      </c>
      <c r="I183" s="26" t="s">
        <v>88</v>
      </c>
      <c r="J183" s="26" t="s">
        <v>57</v>
      </c>
      <c r="K183" s="27" t="s">
        <v>89</v>
      </c>
      <c r="L183" s="28" t="s">
        <v>56</v>
      </c>
      <c r="M183" s="29" t="str">
        <f t="shared" si="10"/>
        <v>⚠ Missing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1682</v>
      </c>
      <c r="C184" s="44" t="s">
        <v>1683</v>
      </c>
      <c r="D184" s="42" t="s">
        <v>1325</v>
      </c>
      <c r="E184" s="45">
        <v>46132</v>
      </c>
      <c r="F184" s="26" t="s">
        <v>55</v>
      </c>
      <c r="G184" s="26" t="s">
        <v>57</v>
      </c>
      <c r="H184" s="26" t="s">
        <v>57</v>
      </c>
      <c r="I184" s="26" t="s">
        <v>88</v>
      </c>
      <c r="J184" s="26" t="s">
        <v>57</v>
      </c>
      <c r="K184" s="27" t="s">
        <v>89</v>
      </c>
      <c r="L184" s="28" t="s">
        <v>56</v>
      </c>
      <c r="M184" s="29" t="str">
        <f t="shared" si="10"/>
        <v>⚠ Missing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1684</v>
      </c>
      <c r="C185" s="25" t="s">
        <v>1685</v>
      </c>
      <c r="D185" s="23" t="s">
        <v>1325</v>
      </c>
      <c r="E185" s="45">
        <v>46132</v>
      </c>
      <c r="F185" s="26" t="s">
        <v>55</v>
      </c>
      <c r="G185" s="26" t="s">
        <v>57</v>
      </c>
      <c r="H185" s="26" t="s">
        <v>57</v>
      </c>
      <c r="I185" s="26" t="s">
        <v>88</v>
      </c>
      <c r="J185" s="26" t="s">
        <v>57</v>
      </c>
      <c r="K185" s="27" t="s">
        <v>89</v>
      </c>
      <c r="L185" s="28" t="s">
        <v>56</v>
      </c>
      <c r="M185" s="29" t="str">
        <f t="shared" si="10"/>
        <v>⚠ Missing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1686</v>
      </c>
      <c r="C186" s="44" t="s">
        <v>1687</v>
      </c>
      <c r="D186" s="42" t="s">
        <v>1325</v>
      </c>
      <c r="E186" s="45">
        <v>46132</v>
      </c>
      <c r="F186" s="26" t="s">
        <v>55</v>
      </c>
      <c r="G186" s="26" t="s">
        <v>57</v>
      </c>
      <c r="H186" s="26" t="s">
        <v>57</v>
      </c>
      <c r="I186" s="26" t="s">
        <v>88</v>
      </c>
      <c r="J186" s="26" t="s">
        <v>57</v>
      </c>
      <c r="K186" s="27" t="s">
        <v>89</v>
      </c>
      <c r="L186" s="28" t="s">
        <v>56</v>
      </c>
      <c r="M186" s="29" t="str">
        <f t="shared" si="10"/>
        <v>⚠ Missing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1688</v>
      </c>
      <c r="C187" s="25" t="s">
        <v>1689</v>
      </c>
      <c r="D187" s="23" t="s">
        <v>1325</v>
      </c>
      <c r="E187" s="45">
        <v>46132</v>
      </c>
      <c r="F187" s="26" t="s">
        <v>55</v>
      </c>
      <c r="G187" s="26" t="s">
        <v>57</v>
      </c>
      <c r="H187" s="26" t="s">
        <v>57</v>
      </c>
      <c r="I187" s="26" t="s">
        <v>88</v>
      </c>
      <c r="J187" s="26" t="s">
        <v>57</v>
      </c>
      <c r="K187" s="27" t="s">
        <v>89</v>
      </c>
      <c r="L187" s="28" t="s">
        <v>56</v>
      </c>
      <c r="M187" s="29" t="str">
        <f t="shared" si="10"/>
        <v>⚠ Missing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1690</v>
      </c>
      <c r="C188" s="44" t="s">
        <v>1691</v>
      </c>
      <c r="D188" s="42" t="s">
        <v>1325</v>
      </c>
      <c r="E188" s="45">
        <v>46132</v>
      </c>
      <c r="F188" s="26" t="s">
        <v>55</v>
      </c>
      <c r="G188" s="26" t="s">
        <v>57</v>
      </c>
      <c r="H188" s="26" t="s">
        <v>57</v>
      </c>
      <c r="I188" s="26" t="s">
        <v>88</v>
      </c>
      <c r="J188" s="26" t="s">
        <v>57</v>
      </c>
      <c r="K188" s="27" t="s">
        <v>89</v>
      </c>
      <c r="L188" s="28" t="s">
        <v>56</v>
      </c>
      <c r="M188" s="29" t="str">
        <f t="shared" si="10"/>
        <v>⚠ Missing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1692</v>
      </c>
      <c r="C189" s="25" t="s">
        <v>1693</v>
      </c>
      <c r="D189" s="23" t="s">
        <v>1325</v>
      </c>
      <c r="E189" s="45">
        <v>46132</v>
      </c>
      <c r="F189" s="26" t="s">
        <v>55</v>
      </c>
      <c r="G189" s="26" t="s">
        <v>57</v>
      </c>
      <c r="H189" s="26" t="s">
        <v>57</v>
      </c>
      <c r="I189" s="26" t="s">
        <v>88</v>
      </c>
      <c r="J189" s="26" t="s">
        <v>57</v>
      </c>
      <c r="K189" s="27" t="s">
        <v>89</v>
      </c>
      <c r="L189" s="28" t="s">
        <v>56</v>
      </c>
      <c r="M189" s="29" t="str">
        <f t="shared" si="10"/>
        <v>⚠ Missing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1694</v>
      </c>
      <c r="C190" s="44" t="s">
        <v>1695</v>
      </c>
      <c r="D190" s="42" t="s">
        <v>1325</v>
      </c>
      <c r="E190" s="45">
        <v>46132</v>
      </c>
      <c r="F190" s="26" t="s">
        <v>55</v>
      </c>
      <c r="G190" s="26" t="s">
        <v>57</v>
      </c>
      <c r="H190" s="26" t="s">
        <v>57</v>
      </c>
      <c r="I190" s="26" t="s">
        <v>88</v>
      </c>
      <c r="J190" s="26" t="s">
        <v>57</v>
      </c>
      <c r="K190" s="27" t="s">
        <v>89</v>
      </c>
      <c r="L190" s="28" t="s">
        <v>56</v>
      </c>
      <c r="M190" s="29" t="str">
        <f t="shared" si="10"/>
        <v>⚠ Missing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1696</v>
      </c>
      <c r="C191" s="25" t="s">
        <v>1697</v>
      </c>
      <c r="D191" s="23" t="s">
        <v>1325</v>
      </c>
      <c r="E191" s="45">
        <v>46132</v>
      </c>
      <c r="F191" s="26" t="s">
        <v>55</v>
      </c>
      <c r="G191" s="26" t="s">
        <v>57</v>
      </c>
      <c r="H191" s="26" t="s">
        <v>57</v>
      </c>
      <c r="I191" s="26" t="s">
        <v>88</v>
      </c>
      <c r="J191" s="26" t="s">
        <v>57</v>
      </c>
      <c r="K191" s="27" t="s">
        <v>89</v>
      </c>
      <c r="L191" s="28" t="s">
        <v>56</v>
      </c>
      <c r="M191" s="29" t="str">
        <f t="shared" si="10"/>
        <v>⚠ Missing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1698</v>
      </c>
      <c r="C192" s="44" t="s">
        <v>1699</v>
      </c>
      <c r="D192" s="42" t="s">
        <v>1325</v>
      </c>
      <c r="E192" s="45">
        <v>46132</v>
      </c>
      <c r="F192" s="26" t="s">
        <v>55</v>
      </c>
      <c r="G192" s="26" t="s">
        <v>57</v>
      </c>
      <c r="H192" s="26" t="s">
        <v>57</v>
      </c>
      <c r="I192" s="26" t="s">
        <v>88</v>
      </c>
      <c r="J192" s="26" t="s">
        <v>57</v>
      </c>
      <c r="K192" s="27" t="s">
        <v>89</v>
      </c>
      <c r="L192" s="28" t="s">
        <v>56</v>
      </c>
      <c r="M192" s="29" t="str">
        <f t="shared" si="10"/>
        <v>⚠ Missing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1700</v>
      </c>
      <c r="C193" s="25" t="s">
        <v>1701</v>
      </c>
      <c r="D193" s="23" t="s">
        <v>1325</v>
      </c>
      <c r="E193" s="45">
        <v>46132</v>
      </c>
      <c r="F193" s="26" t="s">
        <v>55</v>
      </c>
      <c r="G193" s="26" t="s">
        <v>57</v>
      </c>
      <c r="H193" s="26" t="s">
        <v>57</v>
      </c>
      <c r="I193" s="26" t="s">
        <v>88</v>
      </c>
      <c r="J193" s="26" t="s">
        <v>57</v>
      </c>
      <c r="K193" s="27" t="s">
        <v>89</v>
      </c>
      <c r="L193" s="28" t="s">
        <v>56</v>
      </c>
      <c r="M193" s="29" t="str">
        <f t="shared" si="10"/>
        <v>⚠ Missing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1702</v>
      </c>
      <c r="C194" s="44" t="s">
        <v>1703</v>
      </c>
      <c r="D194" s="42" t="s">
        <v>1325</v>
      </c>
      <c r="E194" s="45">
        <v>46132</v>
      </c>
      <c r="F194" s="26" t="s">
        <v>55</v>
      </c>
      <c r="G194" s="26" t="s">
        <v>57</v>
      </c>
      <c r="H194" s="26" t="s">
        <v>57</v>
      </c>
      <c r="I194" s="26" t="s">
        <v>88</v>
      </c>
      <c r="J194" s="26" t="s">
        <v>57</v>
      </c>
      <c r="K194" s="27" t="s">
        <v>89</v>
      </c>
      <c r="L194" s="28" t="s">
        <v>56</v>
      </c>
      <c r="M194" s="29" t="str">
        <f t="shared" si="10"/>
        <v>⚠ Missing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1704</v>
      </c>
      <c r="C195" s="25" t="s">
        <v>1705</v>
      </c>
      <c r="D195" s="23" t="s">
        <v>1325</v>
      </c>
      <c r="E195" s="45">
        <v>46132</v>
      </c>
      <c r="F195" s="26" t="s">
        <v>55</v>
      </c>
      <c r="G195" s="26" t="s">
        <v>57</v>
      </c>
      <c r="H195" s="26" t="s">
        <v>57</v>
      </c>
      <c r="I195" s="26" t="s">
        <v>88</v>
      </c>
      <c r="J195" s="26" t="s">
        <v>57</v>
      </c>
      <c r="K195" s="27" t="s">
        <v>89</v>
      </c>
      <c r="L195" s="28" t="s">
        <v>56</v>
      </c>
      <c r="M195" s="29" t="str">
        <f t="shared" si="10"/>
        <v>⚠ Missing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1706</v>
      </c>
      <c r="C196" s="44" t="s">
        <v>1707</v>
      </c>
      <c r="D196" s="42" t="s">
        <v>1325</v>
      </c>
      <c r="E196" s="45">
        <v>46132</v>
      </c>
      <c r="F196" s="26" t="s">
        <v>55</v>
      </c>
      <c r="G196" s="26" t="s">
        <v>57</v>
      </c>
      <c r="H196" s="26" t="s">
        <v>57</v>
      </c>
      <c r="I196" s="26" t="s">
        <v>88</v>
      </c>
      <c r="J196" s="26" t="s">
        <v>57</v>
      </c>
      <c r="K196" s="27" t="s">
        <v>89</v>
      </c>
      <c r="L196" s="28" t="s">
        <v>56</v>
      </c>
      <c r="M196" s="29" t="str">
        <f t="shared" si="10"/>
        <v>⚠ Missing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1708</v>
      </c>
      <c r="C197" s="25" t="s">
        <v>1709</v>
      </c>
      <c r="D197" s="23" t="s">
        <v>1325</v>
      </c>
      <c r="E197" s="45">
        <v>46132</v>
      </c>
      <c r="F197" s="26" t="s">
        <v>55</v>
      </c>
      <c r="G197" s="26" t="s">
        <v>57</v>
      </c>
      <c r="H197" s="26" t="s">
        <v>57</v>
      </c>
      <c r="I197" s="26" t="s">
        <v>88</v>
      </c>
      <c r="J197" s="26" t="s">
        <v>57</v>
      </c>
      <c r="K197" s="27" t="s">
        <v>89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Missing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1710</v>
      </c>
      <c r="C198" s="44" t="s">
        <v>1711</v>
      </c>
      <c r="D198" s="42" t="s">
        <v>1325</v>
      </c>
      <c r="E198" s="45">
        <v>46132</v>
      </c>
      <c r="F198" s="26" t="s">
        <v>55</v>
      </c>
      <c r="G198" s="26" t="s">
        <v>57</v>
      </c>
      <c r="H198" s="26" t="s">
        <v>57</v>
      </c>
      <c r="I198" s="26" t="s">
        <v>88</v>
      </c>
      <c r="J198" s="26" t="s">
        <v>57</v>
      </c>
      <c r="K198" s="27" t="s">
        <v>89</v>
      </c>
      <c r="L198" s="28" t="s">
        <v>56</v>
      </c>
      <c r="M198" s="29" t="str">
        <f t="shared" si="15"/>
        <v>⚠ Missing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1712</v>
      </c>
      <c r="C199" s="25" t="s">
        <v>1713</v>
      </c>
      <c r="D199" s="23" t="s">
        <v>1325</v>
      </c>
      <c r="E199" s="45">
        <v>46132</v>
      </c>
      <c r="F199" s="26" t="s">
        <v>55</v>
      </c>
      <c r="G199" s="26" t="s">
        <v>57</v>
      </c>
      <c r="H199" s="26" t="s">
        <v>57</v>
      </c>
      <c r="I199" s="26" t="s">
        <v>88</v>
      </c>
      <c r="J199" s="26" t="s">
        <v>57</v>
      </c>
      <c r="K199" s="27" t="s">
        <v>89</v>
      </c>
      <c r="L199" s="28" t="s">
        <v>56</v>
      </c>
      <c r="M199" s="29" t="str">
        <f t="shared" si="15"/>
        <v>⚠ Missing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1714</v>
      </c>
      <c r="C200" s="44" t="s">
        <v>1715</v>
      </c>
      <c r="D200" s="42" t="s">
        <v>1325</v>
      </c>
      <c r="E200" s="45">
        <v>46132</v>
      </c>
      <c r="F200" s="26" t="s">
        <v>55</v>
      </c>
      <c r="G200" s="26" t="s">
        <v>57</v>
      </c>
      <c r="H200" s="26" t="s">
        <v>57</v>
      </c>
      <c r="I200" s="26" t="s">
        <v>88</v>
      </c>
      <c r="J200" s="26" t="s">
        <v>57</v>
      </c>
      <c r="K200" s="27" t="s">
        <v>89</v>
      </c>
      <c r="L200" s="28" t="s">
        <v>56</v>
      </c>
      <c r="M200" s="29" t="str">
        <f t="shared" si="15"/>
        <v>⚠ Missing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1716</v>
      </c>
      <c r="C201" s="25" t="s">
        <v>1717</v>
      </c>
      <c r="D201" s="23" t="s">
        <v>1325</v>
      </c>
      <c r="E201" s="45">
        <v>46132</v>
      </c>
      <c r="F201" s="26" t="s">
        <v>55</v>
      </c>
      <c r="G201" s="26" t="s">
        <v>57</v>
      </c>
      <c r="H201" s="26" t="s">
        <v>57</v>
      </c>
      <c r="I201" s="26" t="s">
        <v>88</v>
      </c>
      <c r="J201" s="26" t="s">
        <v>57</v>
      </c>
      <c r="K201" s="27" t="s">
        <v>89</v>
      </c>
      <c r="L201" s="28" t="s">
        <v>56</v>
      </c>
      <c r="M201" s="29" t="str">
        <f t="shared" si="15"/>
        <v>⚠ Missing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1718</v>
      </c>
      <c r="C202" s="44" t="s">
        <v>1719</v>
      </c>
      <c r="D202" s="42" t="s">
        <v>1325</v>
      </c>
      <c r="E202" s="45">
        <v>46132</v>
      </c>
      <c r="F202" s="26" t="s">
        <v>55</v>
      </c>
      <c r="G202" s="26" t="s">
        <v>57</v>
      </c>
      <c r="H202" s="26" t="s">
        <v>57</v>
      </c>
      <c r="I202" s="26" t="s">
        <v>88</v>
      </c>
      <c r="J202" s="26" t="s">
        <v>57</v>
      </c>
      <c r="K202" s="27" t="s">
        <v>89</v>
      </c>
      <c r="L202" s="28" t="s">
        <v>56</v>
      </c>
      <c r="M202" s="29" t="str">
        <f t="shared" si="15"/>
        <v>⚠ Missing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1720</v>
      </c>
      <c r="C203" s="25" t="s">
        <v>1721</v>
      </c>
      <c r="D203" s="23" t="s">
        <v>1325</v>
      </c>
      <c r="E203" s="45">
        <v>46132</v>
      </c>
      <c r="F203" s="26" t="s">
        <v>55</v>
      </c>
      <c r="G203" s="26" t="s">
        <v>57</v>
      </c>
      <c r="H203" s="26" t="s">
        <v>57</v>
      </c>
      <c r="I203" s="26" t="s">
        <v>88</v>
      </c>
      <c r="J203" s="26" t="s">
        <v>57</v>
      </c>
      <c r="K203" s="27" t="s">
        <v>89</v>
      </c>
      <c r="L203" s="28" t="s">
        <v>56</v>
      </c>
      <c r="M203" s="29" t="str">
        <f t="shared" si="15"/>
        <v>⚠ Missing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1722</v>
      </c>
      <c r="C204" s="44" t="s">
        <v>1723</v>
      </c>
      <c r="D204" s="42" t="s">
        <v>1325</v>
      </c>
      <c r="E204" s="45">
        <v>46132</v>
      </c>
      <c r="F204" s="26" t="s">
        <v>55</v>
      </c>
      <c r="G204" s="26" t="s">
        <v>57</v>
      </c>
      <c r="H204" s="26" t="s">
        <v>57</v>
      </c>
      <c r="I204" s="26" t="s">
        <v>88</v>
      </c>
      <c r="J204" s="26" t="s">
        <v>57</v>
      </c>
      <c r="K204" s="27" t="s">
        <v>89</v>
      </c>
      <c r="L204" s="28" t="s">
        <v>56</v>
      </c>
      <c r="M204" s="29" t="str">
        <f t="shared" si="15"/>
        <v>⚠ Missing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1724</v>
      </c>
      <c r="C205" s="25" t="s">
        <v>1725</v>
      </c>
      <c r="D205" s="23" t="s">
        <v>1325</v>
      </c>
      <c r="E205" s="45">
        <v>46132</v>
      </c>
      <c r="F205" s="26" t="s">
        <v>55</v>
      </c>
      <c r="G205" s="26" t="s">
        <v>57</v>
      </c>
      <c r="H205" s="26" t="s">
        <v>57</v>
      </c>
      <c r="I205" s="26" t="s">
        <v>88</v>
      </c>
      <c r="J205" s="26" t="s">
        <v>57</v>
      </c>
      <c r="K205" s="27" t="s">
        <v>89</v>
      </c>
      <c r="L205" s="28" t="s">
        <v>56</v>
      </c>
      <c r="M205" s="29" t="str">
        <f t="shared" si="15"/>
        <v>⚠ Missing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1726</v>
      </c>
      <c r="C206" s="44" t="s">
        <v>1727</v>
      </c>
      <c r="D206" s="42" t="s">
        <v>1325</v>
      </c>
      <c r="E206" s="45">
        <v>46132</v>
      </c>
      <c r="F206" s="26" t="s">
        <v>55</v>
      </c>
      <c r="G206" s="26" t="s">
        <v>57</v>
      </c>
      <c r="H206" s="26" t="s">
        <v>57</v>
      </c>
      <c r="I206" s="26" t="s">
        <v>88</v>
      </c>
      <c r="J206" s="26" t="s">
        <v>57</v>
      </c>
      <c r="K206" s="27" t="s">
        <v>89</v>
      </c>
      <c r="L206" s="28" t="s">
        <v>56</v>
      </c>
      <c r="M206" s="29" t="str">
        <f t="shared" si="15"/>
        <v>⚠ Missing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1728</v>
      </c>
      <c r="C207" s="25" t="s">
        <v>1729</v>
      </c>
      <c r="D207" s="23" t="s">
        <v>1325</v>
      </c>
      <c r="E207" s="45">
        <v>46132</v>
      </c>
      <c r="F207" s="26" t="s">
        <v>55</v>
      </c>
      <c r="G207" s="26" t="s">
        <v>57</v>
      </c>
      <c r="H207" s="26" t="s">
        <v>57</v>
      </c>
      <c r="I207" s="26" t="s">
        <v>88</v>
      </c>
      <c r="J207" s="26" t="s">
        <v>57</v>
      </c>
      <c r="K207" s="27" t="s">
        <v>89</v>
      </c>
      <c r="L207" s="28" t="s">
        <v>56</v>
      </c>
      <c r="M207" s="29" t="str">
        <f t="shared" si="15"/>
        <v>⚠ Missing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1730</v>
      </c>
      <c r="C208" s="44" t="s">
        <v>1731</v>
      </c>
      <c r="D208" s="42" t="s">
        <v>1325</v>
      </c>
      <c r="E208" s="45">
        <v>46132</v>
      </c>
      <c r="F208" s="26" t="s">
        <v>55</v>
      </c>
      <c r="G208" s="26" t="s">
        <v>57</v>
      </c>
      <c r="H208" s="26" t="s">
        <v>57</v>
      </c>
      <c r="I208" s="26" t="s">
        <v>88</v>
      </c>
      <c r="J208" s="26" t="s">
        <v>57</v>
      </c>
      <c r="K208" s="27" t="s">
        <v>89</v>
      </c>
      <c r="L208" s="28" t="s">
        <v>56</v>
      </c>
      <c r="M208" s="29" t="str">
        <f t="shared" si="15"/>
        <v>⚠ Missing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1732</v>
      </c>
      <c r="C209" s="25" t="s">
        <v>1733</v>
      </c>
      <c r="D209" s="23" t="s">
        <v>1325</v>
      </c>
      <c r="E209" s="45">
        <v>46132</v>
      </c>
      <c r="F209" s="26" t="s">
        <v>55</v>
      </c>
      <c r="G209" s="26" t="s">
        <v>57</v>
      </c>
      <c r="H209" s="26" t="s">
        <v>57</v>
      </c>
      <c r="I209" s="26" t="s">
        <v>88</v>
      </c>
      <c r="J209" s="26" t="s">
        <v>57</v>
      </c>
      <c r="K209" s="27" t="s">
        <v>89</v>
      </c>
      <c r="L209" s="28" t="s">
        <v>56</v>
      </c>
      <c r="M209" s="29" t="str">
        <f t="shared" si="15"/>
        <v>⚠ Missing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1734</v>
      </c>
      <c r="C210" s="44" t="s">
        <v>1735</v>
      </c>
      <c r="D210" s="42" t="s">
        <v>1325</v>
      </c>
      <c r="E210" s="45">
        <v>46132</v>
      </c>
      <c r="F210" s="26" t="s">
        <v>55</v>
      </c>
      <c r="G210" s="26" t="s">
        <v>57</v>
      </c>
      <c r="H210" s="26" t="s">
        <v>57</v>
      </c>
      <c r="I210" s="26" t="s">
        <v>88</v>
      </c>
      <c r="J210" s="26" t="s">
        <v>57</v>
      </c>
      <c r="K210" s="27" t="s">
        <v>89</v>
      </c>
      <c r="L210" s="28" t="s">
        <v>56</v>
      </c>
      <c r="M210" s="29" t="str">
        <f t="shared" si="15"/>
        <v>⚠ Missing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1736</v>
      </c>
      <c r="C211" s="25" t="s">
        <v>1737</v>
      </c>
      <c r="D211" s="23" t="s">
        <v>1325</v>
      </c>
      <c r="E211" s="45">
        <v>46132</v>
      </c>
      <c r="F211" s="26" t="s">
        <v>55</v>
      </c>
      <c r="G211" s="26" t="s">
        <v>57</v>
      </c>
      <c r="H211" s="26" t="s">
        <v>57</v>
      </c>
      <c r="I211" s="26" t="s">
        <v>88</v>
      </c>
      <c r="J211" s="26" t="s">
        <v>57</v>
      </c>
      <c r="K211" s="27" t="s">
        <v>89</v>
      </c>
      <c r="L211" s="28" t="s">
        <v>56</v>
      </c>
      <c r="M211" s="29" t="str">
        <f t="shared" si="15"/>
        <v>⚠ Missing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1738</v>
      </c>
      <c r="C212" s="44" t="s">
        <v>1739</v>
      </c>
      <c r="D212" s="42" t="s">
        <v>1325</v>
      </c>
      <c r="E212" s="45">
        <v>46132</v>
      </c>
      <c r="F212" s="26" t="s">
        <v>55</v>
      </c>
      <c r="G212" s="26" t="s">
        <v>57</v>
      </c>
      <c r="H212" s="26" t="s">
        <v>57</v>
      </c>
      <c r="I212" s="26" t="s">
        <v>88</v>
      </c>
      <c r="J212" s="26" t="s">
        <v>57</v>
      </c>
      <c r="K212" s="27" t="s">
        <v>89</v>
      </c>
      <c r="L212" s="28" t="s">
        <v>56</v>
      </c>
      <c r="M212" s="29" t="str">
        <f t="shared" si="15"/>
        <v>⚠ Missing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1740</v>
      </c>
      <c r="C213" s="25" t="s">
        <v>1741</v>
      </c>
      <c r="D213" s="23" t="s">
        <v>1325</v>
      </c>
      <c r="E213" s="45">
        <v>46132</v>
      </c>
      <c r="F213" s="26" t="s">
        <v>55</v>
      </c>
      <c r="G213" s="26" t="s">
        <v>57</v>
      </c>
      <c r="H213" s="26" t="s">
        <v>57</v>
      </c>
      <c r="I213" s="26" t="s">
        <v>88</v>
      </c>
      <c r="J213" s="26" t="s">
        <v>57</v>
      </c>
      <c r="K213" s="27" t="s">
        <v>89</v>
      </c>
      <c r="L213" s="28" t="s">
        <v>56</v>
      </c>
      <c r="M213" s="29" t="str">
        <f t="shared" si="15"/>
        <v>⚠ Missing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1742</v>
      </c>
      <c r="C214" s="44" t="s">
        <v>1743</v>
      </c>
      <c r="D214" s="42" t="s">
        <v>1325</v>
      </c>
      <c r="E214" s="45">
        <v>46132</v>
      </c>
      <c r="F214" s="26" t="s">
        <v>55</v>
      </c>
      <c r="G214" s="26" t="s">
        <v>57</v>
      </c>
      <c r="H214" s="26" t="s">
        <v>57</v>
      </c>
      <c r="I214" s="26" t="s">
        <v>88</v>
      </c>
      <c r="J214" s="26" t="s">
        <v>57</v>
      </c>
      <c r="K214" s="27" t="s">
        <v>89</v>
      </c>
      <c r="L214" s="28" t="s">
        <v>56</v>
      </c>
      <c r="M214" s="29" t="str">
        <f t="shared" si="15"/>
        <v>⚠ Missing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1744</v>
      </c>
      <c r="C215" s="25" t="s">
        <v>1745</v>
      </c>
      <c r="D215" s="23" t="s">
        <v>1325</v>
      </c>
      <c r="E215" s="45">
        <v>46132</v>
      </c>
      <c r="F215" s="26" t="s">
        <v>55</v>
      </c>
      <c r="G215" s="26" t="s">
        <v>57</v>
      </c>
      <c r="H215" s="26" t="s">
        <v>57</v>
      </c>
      <c r="I215" s="26" t="s">
        <v>88</v>
      </c>
      <c r="J215" s="26" t="s">
        <v>57</v>
      </c>
      <c r="K215" s="27" t="s">
        <v>89</v>
      </c>
      <c r="L215" s="28" t="s">
        <v>56</v>
      </c>
      <c r="M215" s="29" t="str">
        <f t="shared" si="15"/>
        <v>⚠ Missing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1746</v>
      </c>
      <c r="C216" s="44" t="s">
        <v>1747</v>
      </c>
      <c r="D216" s="42" t="s">
        <v>1325</v>
      </c>
      <c r="E216" s="45">
        <v>46132</v>
      </c>
      <c r="F216" s="26" t="s">
        <v>55</v>
      </c>
      <c r="G216" s="26" t="s">
        <v>57</v>
      </c>
      <c r="H216" s="26" t="s">
        <v>57</v>
      </c>
      <c r="I216" s="26" t="s">
        <v>88</v>
      </c>
      <c r="J216" s="26" t="s">
        <v>57</v>
      </c>
      <c r="K216" s="27" t="s">
        <v>89</v>
      </c>
      <c r="L216" s="28" t="s">
        <v>56</v>
      </c>
      <c r="M216" s="29" t="str">
        <f t="shared" si="15"/>
        <v>⚠ Missing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1748</v>
      </c>
      <c r="C217" s="25" t="s">
        <v>1749</v>
      </c>
      <c r="D217" s="23" t="s">
        <v>1325</v>
      </c>
      <c r="E217" s="45">
        <v>46132</v>
      </c>
      <c r="F217" s="26" t="s">
        <v>55</v>
      </c>
      <c r="G217" s="26" t="s">
        <v>57</v>
      </c>
      <c r="H217" s="26" t="s">
        <v>57</v>
      </c>
      <c r="I217" s="26" t="s">
        <v>88</v>
      </c>
      <c r="J217" s="26" t="s">
        <v>57</v>
      </c>
      <c r="K217" s="27" t="s">
        <v>89</v>
      </c>
      <c r="L217" s="28" t="s">
        <v>56</v>
      </c>
      <c r="M217" s="29" t="str">
        <f t="shared" si="15"/>
        <v>⚠ Missing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1750</v>
      </c>
      <c r="C218" s="44" t="s">
        <v>1751</v>
      </c>
      <c r="D218" s="42" t="s">
        <v>1325</v>
      </c>
      <c r="E218" s="45">
        <v>46132</v>
      </c>
      <c r="F218" s="26" t="s">
        <v>55</v>
      </c>
      <c r="G218" s="26" t="s">
        <v>57</v>
      </c>
      <c r="H218" s="26" t="s">
        <v>57</v>
      </c>
      <c r="I218" s="26" t="s">
        <v>88</v>
      </c>
      <c r="J218" s="26" t="s">
        <v>57</v>
      </c>
      <c r="K218" s="27" t="s">
        <v>89</v>
      </c>
      <c r="L218" s="28" t="s">
        <v>56</v>
      </c>
      <c r="M218" s="29" t="str">
        <f t="shared" si="15"/>
        <v>⚠ Missing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1752</v>
      </c>
      <c r="C219" s="25" t="s">
        <v>1753</v>
      </c>
      <c r="D219" s="23" t="s">
        <v>1325</v>
      </c>
      <c r="E219" s="45">
        <v>46132</v>
      </c>
      <c r="F219" s="26" t="s">
        <v>55</v>
      </c>
      <c r="G219" s="26" t="s">
        <v>57</v>
      </c>
      <c r="H219" s="26" t="s">
        <v>57</v>
      </c>
      <c r="I219" s="26" t="s">
        <v>88</v>
      </c>
      <c r="J219" s="26" t="s">
        <v>57</v>
      </c>
      <c r="K219" s="27" t="s">
        <v>89</v>
      </c>
      <c r="L219" s="28" t="s">
        <v>56</v>
      </c>
      <c r="M219" s="29" t="str">
        <f t="shared" si="15"/>
        <v>⚠ Missing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1754</v>
      </c>
      <c r="C220" s="44" t="s">
        <v>1755</v>
      </c>
      <c r="D220" s="42" t="s">
        <v>1325</v>
      </c>
      <c r="E220" s="45">
        <v>46132</v>
      </c>
      <c r="F220" s="26" t="s">
        <v>55</v>
      </c>
      <c r="G220" s="26" t="s">
        <v>57</v>
      </c>
      <c r="H220" s="26" t="s">
        <v>57</v>
      </c>
      <c r="I220" s="26" t="s">
        <v>88</v>
      </c>
      <c r="J220" s="26" t="s">
        <v>57</v>
      </c>
      <c r="K220" s="27" t="s">
        <v>89</v>
      </c>
      <c r="L220" s="28" t="s">
        <v>56</v>
      </c>
      <c r="M220" s="29" t="str">
        <f t="shared" si="15"/>
        <v>⚠ Missing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1756</v>
      </c>
      <c r="C221" s="25" t="s">
        <v>1757</v>
      </c>
      <c r="D221" s="23" t="s">
        <v>1325</v>
      </c>
      <c r="E221" s="45">
        <v>46132</v>
      </c>
      <c r="F221" s="26" t="s">
        <v>55</v>
      </c>
      <c r="G221" s="26" t="s">
        <v>57</v>
      </c>
      <c r="H221" s="26" t="s">
        <v>57</v>
      </c>
      <c r="I221" s="26" t="s">
        <v>88</v>
      </c>
      <c r="J221" s="26" t="s">
        <v>57</v>
      </c>
      <c r="K221" s="27" t="s">
        <v>89</v>
      </c>
      <c r="L221" s="28" t="s">
        <v>56</v>
      </c>
      <c r="M221" s="29" t="str">
        <f t="shared" si="15"/>
        <v>⚠ Missing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1758</v>
      </c>
      <c r="C222" s="44" t="s">
        <v>1759</v>
      </c>
      <c r="D222" s="42" t="s">
        <v>1325</v>
      </c>
      <c r="E222" s="45">
        <v>46132</v>
      </c>
      <c r="F222" s="26" t="s">
        <v>55</v>
      </c>
      <c r="G222" s="26" t="s">
        <v>57</v>
      </c>
      <c r="H222" s="26" t="s">
        <v>57</v>
      </c>
      <c r="I222" s="26" t="s">
        <v>88</v>
      </c>
      <c r="J222" s="26" t="s">
        <v>57</v>
      </c>
      <c r="K222" s="27" t="s">
        <v>89</v>
      </c>
      <c r="L222" s="28" t="s">
        <v>56</v>
      </c>
      <c r="M222" s="29" t="str">
        <f t="shared" si="15"/>
        <v>⚠ Missing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1760</v>
      </c>
      <c r="C223" s="25" t="s">
        <v>1761</v>
      </c>
      <c r="D223" s="23" t="s">
        <v>1325</v>
      </c>
      <c r="E223" s="45">
        <v>46132</v>
      </c>
      <c r="F223" s="26" t="s">
        <v>55</v>
      </c>
      <c r="G223" s="26" t="s">
        <v>57</v>
      </c>
      <c r="H223" s="26" t="s">
        <v>57</v>
      </c>
      <c r="I223" s="26" t="s">
        <v>88</v>
      </c>
      <c r="J223" s="26" t="s">
        <v>57</v>
      </c>
      <c r="K223" s="27" t="s">
        <v>89</v>
      </c>
      <c r="L223" s="28" t="s">
        <v>56</v>
      </c>
      <c r="M223" s="29" t="str">
        <f t="shared" si="15"/>
        <v>⚠ Missing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1762</v>
      </c>
      <c r="C224" s="44" t="s">
        <v>1763</v>
      </c>
      <c r="D224" s="42" t="s">
        <v>1325</v>
      </c>
      <c r="E224" s="45">
        <v>46132</v>
      </c>
      <c r="F224" s="26" t="s">
        <v>55</v>
      </c>
      <c r="G224" s="26" t="s">
        <v>57</v>
      </c>
      <c r="H224" s="26" t="s">
        <v>57</v>
      </c>
      <c r="I224" s="26" t="s">
        <v>88</v>
      </c>
      <c r="J224" s="26" t="s">
        <v>57</v>
      </c>
      <c r="K224" s="27" t="s">
        <v>89</v>
      </c>
      <c r="L224" s="28" t="s">
        <v>56</v>
      </c>
      <c r="M224" s="29" t="str">
        <f t="shared" si="15"/>
        <v>⚠ Missing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1764</v>
      </c>
      <c r="C225" s="25" t="s">
        <v>1765</v>
      </c>
      <c r="D225" s="23" t="s">
        <v>1325</v>
      </c>
      <c r="E225" s="45">
        <v>46132</v>
      </c>
      <c r="F225" s="26" t="s">
        <v>55</v>
      </c>
      <c r="G225" s="26" t="s">
        <v>57</v>
      </c>
      <c r="H225" s="26" t="s">
        <v>57</v>
      </c>
      <c r="I225" s="26" t="s">
        <v>88</v>
      </c>
      <c r="J225" s="26" t="s">
        <v>57</v>
      </c>
      <c r="K225" s="27" t="s">
        <v>89</v>
      </c>
      <c r="L225" s="28" t="s">
        <v>56</v>
      </c>
      <c r="M225" s="29" t="str">
        <f t="shared" si="15"/>
        <v>⚠ Missing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1766</v>
      </c>
      <c r="C226" s="44" t="s">
        <v>1767</v>
      </c>
      <c r="D226" s="42" t="s">
        <v>1325</v>
      </c>
      <c r="E226" s="45">
        <v>46132</v>
      </c>
      <c r="F226" s="26" t="s">
        <v>55</v>
      </c>
      <c r="G226" s="26" t="s">
        <v>57</v>
      </c>
      <c r="H226" s="26" t="s">
        <v>57</v>
      </c>
      <c r="I226" s="26" t="s">
        <v>88</v>
      </c>
      <c r="J226" s="26" t="s">
        <v>57</v>
      </c>
      <c r="K226" s="27" t="s">
        <v>89</v>
      </c>
      <c r="L226" s="28" t="s">
        <v>56</v>
      </c>
      <c r="M226" s="29" t="str">
        <f t="shared" si="15"/>
        <v>⚠ Missing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1768</v>
      </c>
      <c r="C227" s="25" t="s">
        <v>1769</v>
      </c>
      <c r="D227" s="23" t="s">
        <v>1325</v>
      </c>
      <c r="E227" s="45">
        <v>46132</v>
      </c>
      <c r="F227" s="26" t="s">
        <v>55</v>
      </c>
      <c r="G227" s="26" t="s">
        <v>57</v>
      </c>
      <c r="H227" s="26" t="s">
        <v>57</v>
      </c>
      <c r="I227" s="26" t="s">
        <v>88</v>
      </c>
      <c r="J227" s="26" t="s">
        <v>57</v>
      </c>
      <c r="K227" s="27" t="s">
        <v>89</v>
      </c>
      <c r="L227" s="28" t="s">
        <v>56</v>
      </c>
      <c r="M227" s="29" t="str">
        <f t="shared" si="15"/>
        <v>⚠ Missing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1770</v>
      </c>
      <c r="C228" s="44" t="s">
        <v>1771</v>
      </c>
      <c r="D228" s="42" t="s">
        <v>1325</v>
      </c>
      <c r="E228" s="45">
        <v>46132</v>
      </c>
      <c r="F228" s="26" t="s">
        <v>55</v>
      </c>
      <c r="G228" s="26" t="s">
        <v>57</v>
      </c>
      <c r="H228" s="26" t="s">
        <v>57</v>
      </c>
      <c r="I228" s="26" t="s">
        <v>88</v>
      </c>
      <c r="J228" s="26" t="s">
        <v>57</v>
      </c>
      <c r="K228" s="27" t="s">
        <v>89</v>
      </c>
      <c r="L228" s="28" t="s">
        <v>56</v>
      </c>
      <c r="M228" s="29" t="str">
        <f t="shared" si="15"/>
        <v>⚠ Missing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1772</v>
      </c>
      <c r="C229" s="25" t="s">
        <v>1773</v>
      </c>
      <c r="D229" s="23" t="s">
        <v>1325</v>
      </c>
      <c r="E229" s="45">
        <v>46132</v>
      </c>
      <c r="F229" s="26" t="s">
        <v>55</v>
      </c>
      <c r="G229" s="26" t="s">
        <v>57</v>
      </c>
      <c r="H229" s="26" t="s">
        <v>57</v>
      </c>
      <c r="I229" s="26" t="s">
        <v>88</v>
      </c>
      <c r="J229" s="26" t="s">
        <v>57</v>
      </c>
      <c r="K229" s="27" t="s">
        <v>89</v>
      </c>
      <c r="L229" s="28" t="s">
        <v>56</v>
      </c>
      <c r="M229" s="29" t="str">
        <f t="shared" si="15"/>
        <v>⚠ Missing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1774</v>
      </c>
      <c r="C230" s="44" t="s">
        <v>1775</v>
      </c>
      <c r="D230" s="42" t="s">
        <v>1325</v>
      </c>
      <c r="E230" s="45">
        <v>46132</v>
      </c>
      <c r="F230" s="26" t="s">
        <v>55</v>
      </c>
      <c r="G230" s="26" t="s">
        <v>57</v>
      </c>
      <c r="H230" s="26" t="s">
        <v>57</v>
      </c>
      <c r="I230" s="26" t="s">
        <v>88</v>
      </c>
      <c r="J230" s="26" t="s">
        <v>57</v>
      </c>
      <c r="K230" s="27" t="s">
        <v>89</v>
      </c>
      <c r="L230" s="28" t="s">
        <v>56</v>
      </c>
      <c r="M230" s="29" t="str">
        <f t="shared" si="15"/>
        <v>⚠ Missing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1776</v>
      </c>
      <c r="C231" s="25" t="s">
        <v>1777</v>
      </c>
      <c r="D231" s="23" t="s">
        <v>1325</v>
      </c>
      <c r="E231" s="45">
        <v>46132</v>
      </c>
      <c r="F231" s="26" t="s">
        <v>55</v>
      </c>
      <c r="G231" s="26" t="s">
        <v>57</v>
      </c>
      <c r="H231" s="26" t="s">
        <v>57</v>
      </c>
      <c r="I231" s="26" t="s">
        <v>88</v>
      </c>
      <c r="J231" s="26" t="s">
        <v>57</v>
      </c>
      <c r="K231" s="27" t="s">
        <v>89</v>
      </c>
      <c r="L231" s="28" t="s">
        <v>56</v>
      </c>
      <c r="M231" s="29" t="str">
        <f t="shared" si="15"/>
        <v>⚠ Missing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1778</v>
      </c>
      <c r="C232" s="44" t="s">
        <v>1779</v>
      </c>
      <c r="D232" s="42" t="s">
        <v>1325</v>
      </c>
      <c r="E232" s="45">
        <v>46132</v>
      </c>
      <c r="F232" s="26" t="s">
        <v>55</v>
      </c>
      <c r="G232" s="26" t="s">
        <v>57</v>
      </c>
      <c r="H232" s="26" t="s">
        <v>57</v>
      </c>
      <c r="I232" s="26" t="s">
        <v>88</v>
      </c>
      <c r="J232" s="26" t="s">
        <v>57</v>
      </c>
      <c r="K232" s="27" t="s">
        <v>89</v>
      </c>
      <c r="L232" s="28" t="s">
        <v>56</v>
      </c>
      <c r="M232" s="29" t="str">
        <f t="shared" si="15"/>
        <v>⚠ Missing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1780</v>
      </c>
      <c r="C233" s="25" t="s">
        <v>1781</v>
      </c>
      <c r="D233" s="23" t="s">
        <v>1325</v>
      </c>
      <c r="E233" s="45">
        <v>46132</v>
      </c>
      <c r="F233" s="26" t="s">
        <v>55</v>
      </c>
      <c r="G233" s="26" t="s">
        <v>57</v>
      </c>
      <c r="H233" s="26" t="s">
        <v>57</v>
      </c>
      <c r="I233" s="26" t="s">
        <v>88</v>
      </c>
      <c r="J233" s="26" t="s">
        <v>57</v>
      </c>
      <c r="K233" s="27" t="s">
        <v>89</v>
      </c>
      <c r="L233" s="28" t="s">
        <v>56</v>
      </c>
      <c r="M233" s="29" t="str">
        <f t="shared" si="15"/>
        <v>⚠ Missing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1782</v>
      </c>
      <c r="C234" s="44" t="s">
        <v>1783</v>
      </c>
      <c r="D234" s="42" t="s">
        <v>1325</v>
      </c>
      <c r="E234" s="45">
        <v>46132</v>
      </c>
      <c r="F234" s="26" t="s">
        <v>55</v>
      </c>
      <c r="G234" s="26" t="s">
        <v>57</v>
      </c>
      <c r="H234" s="26" t="s">
        <v>57</v>
      </c>
      <c r="I234" s="26" t="s">
        <v>88</v>
      </c>
      <c r="J234" s="26" t="s">
        <v>57</v>
      </c>
      <c r="K234" s="27" t="s">
        <v>89</v>
      </c>
      <c r="L234" s="28" t="s">
        <v>56</v>
      </c>
      <c r="M234" s="29" t="str">
        <f t="shared" si="15"/>
        <v>⚠ Missing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1784</v>
      </c>
      <c r="C235" s="25" t="s">
        <v>1785</v>
      </c>
      <c r="D235" s="23" t="s">
        <v>1325</v>
      </c>
      <c r="E235" s="45">
        <v>46132</v>
      </c>
      <c r="F235" s="26" t="s">
        <v>55</v>
      </c>
      <c r="G235" s="26" t="s">
        <v>57</v>
      </c>
      <c r="H235" s="26" t="s">
        <v>57</v>
      </c>
      <c r="I235" s="26" t="s">
        <v>88</v>
      </c>
      <c r="J235" s="26" t="s">
        <v>57</v>
      </c>
      <c r="K235" s="27" t="s">
        <v>89</v>
      </c>
      <c r="L235" s="28" t="s">
        <v>56</v>
      </c>
      <c r="M235" s="29" t="str">
        <f t="shared" si="15"/>
        <v>⚠ Missing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1786</v>
      </c>
      <c r="C236" s="44" t="s">
        <v>1787</v>
      </c>
      <c r="D236" s="42" t="s">
        <v>1325</v>
      </c>
      <c r="E236" s="45">
        <v>46132</v>
      </c>
      <c r="F236" s="26" t="s">
        <v>55</v>
      </c>
      <c r="G236" s="26" t="s">
        <v>57</v>
      </c>
      <c r="H236" s="26" t="s">
        <v>57</v>
      </c>
      <c r="I236" s="26" t="s">
        <v>88</v>
      </c>
      <c r="J236" s="26" t="s">
        <v>57</v>
      </c>
      <c r="K236" s="27" t="s">
        <v>89</v>
      </c>
      <c r="L236" s="28" t="s">
        <v>56</v>
      </c>
      <c r="M236" s="29" t="str">
        <f t="shared" si="15"/>
        <v>⚠ Missing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1788</v>
      </c>
      <c r="C237" s="25" t="s">
        <v>1789</v>
      </c>
      <c r="D237" s="23" t="s">
        <v>1325</v>
      </c>
      <c r="E237" s="45">
        <v>46132</v>
      </c>
      <c r="F237" s="26" t="s">
        <v>55</v>
      </c>
      <c r="G237" s="26" t="s">
        <v>57</v>
      </c>
      <c r="H237" s="26" t="s">
        <v>57</v>
      </c>
      <c r="I237" s="26" t="s">
        <v>88</v>
      </c>
      <c r="J237" s="26" t="s">
        <v>57</v>
      </c>
      <c r="K237" s="27" t="s">
        <v>89</v>
      </c>
      <c r="L237" s="28" t="s">
        <v>56</v>
      </c>
      <c r="M237" s="29" t="str">
        <f t="shared" si="15"/>
        <v>⚠ Missing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1790</v>
      </c>
      <c r="C238" s="44" t="s">
        <v>1791</v>
      </c>
      <c r="D238" s="42" t="s">
        <v>1325</v>
      </c>
      <c r="E238" s="45">
        <v>46132</v>
      </c>
      <c r="F238" s="26" t="s">
        <v>55</v>
      </c>
      <c r="G238" s="26" t="s">
        <v>57</v>
      </c>
      <c r="H238" s="26" t="s">
        <v>57</v>
      </c>
      <c r="I238" s="26" t="s">
        <v>88</v>
      </c>
      <c r="J238" s="26" t="s">
        <v>57</v>
      </c>
      <c r="K238" s="27" t="s">
        <v>89</v>
      </c>
      <c r="L238" s="28" t="s">
        <v>56</v>
      </c>
      <c r="M238" s="29" t="str">
        <f t="shared" si="15"/>
        <v>⚠ Missing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1792</v>
      </c>
      <c r="C239" s="25" t="s">
        <v>1793</v>
      </c>
      <c r="D239" s="23" t="s">
        <v>1325</v>
      </c>
      <c r="E239" s="45">
        <v>46132</v>
      </c>
      <c r="F239" s="26" t="s">
        <v>55</v>
      </c>
      <c r="G239" s="26" t="s">
        <v>57</v>
      </c>
      <c r="H239" s="26" t="s">
        <v>57</v>
      </c>
      <c r="I239" s="26" t="s">
        <v>88</v>
      </c>
      <c r="J239" s="26" t="s">
        <v>57</v>
      </c>
      <c r="K239" s="27" t="s">
        <v>89</v>
      </c>
      <c r="L239" s="28" t="s">
        <v>56</v>
      </c>
      <c r="M239" s="29" t="str">
        <f t="shared" si="15"/>
        <v>⚠ Missing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1794</v>
      </c>
      <c r="C240" s="44" t="s">
        <v>1795</v>
      </c>
      <c r="D240" s="42" t="s">
        <v>1325</v>
      </c>
      <c r="E240" s="45">
        <v>46132</v>
      </c>
      <c r="F240" s="26" t="s">
        <v>55</v>
      </c>
      <c r="G240" s="26" t="s">
        <v>57</v>
      </c>
      <c r="H240" s="26" t="s">
        <v>57</v>
      </c>
      <c r="I240" s="26" t="s">
        <v>88</v>
      </c>
      <c r="J240" s="26" t="s">
        <v>57</v>
      </c>
      <c r="K240" s="27" t="s">
        <v>89</v>
      </c>
      <c r="L240" s="28" t="s">
        <v>56</v>
      </c>
      <c r="M240" s="29" t="str">
        <f t="shared" si="15"/>
        <v>⚠ Missing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1796</v>
      </c>
      <c r="C241" s="25" t="s">
        <v>1797</v>
      </c>
      <c r="D241" s="23" t="s">
        <v>1325</v>
      </c>
      <c r="E241" s="45">
        <v>46132</v>
      </c>
      <c r="F241" s="26" t="s">
        <v>55</v>
      </c>
      <c r="G241" s="26" t="s">
        <v>57</v>
      </c>
      <c r="H241" s="26" t="s">
        <v>57</v>
      </c>
      <c r="I241" s="26" t="s">
        <v>88</v>
      </c>
      <c r="J241" s="26" t="s">
        <v>57</v>
      </c>
      <c r="K241" s="27" t="s">
        <v>89</v>
      </c>
      <c r="L241" s="28" t="s">
        <v>56</v>
      </c>
      <c r="M241" s="29" t="str">
        <f t="shared" si="15"/>
        <v>⚠ Missing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1798</v>
      </c>
      <c r="C242" s="44" t="s">
        <v>1799</v>
      </c>
      <c r="D242" s="42" t="s">
        <v>1325</v>
      </c>
      <c r="E242" s="45">
        <v>46132</v>
      </c>
      <c r="F242" s="26" t="s">
        <v>55</v>
      </c>
      <c r="G242" s="26" t="s">
        <v>57</v>
      </c>
      <c r="H242" s="26" t="s">
        <v>57</v>
      </c>
      <c r="I242" s="26" t="s">
        <v>88</v>
      </c>
      <c r="J242" s="26" t="s">
        <v>57</v>
      </c>
      <c r="K242" s="27" t="s">
        <v>89</v>
      </c>
      <c r="L242" s="28" t="s">
        <v>56</v>
      </c>
      <c r="M242" s="29" t="str">
        <f t="shared" si="15"/>
        <v>⚠ Missing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1800</v>
      </c>
      <c r="C243" s="25" t="s">
        <v>1801</v>
      </c>
      <c r="D243" s="23" t="s">
        <v>1325</v>
      </c>
      <c r="E243" s="45">
        <v>46132</v>
      </c>
      <c r="F243" s="26" t="s">
        <v>55</v>
      </c>
      <c r="G243" s="26" t="s">
        <v>57</v>
      </c>
      <c r="H243" s="26" t="s">
        <v>57</v>
      </c>
      <c r="I243" s="26" t="s">
        <v>88</v>
      </c>
      <c r="J243" s="26" t="s">
        <v>57</v>
      </c>
      <c r="K243" s="27" t="s">
        <v>89</v>
      </c>
      <c r="L243" s="28" t="s">
        <v>56</v>
      </c>
      <c r="M243" s="29" t="str">
        <f t="shared" si="15"/>
        <v>⚠ Missing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1802</v>
      </c>
      <c r="C244" s="44" t="s">
        <v>1803</v>
      </c>
      <c r="D244" s="42" t="s">
        <v>1325</v>
      </c>
      <c r="E244" s="45">
        <v>46132</v>
      </c>
      <c r="F244" s="26" t="s">
        <v>55</v>
      </c>
      <c r="G244" s="26" t="s">
        <v>57</v>
      </c>
      <c r="H244" s="26" t="s">
        <v>57</v>
      </c>
      <c r="I244" s="26" t="s">
        <v>88</v>
      </c>
      <c r="J244" s="26" t="s">
        <v>57</v>
      </c>
      <c r="K244" s="27" t="s">
        <v>89</v>
      </c>
      <c r="L244" s="28" t="s">
        <v>56</v>
      </c>
      <c r="M244" s="29" t="str">
        <f t="shared" si="15"/>
        <v>⚠ Missing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1804</v>
      </c>
      <c r="C245" s="25" t="s">
        <v>1805</v>
      </c>
      <c r="D245" s="23" t="s">
        <v>1325</v>
      </c>
      <c r="E245" s="45">
        <v>46132</v>
      </c>
      <c r="F245" s="26" t="s">
        <v>55</v>
      </c>
      <c r="G245" s="26" t="s">
        <v>57</v>
      </c>
      <c r="H245" s="26" t="s">
        <v>57</v>
      </c>
      <c r="I245" s="26" t="s">
        <v>88</v>
      </c>
      <c r="J245" s="26" t="s">
        <v>57</v>
      </c>
      <c r="K245" s="27" t="s">
        <v>89</v>
      </c>
      <c r="L245" s="28" t="s">
        <v>56</v>
      </c>
      <c r="M245" s="29" t="str">
        <f t="shared" si="15"/>
        <v>⚠ Missing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1806</v>
      </c>
      <c r="C246" s="44" t="s">
        <v>1807</v>
      </c>
      <c r="D246" s="42" t="s">
        <v>1325</v>
      </c>
      <c r="E246" s="45">
        <v>46132</v>
      </c>
      <c r="F246" s="26" t="s">
        <v>55</v>
      </c>
      <c r="G246" s="26" t="s">
        <v>57</v>
      </c>
      <c r="H246" s="26" t="s">
        <v>57</v>
      </c>
      <c r="I246" s="26" t="s">
        <v>88</v>
      </c>
      <c r="J246" s="26" t="s">
        <v>57</v>
      </c>
      <c r="K246" s="27" t="s">
        <v>89</v>
      </c>
      <c r="L246" s="28" t="s">
        <v>56</v>
      </c>
      <c r="M246" s="29" t="str">
        <f t="shared" si="15"/>
        <v>⚠ Missing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1808</v>
      </c>
      <c r="C247" s="25" t="s">
        <v>1809</v>
      </c>
      <c r="D247" s="23" t="s">
        <v>1325</v>
      </c>
      <c r="E247" s="45">
        <v>46132</v>
      </c>
      <c r="F247" s="26" t="s">
        <v>55</v>
      </c>
      <c r="G247" s="26" t="s">
        <v>57</v>
      </c>
      <c r="H247" s="26" t="s">
        <v>57</v>
      </c>
      <c r="I247" s="26" t="s">
        <v>88</v>
      </c>
      <c r="J247" s="26" t="s">
        <v>57</v>
      </c>
      <c r="K247" s="27" t="s">
        <v>89</v>
      </c>
      <c r="L247" s="28" t="s">
        <v>56</v>
      </c>
      <c r="M247" s="29" t="str">
        <f t="shared" si="15"/>
        <v>⚠ Missing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1810</v>
      </c>
      <c r="C248" s="44" t="s">
        <v>1811</v>
      </c>
      <c r="D248" s="42" t="s">
        <v>1325</v>
      </c>
      <c r="E248" s="45">
        <v>46132</v>
      </c>
      <c r="F248" s="26" t="s">
        <v>55</v>
      </c>
      <c r="G248" s="26" t="s">
        <v>57</v>
      </c>
      <c r="H248" s="26" t="s">
        <v>57</v>
      </c>
      <c r="I248" s="26" t="s">
        <v>88</v>
      </c>
      <c r="J248" s="26" t="s">
        <v>57</v>
      </c>
      <c r="K248" s="27" t="s">
        <v>89</v>
      </c>
      <c r="L248" s="28" t="s">
        <v>56</v>
      </c>
      <c r="M248" s="29" t="str">
        <f t="shared" si="15"/>
        <v>⚠ Missing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1812</v>
      </c>
      <c r="C249" s="25" t="s">
        <v>1813</v>
      </c>
      <c r="D249" s="23" t="s">
        <v>1325</v>
      </c>
      <c r="E249" s="45">
        <v>46132</v>
      </c>
      <c r="F249" s="26" t="s">
        <v>55</v>
      </c>
      <c r="G249" s="26" t="s">
        <v>57</v>
      </c>
      <c r="H249" s="26" t="s">
        <v>57</v>
      </c>
      <c r="I249" s="26" t="s">
        <v>88</v>
      </c>
      <c r="J249" s="26" t="s">
        <v>57</v>
      </c>
      <c r="K249" s="27" t="s">
        <v>89</v>
      </c>
      <c r="L249" s="28" t="s">
        <v>56</v>
      </c>
      <c r="M249" s="29" t="str">
        <f t="shared" si="15"/>
        <v>⚠ Missing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1814</v>
      </c>
      <c r="C250" s="44" t="s">
        <v>1815</v>
      </c>
      <c r="D250" s="42" t="s">
        <v>1325</v>
      </c>
      <c r="E250" s="45">
        <v>46132</v>
      </c>
      <c r="F250" s="26" t="s">
        <v>55</v>
      </c>
      <c r="G250" s="26" t="s">
        <v>57</v>
      </c>
      <c r="H250" s="26" t="s">
        <v>57</v>
      </c>
      <c r="I250" s="26" t="s">
        <v>88</v>
      </c>
      <c r="J250" s="26" t="s">
        <v>57</v>
      </c>
      <c r="K250" s="27" t="s">
        <v>89</v>
      </c>
      <c r="L250" s="28" t="s">
        <v>56</v>
      </c>
      <c r="M250" s="29" t="str">
        <f t="shared" si="15"/>
        <v>⚠ Missing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1816</v>
      </c>
      <c r="C251" s="25" t="s">
        <v>1817</v>
      </c>
      <c r="D251" s="23" t="s">
        <v>1325</v>
      </c>
      <c r="E251" s="45">
        <v>46132</v>
      </c>
      <c r="F251" s="26" t="s">
        <v>55</v>
      </c>
      <c r="G251" s="26" t="s">
        <v>57</v>
      </c>
      <c r="H251" s="26" t="s">
        <v>57</v>
      </c>
      <c r="I251" s="26" t="s">
        <v>88</v>
      </c>
      <c r="J251" s="26" t="s">
        <v>57</v>
      </c>
      <c r="K251" s="27" t="s">
        <v>89</v>
      </c>
      <c r="L251" s="28" t="s">
        <v>56</v>
      </c>
      <c r="M251" s="29" t="str">
        <f t="shared" si="15"/>
        <v>⚠ Missing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1818</v>
      </c>
      <c r="C252" s="44" t="s">
        <v>1819</v>
      </c>
      <c r="D252" s="42" t="s">
        <v>1325</v>
      </c>
      <c r="E252" s="45">
        <v>46132</v>
      </c>
      <c r="F252" s="26" t="s">
        <v>55</v>
      </c>
      <c r="G252" s="26" t="s">
        <v>57</v>
      </c>
      <c r="H252" s="26" t="s">
        <v>57</v>
      </c>
      <c r="I252" s="26" t="s">
        <v>88</v>
      </c>
      <c r="J252" s="26" t="s">
        <v>57</v>
      </c>
      <c r="K252" s="27" t="s">
        <v>89</v>
      </c>
      <c r="L252" s="28" t="s">
        <v>56</v>
      </c>
      <c r="M252" s="29" t="str">
        <f t="shared" si="15"/>
        <v>⚠ Missing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1820</v>
      </c>
      <c r="C253" s="25" t="s">
        <v>1821</v>
      </c>
      <c r="D253" s="23" t="s">
        <v>1325</v>
      </c>
      <c r="E253" s="45">
        <v>46132</v>
      </c>
      <c r="F253" s="26" t="s">
        <v>55</v>
      </c>
      <c r="G253" s="26" t="s">
        <v>57</v>
      </c>
      <c r="H253" s="26" t="s">
        <v>57</v>
      </c>
      <c r="I253" s="26" t="s">
        <v>88</v>
      </c>
      <c r="J253" s="26" t="s">
        <v>57</v>
      </c>
      <c r="K253" s="27" t="s">
        <v>89</v>
      </c>
      <c r="L253" s="28" t="s">
        <v>56</v>
      </c>
      <c r="M253" s="29" t="str">
        <f t="shared" si="15"/>
        <v>⚠ Missing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1822</v>
      </c>
      <c r="C254" s="44" t="s">
        <v>1823</v>
      </c>
      <c r="D254" s="42" t="s">
        <v>1325</v>
      </c>
      <c r="E254" s="45">
        <v>46132</v>
      </c>
      <c r="F254" s="26" t="s">
        <v>55</v>
      </c>
      <c r="G254" s="26" t="s">
        <v>57</v>
      </c>
      <c r="H254" s="26" t="s">
        <v>57</v>
      </c>
      <c r="I254" s="26" t="s">
        <v>88</v>
      </c>
      <c r="J254" s="26" t="s">
        <v>57</v>
      </c>
      <c r="K254" s="27" t="s">
        <v>89</v>
      </c>
      <c r="L254" s="28" t="s">
        <v>56</v>
      </c>
      <c r="M254" s="29" t="str">
        <f t="shared" si="15"/>
        <v>⚠ Missing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1824</v>
      </c>
      <c r="C255" s="25" t="s">
        <v>1825</v>
      </c>
      <c r="D255" s="23" t="s">
        <v>1325</v>
      </c>
      <c r="E255" s="45">
        <v>46132</v>
      </c>
      <c r="F255" s="26" t="s">
        <v>55</v>
      </c>
      <c r="G255" s="26" t="s">
        <v>57</v>
      </c>
      <c r="H255" s="26" t="s">
        <v>57</v>
      </c>
      <c r="I255" s="26" t="s">
        <v>88</v>
      </c>
      <c r="J255" s="26" t="s">
        <v>57</v>
      </c>
      <c r="K255" s="27" t="s">
        <v>89</v>
      </c>
      <c r="L255" s="28" t="s">
        <v>56</v>
      </c>
      <c r="M255" s="29" t="str">
        <f t="shared" si="15"/>
        <v>⚠ Missing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1826</v>
      </c>
      <c r="C256" s="44" t="s">
        <v>1827</v>
      </c>
      <c r="D256" s="42" t="s">
        <v>1325</v>
      </c>
      <c r="E256" s="45">
        <v>46132</v>
      </c>
      <c r="F256" s="26" t="s">
        <v>55</v>
      </c>
      <c r="G256" s="26" t="s">
        <v>57</v>
      </c>
      <c r="H256" s="26" t="s">
        <v>57</v>
      </c>
      <c r="I256" s="26" t="s">
        <v>88</v>
      </c>
      <c r="J256" s="26" t="s">
        <v>57</v>
      </c>
      <c r="K256" s="27" t="s">
        <v>89</v>
      </c>
      <c r="L256" s="28" t="s">
        <v>56</v>
      </c>
      <c r="M256" s="29" t="str">
        <f t="shared" si="15"/>
        <v>⚠ Missing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1828</v>
      </c>
      <c r="C257" s="25" t="s">
        <v>1829</v>
      </c>
      <c r="D257" s="23" t="s">
        <v>1325</v>
      </c>
      <c r="E257" s="45">
        <v>46132</v>
      </c>
      <c r="F257" s="26" t="s">
        <v>55</v>
      </c>
      <c r="G257" s="26" t="s">
        <v>57</v>
      </c>
      <c r="H257" s="26" t="s">
        <v>57</v>
      </c>
      <c r="I257" s="26" t="s">
        <v>88</v>
      </c>
      <c r="J257" s="26" t="s">
        <v>57</v>
      </c>
      <c r="K257" s="27" t="s">
        <v>89</v>
      </c>
      <c r="L257" s="28" t="s">
        <v>56</v>
      </c>
      <c r="M257" s="29" t="str">
        <f t="shared" si="15"/>
        <v>⚠ Missing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1830</v>
      </c>
      <c r="C258" s="44" t="s">
        <v>1831</v>
      </c>
      <c r="D258" s="42" t="s">
        <v>1325</v>
      </c>
      <c r="E258" s="45">
        <v>46132</v>
      </c>
      <c r="F258" s="26" t="s">
        <v>55</v>
      </c>
      <c r="G258" s="26" t="s">
        <v>57</v>
      </c>
      <c r="H258" s="26" t="s">
        <v>57</v>
      </c>
      <c r="I258" s="26" t="s">
        <v>88</v>
      </c>
      <c r="J258" s="26" t="s">
        <v>57</v>
      </c>
      <c r="K258" s="27" t="s">
        <v>89</v>
      </c>
      <c r="L258" s="28" t="s">
        <v>56</v>
      </c>
      <c r="M258" s="29" t="str">
        <f t="shared" si="15"/>
        <v>⚠ Missing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1832</v>
      </c>
      <c r="C259" s="25" t="s">
        <v>1833</v>
      </c>
      <c r="D259" s="23" t="s">
        <v>1325</v>
      </c>
      <c r="E259" s="45">
        <v>46132</v>
      </c>
      <c r="F259" s="26" t="s">
        <v>55</v>
      </c>
      <c r="G259" s="26" t="s">
        <v>57</v>
      </c>
      <c r="H259" s="26" t="s">
        <v>57</v>
      </c>
      <c r="I259" s="26" t="s">
        <v>88</v>
      </c>
      <c r="J259" s="26" t="s">
        <v>57</v>
      </c>
      <c r="K259" s="27" t="s">
        <v>89</v>
      </c>
      <c r="L259" s="28" t="s">
        <v>56</v>
      </c>
      <c r="M259" s="29" t="str">
        <f t="shared" si="15"/>
        <v>⚠ Missing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1834</v>
      </c>
      <c r="C260" s="44" t="s">
        <v>1835</v>
      </c>
      <c r="D260" s="42" t="s">
        <v>1325</v>
      </c>
      <c r="E260" s="45">
        <v>46132</v>
      </c>
      <c r="F260" s="26" t="s">
        <v>55</v>
      </c>
      <c r="G260" s="26" t="s">
        <v>57</v>
      </c>
      <c r="H260" s="26" t="s">
        <v>57</v>
      </c>
      <c r="I260" s="26" t="s">
        <v>88</v>
      </c>
      <c r="J260" s="26" t="s">
        <v>57</v>
      </c>
      <c r="K260" s="27" t="s">
        <v>89</v>
      </c>
      <c r="L260" s="28" t="s">
        <v>56</v>
      </c>
      <c r="M260" s="29" t="str">
        <f t="shared" si="15"/>
        <v>⚠ Missing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1836</v>
      </c>
      <c r="C261" s="25" t="s">
        <v>1837</v>
      </c>
      <c r="D261" s="23" t="s">
        <v>1325</v>
      </c>
      <c r="E261" s="45">
        <v>46132</v>
      </c>
      <c r="F261" s="26" t="s">
        <v>55</v>
      </c>
      <c r="G261" s="26" t="s">
        <v>57</v>
      </c>
      <c r="H261" s="26" t="s">
        <v>57</v>
      </c>
      <c r="I261" s="26" t="s">
        <v>88</v>
      </c>
      <c r="J261" s="26" t="s">
        <v>57</v>
      </c>
      <c r="K261" s="27" t="s">
        <v>89</v>
      </c>
      <c r="L261" s="28" t="s">
        <v>56</v>
      </c>
      <c r="M261" s="29" t="str">
        <f t="shared" ref="M261:M324" si="20">IF(E261="","",IF(H261="Yes","❌ Disc",IF(G261="No","⚠ Missing",IF(J261="Yes","✓ OK","⚠ Check"))))</f>
        <v>⚠ Missing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1838</v>
      </c>
      <c r="C262" s="44" t="s">
        <v>1839</v>
      </c>
      <c r="D262" s="42" t="s">
        <v>1325</v>
      </c>
      <c r="E262" s="45">
        <v>46132</v>
      </c>
      <c r="F262" s="26" t="s">
        <v>55</v>
      </c>
      <c r="G262" s="26" t="s">
        <v>57</v>
      </c>
      <c r="H262" s="26" t="s">
        <v>57</v>
      </c>
      <c r="I262" s="26" t="s">
        <v>88</v>
      </c>
      <c r="J262" s="26" t="s">
        <v>57</v>
      </c>
      <c r="K262" s="27" t="s">
        <v>89</v>
      </c>
      <c r="L262" s="28" t="s">
        <v>56</v>
      </c>
      <c r="M262" s="29" t="str">
        <f t="shared" si="20"/>
        <v>⚠ Missing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1840</v>
      </c>
      <c r="C263" s="25" t="s">
        <v>1841</v>
      </c>
      <c r="D263" s="23" t="s">
        <v>1325</v>
      </c>
      <c r="E263" s="45">
        <v>46132</v>
      </c>
      <c r="F263" s="26" t="s">
        <v>55</v>
      </c>
      <c r="G263" s="26" t="s">
        <v>57</v>
      </c>
      <c r="H263" s="26" t="s">
        <v>57</v>
      </c>
      <c r="I263" s="26" t="s">
        <v>88</v>
      </c>
      <c r="J263" s="26" t="s">
        <v>57</v>
      </c>
      <c r="K263" s="27" t="s">
        <v>89</v>
      </c>
      <c r="L263" s="28" t="s">
        <v>56</v>
      </c>
      <c r="M263" s="29" t="str">
        <f t="shared" si="20"/>
        <v>⚠ Missing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1842</v>
      </c>
      <c r="C264" s="44" t="s">
        <v>1843</v>
      </c>
      <c r="D264" s="42" t="s">
        <v>1325</v>
      </c>
      <c r="E264" s="45">
        <v>46132</v>
      </c>
      <c r="F264" s="26" t="s">
        <v>55</v>
      </c>
      <c r="G264" s="26" t="s">
        <v>57</v>
      </c>
      <c r="H264" s="26" t="s">
        <v>57</v>
      </c>
      <c r="I264" s="26" t="s">
        <v>88</v>
      </c>
      <c r="J264" s="26" t="s">
        <v>57</v>
      </c>
      <c r="K264" s="27" t="s">
        <v>89</v>
      </c>
      <c r="L264" s="28" t="s">
        <v>56</v>
      </c>
      <c r="M264" s="29" t="str">
        <f t="shared" si="20"/>
        <v>⚠ Missing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1844</v>
      </c>
      <c r="C265" s="25" t="s">
        <v>1845</v>
      </c>
      <c r="D265" s="23" t="s">
        <v>1325</v>
      </c>
      <c r="E265" s="45">
        <v>46132</v>
      </c>
      <c r="F265" s="26" t="s">
        <v>55</v>
      </c>
      <c r="G265" s="26" t="s">
        <v>57</v>
      </c>
      <c r="H265" s="26" t="s">
        <v>57</v>
      </c>
      <c r="I265" s="26" t="s">
        <v>88</v>
      </c>
      <c r="J265" s="26" t="s">
        <v>57</v>
      </c>
      <c r="K265" s="27" t="s">
        <v>89</v>
      </c>
      <c r="L265" s="28" t="s">
        <v>56</v>
      </c>
      <c r="M265" s="29" t="str">
        <f t="shared" si="20"/>
        <v>⚠ Missing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1846</v>
      </c>
      <c r="C266" s="44" t="s">
        <v>1847</v>
      </c>
      <c r="D266" s="42" t="s">
        <v>1325</v>
      </c>
      <c r="E266" s="45">
        <v>46132</v>
      </c>
      <c r="F266" s="26" t="s">
        <v>55</v>
      </c>
      <c r="G266" s="26" t="s">
        <v>57</v>
      </c>
      <c r="H266" s="26" t="s">
        <v>57</v>
      </c>
      <c r="I266" s="26" t="s">
        <v>88</v>
      </c>
      <c r="J266" s="26" t="s">
        <v>57</v>
      </c>
      <c r="K266" s="27" t="s">
        <v>89</v>
      </c>
      <c r="L266" s="28" t="s">
        <v>56</v>
      </c>
      <c r="M266" s="29" t="str">
        <f t="shared" si="20"/>
        <v>⚠ Missing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1848</v>
      </c>
      <c r="C267" s="25" t="s">
        <v>1849</v>
      </c>
      <c r="D267" s="23" t="s">
        <v>1325</v>
      </c>
      <c r="E267" s="45">
        <v>46132</v>
      </c>
      <c r="F267" s="26" t="s">
        <v>55</v>
      </c>
      <c r="G267" s="26" t="s">
        <v>57</v>
      </c>
      <c r="H267" s="26" t="s">
        <v>57</v>
      </c>
      <c r="I267" s="26" t="s">
        <v>88</v>
      </c>
      <c r="J267" s="26" t="s">
        <v>57</v>
      </c>
      <c r="K267" s="27" t="s">
        <v>89</v>
      </c>
      <c r="L267" s="28" t="s">
        <v>56</v>
      </c>
      <c r="M267" s="29" t="str">
        <f t="shared" si="20"/>
        <v>⚠ Missing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1850</v>
      </c>
      <c r="C268" s="44" t="s">
        <v>1851</v>
      </c>
      <c r="D268" s="42" t="s">
        <v>1325</v>
      </c>
      <c r="E268" s="45">
        <v>46132</v>
      </c>
      <c r="F268" s="26" t="s">
        <v>55</v>
      </c>
      <c r="G268" s="26" t="s">
        <v>57</v>
      </c>
      <c r="H268" s="26" t="s">
        <v>57</v>
      </c>
      <c r="I268" s="26" t="s">
        <v>88</v>
      </c>
      <c r="J268" s="26" t="s">
        <v>57</v>
      </c>
      <c r="K268" s="27" t="s">
        <v>89</v>
      </c>
      <c r="L268" s="28" t="s">
        <v>56</v>
      </c>
      <c r="M268" s="29" t="str">
        <f t="shared" si="20"/>
        <v>⚠ Missing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1852</v>
      </c>
      <c r="C269" s="25" t="s">
        <v>1853</v>
      </c>
      <c r="D269" s="23" t="s">
        <v>1325</v>
      </c>
      <c r="E269" s="45">
        <v>46132</v>
      </c>
      <c r="F269" s="26" t="s">
        <v>55</v>
      </c>
      <c r="G269" s="26" t="s">
        <v>57</v>
      </c>
      <c r="H269" s="26" t="s">
        <v>57</v>
      </c>
      <c r="I269" s="26" t="s">
        <v>88</v>
      </c>
      <c r="J269" s="26" t="s">
        <v>57</v>
      </c>
      <c r="K269" s="27" t="s">
        <v>89</v>
      </c>
      <c r="L269" s="28" t="s">
        <v>56</v>
      </c>
      <c r="M269" s="29" t="str">
        <f t="shared" si="20"/>
        <v>⚠ Missing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1854</v>
      </c>
      <c r="C270" s="44" t="s">
        <v>1855</v>
      </c>
      <c r="D270" s="42" t="s">
        <v>1325</v>
      </c>
      <c r="E270" s="45">
        <v>46132</v>
      </c>
      <c r="F270" s="26" t="s">
        <v>55</v>
      </c>
      <c r="G270" s="26" t="s">
        <v>57</v>
      </c>
      <c r="H270" s="26" t="s">
        <v>57</v>
      </c>
      <c r="I270" s="26" t="s">
        <v>88</v>
      </c>
      <c r="J270" s="26" t="s">
        <v>57</v>
      </c>
      <c r="K270" s="27" t="s">
        <v>89</v>
      </c>
      <c r="L270" s="28" t="s">
        <v>56</v>
      </c>
      <c r="M270" s="29" t="str">
        <f t="shared" si="20"/>
        <v>⚠ Missing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1856</v>
      </c>
      <c r="C271" s="25" t="s">
        <v>1857</v>
      </c>
      <c r="D271" s="23" t="s">
        <v>1325</v>
      </c>
      <c r="E271" s="45">
        <v>46132</v>
      </c>
      <c r="F271" s="26" t="s">
        <v>55</v>
      </c>
      <c r="G271" s="26" t="s">
        <v>57</v>
      </c>
      <c r="H271" s="26" t="s">
        <v>57</v>
      </c>
      <c r="I271" s="26" t="s">
        <v>88</v>
      </c>
      <c r="J271" s="26" t="s">
        <v>57</v>
      </c>
      <c r="K271" s="27" t="s">
        <v>89</v>
      </c>
      <c r="L271" s="28" t="s">
        <v>56</v>
      </c>
      <c r="M271" s="29" t="str">
        <f t="shared" si="20"/>
        <v>⚠ Missing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1858</v>
      </c>
      <c r="C272" s="44" t="s">
        <v>1859</v>
      </c>
      <c r="D272" s="42" t="s">
        <v>1325</v>
      </c>
      <c r="E272" s="45">
        <v>46132</v>
      </c>
      <c r="F272" s="26" t="s">
        <v>55</v>
      </c>
      <c r="G272" s="26" t="s">
        <v>57</v>
      </c>
      <c r="H272" s="26" t="s">
        <v>57</v>
      </c>
      <c r="I272" s="26" t="s">
        <v>88</v>
      </c>
      <c r="J272" s="26" t="s">
        <v>57</v>
      </c>
      <c r="K272" s="27" t="s">
        <v>89</v>
      </c>
      <c r="L272" s="28" t="s">
        <v>56</v>
      </c>
      <c r="M272" s="29" t="str">
        <f t="shared" si="20"/>
        <v>⚠ Missing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1860</v>
      </c>
      <c r="C273" s="25" t="s">
        <v>1861</v>
      </c>
      <c r="D273" s="23" t="s">
        <v>1325</v>
      </c>
      <c r="E273" s="45">
        <v>46132</v>
      </c>
      <c r="F273" s="26" t="s">
        <v>55</v>
      </c>
      <c r="G273" s="26" t="s">
        <v>57</v>
      </c>
      <c r="H273" s="26" t="s">
        <v>57</v>
      </c>
      <c r="I273" s="26" t="s">
        <v>88</v>
      </c>
      <c r="J273" s="26" t="s">
        <v>57</v>
      </c>
      <c r="K273" s="27" t="s">
        <v>89</v>
      </c>
      <c r="L273" s="28" t="s">
        <v>56</v>
      </c>
      <c r="M273" s="29" t="str">
        <f t="shared" si="20"/>
        <v>⚠ Missing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1862</v>
      </c>
      <c r="C274" s="44" t="s">
        <v>1863</v>
      </c>
      <c r="D274" s="42" t="s">
        <v>1325</v>
      </c>
      <c r="E274" s="45">
        <v>46132</v>
      </c>
      <c r="F274" s="26" t="s">
        <v>55</v>
      </c>
      <c r="G274" s="26" t="s">
        <v>57</v>
      </c>
      <c r="H274" s="26" t="s">
        <v>57</v>
      </c>
      <c r="I274" s="26" t="s">
        <v>88</v>
      </c>
      <c r="J274" s="26" t="s">
        <v>57</v>
      </c>
      <c r="K274" s="27" t="s">
        <v>89</v>
      </c>
      <c r="L274" s="28" t="s">
        <v>56</v>
      </c>
      <c r="M274" s="29" t="str">
        <f t="shared" si="20"/>
        <v>⚠ Missing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1864</v>
      </c>
      <c r="C275" s="25" t="s">
        <v>1865</v>
      </c>
      <c r="D275" s="23" t="s">
        <v>1325</v>
      </c>
      <c r="E275" s="45">
        <v>46132</v>
      </c>
      <c r="F275" s="26" t="s">
        <v>55</v>
      </c>
      <c r="G275" s="26" t="s">
        <v>57</v>
      </c>
      <c r="H275" s="26" t="s">
        <v>57</v>
      </c>
      <c r="I275" s="26" t="s">
        <v>88</v>
      </c>
      <c r="J275" s="26" t="s">
        <v>57</v>
      </c>
      <c r="K275" s="27" t="s">
        <v>89</v>
      </c>
      <c r="L275" s="28" t="s">
        <v>56</v>
      </c>
      <c r="M275" s="29" t="str">
        <f t="shared" si="20"/>
        <v>⚠ Missing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1866</v>
      </c>
      <c r="C276" s="44" t="s">
        <v>1867</v>
      </c>
      <c r="D276" s="42" t="s">
        <v>1325</v>
      </c>
      <c r="E276" s="45">
        <v>46132</v>
      </c>
      <c r="F276" s="26" t="s">
        <v>55</v>
      </c>
      <c r="G276" s="26" t="s">
        <v>57</v>
      </c>
      <c r="H276" s="26" t="s">
        <v>57</v>
      </c>
      <c r="I276" s="26" t="s">
        <v>88</v>
      </c>
      <c r="J276" s="26" t="s">
        <v>57</v>
      </c>
      <c r="K276" s="27" t="s">
        <v>89</v>
      </c>
      <c r="L276" s="28" t="s">
        <v>56</v>
      </c>
      <c r="M276" s="29" t="str">
        <f t="shared" si="20"/>
        <v>⚠ Missing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1868</v>
      </c>
      <c r="C277" s="25" t="s">
        <v>1869</v>
      </c>
      <c r="D277" s="23" t="s">
        <v>1325</v>
      </c>
      <c r="E277" s="45">
        <v>46132</v>
      </c>
      <c r="F277" s="26" t="s">
        <v>55</v>
      </c>
      <c r="G277" s="26" t="s">
        <v>57</v>
      </c>
      <c r="H277" s="26" t="s">
        <v>57</v>
      </c>
      <c r="I277" s="26" t="s">
        <v>88</v>
      </c>
      <c r="J277" s="26" t="s">
        <v>57</v>
      </c>
      <c r="K277" s="27" t="s">
        <v>89</v>
      </c>
      <c r="L277" s="28" t="s">
        <v>56</v>
      </c>
      <c r="M277" s="29" t="str">
        <f t="shared" si="20"/>
        <v>⚠ Missing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1870</v>
      </c>
      <c r="C278" s="44" t="s">
        <v>1871</v>
      </c>
      <c r="D278" s="42" t="s">
        <v>1325</v>
      </c>
      <c r="E278" s="45">
        <v>46132</v>
      </c>
      <c r="F278" s="26" t="s">
        <v>55</v>
      </c>
      <c r="G278" s="26" t="s">
        <v>57</v>
      </c>
      <c r="H278" s="26" t="s">
        <v>57</v>
      </c>
      <c r="I278" s="26" t="s">
        <v>88</v>
      </c>
      <c r="J278" s="26" t="s">
        <v>57</v>
      </c>
      <c r="K278" s="27" t="s">
        <v>89</v>
      </c>
      <c r="L278" s="28" t="s">
        <v>56</v>
      </c>
      <c r="M278" s="29" t="str">
        <f t="shared" si="20"/>
        <v>⚠ Missing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1872</v>
      </c>
      <c r="C279" s="25" t="s">
        <v>1873</v>
      </c>
      <c r="D279" s="23" t="s">
        <v>1325</v>
      </c>
      <c r="E279" s="45">
        <v>46132</v>
      </c>
      <c r="F279" s="26" t="s">
        <v>55</v>
      </c>
      <c r="G279" s="26" t="s">
        <v>57</v>
      </c>
      <c r="H279" s="26" t="s">
        <v>57</v>
      </c>
      <c r="I279" s="26" t="s">
        <v>88</v>
      </c>
      <c r="J279" s="26" t="s">
        <v>57</v>
      </c>
      <c r="K279" s="27" t="s">
        <v>89</v>
      </c>
      <c r="L279" s="28" t="s">
        <v>56</v>
      </c>
      <c r="M279" s="29" t="str">
        <f t="shared" si="20"/>
        <v>⚠ Missing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1874</v>
      </c>
      <c r="C280" s="44" t="s">
        <v>1875</v>
      </c>
      <c r="D280" s="42" t="s">
        <v>1325</v>
      </c>
      <c r="E280" s="45">
        <v>46132</v>
      </c>
      <c r="F280" s="26" t="s">
        <v>55</v>
      </c>
      <c r="G280" s="26" t="s">
        <v>57</v>
      </c>
      <c r="H280" s="26" t="s">
        <v>57</v>
      </c>
      <c r="I280" s="26" t="s">
        <v>88</v>
      </c>
      <c r="J280" s="26" t="s">
        <v>57</v>
      </c>
      <c r="K280" s="27" t="s">
        <v>89</v>
      </c>
      <c r="L280" s="28" t="s">
        <v>56</v>
      </c>
      <c r="M280" s="29" t="str">
        <f t="shared" si="20"/>
        <v>⚠ Missing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1876</v>
      </c>
      <c r="C281" s="25" t="s">
        <v>1877</v>
      </c>
      <c r="D281" s="23" t="s">
        <v>1325</v>
      </c>
      <c r="E281" s="45">
        <v>46132</v>
      </c>
      <c r="F281" s="26" t="s">
        <v>55</v>
      </c>
      <c r="G281" s="26" t="s">
        <v>57</v>
      </c>
      <c r="H281" s="26" t="s">
        <v>57</v>
      </c>
      <c r="I281" s="26" t="s">
        <v>88</v>
      </c>
      <c r="J281" s="26" t="s">
        <v>57</v>
      </c>
      <c r="K281" s="27" t="s">
        <v>89</v>
      </c>
      <c r="L281" s="28" t="s">
        <v>56</v>
      </c>
      <c r="M281" s="29" t="str">
        <f t="shared" si="20"/>
        <v>⚠ Missing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1878</v>
      </c>
      <c r="C282" s="44" t="s">
        <v>1879</v>
      </c>
      <c r="D282" s="42" t="s">
        <v>1325</v>
      </c>
      <c r="E282" s="45">
        <v>46132</v>
      </c>
      <c r="F282" s="26" t="s">
        <v>55</v>
      </c>
      <c r="G282" s="26" t="s">
        <v>57</v>
      </c>
      <c r="H282" s="26" t="s">
        <v>57</v>
      </c>
      <c r="I282" s="26" t="s">
        <v>88</v>
      </c>
      <c r="J282" s="26" t="s">
        <v>57</v>
      </c>
      <c r="K282" s="27" t="s">
        <v>89</v>
      </c>
      <c r="L282" s="28" t="s">
        <v>56</v>
      </c>
      <c r="M282" s="29" t="str">
        <f t="shared" si="20"/>
        <v>⚠ Missing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1880</v>
      </c>
      <c r="C283" s="25" t="s">
        <v>1881</v>
      </c>
      <c r="D283" s="23" t="s">
        <v>1325</v>
      </c>
      <c r="E283" s="45">
        <v>46132</v>
      </c>
      <c r="F283" s="26" t="s">
        <v>55</v>
      </c>
      <c r="G283" s="26" t="s">
        <v>57</v>
      </c>
      <c r="H283" s="26" t="s">
        <v>57</v>
      </c>
      <c r="I283" s="26" t="s">
        <v>88</v>
      </c>
      <c r="J283" s="26" t="s">
        <v>57</v>
      </c>
      <c r="K283" s="27" t="s">
        <v>89</v>
      </c>
      <c r="L283" s="28" t="s">
        <v>56</v>
      </c>
      <c r="M283" s="29" t="str">
        <f t="shared" si="20"/>
        <v>⚠ Missing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1882</v>
      </c>
      <c r="C284" s="44" t="s">
        <v>1883</v>
      </c>
      <c r="D284" s="42" t="s">
        <v>1325</v>
      </c>
      <c r="E284" s="45">
        <v>46132</v>
      </c>
      <c r="F284" s="26" t="s">
        <v>55</v>
      </c>
      <c r="G284" s="26" t="s">
        <v>57</v>
      </c>
      <c r="H284" s="26" t="s">
        <v>57</v>
      </c>
      <c r="I284" s="26" t="s">
        <v>88</v>
      </c>
      <c r="J284" s="26" t="s">
        <v>57</v>
      </c>
      <c r="K284" s="27" t="s">
        <v>89</v>
      </c>
      <c r="L284" s="28" t="s">
        <v>56</v>
      </c>
      <c r="M284" s="29" t="str">
        <f t="shared" si="20"/>
        <v>⚠ Missing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1884</v>
      </c>
      <c r="C285" s="25" t="s">
        <v>1885</v>
      </c>
      <c r="D285" s="23" t="s">
        <v>1325</v>
      </c>
      <c r="E285" s="45">
        <v>46132</v>
      </c>
      <c r="F285" s="26" t="s">
        <v>55</v>
      </c>
      <c r="G285" s="26" t="s">
        <v>57</v>
      </c>
      <c r="H285" s="26" t="s">
        <v>57</v>
      </c>
      <c r="I285" s="26" t="s">
        <v>88</v>
      </c>
      <c r="J285" s="26" t="s">
        <v>57</v>
      </c>
      <c r="K285" s="27" t="s">
        <v>89</v>
      </c>
      <c r="L285" s="28" t="s">
        <v>56</v>
      </c>
      <c r="M285" s="29" t="str">
        <f t="shared" si="20"/>
        <v>⚠ Missing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1886</v>
      </c>
      <c r="C286" s="44" t="s">
        <v>1887</v>
      </c>
      <c r="D286" s="42" t="s">
        <v>1325</v>
      </c>
      <c r="E286" s="45">
        <v>46132</v>
      </c>
      <c r="F286" s="26" t="s">
        <v>55</v>
      </c>
      <c r="G286" s="26" t="s">
        <v>57</v>
      </c>
      <c r="H286" s="26" t="s">
        <v>57</v>
      </c>
      <c r="I286" s="26" t="s">
        <v>88</v>
      </c>
      <c r="J286" s="26" t="s">
        <v>57</v>
      </c>
      <c r="K286" s="27" t="s">
        <v>89</v>
      </c>
      <c r="L286" s="28" t="s">
        <v>56</v>
      </c>
      <c r="M286" s="29" t="str">
        <f t="shared" si="20"/>
        <v>⚠ Missing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1888</v>
      </c>
      <c r="C287" s="25" t="s">
        <v>1889</v>
      </c>
      <c r="D287" s="23" t="s">
        <v>1325</v>
      </c>
      <c r="E287" s="45">
        <v>46132</v>
      </c>
      <c r="F287" s="26" t="s">
        <v>55</v>
      </c>
      <c r="G287" s="26" t="s">
        <v>57</v>
      </c>
      <c r="H287" s="26" t="s">
        <v>57</v>
      </c>
      <c r="I287" s="26" t="s">
        <v>88</v>
      </c>
      <c r="J287" s="26" t="s">
        <v>57</v>
      </c>
      <c r="K287" s="27" t="s">
        <v>89</v>
      </c>
      <c r="L287" s="28" t="s">
        <v>56</v>
      </c>
      <c r="M287" s="29" t="str">
        <f t="shared" si="20"/>
        <v>⚠ Missing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1890</v>
      </c>
      <c r="C288" s="44" t="s">
        <v>1891</v>
      </c>
      <c r="D288" s="42" t="s">
        <v>1325</v>
      </c>
      <c r="E288" s="45">
        <v>46132</v>
      </c>
      <c r="F288" s="26" t="s">
        <v>55</v>
      </c>
      <c r="G288" s="26" t="s">
        <v>57</v>
      </c>
      <c r="H288" s="26" t="s">
        <v>57</v>
      </c>
      <c r="I288" s="26" t="s">
        <v>88</v>
      </c>
      <c r="J288" s="26" t="s">
        <v>57</v>
      </c>
      <c r="K288" s="27" t="s">
        <v>89</v>
      </c>
      <c r="L288" s="28" t="s">
        <v>56</v>
      </c>
      <c r="M288" s="29" t="str">
        <f t="shared" si="20"/>
        <v>⚠ Missing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1892</v>
      </c>
      <c r="C289" s="25" t="s">
        <v>1893</v>
      </c>
      <c r="D289" s="23" t="s">
        <v>1325</v>
      </c>
      <c r="E289" s="45">
        <v>46132</v>
      </c>
      <c r="F289" s="26" t="s">
        <v>55</v>
      </c>
      <c r="G289" s="26" t="s">
        <v>57</v>
      </c>
      <c r="H289" s="26" t="s">
        <v>57</v>
      </c>
      <c r="I289" s="26" t="s">
        <v>88</v>
      </c>
      <c r="J289" s="26" t="s">
        <v>57</v>
      </c>
      <c r="K289" s="27" t="s">
        <v>89</v>
      </c>
      <c r="L289" s="28" t="s">
        <v>56</v>
      </c>
      <c r="M289" s="29" t="str">
        <f t="shared" si="20"/>
        <v>⚠ Missing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1894</v>
      </c>
      <c r="C290" s="44" t="s">
        <v>1895</v>
      </c>
      <c r="D290" s="42" t="s">
        <v>1325</v>
      </c>
      <c r="E290" s="45">
        <v>46132</v>
      </c>
      <c r="F290" s="26" t="s">
        <v>55</v>
      </c>
      <c r="G290" s="26" t="s">
        <v>57</v>
      </c>
      <c r="H290" s="26" t="s">
        <v>57</v>
      </c>
      <c r="I290" s="26" t="s">
        <v>88</v>
      </c>
      <c r="J290" s="26" t="s">
        <v>57</v>
      </c>
      <c r="K290" s="27" t="s">
        <v>89</v>
      </c>
      <c r="L290" s="28" t="s">
        <v>56</v>
      </c>
      <c r="M290" s="29" t="str">
        <f t="shared" si="20"/>
        <v>⚠ Missing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1896</v>
      </c>
      <c r="C291" s="25" t="s">
        <v>1897</v>
      </c>
      <c r="D291" s="23" t="s">
        <v>1325</v>
      </c>
      <c r="E291" s="45">
        <v>46132</v>
      </c>
      <c r="F291" s="26" t="s">
        <v>55</v>
      </c>
      <c r="G291" s="26" t="s">
        <v>57</v>
      </c>
      <c r="H291" s="26" t="s">
        <v>57</v>
      </c>
      <c r="I291" s="26" t="s">
        <v>88</v>
      </c>
      <c r="J291" s="26" t="s">
        <v>57</v>
      </c>
      <c r="K291" s="27" t="s">
        <v>89</v>
      </c>
      <c r="L291" s="28" t="s">
        <v>56</v>
      </c>
      <c r="M291" s="29" t="str">
        <f t="shared" si="20"/>
        <v>⚠ Missing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1898</v>
      </c>
      <c r="C292" s="44" t="s">
        <v>1899</v>
      </c>
      <c r="D292" s="42" t="s">
        <v>1325</v>
      </c>
      <c r="E292" s="45">
        <v>46132</v>
      </c>
      <c r="F292" s="26" t="s">
        <v>55</v>
      </c>
      <c r="G292" s="26" t="s">
        <v>57</v>
      </c>
      <c r="H292" s="26" t="s">
        <v>57</v>
      </c>
      <c r="I292" s="26" t="s">
        <v>88</v>
      </c>
      <c r="J292" s="26" t="s">
        <v>57</v>
      </c>
      <c r="K292" s="27" t="s">
        <v>89</v>
      </c>
      <c r="L292" s="28" t="s">
        <v>56</v>
      </c>
      <c r="M292" s="29" t="str">
        <f t="shared" si="20"/>
        <v>⚠ Missing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1900</v>
      </c>
      <c r="C293" s="25" t="s">
        <v>1901</v>
      </c>
      <c r="D293" s="23" t="s">
        <v>1325</v>
      </c>
      <c r="E293" s="45">
        <v>46132</v>
      </c>
      <c r="F293" s="26" t="s">
        <v>55</v>
      </c>
      <c r="G293" s="26" t="s">
        <v>57</v>
      </c>
      <c r="H293" s="26" t="s">
        <v>57</v>
      </c>
      <c r="I293" s="26" t="s">
        <v>88</v>
      </c>
      <c r="J293" s="26" t="s">
        <v>57</v>
      </c>
      <c r="K293" s="27" t="s">
        <v>89</v>
      </c>
      <c r="L293" s="28" t="s">
        <v>56</v>
      </c>
      <c r="M293" s="29" t="str">
        <f t="shared" si="20"/>
        <v>⚠ Missing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1902</v>
      </c>
      <c r="C294" s="44" t="s">
        <v>1903</v>
      </c>
      <c r="D294" s="42" t="s">
        <v>1325</v>
      </c>
      <c r="E294" s="45">
        <v>46132</v>
      </c>
      <c r="F294" s="26" t="s">
        <v>55</v>
      </c>
      <c r="G294" s="26" t="s">
        <v>57</v>
      </c>
      <c r="H294" s="26" t="s">
        <v>57</v>
      </c>
      <c r="I294" s="26" t="s">
        <v>88</v>
      </c>
      <c r="J294" s="26" t="s">
        <v>57</v>
      </c>
      <c r="K294" s="27" t="s">
        <v>89</v>
      </c>
      <c r="L294" s="28" t="s">
        <v>56</v>
      </c>
      <c r="M294" s="29" t="str">
        <f t="shared" si="20"/>
        <v>⚠ Missing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1904</v>
      </c>
      <c r="C295" s="25" t="s">
        <v>1905</v>
      </c>
      <c r="D295" s="23" t="s">
        <v>1325</v>
      </c>
      <c r="E295" s="45">
        <v>46132</v>
      </c>
      <c r="F295" s="26" t="s">
        <v>55</v>
      </c>
      <c r="G295" s="26" t="s">
        <v>57</v>
      </c>
      <c r="H295" s="26" t="s">
        <v>57</v>
      </c>
      <c r="I295" s="26" t="s">
        <v>88</v>
      </c>
      <c r="J295" s="26" t="s">
        <v>57</v>
      </c>
      <c r="K295" s="27" t="s">
        <v>89</v>
      </c>
      <c r="L295" s="28" t="s">
        <v>56</v>
      </c>
      <c r="M295" s="29" t="str">
        <f t="shared" si="20"/>
        <v>⚠ Missing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1906</v>
      </c>
      <c r="C296" s="44" t="s">
        <v>1907</v>
      </c>
      <c r="D296" s="42" t="s">
        <v>1325</v>
      </c>
      <c r="E296" s="45">
        <v>46132</v>
      </c>
      <c r="F296" s="26" t="s">
        <v>55</v>
      </c>
      <c r="G296" s="26" t="s">
        <v>57</v>
      </c>
      <c r="H296" s="26" t="s">
        <v>57</v>
      </c>
      <c r="I296" s="26" t="s">
        <v>88</v>
      </c>
      <c r="J296" s="26" t="s">
        <v>57</v>
      </c>
      <c r="K296" s="27" t="s">
        <v>89</v>
      </c>
      <c r="L296" s="28" t="s">
        <v>56</v>
      </c>
      <c r="M296" s="29" t="str">
        <f t="shared" si="20"/>
        <v>⚠ Missing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1908</v>
      </c>
      <c r="C297" s="25" t="s">
        <v>1909</v>
      </c>
      <c r="D297" s="23" t="s">
        <v>1325</v>
      </c>
      <c r="E297" s="45">
        <v>46132</v>
      </c>
      <c r="F297" s="26" t="s">
        <v>55</v>
      </c>
      <c r="G297" s="26" t="s">
        <v>57</v>
      </c>
      <c r="H297" s="26" t="s">
        <v>57</v>
      </c>
      <c r="I297" s="26" t="s">
        <v>88</v>
      </c>
      <c r="J297" s="26" t="s">
        <v>57</v>
      </c>
      <c r="K297" s="27" t="s">
        <v>89</v>
      </c>
      <c r="L297" s="28" t="s">
        <v>56</v>
      </c>
      <c r="M297" s="29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1910</v>
      </c>
      <c r="C298" s="44" t="s">
        <v>1911</v>
      </c>
      <c r="D298" s="42" t="s">
        <v>1325</v>
      </c>
      <c r="E298" s="45">
        <v>46132</v>
      </c>
      <c r="F298" s="26" t="s">
        <v>55</v>
      </c>
      <c r="G298" s="26" t="s">
        <v>57</v>
      </c>
      <c r="H298" s="26" t="s">
        <v>57</v>
      </c>
      <c r="I298" s="26" t="s">
        <v>88</v>
      </c>
      <c r="J298" s="26" t="s">
        <v>57</v>
      </c>
      <c r="K298" s="27" t="s">
        <v>89</v>
      </c>
      <c r="L298" s="28" t="s">
        <v>56</v>
      </c>
      <c r="M298" s="29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1912</v>
      </c>
      <c r="C299" s="25" t="s">
        <v>1913</v>
      </c>
      <c r="D299" s="23" t="s">
        <v>1325</v>
      </c>
      <c r="E299" s="45">
        <v>46132</v>
      </c>
      <c r="F299" s="26" t="s">
        <v>55</v>
      </c>
      <c r="G299" s="26" t="s">
        <v>57</v>
      </c>
      <c r="H299" s="26" t="s">
        <v>57</v>
      </c>
      <c r="I299" s="26" t="s">
        <v>88</v>
      </c>
      <c r="J299" s="26" t="s">
        <v>57</v>
      </c>
      <c r="K299" s="27" t="s">
        <v>89</v>
      </c>
      <c r="L299" s="28" t="s">
        <v>56</v>
      </c>
      <c r="M299" s="29" t="str">
        <f t="shared" si="20"/>
        <v>⚠ Missing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1914</v>
      </c>
      <c r="C300" s="44" t="s">
        <v>1915</v>
      </c>
      <c r="D300" s="42" t="s">
        <v>1325</v>
      </c>
      <c r="E300" s="45">
        <v>46132</v>
      </c>
      <c r="F300" s="26" t="s">
        <v>55</v>
      </c>
      <c r="G300" s="26" t="s">
        <v>57</v>
      </c>
      <c r="H300" s="26" t="s">
        <v>57</v>
      </c>
      <c r="I300" s="26" t="s">
        <v>88</v>
      </c>
      <c r="J300" s="26" t="s">
        <v>57</v>
      </c>
      <c r="K300" s="27" t="s">
        <v>89</v>
      </c>
      <c r="L300" s="28" t="s">
        <v>56</v>
      </c>
      <c r="M300" s="29" t="str">
        <f t="shared" si="20"/>
        <v>⚠ Missing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1916</v>
      </c>
      <c r="C301" s="25" t="s">
        <v>1917</v>
      </c>
      <c r="D301" s="23" t="s">
        <v>1325</v>
      </c>
      <c r="E301" s="45">
        <v>46132</v>
      </c>
      <c r="F301" s="26" t="s">
        <v>55</v>
      </c>
      <c r="G301" s="26" t="s">
        <v>57</v>
      </c>
      <c r="H301" s="26" t="s">
        <v>57</v>
      </c>
      <c r="I301" s="26" t="s">
        <v>88</v>
      </c>
      <c r="J301" s="26" t="s">
        <v>57</v>
      </c>
      <c r="K301" s="27" t="s">
        <v>89</v>
      </c>
      <c r="L301" s="28" t="s">
        <v>56</v>
      </c>
      <c r="M301" s="29" t="str">
        <f t="shared" si="20"/>
        <v>⚠ Missing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1918</v>
      </c>
      <c r="C302" s="44" t="s">
        <v>1919</v>
      </c>
      <c r="D302" s="42" t="s">
        <v>1325</v>
      </c>
      <c r="E302" s="45">
        <v>46132</v>
      </c>
      <c r="F302" s="26" t="s">
        <v>55</v>
      </c>
      <c r="G302" s="26" t="s">
        <v>57</v>
      </c>
      <c r="H302" s="26" t="s">
        <v>57</v>
      </c>
      <c r="I302" s="26" t="s">
        <v>88</v>
      </c>
      <c r="J302" s="26" t="s">
        <v>57</v>
      </c>
      <c r="K302" s="27" t="s">
        <v>89</v>
      </c>
      <c r="L302" s="28" t="s">
        <v>56</v>
      </c>
      <c r="M302" s="29" t="str">
        <f t="shared" si="20"/>
        <v>⚠ Missing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1920</v>
      </c>
      <c r="C303" s="25" t="s">
        <v>1921</v>
      </c>
      <c r="D303" s="23" t="s">
        <v>1325</v>
      </c>
      <c r="E303" s="45">
        <v>46132</v>
      </c>
      <c r="F303" s="26" t="s">
        <v>55</v>
      </c>
      <c r="G303" s="26" t="s">
        <v>57</v>
      </c>
      <c r="H303" s="26" t="s">
        <v>57</v>
      </c>
      <c r="I303" s="26" t="s">
        <v>88</v>
      </c>
      <c r="J303" s="26" t="s">
        <v>57</v>
      </c>
      <c r="K303" s="27" t="s">
        <v>89</v>
      </c>
      <c r="L303" s="28" t="s">
        <v>56</v>
      </c>
      <c r="M303" s="29" t="str">
        <f t="shared" si="20"/>
        <v>⚠ Missing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1922</v>
      </c>
      <c r="C304" s="44" t="s">
        <v>1923</v>
      </c>
      <c r="D304" s="42" t="s">
        <v>1325</v>
      </c>
      <c r="E304" s="45">
        <v>46132</v>
      </c>
      <c r="F304" s="26" t="s">
        <v>55</v>
      </c>
      <c r="G304" s="26" t="s">
        <v>57</v>
      </c>
      <c r="H304" s="26" t="s">
        <v>57</v>
      </c>
      <c r="I304" s="26" t="s">
        <v>88</v>
      </c>
      <c r="J304" s="26" t="s">
        <v>57</v>
      </c>
      <c r="K304" s="27" t="s">
        <v>89</v>
      </c>
      <c r="L304" s="28" t="s">
        <v>56</v>
      </c>
      <c r="M304" s="29" t="str">
        <f t="shared" si="20"/>
        <v>⚠ Missing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1924</v>
      </c>
      <c r="C305" s="25" t="s">
        <v>1925</v>
      </c>
      <c r="D305" s="23" t="s">
        <v>1325</v>
      </c>
      <c r="E305" s="45">
        <v>46132</v>
      </c>
      <c r="F305" s="26" t="s">
        <v>55</v>
      </c>
      <c r="G305" s="26" t="s">
        <v>57</v>
      </c>
      <c r="H305" s="26" t="s">
        <v>57</v>
      </c>
      <c r="I305" s="26" t="s">
        <v>88</v>
      </c>
      <c r="J305" s="26" t="s">
        <v>57</v>
      </c>
      <c r="K305" s="27" t="s">
        <v>89</v>
      </c>
      <c r="L305" s="28" t="s">
        <v>56</v>
      </c>
      <c r="M305" s="29" t="str">
        <f t="shared" si="20"/>
        <v>⚠ Missing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1926</v>
      </c>
      <c r="C306" s="44" t="s">
        <v>1927</v>
      </c>
      <c r="D306" s="42" t="s">
        <v>1325</v>
      </c>
      <c r="E306" s="45">
        <v>46132</v>
      </c>
      <c r="F306" s="26" t="s">
        <v>55</v>
      </c>
      <c r="G306" s="26" t="s">
        <v>57</v>
      </c>
      <c r="H306" s="26" t="s">
        <v>57</v>
      </c>
      <c r="I306" s="26" t="s">
        <v>88</v>
      </c>
      <c r="J306" s="26" t="s">
        <v>57</v>
      </c>
      <c r="K306" s="27" t="s">
        <v>89</v>
      </c>
      <c r="L306" s="28" t="s">
        <v>56</v>
      </c>
      <c r="M306" s="29" t="str">
        <f t="shared" si="20"/>
        <v>⚠ Missing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1928</v>
      </c>
      <c r="C307" s="25" t="s">
        <v>1929</v>
      </c>
      <c r="D307" s="23" t="s">
        <v>1325</v>
      </c>
      <c r="E307" s="45">
        <v>46132</v>
      </c>
      <c r="F307" s="26" t="s">
        <v>55</v>
      </c>
      <c r="G307" s="26" t="s">
        <v>57</v>
      </c>
      <c r="H307" s="26" t="s">
        <v>57</v>
      </c>
      <c r="I307" s="26" t="s">
        <v>88</v>
      </c>
      <c r="J307" s="26" t="s">
        <v>57</v>
      </c>
      <c r="K307" s="27" t="s">
        <v>89</v>
      </c>
      <c r="L307" s="28" t="s">
        <v>56</v>
      </c>
      <c r="M307" s="29" t="str">
        <f t="shared" si="20"/>
        <v>⚠ Missing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1930</v>
      </c>
      <c r="C308" s="44" t="s">
        <v>1931</v>
      </c>
      <c r="D308" s="42" t="s">
        <v>1325</v>
      </c>
      <c r="E308" s="45">
        <v>46132</v>
      </c>
      <c r="F308" s="26" t="s">
        <v>55</v>
      </c>
      <c r="G308" s="26" t="s">
        <v>57</v>
      </c>
      <c r="H308" s="26" t="s">
        <v>57</v>
      </c>
      <c r="I308" s="26" t="s">
        <v>88</v>
      </c>
      <c r="J308" s="26" t="s">
        <v>57</v>
      </c>
      <c r="K308" s="27" t="s">
        <v>89</v>
      </c>
      <c r="L308" s="28" t="s">
        <v>56</v>
      </c>
      <c r="M308" s="29" t="str">
        <f t="shared" si="20"/>
        <v>⚠ Missing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1932</v>
      </c>
      <c r="C309" s="25" t="s">
        <v>1933</v>
      </c>
      <c r="D309" s="23" t="s">
        <v>1325</v>
      </c>
      <c r="E309" s="45">
        <v>46132</v>
      </c>
      <c r="F309" s="26" t="s">
        <v>55</v>
      </c>
      <c r="G309" s="26" t="s">
        <v>57</v>
      </c>
      <c r="H309" s="26" t="s">
        <v>57</v>
      </c>
      <c r="I309" s="26" t="s">
        <v>88</v>
      </c>
      <c r="J309" s="26" t="s">
        <v>57</v>
      </c>
      <c r="K309" s="27" t="s">
        <v>89</v>
      </c>
      <c r="L309" s="28" t="s">
        <v>56</v>
      </c>
      <c r="M309" s="29" t="str">
        <f t="shared" si="20"/>
        <v>⚠ Missing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1934</v>
      </c>
      <c r="C310" s="44" t="s">
        <v>1935</v>
      </c>
      <c r="D310" s="42" t="s">
        <v>1325</v>
      </c>
      <c r="E310" s="45">
        <v>46132</v>
      </c>
      <c r="F310" s="26" t="s">
        <v>55</v>
      </c>
      <c r="G310" s="26" t="s">
        <v>57</v>
      </c>
      <c r="H310" s="26" t="s">
        <v>57</v>
      </c>
      <c r="I310" s="26" t="s">
        <v>88</v>
      </c>
      <c r="J310" s="26" t="s">
        <v>57</v>
      </c>
      <c r="K310" s="27" t="s">
        <v>89</v>
      </c>
      <c r="L310" s="28" t="s">
        <v>56</v>
      </c>
      <c r="M310" s="29" t="str">
        <f t="shared" si="20"/>
        <v>⚠ Missing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1936</v>
      </c>
      <c r="C311" s="25" t="s">
        <v>1937</v>
      </c>
      <c r="D311" s="23" t="s">
        <v>1325</v>
      </c>
      <c r="E311" s="45">
        <v>46132</v>
      </c>
      <c r="F311" s="26" t="s">
        <v>55</v>
      </c>
      <c r="G311" s="26" t="s">
        <v>57</v>
      </c>
      <c r="H311" s="26" t="s">
        <v>57</v>
      </c>
      <c r="I311" s="26" t="s">
        <v>88</v>
      </c>
      <c r="J311" s="26" t="s">
        <v>57</v>
      </c>
      <c r="K311" s="27" t="s">
        <v>89</v>
      </c>
      <c r="L311" s="28" t="s">
        <v>56</v>
      </c>
      <c r="M311" s="29" t="str">
        <f t="shared" si="20"/>
        <v>⚠ Missing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1938</v>
      </c>
      <c r="C312" s="44" t="s">
        <v>1939</v>
      </c>
      <c r="D312" s="42" t="s">
        <v>1325</v>
      </c>
      <c r="E312" s="45">
        <v>46132</v>
      </c>
      <c r="F312" s="26" t="s">
        <v>55</v>
      </c>
      <c r="G312" s="26" t="s">
        <v>57</v>
      </c>
      <c r="H312" s="26" t="s">
        <v>57</v>
      </c>
      <c r="I312" s="26" t="s">
        <v>88</v>
      </c>
      <c r="J312" s="26" t="s">
        <v>57</v>
      </c>
      <c r="K312" s="27" t="s">
        <v>89</v>
      </c>
      <c r="L312" s="28" t="s">
        <v>56</v>
      </c>
      <c r="M312" s="29" t="str">
        <f t="shared" si="20"/>
        <v>⚠ Missing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1940</v>
      </c>
      <c r="C313" s="25" t="s">
        <v>1941</v>
      </c>
      <c r="D313" s="23" t="s">
        <v>1325</v>
      </c>
      <c r="E313" s="45">
        <v>46132</v>
      </c>
      <c r="F313" s="26" t="s">
        <v>55</v>
      </c>
      <c r="G313" s="26" t="s">
        <v>57</v>
      </c>
      <c r="H313" s="26" t="s">
        <v>57</v>
      </c>
      <c r="I313" s="26" t="s">
        <v>88</v>
      </c>
      <c r="J313" s="26" t="s">
        <v>57</v>
      </c>
      <c r="K313" s="27" t="s">
        <v>89</v>
      </c>
      <c r="L313" s="28" t="s">
        <v>56</v>
      </c>
      <c r="M313" s="29" t="str">
        <f t="shared" si="20"/>
        <v>⚠ Missing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1942</v>
      </c>
      <c r="C314" s="44" t="s">
        <v>1943</v>
      </c>
      <c r="D314" s="42" t="s">
        <v>1325</v>
      </c>
      <c r="E314" s="45">
        <v>46132</v>
      </c>
      <c r="F314" s="26" t="s">
        <v>55</v>
      </c>
      <c r="G314" s="26" t="s">
        <v>57</v>
      </c>
      <c r="H314" s="26" t="s">
        <v>57</v>
      </c>
      <c r="I314" s="26" t="s">
        <v>88</v>
      </c>
      <c r="J314" s="26" t="s">
        <v>57</v>
      </c>
      <c r="K314" s="27" t="s">
        <v>89</v>
      </c>
      <c r="L314" s="28" t="s">
        <v>56</v>
      </c>
      <c r="M314" s="29" t="str">
        <f t="shared" si="20"/>
        <v>⚠ Missing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1944</v>
      </c>
      <c r="C315" s="25" t="s">
        <v>1945</v>
      </c>
      <c r="D315" s="23" t="s">
        <v>1325</v>
      </c>
      <c r="E315" s="45">
        <v>46132</v>
      </c>
      <c r="F315" s="26" t="s">
        <v>55</v>
      </c>
      <c r="G315" s="26" t="s">
        <v>57</v>
      </c>
      <c r="H315" s="26" t="s">
        <v>57</v>
      </c>
      <c r="I315" s="26" t="s">
        <v>88</v>
      </c>
      <c r="J315" s="26" t="s">
        <v>57</v>
      </c>
      <c r="K315" s="27" t="s">
        <v>89</v>
      </c>
      <c r="L315" s="28" t="s">
        <v>56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1946</v>
      </c>
      <c r="C316" s="44" t="s">
        <v>1947</v>
      </c>
      <c r="D316" s="42" t="s">
        <v>1325</v>
      </c>
      <c r="E316" s="45">
        <v>46132</v>
      </c>
      <c r="F316" s="26" t="s">
        <v>55</v>
      </c>
      <c r="G316" s="26" t="s">
        <v>57</v>
      </c>
      <c r="H316" s="26" t="s">
        <v>57</v>
      </c>
      <c r="I316" s="26" t="s">
        <v>88</v>
      </c>
      <c r="J316" s="26" t="s">
        <v>57</v>
      </c>
      <c r="K316" s="27" t="s">
        <v>89</v>
      </c>
      <c r="L316" s="28" t="s">
        <v>56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1948</v>
      </c>
      <c r="C317" s="25" t="s">
        <v>1949</v>
      </c>
      <c r="D317" s="23" t="s">
        <v>1325</v>
      </c>
      <c r="E317" s="45">
        <v>46132</v>
      </c>
      <c r="F317" s="26" t="s">
        <v>55</v>
      </c>
      <c r="G317" s="26" t="s">
        <v>57</v>
      </c>
      <c r="H317" s="26" t="s">
        <v>57</v>
      </c>
      <c r="I317" s="26" t="s">
        <v>88</v>
      </c>
      <c r="J317" s="26" t="s">
        <v>57</v>
      </c>
      <c r="K317" s="27" t="s">
        <v>89</v>
      </c>
      <c r="L317" s="28" t="s">
        <v>56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1950</v>
      </c>
      <c r="C318" s="44" t="s">
        <v>1951</v>
      </c>
      <c r="D318" s="42" t="s">
        <v>1325</v>
      </c>
      <c r="E318" s="45">
        <v>46132</v>
      </c>
      <c r="F318" s="26" t="s">
        <v>55</v>
      </c>
      <c r="G318" s="26" t="s">
        <v>57</v>
      </c>
      <c r="H318" s="26" t="s">
        <v>57</v>
      </c>
      <c r="I318" s="26" t="s">
        <v>88</v>
      </c>
      <c r="J318" s="26" t="s">
        <v>57</v>
      </c>
      <c r="K318" s="27" t="s">
        <v>89</v>
      </c>
      <c r="L318" s="28" t="s">
        <v>56</v>
      </c>
      <c r="M318" s="29" t="str">
        <f t="shared" si="20"/>
        <v>⚠ Missing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1952</v>
      </c>
      <c r="C319" s="25" t="s">
        <v>1953</v>
      </c>
      <c r="D319" s="23" t="s">
        <v>1325</v>
      </c>
      <c r="E319" s="45">
        <v>46132</v>
      </c>
      <c r="F319" s="26" t="s">
        <v>55</v>
      </c>
      <c r="G319" s="26" t="s">
        <v>57</v>
      </c>
      <c r="H319" s="26" t="s">
        <v>57</v>
      </c>
      <c r="I319" s="26" t="s">
        <v>88</v>
      </c>
      <c r="J319" s="26" t="s">
        <v>57</v>
      </c>
      <c r="K319" s="27" t="s">
        <v>89</v>
      </c>
      <c r="L319" s="28" t="s">
        <v>56</v>
      </c>
      <c r="M319" s="29" t="str">
        <f t="shared" si="20"/>
        <v>⚠ Missing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1954</v>
      </c>
      <c r="C320" s="44" t="s">
        <v>1955</v>
      </c>
      <c r="D320" s="42" t="s">
        <v>1325</v>
      </c>
      <c r="E320" s="45">
        <v>46132</v>
      </c>
      <c r="F320" s="26" t="s">
        <v>55</v>
      </c>
      <c r="G320" s="26" t="s">
        <v>57</v>
      </c>
      <c r="H320" s="26" t="s">
        <v>57</v>
      </c>
      <c r="I320" s="26" t="s">
        <v>88</v>
      </c>
      <c r="J320" s="26" t="s">
        <v>57</v>
      </c>
      <c r="K320" s="27" t="s">
        <v>89</v>
      </c>
      <c r="L320" s="28" t="s">
        <v>56</v>
      </c>
      <c r="M320" s="29" t="str">
        <f t="shared" si="20"/>
        <v>⚠ Missing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1956</v>
      </c>
      <c r="C321" s="25" t="s">
        <v>1957</v>
      </c>
      <c r="D321" s="23" t="s">
        <v>1325</v>
      </c>
      <c r="E321" s="45">
        <v>46132</v>
      </c>
      <c r="F321" s="26" t="s">
        <v>55</v>
      </c>
      <c r="G321" s="26" t="s">
        <v>57</v>
      </c>
      <c r="H321" s="26" t="s">
        <v>57</v>
      </c>
      <c r="I321" s="26" t="s">
        <v>88</v>
      </c>
      <c r="J321" s="26" t="s">
        <v>57</v>
      </c>
      <c r="K321" s="27" t="s">
        <v>89</v>
      </c>
      <c r="L321" s="28" t="s">
        <v>56</v>
      </c>
      <c r="M321" s="29" t="str">
        <f t="shared" si="20"/>
        <v>⚠ Missing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1958</v>
      </c>
      <c r="C322" s="44" t="s">
        <v>1959</v>
      </c>
      <c r="D322" s="42" t="s">
        <v>1325</v>
      </c>
      <c r="E322" s="45">
        <v>46132</v>
      </c>
      <c r="F322" s="26" t="s">
        <v>55</v>
      </c>
      <c r="G322" s="26" t="s">
        <v>57</v>
      </c>
      <c r="H322" s="26" t="s">
        <v>57</v>
      </c>
      <c r="I322" s="26" t="s">
        <v>88</v>
      </c>
      <c r="J322" s="26" t="s">
        <v>57</v>
      </c>
      <c r="K322" s="27" t="s">
        <v>89</v>
      </c>
      <c r="L322" s="28" t="s">
        <v>56</v>
      </c>
      <c r="M322" s="29" t="str">
        <f t="shared" si="20"/>
        <v>⚠ Missing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1960</v>
      </c>
      <c r="C323" s="25" t="s">
        <v>1961</v>
      </c>
      <c r="D323" s="23" t="s">
        <v>1325</v>
      </c>
      <c r="E323" s="45">
        <v>46132</v>
      </c>
      <c r="F323" s="26" t="s">
        <v>55</v>
      </c>
      <c r="G323" s="26" t="s">
        <v>57</v>
      </c>
      <c r="H323" s="26" t="s">
        <v>57</v>
      </c>
      <c r="I323" s="26" t="s">
        <v>88</v>
      </c>
      <c r="J323" s="26" t="s">
        <v>57</v>
      </c>
      <c r="K323" s="27" t="s">
        <v>89</v>
      </c>
      <c r="L323" s="28" t="s">
        <v>56</v>
      </c>
      <c r="M323" s="29" t="str">
        <f t="shared" si="20"/>
        <v>⚠ Missing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1962</v>
      </c>
      <c r="C324" s="44" t="s">
        <v>1963</v>
      </c>
      <c r="D324" s="42" t="s">
        <v>1325</v>
      </c>
      <c r="E324" s="45">
        <v>46132</v>
      </c>
      <c r="F324" s="26" t="s">
        <v>55</v>
      </c>
      <c r="G324" s="26" t="s">
        <v>57</v>
      </c>
      <c r="H324" s="26" t="s">
        <v>57</v>
      </c>
      <c r="I324" s="26" t="s">
        <v>88</v>
      </c>
      <c r="J324" s="26" t="s">
        <v>57</v>
      </c>
      <c r="K324" s="27" t="s">
        <v>89</v>
      </c>
      <c r="L324" s="28" t="s">
        <v>56</v>
      </c>
      <c r="M324" s="29" t="str">
        <f t="shared" si="20"/>
        <v>⚠ Missing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1964</v>
      </c>
      <c r="C325" s="25" t="s">
        <v>1965</v>
      </c>
      <c r="D325" s="23" t="s">
        <v>1325</v>
      </c>
      <c r="E325" s="45">
        <v>46132</v>
      </c>
      <c r="F325" s="26" t="s">
        <v>55</v>
      </c>
      <c r="G325" s="26" t="s">
        <v>57</v>
      </c>
      <c r="H325" s="26" t="s">
        <v>57</v>
      </c>
      <c r="I325" s="26" t="s">
        <v>88</v>
      </c>
      <c r="J325" s="26" t="s">
        <v>57</v>
      </c>
      <c r="K325" s="27" t="s">
        <v>89</v>
      </c>
      <c r="L325" s="28" t="s">
        <v>56</v>
      </c>
      <c r="M325" s="29" t="str">
        <f t="shared" ref="M325:M388" si="25">IF(E325="","",IF(H325="Yes","❌ Disc",IF(G325="No","⚠ Missing",IF(J325="Yes","✓ OK","⚠ Check"))))</f>
        <v>⚠ Missing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1966</v>
      </c>
      <c r="C326" s="44" t="s">
        <v>1967</v>
      </c>
      <c r="D326" s="42" t="s">
        <v>1325</v>
      </c>
      <c r="E326" s="45">
        <v>46132</v>
      </c>
      <c r="F326" s="26" t="s">
        <v>55</v>
      </c>
      <c r="G326" s="26" t="s">
        <v>57</v>
      </c>
      <c r="H326" s="26" t="s">
        <v>57</v>
      </c>
      <c r="I326" s="26" t="s">
        <v>88</v>
      </c>
      <c r="J326" s="26" t="s">
        <v>57</v>
      </c>
      <c r="K326" s="27" t="s">
        <v>89</v>
      </c>
      <c r="L326" s="28" t="s">
        <v>56</v>
      </c>
      <c r="M326" s="29" t="str">
        <f t="shared" si="25"/>
        <v>⚠ Missing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1968</v>
      </c>
      <c r="C327" s="25" t="s">
        <v>1969</v>
      </c>
      <c r="D327" s="23" t="s">
        <v>1325</v>
      </c>
      <c r="E327" s="45">
        <v>46132</v>
      </c>
      <c r="F327" s="26" t="s">
        <v>55</v>
      </c>
      <c r="G327" s="26" t="s">
        <v>57</v>
      </c>
      <c r="H327" s="26" t="s">
        <v>57</v>
      </c>
      <c r="I327" s="26" t="s">
        <v>88</v>
      </c>
      <c r="J327" s="26" t="s">
        <v>57</v>
      </c>
      <c r="K327" s="27" t="s">
        <v>89</v>
      </c>
      <c r="L327" s="28" t="s">
        <v>56</v>
      </c>
      <c r="M327" s="29" t="str">
        <f t="shared" si="25"/>
        <v>⚠ Missing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1970</v>
      </c>
      <c r="C328" s="44" t="s">
        <v>1971</v>
      </c>
      <c r="D328" s="42" t="s">
        <v>1325</v>
      </c>
      <c r="E328" s="45">
        <v>46132</v>
      </c>
      <c r="F328" s="26" t="s">
        <v>55</v>
      </c>
      <c r="G328" s="26" t="s">
        <v>57</v>
      </c>
      <c r="H328" s="26" t="s">
        <v>57</v>
      </c>
      <c r="I328" s="26" t="s">
        <v>88</v>
      </c>
      <c r="J328" s="26" t="s">
        <v>57</v>
      </c>
      <c r="K328" s="27" t="s">
        <v>89</v>
      </c>
      <c r="L328" s="28" t="s">
        <v>56</v>
      </c>
      <c r="M328" s="29" t="str">
        <f t="shared" si="25"/>
        <v>⚠ Missing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1972</v>
      </c>
      <c r="C329" s="25" t="s">
        <v>1973</v>
      </c>
      <c r="D329" s="23" t="s">
        <v>1325</v>
      </c>
      <c r="E329" s="45">
        <v>46132</v>
      </c>
      <c r="F329" s="26" t="s">
        <v>55</v>
      </c>
      <c r="G329" s="26" t="s">
        <v>57</v>
      </c>
      <c r="H329" s="26" t="s">
        <v>57</v>
      </c>
      <c r="I329" s="26" t="s">
        <v>88</v>
      </c>
      <c r="J329" s="26" t="s">
        <v>57</v>
      </c>
      <c r="K329" s="27" t="s">
        <v>89</v>
      </c>
      <c r="L329" s="28" t="s">
        <v>56</v>
      </c>
      <c r="M329" s="29" t="str">
        <f t="shared" si="25"/>
        <v>⚠ Missing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1974</v>
      </c>
      <c r="C330" s="44" t="s">
        <v>1975</v>
      </c>
      <c r="D330" s="42" t="s">
        <v>1325</v>
      </c>
      <c r="E330" s="45">
        <v>46132</v>
      </c>
      <c r="F330" s="26" t="s">
        <v>55</v>
      </c>
      <c r="G330" s="26" t="s">
        <v>57</v>
      </c>
      <c r="H330" s="26" t="s">
        <v>57</v>
      </c>
      <c r="I330" s="26" t="s">
        <v>88</v>
      </c>
      <c r="J330" s="26" t="s">
        <v>57</v>
      </c>
      <c r="K330" s="27" t="s">
        <v>89</v>
      </c>
      <c r="L330" s="28" t="s">
        <v>56</v>
      </c>
      <c r="M330" s="29" t="str">
        <f t="shared" si="25"/>
        <v>⚠ Missing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1976</v>
      </c>
      <c r="C331" s="25" t="s">
        <v>1977</v>
      </c>
      <c r="D331" s="23" t="s">
        <v>1325</v>
      </c>
      <c r="E331" s="45">
        <v>46132</v>
      </c>
      <c r="F331" s="26" t="s">
        <v>55</v>
      </c>
      <c r="G331" s="26" t="s">
        <v>57</v>
      </c>
      <c r="H331" s="26" t="s">
        <v>57</v>
      </c>
      <c r="I331" s="26" t="s">
        <v>88</v>
      </c>
      <c r="J331" s="26" t="s">
        <v>57</v>
      </c>
      <c r="K331" s="27" t="s">
        <v>89</v>
      </c>
      <c r="L331" s="28" t="s">
        <v>56</v>
      </c>
      <c r="M331" s="29" t="str">
        <f t="shared" si="25"/>
        <v>⚠ Missing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1978</v>
      </c>
      <c r="C332" s="44" t="s">
        <v>1979</v>
      </c>
      <c r="D332" s="42" t="s">
        <v>1325</v>
      </c>
      <c r="E332" s="45">
        <v>46132</v>
      </c>
      <c r="F332" s="26" t="s">
        <v>55</v>
      </c>
      <c r="G332" s="26" t="s">
        <v>57</v>
      </c>
      <c r="H332" s="26" t="s">
        <v>57</v>
      </c>
      <c r="I332" s="26" t="s">
        <v>88</v>
      </c>
      <c r="J332" s="26" t="s">
        <v>57</v>
      </c>
      <c r="K332" s="27" t="s">
        <v>89</v>
      </c>
      <c r="L332" s="28" t="s">
        <v>56</v>
      </c>
      <c r="M332" s="29" t="str">
        <f t="shared" si="25"/>
        <v>⚠ Missing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1980</v>
      </c>
      <c r="C333" s="25" t="s">
        <v>1981</v>
      </c>
      <c r="D333" s="23" t="s">
        <v>1325</v>
      </c>
      <c r="E333" s="45">
        <v>46132</v>
      </c>
      <c r="F333" s="26" t="s">
        <v>55</v>
      </c>
      <c r="G333" s="26" t="s">
        <v>57</v>
      </c>
      <c r="H333" s="26" t="s">
        <v>57</v>
      </c>
      <c r="I333" s="26" t="s">
        <v>88</v>
      </c>
      <c r="J333" s="26" t="s">
        <v>57</v>
      </c>
      <c r="K333" s="27" t="s">
        <v>89</v>
      </c>
      <c r="L333" s="28" t="s">
        <v>56</v>
      </c>
      <c r="M333" s="29" t="str">
        <f t="shared" si="25"/>
        <v>⚠ Missing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1982</v>
      </c>
      <c r="C334" s="44" t="s">
        <v>1983</v>
      </c>
      <c r="D334" s="42" t="s">
        <v>1325</v>
      </c>
      <c r="E334" s="45">
        <v>46132</v>
      </c>
      <c r="F334" s="26" t="s">
        <v>55</v>
      </c>
      <c r="G334" s="26" t="s">
        <v>57</v>
      </c>
      <c r="H334" s="26" t="s">
        <v>57</v>
      </c>
      <c r="I334" s="26" t="s">
        <v>88</v>
      </c>
      <c r="J334" s="26" t="s">
        <v>57</v>
      </c>
      <c r="K334" s="27" t="s">
        <v>89</v>
      </c>
      <c r="L334" s="28" t="s">
        <v>56</v>
      </c>
      <c r="M334" s="29" t="str">
        <f t="shared" si="25"/>
        <v>⚠ Missing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1984</v>
      </c>
      <c r="C335" s="25" t="s">
        <v>1985</v>
      </c>
      <c r="D335" s="23" t="s">
        <v>1325</v>
      </c>
      <c r="E335" s="45">
        <v>46132</v>
      </c>
      <c r="F335" s="26" t="s">
        <v>55</v>
      </c>
      <c r="G335" s="26" t="s">
        <v>57</v>
      </c>
      <c r="H335" s="26" t="s">
        <v>57</v>
      </c>
      <c r="I335" s="26" t="s">
        <v>88</v>
      </c>
      <c r="J335" s="26" t="s">
        <v>57</v>
      </c>
      <c r="K335" s="27" t="s">
        <v>89</v>
      </c>
      <c r="L335" s="28" t="s">
        <v>56</v>
      </c>
      <c r="M335" s="29" t="str">
        <f t="shared" si="25"/>
        <v>⚠ Missing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1986</v>
      </c>
      <c r="C336" s="44" t="s">
        <v>1987</v>
      </c>
      <c r="D336" s="42" t="s">
        <v>1325</v>
      </c>
      <c r="E336" s="45">
        <v>46132</v>
      </c>
      <c r="F336" s="26" t="s">
        <v>55</v>
      </c>
      <c r="G336" s="26" t="s">
        <v>57</v>
      </c>
      <c r="H336" s="26" t="s">
        <v>57</v>
      </c>
      <c r="I336" s="26" t="s">
        <v>88</v>
      </c>
      <c r="J336" s="26" t="s">
        <v>57</v>
      </c>
      <c r="K336" s="27" t="s">
        <v>89</v>
      </c>
      <c r="L336" s="28" t="s">
        <v>56</v>
      </c>
      <c r="M336" s="29" t="str">
        <f t="shared" si="25"/>
        <v>⚠ Missing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1988</v>
      </c>
      <c r="C337" s="25" t="s">
        <v>1989</v>
      </c>
      <c r="D337" s="23" t="s">
        <v>1325</v>
      </c>
      <c r="E337" s="45">
        <v>46132</v>
      </c>
      <c r="F337" s="26" t="s">
        <v>55</v>
      </c>
      <c r="G337" s="26" t="s">
        <v>57</v>
      </c>
      <c r="H337" s="26" t="s">
        <v>57</v>
      </c>
      <c r="I337" s="26" t="s">
        <v>88</v>
      </c>
      <c r="J337" s="26" t="s">
        <v>57</v>
      </c>
      <c r="K337" s="27" t="s">
        <v>89</v>
      </c>
      <c r="L337" s="28" t="s">
        <v>56</v>
      </c>
      <c r="M337" s="29" t="str">
        <f t="shared" si="25"/>
        <v>⚠ Missing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1990</v>
      </c>
      <c r="C338" s="44" t="s">
        <v>1991</v>
      </c>
      <c r="D338" s="42" t="s">
        <v>1325</v>
      </c>
      <c r="E338" s="45">
        <v>46132</v>
      </c>
      <c r="F338" s="26" t="s">
        <v>55</v>
      </c>
      <c r="G338" s="26" t="s">
        <v>57</v>
      </c>
      <c r="H338" s="26" t="s">
        <v>57</v>
      </c>
      <c r="I338" s="26" t="s">
        <v>88</v>
      </c>
      <c r="J338" s="26" t="s">
        <v>57</v>
      </c>
      <c r="K338" s="27" t="s">
        <v>89</v>
      </c>
      <c r="L338" s="28" t="s">
        <v>56</v>
      </c>
      <c r="M338" s="29" t="str">
        <f t="shared" si="25"/>
        <v>⚠ Missing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1992</v>
      </c>
      <c r="C339" s="25" t="s">
        <v>1993</v>
      </c>
      <c r="D339" s="23" t="s">
        <v>1325</v>
      </c>
      <c r="E339" s="45">
        <v>46132</v>
      </c>
      <c r="F339" s="26" t="s">
        <v>55</v>
      </c>
      <c r="G339" s="26" t="s">
        <v>57</v>
      </c>
      <c r="H339" s="26" t="s">
        <v>57</v>
      </c>
      <c r="I339" s="26" t="s">
        <v>88</v>
      </c>
      <c r="J339" s="26" t="s">
        <v>57</v>
      </c>
      <c r="K339" s="27" t="s">
        <v>89</v>
      </c>
      <c r="L339" s="28" t="s">
        <v>56</v>
      </c>
      <c r="M339" s="29" t="str">
        <f t="shared" si="25"/>
        <v>⚠ Missing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1994</v>
      </c>
      <c r="C340" s="44" t="s">
        <v>1995</v>
      </c>
      <c r="D340" s="42" t="s">
        <v>1325</v>
      </c>
      <c r="E340" s="45">
        <v>46132</v>
      </c>
      <c r="F340" s="26" t="s">
        <v>55</v>
      </c>
      <c r="G340" s="26" t="s">
        <v>57</v>
      </c>
      <c r="H340" s="26" t="s">
        <v>57</v>
      </c>
      <c r="I340" s="26" t="s">
        <v>88</v>
      </c>
      <c r="J340" s="26" t="s">
        <v>57</v>
      </c>
      <c r="K340" s="27" t="s">
        <v>89</v>
      </c>
      <c r="L340" s="28" t="s">
        <v>56</v>
      </c>
      <c r="M340" s="29" t="str">
        <f t="shared" si="25"/>
        <v>⚠ Missing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1996</v>
      </c>
      <c r="C341" s="25" t="s">
        <v>1997</v>
      </c>
      <c r="D341" s="23" t="s">
        <v>1325</v>
      </c>
      <c r="E341" s="45">
        <v>46132</v>
      </c>
      <c r="F341" s="26" t="s">
        <v>55</v>
      </c>
      <c r="G341" s="26" t="s">
        <v>57</v>
      </c>
      <c r="H341" s="26" t="s">
        <v>57</v>
      </c>
      <c r="I341" s="26" t="s">
        <v>88</v>
      </c>
      <c r="J341" s="26" t="s">
        <v>57</v>
      </c>
      <c r="K341" s="27" t="s">
        <v>89</v>
      </c>
      <c r="L341" s="28" t="s">
        <v>56</v>
      </c>
      <c r="M341" s="29" t="str">
        <f t="shared" si="25"/>
        <v>⚠ Missing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1998</v>
      </c>
      <c r="C342" s="44" t="s">
        <v>1999</v>
      </c>
      <c r="D342" s="42" t="s">
        <v>1325</v>
      </c>
      <c r="E342" s="45">
        <v>46132</v>
      </c>
      <c r="F342" s="26" t="s">
        <v>55</v>
      </c>
      <c r="G342" s="26" t="s">
        <v>57</v>
      </c>
      <c r="H342" s="26" t="s">
        <v>57</v>
      </c>
      <c r="I342" s="26" t="s">
        <v>88</v>
      </c>
      <c r="J342" s="26" t="s">
        <v>57</v>
      </c>
      <c r="K342" s="27" t="s">
        <v>89</v>
      </c>
      <c r="L342" s="28" t="s">
        <v>56</v>
      </c>
      <c r="M342" s="29" t="str">
        <f t="shared" si="25"/>
        <v>⚠ Missing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2000</v>
      </c>
      <c r="C343" s="25" t="s">
        <v>2001</v>
      </c>
      <c r="D343" s="23" t="s">
        <v>1325</v>
      </c>
      <c r="E343" s="45">
        <v>46132</v>
      </c>
      <c r="F343" s="26" t="s">
        <v>55</v>
      </c>
      <c r="G343" s="26" t="s">
        <v>57</v>
      </c>
      <c r="H343" s="26" t="s">
        <v>57</v>
      </c>
      <c r="I343" s="26" t="s">
        <v>88</v>
      </c>
      <c r="J343" s="26" t="s">
        <v>57</v>
      </c>
      <c r="K343" s="27" t="s">
        <v>89</v>
      </c>
      <c r="L343" s="28" t="s">
        <v>56</v>
      </c>
      <c r="M343" s="29" t="str">
        <f t="shared" si="25"/>
        <v>⚠ Missing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2002</v>
      </c>
      <c r="C344" s="44" t="s">
        <v>2003</v>
      </c>
      <c r="D344" s="42" t="s">
        <v>1325</v>
      </c>
      <c r="E344" s="45">
        <v>46132</v>
      </c>
      <c r="F344" s="26" t="s">
        <v>55</v>
      </c>
      <c r="G344" s="26" t="s">
        <v>57</v>
      </c>
      <c r="H344" s="26" t="s">
        <v>57</v>
      </c>
      <c r="I344" s="26" t="s">
        <v>88</v>
      </c>
      <c r="J344" s="26" t="s">
        <v>57</v>
      </c>
      <c r="K344" s="27" t="s">
        <v>89</v>
      </c>
      <c r="L344" s="28" t="s">
        <v>56</v>
      </c>
      <c r="M344" s="29" t="str">
        <f t="shared" si="25"/>
        <v>⚠ Missing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2004</v>
      </c>
      <c r="C345" s="25" t="s">
        <v>2005</v>
      </c>
      <c r="D345" s="23" t="s">
        <v>1325</v>
      </c>
      <c r="E345" s="45">
        <v>46132</v>
      </c>
      <c r="F345" s="26" t="s">
        <v>55</v>
      </c>
      <c r="G345" s="26" t="s">
        <v>57</v>
      </c>
      <c r="H345" s="26" t="s">
        <v>57</v>
      </c>
      <c r="I345" s="26" t="s">
        <v>88</v>
      </c>
      <c r="J345" s="26" t="s">
        <v>57</v>
      </c>
      <c r="K345" s="27" t="s">
        <v>89</v>
      </c>
      <c r="L345" s="28" t="s">
        <v>56</v>
      </c>
      <c r="M345" s="29" t="str">
        <f t="shared" si="25"/>
        <v>⚠ Missing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2006</v>
      </c>
      <c r="C346" s="44" t="s">
        <v>2007</v>
      </c>
      <c r="D346" s="42" t="s">
        <v>1325</v>
      </c>
      <c r="E346" s="45">
        <v>46132</v>
      </c>
      <c r="F346" s="26" t="s">
        <v>55</v>
      </c>
      <c r="G346" s="26" t="s">
        <v>57</v>
      </c>
      <c r="H346" s="26" t="s">
        <v>57</v>
      </c>
      <c r="I346" s="26" t="s">
        <v>88</v>
      </c>
      <c r="J346" s="26" t="s">
        <v>57</v>
      </c>
      <c r="K346" s="27" t="s">
        <v>89</v>
      </c>
      <c r="L346" s="28" t="s">
        <v>56</v>
      </c>
      <c r="M346" s="29" t="str">
        <f t="shared" si="25"/>
        <v>⚠ Missing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2008</v>
      </c>
      <c r="C347" s="25" t="s">
        <v>2009</v>
      </c>
      <c r="D347" s="23" t="s">
        <v>1325</v>
      </c>
      <c r="E347" s="45">
        <v>46132</v>
      </c>
      <c r="F347" s="26" t="s">
        <v>55</v>
      </c>
      <c r="G347" s="26" t="s">
        <v>57</v>
      </c>
      <c r="H347" s="26" t="s">
        <v>57</v>
      </c>
      <c r="I347" s="26" t="s">
        <v>88</v>
      </c>
      <c r="J347" s="26" t="s">
        <v>57</v>
      </c>
      <c r="K347" s="27" t="s">
        <v>89</v>
      </c>
      <c r="L347" s="28" t="s">
        <v>56</v>
      </c>
      <c r="M347" s="29" t="str">
        <f t="shared" si="25"/>
        <v>⚠ Missing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2010</v>
      </c>
      <c r="C348" s="44" t="s">
        <v>2011</v>
      </c>
      <c r="D348" s="42" t="s">
        <v>1325</v>
      </c>
      <c r="E348" s="45">
        <v>46132</v>
      </c>
      <c r="F348" s="26" t="s">
        <v>55</v>
      </c>
      <c r="G348" s="26" t="s">
        <v>57</v>
      </c>
      <c r="H348" s="26" t="s">
        <v>57</v>
      </c>
      <c r="I348" s="26" t="s">
        <v>88</v>
      </c>
      <c r="J348" s="26" t="s">
        <v>57</v>
      </c>
      <c r="K348" s="27" t="s">
        <v>89</v>
      </c>
      <c r="L348" s="28" t="s">
        <v>56</v>
      </c>
      <c r="M348" s="29" t="str">
        <f t="shared" si="25"/>
        <v>⚠ Missing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2012</v>
      </c>
      <c r="C349" s="25" t="s">
        <v>2013</v>
      </c>
      <c r="D349" s="23" t="s">
        <v>1325</v>
      </c>
      <c r="E349" s="45">
        <v>46132</v>
      </c>
      <c r="F349" s="26" t="s">
        <v>55</v>
      </c>
      <c r="G349" s="26" t="s">
        <v>57</v>
      </c>
      <c r="H349" s="26" t="s">
        <v>57</v>
      </c>
      <c r="I349" s="26" t="s">
        <v>88</v>
      </c>
      <c r="J349" s="26" t="s">
        <v>57</v>
      </c>
      <c r="K349" s="27" t="s">
        <v>89</v>
      </c>
      <c r="L349" s="28" t="s">
        <v>56</v>
      </c>
      <c r="M349" s="29" t="str">
        <f t="shared" si="25"/>
        <v>⚠ Missing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2014</v>
      </c>
      <c r="C350" s="44" t="s">
        <v>2015</v>
      </c>
      <c r="D350" s="42" t="s">
        <v>1325</v>
      </c>
      <c r="E350" s="45">
        <v>46132</v>
      </c>
      <c r="F350" s="26" t="s">
        <v>55</v>
      </c>
      <c r="G350" s="26" t="s">
        <v>57</v>
      </c>
      <c r="H350" s="26" t="s">
        <v>57</v>
      </c>
      <c r="I350" s="26" t="s">
        <v>88</v>
      </c>
      <c r="J350" s="26" t="s">
        <v>57</v>
      </c>
      <c r="K350" s="27" t="s">
        <v>89</v>
      </c>
      <c r="L350" s="28" t="s">
        <v>56</v>
      </c>
      <c r="M350" s="29" t="str">
        <f t="shared" si="25"/>
        <v>⚠ Missing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2016</v>
      </c>
      <c r="C351" s="25" t="s">
        <v>2017</v>
      </c>
      <c r="D351" s="23" t="s">
        <v>1325</v>
      </c>
      <c r="E351" s="45">
        <v>46132</v>
      </c>
      <c r="F351" s="26" t="s">
        <v>55</v>
      </c>
      <c r="G351" s="26" t="s">
        <v>57</v>
      </c>
      <c r="H351" s="26" t="s">
        <v>57</v>
      </c>
      <c r="I351" s="26" t="s">
        <v>88</v>
      </c>
      <c r="J351" s="26" t="s">
        <v>57</v>
      </c>
      <c r="K351" s="27" t="s">
        <v>89</v>
      </c>
      <c r="L351" s="28" t="s">
        <v>56</v>
      </c>
      <c r="M351" s="29" t="str">
        <f t="shared" si="25"/>
        <v>⚠ Missing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2018</v>
      </c>
      <c r="C352" s="44" t="s">
        <v>2019</v>
      </c>
      <c r="D352" s="42" t="s">
        <v>1325</v>
      </c>
      <c r="E352" s="45">
        <v>46132</v>
      </c>
      <c r="F352" s="26" t="s">
        <v>55</v>
      </c>
      <c r="G352" s="26" t="s">
        <v>57</v>
      </c>
      <c r="H352" s="26" t="s">
        <v>57</v>
      </c>
      <c r="I352" s="26" t="s">
        <v>88</v>
      </c>
      <c r="J352" s="26" t="s">
        <v>57</v>
      </c>
      <c r="K352" s="27" t="s">
        <v>89</v>
      </c>
      <c r="L352" s="28" t="s">
        <v>56</v>
      </c>
      <c r="M352" s="29" t="str">
        <f t="shared" si="25"/>
        <v>⚠ Missing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2020</v>
      </c>
      <c r="C353" s="25" t="s">
        <v>2021</v>
      </c>
      <c r="D353" s="23" t="s">
        <v>1325</v>
      </c>
      <c r="E353" s="45">
        <v>46132</v>
      </c>
      <c r="F353" s="26" t="s">
        <v>55</v>
      </c>
      <c r="G353" s="26" t="s">
        <v>57</v>
      </c>
      <c r="H353" s="26" t="s">
        <v>57</v>
      </c>
      <c r="I353" s="26" t="s">
        <v>88</v>
      </c>
      <c r="J353" s="26" t="s">
        <v>57</v>
      </c>
      <c r="K353" s="27" t="s">
        <v>89</v>
      </c>
      <c r="L353" s="28" t="s">
        <v>56</v>
      </c>
      <c r="M353" s="29" t="str">
        <f t="shared" si="25"/>
        <v>⚠ Missing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2022</v>
      </c>
      <c r="C354" s="44" t="s">
        <v>2023</v>
      </c>
      <c r="D354" s="42" t="s">
        <v>1325</v>
      </c>
      <c r="E354" s="45">
        <v>46132</v>
      </c>
      <c r="F354" s="26" t="s">
        <v>55</v>
      </c>
      <c r="G354" s="26" t="s">
        <v>57</v>
      </c>
      <c r="H354" s="26" t="s">
        <v>57</v>
      </c>
      <c r="I354" s="26" t="s">
        <v>88</v>
      </c>
      <c r="J354" s="26" t="s">
        <v>57</v>
      </c>
      <c r="K354" s="27" t="s">
        <v>89</v>
      </c>
      <c r="L354" s="28" t="s">
        <v>56</v>
      </c>
      <c r="M354" s="29" t="str">
        <f t="shared" si="25"/>
        <v>⚠ Missing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2024</v>
      </c>
      <c r="C355" s="25" t="s">
        <v>2025</v>
      </c>
      <c r="D355" s="23" t="s">
        <v>1325</v>
      </c>
      <c r="E355" s="45">
        <v>46132</v>
      </c>
      <c r="F355" s="26" t="s">
        <v>55</v>
      </c>
      <c r="G355" s="26" t="s">
        <v>57</v>
      </c>
      <c r="H355" s="26" t="s">
        <v>57</v>
      </c>
      <c r="I355" s="26" t="s">
        <v>88</v>
      </c>
      <c r="J355" s="26" t="s">
        <v>57</v>
      </c>
      <c r="K355" s="27" t="s">
        <v>89</v>
      </c>
      <c r="L355" s="28" t="s">
        <v>56</v>
      </c>
      <c r="M355" s="29" t="str">
        <f t="shared" si="25"/>
        <v>⚠ Missing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2026</v>
      </c>
      <c r="C356" s="44" t="s">
        <v>2027</v>
      </c>
      <c r="D356" s="42" t="s">
        <v>1325</v>
      </c>
      <c r="E356" s="45">
        <v>46132</v>
      </c>
      <c r="F356" s="26" t="s">
        <v>55</v>
      </c>
      <c r="G356" s="26" t="s">
        <v>57</v>
      </c>
      <c r="H356" s="26" t="s">
        <v>57</v>
      </c>
      <c r="I356" s="26" t="s">
        <v>88</v>
      </c>
      <c r="J356" s="26" t="s">
        <v>57</v>
      </c>
      <c r="K356" s="27" t="s">
        <v>89</v>
      </c>
      <c r="L356" s="28" t="s">
        <v>56</v>
      </c>
      <c r="M356" s="29" t="str">
        <f t="shared" si="25"/>
        <v>⚠ Missing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2028</v>
      </c>
      <c r="C357" s="25" t="s">
        <v>2029</v>
      </c>
      <c r="D357" s="23" t="s">
        <v>1325</v>
      </c>
      <c r="E357" s="45">
        <v>46132</v>
      </c>
      <c r="F357" s="26" t="s">
        <v>55</v>
      </c>
      <c r="G357" s="26" t="s">
        <v>57</v>
      </c>
      <c r="H357" s="26" t="s">
        <v>57</v>
      </c>
      <c r="I357" s="26" t="s">
        <v>88</v>
      </c>
      <c r="J357" s="26" t="s">
        <v>57</v>
      </c>
      <c r="K357" s="27" t="s">
        <v>89</v>
      </c>
      <c r="L357" s="28" t="s">
        <v>56</v>
      </c>
      <c r="M357" s="29" t="str">
        <f t="shared" si="25"/>
        <v>⚠ Missing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2030</v>
      </c>
      <c r="C358" s="44" t="s">
        <v>2031</v>
      </c>
      <c r="D358" s="42" t="s">
        <v>1325</v>
      </c>
      <c r="E358" s="45">
        <v>46132</v>
      </c>
      <c r="F358" s="26" t="s">
        <v>55</v>
      </c>
      <c r="G358" s="26" t="s">
        <v>57</v>
      </c>
      <c r="H358" s="26" t="s">
        <v>57</v>
      </c>
      <c r="I358" s="26" t="s">
        <v>88</v>
      </c>
      <c r="J358" s="26" t="s">
        <v>57</v>
      </c>
      <c r="K358" s="27" t="s">
        <v>89</v>
      </c>
      <c r="L358" s="28" t="s">
        <v>56</v>
      </c>
      <c r="M358" s="29" t="str">
        <f t="shared" si="25"/>
        <v>⚠ Missing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2032</v>
      </c>
      <c r="C359" s="25" t="s">
        <v>2033</v>
      </c>
      <c r="D359" s="23" t="s">
        <v>1325</v>
      </c>
      <c r="E359" s="45">
        <v>46132</v>
      </c>
      <c r="F359" s="26" t="s">
        <v>55</v>
      </c>
      <c r="G359" s="26" t="s">
        <v>57</v>
      </c>
      <c r="H359" s="26" t="s">
        <v>57</v>
      </c>
      <c r="I359" s="26" t="s">
        <v>88</v>
      </c>
      <c r="J359" s="26" t="s">
        <v>57</v>
      </c>
      <c r="K359" s="27" t="s">
        <v>89</v>
      </c>
      <c r="L359" s="28" t="s">
        <v>56</v>
      </c>
      <c r="M359" s="29" t="str">
        <f t="shared" si="25"/>
        <v>⚠ Missing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2034</v>
      </c>
      <c r="C360" s="44" t="s">
        <v>2035</v>
      </c>
      <c r="D360" s="42" t="s">
        <v>1325</v>
      </c>
      <c r="E360" s="45">
        <v>46132</v>
      </c>
      <c r="F360" s="26" t="s">
        <v>55</v>
      </c>
      <c r="G360" s="26" t="s">
        <v>57</v>
      </c>
      <c r="H360" s="26" t="s">
        <v>57</v>
      </c>
      <c r="I360" s="26" t="s">
        <v>88</v>
      </c>
      <c r="J360" s="26" t="s">
        <v>57</v>
      </c>
      <c r="K360" s="27" t="s">
        <v>89</v>
      </c>
      <c r="L360" s="28" t="s">
        <v>56</v>
      </c>
      <c r="M360" s="29" t="str">
        <f t="shared" si="25"/>
        <v>⚠ Missing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2036</v>
      </c>
      <c r="C361" s="25" t="s">
        <v>2037</v>
      </c>
      <c r="D361" s="23" t="s">
        <v>1325</v>
      </c>
      <c r="E361" s="45">
        <v>46132</v>
      </c>
      <c r="F361" s="26" t="s">
        <v>55</v>
      </c>
      <c r="G361" s="26" t="s">
        <v>57</v>
      </c>
      <c r="H361" s="26" t="s">
        <v>57</v>
      </c>
      <c r="I361" s="26" t="s">
        <v>88</v>
      </c>
      <c r="J361" s="26" t="s">
        <v>57</v>
      </c>
      <c r="K361" s="27" t="s">
        <v>89</v>
      </c>
      <c r="L361" s="28" t="s">
        <v>56</v>
      </c>
      <c r="M361" s="29" t="str">
        <f t="shared" si="25"/>
        <v>⚠ Missing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2038</v>
      </c>
      <c r="C362" s="44" t="s">
        <v>2039</v>
      </c>
      <c r="D362" s="42" t="s">
        <v>1325</v>
      </c>
      <c r="E362" s="45">
        <v>46132</v>
      </c>
      <c r="F362" s="26" t="s">
        <v>55</v>
      </c>
      <c r="G362" s="26" t="s">
        <v>57</v>
      </c>
      <c r="H362" s="26" t="s">
        <v>57</v>
      </c>
      <c r="I362" s="26" t="s">
        <v>88</v>
      </c>
      <c r="J362" s="26" t="s">
        <v>57</v>
      </c>
      <c r="K362" s="27" t="s">
        <v>89</v>
      </c>
      <c r="L362" s="28" t="s">
        <v>56</v>
      </c>
      <c r="M362" s="29" t="str">
        <f t="shared" si="25"/>
        <v>⚠ Missing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2040</v>
      </c>
      <c r="C363" s="25" t="s">
        <v>2041</v>
      </c>
      <c r="D363" s="23" t="s">
        <v>1325</v>
      </c>
      <c r="E363" s="45">
        <v>46132</v>
      </c>
      <c r="F363" s="26" t="s">
        <v>55</v>
      </c>
      <c r="G363" s="26" t="s">
        <v>57</v>
      </c>
      <c r="H363" s="26" t="s">
        <v>57</v>
      </c>
      <c r="I363" s="26" t="s">
        <v>88</v>
      </c>
      <c r="J363" s="26" t="s">
        <v>57</v>
      </c>
      <c r="K363" s="27" t="s">
        <v>89</v>
      </c>
      <c r="L363" s="28" t="s">
        <v>56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2042</v>
      </c>
      <c r="C364" s="44" t="s">
        <v>2043</v>
      </c>
      <c r="D364" s="42" t="s">
        <v>1325</v>
      </c>
      <c r="E364" s="45">
        <v>46132</v>
      </c>
      <c r="F364" s="26" t="s">
        <v>55</v>
      </c>
      <c r="G364" s="26" t="s">
        <v>57</v>
      </c>
      <c r="H364" s="26" t="s">
        <v>57</v>
      </c>
      <c r="I364" s="26" t="s">
        <v>88</v>
      </c>
      <c r="J364" s="26" t="s">
        <v>57</v>
      </c>
      <c r="K364" s="27" t="s">
        <v>89</v>
      </c>
      <c r="L364" s="28" t="s">
        <v>56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2044</v>
      </c>
      <c r="C365" s="25" t="s">
        <v>2045</v>
      </c>
      <c r="D365" s="23" t="s">
        <v>1325</v>
      </c>
      <c r="E365" s="45">
        <v>46132</v>
      </c>
      <c r="F365" s="26" t="s">
        <v>55</v>
      </c>
      <c r="G365" s="26" t="s">
        <v>57</v>
      </c>
      <c r="H365" s="26" t="s">
        <v>57</v>
      </c>
      <c r="I365" s="26" t="s">
        <v>88</v>
      </c>
      <c r="J365" s="26" t="s">
        <v>57</v>
      </c>
      <c r="K365" s="27" t="s">
        <v>89</v>
      </c>
      <c r="L365" s="28" t="s">
        <v>56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2046</v>
      </c>
      <c r="C366" s="44" t="s">
        <v>2047</v>
      </c>
      <c r="D366" s="42" t="s">
        <v>1325</v>
      </c>
      <c r="E366" s="45">
        <v>46132</v>
      </c>
      <c r="F366" s="26" t="s">
        <v>55</v>
      </c>
      <c r="G366" s="26" t="s">
        <v>57</v>
      </c>
      <c r="H366" s="26" t="s">
        <v>57</v>
      </c>
      <c r="I366" s="26" t="s">
        <v>88</v>
      </c>
      <c r="J366" s="26" t="s">
        <v>57</v>
      </c>
      <c r="K366" s="27" t="s">
        <v>89</v>
      </c>
      <c r="L366" s="28" t="s">
        <v>56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2048</v>
      </c>
      <c r="C367" s="25" t="s">
        <v>2049</v>
      </c>
      <c r="D367" s="23" t="s">
        <v>1325</v>
      </c>
      <c r="E367" s="45">
        <v>46132</v>
      </c>
      <c r="F367" s="26" t="s">
        <v>55</v>
      </c>
      <c r="G367" s="26" t="s">
        <v>57</v>
      </c>
      <c r="H367" s="26" t="s">
        <v>57</v>
      </c>
      <c r="I367" s="26" t="s">
        <v>88</v>
      </c>
      <c r="J367" s="26" t="s">
        <v>57</v>
      </c>
      <c r="K367" s="27" t="s">
        <v>89</v>
      </c>
      <c r="L367" s="28" t="s">
        <v>56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2050</v>
      </c>
      <c r="C368" s="44" t="s">
        <v>2051</v>
      </c>
      <c r="D368" s="42" t="s">
        <v>1325</v>
      </c>
      <c r="E368" s="45">
        <v>46132</v>
      </c>
      <c r="F368" s="26" t="s">
        <v>55</v>
      </c>
      <c r="G368" s="26" t="s">
        <v>57</v>
      </c>
      <c r="H368" s="26" t="s">
        <v>57</v>
      </c>
      <c r="I368" s="26" t="s">
        <v>88</v>
      </c>
      <c r="J368" s="26" t="s">
        <v>57</v>
      </c>
      <c r="K368" s="27" t="s">
        <v>89</v>
      </c>
      <c r="L368" s="28" t="s">
        <v>56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2052</v>
      </c>
      <c r="C369" s="25" t="s">
        <v>2053</v>
      </c>
      <c r="D369" s="23" t="s">
        <v>1325</v>
      </c>
      <c r="E369" s="45">
        <v>46132</v>
      </c>
      <c r="F369" s="26" t="s">
        <v>55</v>
      </c>
      <c r="G369" s="26" t="s">
        <v>57</v>
      </c>
      <c r="H369" s="26" t="s">
        <v>57</v>
      </c>
      <c r="I369" s="26" t="s">
        <v>88</v>
      </c>
      <c r="J369" s="26" t="s">
        <v>57</v>
      </c>
      <c r="K369" s="27" t="s">
        <v>89</v>
      </c>
      <c r="L369" s="28" t="s">
        <v>56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2054</v>
      </c>
      <c r="C370" s="44" t="s">
        <v>2055</v>
      </c>
      <c r="D370" s="42" t="s">
        <v>1325</v>
      </c>
      <c r="E370" s="45">
        <v>46132</v>
      </c>
      <c r="F370" s="26" t="s">
        <v>55</v>
      </c>
      <c r="G370" s="26" t="s">
        <v>57</v>
      </c>
      <c r="H370" s="26" t="s">
        <v>57</v>
      </c>
      <c r="I370" s="26" t="s">
        <v>88</v>
      </c>
      <c r="J370" s="26" t="s">
        <v>57</v>
      </c>
      <c r="K370" s="27" t="s">
        <v>89</v>
      </c>
      <c r="L370" s="28" t="s">
        <v>56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2056</v>
      </c>
      <c r="C371" s="25" t="s">
        <v>2057</v>
      </c>
      <c r="D371" s="23" t="s">
        <v>1325</v>
      </c>
      <c r="E371" s="45">
        <v>46132</v>
      </c>
      <c r="F371" s="26" t="s">
        <v>55</v>
      </c>
      <c r="G371" s="26" t="s">
        <v>57</v>
      </c>
      <c r="H371" s="26" t="s">
        <v>57</v>
      </c>
      <c r="I371" s="26" t="s">
        <v>88</v>
      </c>
      <c r="J371" s="26" t="s">
        <v>57</v>
      </c>
      <c r="K371" s="27" t="s">
        <v>89</v>
      </c>
      <c r="L371" s="28" t="s">
        <v>56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2058</v>
      </c>
      <c r="C372" s="44" t="s">
        <v>2059</v>
      </c>
      <c r="D372" s="42" t="s">
        <v>1325</v>
      </c>
      <c r="E372" s="45">
        <v>46132</v>
      </c>
      <c r="F372" s="26" t="s">
        <v>55</v>
      </c>
      <c r="G372" s="26" t="s">
        <v>57</v>
      </c>
      <c r="H372" s="26" t="s">
        <v>57</v>
      </c>
      <c r="I372" s="26" t="s">
        <v>88</v>
      </c>
      <c r="J372" s="26" t="s">
        <v>57</v>
      </c>
      <c r="K372" s="27" t="s">
        <v>89</v>
      </c>
      <c r="L372" s="28" t="s">
        <v>56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2060</v>
      </c>
      <c r="C373" s="25" t="s">
        <v>2061</v>
      </c>
      <c r="D373" s="23" t="s">
        <v>1325</v>
      </c>
      <c r="E373" s="45">
        <v>46132</v>
      </c>
      <c r="F373" s="26" t="s">
        <v>55</v>
      </c>
      <c r="G373" s="26" t="s">
        <v>57</v>
      </c>
      <c r="H373" s="26" t="s">
        <v>57</v>
      </c>
      <c r="I373" s="26" t="s">
        <v>88</v>
      </c>
      <c r="J373" s="26" t="s">
        <v>57</v>
      </c>
      <c r="K373" s="27" t="s">
        <v>89</v>
      </c>
      <c r="L373" s="28" t="s">
        <v>56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2062</v>
      </c>
      <c r="C374" s="44" t="s">
        <v>2063</v>
      </c>
      <c r="D374" s="42" t="s">
        <v>1325</v>
      </c>
      <c r="E374" s="45">
        <v>46132</v>
      </c>
      <c r="F374" s="26" t="s">
        <v>55</v>
      </c>
      <c r="G374" s="26" t="s">
        <v>57</v>
      </c>
      <c r="H374" s="26" t="s">
        <v>57</v>
      </c>
      <c r="I374" s="26" t="s">
        <v>88</v>
      </c>
      <c r="J374" s="26" t="s">
        <v>57</v>
      </c>
      <c r="K374" s="27" t="s">
        <v>89</v>
      </c>
      <c r="L374" s="28" t="s">
        <v>56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2064</v>
      </c>
      <c r="C375" s="25" t="s">
        <v>2065</v>
      </c>
      <c r="D375" s="23" t="s">
        <v>1325</v>
      </c>
      <c r="E375" s="45">
        <v>46132</v>
      </c>
      <c r="F375" s="26" t="s">
        <v>55</v>
      </c>
      <c r="G375" s="26" t="s">
        <v>57</v>
      </c>
      <c r="H375" s="26" t="s">
        <v>57</v>
      </c>
      <c r="I375" s="26" t="s">
        <v>88</v>
      </c>
      <c r="J375" s="26" t="s">
        <v>57</v>
      </c>
      <c r="K375" s="27" t="s">
        <v>89</v>
      </c>
      <c r="L375" s="28" t="s">
        <v>56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2066</v>
      </c>
      <c r="C376" s="44" t="s">
        <v>2067</v>
      </c>
      <c r="D376" s="42" t="s">
        <v>1325</v>
      </c>
      <c r="E376" s="45">
        <v>46132</v>
      </c>
      <c r="F376" s="26" t="s">
        <v>55</v>
      </c>
      <c r="G376" s="26" t="s">
        <v>57</v>
      </c>
      <c r="H376" s="26" t="s">
        <v>57</v>
      </c>
      <c r="I376" s="26" t="s">
        <v>88</v>
      </c>
      <c r="J376" s="26" t="s">
        <v>57</v>
      </c>
      <c r="K376" s="27" t="s">
        <v>89</v>
      </c>
      <c r="L376" s="28" t="s">
        <v>56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2068</v>
      </c>
      <c r="C377" s="25" t="s">
        <v>2069</v>
      </c>
      <c r="D377" s="23" t="s">
        <v>1325</v>
      </c>
      <c r="E377" s="45">
        <v>46132</v>
      </c>
      <c r="F377" s="26" t="s">
        <v>55</v>
      </c>
      <c r="G377" s="26" t="s">
        <v>57</v>
      </c>
      <c r="H377" s="26" t="s">
        <v>57</v>
      </c>
      <c r="I377" s="26" t="s">
        <v>88</v>
      </c>
      <c r="J377" s="26" t="s">
        <v>57</v>
      </c>
      <c r="K377" s="27" t="s">
        <v>89</v>
      </c>
      <c r="L377" s="28" t="s">
        <v>56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2070</v>
      </c>
      <c r="C378" s="44" t="s">
        <v>2071</v>
      </c>
      <c r="D378" s="42" t="s">
        <v>1325</v>
      </c>
      <c r="E378" s="45">
        <v>46132</v>
      </c>
      <c r="F378" s="26" t="s">
        <v>55</v>
      </c>
      <c r="G378" s="26" t="s">
        <v>57</v>
      </c>
      <c r="H378" s="26" t="s">
        <v>57</v>
      </c>
      <c r="I378" s="26" t="s">
        <v>88</v>
      </c>
      <c r="J378" s="26" t="s">
        <v>57</v>
      </c>
      <c r="K378" s="27" t="s">
        <v>89</v>
      </c>
      <c r="L378" s="28" t="s">
        <v>56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2072</v>
      </c>
      <c r="C379" s="25" t="s">
        <v>2073</v>
      </c>
      <c r="D379" s="23" t="s">
        <v>1325</v>
      </c>
      <c r="E379" s="45">
        <v>46132</v>
      </c>
      <c r="F379" s="26" t="s">
        <v>55</v>
      </c>
      <c r="G379" s="26" t="s">
        <v>57</v>
      </c>
      <c r="H379" s="26" t="s">
        <v>57</v>
      </c>
      <c r="I379" s="26" t="s">
        <v>88</v>
      </c>
      <c r="J379" s="26" t="s">
        <v>57</v>
      </c>
      <c r="K379" s="27" t="s">
        <v>89</v>
      </c>
      <c r="L379" s="28" t="s">
        <v>56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2074</v>
      </c>
      <c r="C380" s="44" t="s">
        <v>2075</v>
      </c>
      <c r="D380" s="42" t="s">
        <v>1325</v>
      </c>
      <c r="E380" s="45">
        <v>46132</v>
      </c>
      <c r="F380" s="26" t="s">
        <v>55</v>
      </c>
      <c r="G380" s="26" t="s">
        <v>57</v>
      </c>
      <c r="H380" s="26" t="s">
        <v>57</v>
      </c>
      <c r="I380" s="26" t="s">
        <v>88</v>
      </c>
      <c r="J380" s="26" t="s">
        <v>57</v>
      </c>
      <c r="K380" s="27" t="s">
        <v>89</v>
      </c>
      <c r="L380" s="28" t="s">
        <v>56</v>
      </c>
      <c r="M380" s="29" t="str">
        <f t="shared" si="25"/>
        <v>⚠ Missing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2076</v>
      </c>
      <c r="C381" s="25" t="s">
        <v>2077</v>
      </c>
      <c r="D381" s="23" t="s">
        <v>1325</v>
      </c>
      <c r="E381" s="45">
        <v>46132</v>
      </c>
      <c r="F381" s="26" t="s">
        <v>55</v>
      </c>
      <c r="G381" s="26" t="s">
        <v>57</v>
      </c>
      <c r="H381" s="26" t="s">
        <v>57</v>
      </c>
      <c r="I381" s="26" t="s">
        <v>88</v>
      </c>
      <c r="J381" s="26" t="s">
        <v>57</v>
      </c>
      <c r="K381" s="27" t="s">
        <v>89</v>
      </c>
      <c r="L381" s="28" t="s">
        <v>56</v>
      </c>
      <c r="M381" s="29" t="str">
        <f t="shared" si="25"/>
        <v>⚠ Missing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2078</v>
      </c>
      <c r="C382" s="44" t="s">
        <v>2079</v>
      </c>
      <c r="D382" s="42" t="s">
        <v>1325</v>
      </c>
      <c r="E382" s="45">
        <v>46132</v>
      </c>
      <c r="F382" s="26" t="s">
        <v>55</v>
      </c>
      <c r="G382" s="26" t="s">
        <v>57</v>
      </c>
      <c r="H382" s="26" t="s">
        <v>57</v>
      </c>
      <c r="I382" s="26" t="s">
        <v>88</v>
      </c>
      <c r="J382" s="26" t="s">
        <v>57</v>
      </c>
      <c r="K382" s="27" t="s">
        <v>89</v>
      </c>
      <c r="L382" s="28" t="s">
        <v>56</v>
      </c>
      <c r="M382" s="29" t="str">
        <f t="shared" si="25"/>
        <v>⚠ Missing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2080</v>
      </c>
      <c r="C383" s="25" t="s">
        <v>2081</v>
      </c>
      <c r="D383" s="23" t="s">
        <v>1325</v>
      </c>
      <c r="E383" s="45">
        <v>46132</v>
      </c>
      <c r="F383" s="26" t="s">
        <v>55</v>
      </c>
      <c r="G383" s="26" t="s">
        <v>57</v>
      </c>
      <c r="H383" s="26" t="s">
        <v>57</v>
      </c>
      <c r="I383" s="26" t="s">
        <v>88</v>
      </c>
      <c r="J383" s="26" t="s">
        <v>57</v>
      </c>
      <c r="K383" s="27" t="s">
        <v>89</v>
      </c>
      <c r="L383" s="28" t="s">
        <v>56</v>
      </c>
      <c r="M383" s="29" t="str">
        <f t="shared" si="25"/>
        <v>⚠ Missing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2082</v>
      </c>
      <c r="C384" s="44" t="s">
        <v>2083</v>
      </c>
      <c r="D384" s="42" t="s">
        <v>1325</v>
      </c>
      <c r="E384" s="45">
        <v>46132</v>
      </c>
      <c r="F384" s="26" t="s">
        <v>55</v>
      </c>
      <c r="G384" s="26" t="s">
        <v>57</v>
      </c>
      <c r="H384" s="26" t="s">
        <v>57</v>
      </c>
      <c r="I384" s="26" t="s">
        <v>88</v>
      </c>
      <c r="J384" s="26" t="s">
        <v>57</v>
      </c>
      <c r="K384" s="27" t="s">
        <v>89</v>
      </c>
      <c r="L384" s="28" t="s">
        <v>56</v>
      </c>
      <c r="M384" s="29" t="str">
        <f t="shared" si="25"/>
        <v>⚠ Missing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2084</v>
      </c>
      <c r="C385" s="25" t="s">
        <v>2085</v>
      </c>
      <c r="D385" s="23" t="s">
        <v>1325</v>
      </c>
      <c r="E385" s="45">
        <v>46132</v>
      </c>
      <c r="F385" s="26" t="s">
        <v>55</v>
      </c>
      <c r="G385" s="26" t="s">
        <v>57</v>
      </c>
      <c r="H385" s="26" t="s">
        <v>57</v>
      </c>
      <c r="I385" s="26" t="s">
        <v>88</v>
      </c>
      <c r="J385" s="26" t="s">
        <v>57</v>
      </c>
      <c r="K385" s="27" t="s">
        <v>89</v>
      </c>
      <c r="L385" s="28" t="s">
        <v>56</v>
      </c>
      <c r="M385" s="29" t="str">
        <f t="shared" si="25"/>
        <v>⚠ Missing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2086</v>
      </c>
      <c r="C386" s="44" t="s">
        <v>2087</v>
      </c>
      <c r="D386" s="42" t="s">
        <v>1325</v>
      </c>
      <c r="E386" s="45">
        <v>46132</v>
      </c>
      <c r="F386" s="26" t="s">
        <v>55</v>
      </c>
      <c r="G386" s="26" t="s">
        <v>57</v>
      </c>
      <c r="H386" s="26" t="s">
        <v>57</v>
      </c>
      <c r="I386" s="26" t="s">
        <v>88</v>
      </c>
      <c r="J386" s="26" t="s">
        <v>57</v>
      </c>
      <c r="K386" s="27" t="s">
        <v>89</v>
      </c>
      <c r="L386" s="28" t="s">
        <v>56</v>
      </c>
      <c r="M386" s="29" t="str">
        <f t="shared" si="25"/>
        <v>⚠ Missing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2088</v>
      </c>
      <c r="C387" s="25" t="s">
        <v>2089</v>
      </c>
      <c r="D387" s="23" t="s">
        <v>1325</v>
      </c>
      <c r="E387" s="45">
        <v>46132</v>
      </c>
      <c r="F387" s="26" t="s">
        <v>55</v>
      </c>
      <c r="G387" s="26" t="s">
        <v>57</v>
      </c>
      <c r="H387" s="26" t="s">
        <v>57</v>
      </c>
      <c r="I387" s="26" t="s">
        <v>88</v>
      </c>
      <c r="J387" s="26" t="s">
        <v>57</v>
      </c>
      <c r="K387" s="27" t="s">
        <v>89</v>
      </c>
      <c r="L387" s="28" t="s">
        <v>56</v>
      </c>
      <c r="M387" s="29" t="str">
        <f t="shared" si="25"/>
        <v>⚠ Missing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2090</v>
      </c>
      <c r="C388" s="44" t="s">
        <v>2091</v>
      </c>
      <c r="D388" s="42" t="s">
        <v>1325</v>
      </c>
      <c r="E388" s="45">
        <v>46132</v>
      </c>
      <c r="F388" s="26" t="s">
        <v>55</v>
      </c>
      <c r="G388" s="26" t="s">
        <v>57</v>
      </c>
      <c r="H388" s="26" t="s">
        <v>57</v>
      </c>
      <c r="I388" s="26" t="s">
        <v>88</v>
      </c>
      <c r="J388" s="26" t="s">
        <v>57</v>
      </c>
      <c r="K388" s="27" t="s">
        <v>89</v>
      </c>
      <c r="L388" s="28" t="s">
        <v>56</v>
      </c>
      <c r="M388" s="29" t="str">
        <f t="shared" si="25"/>
        <v>⚠ Missing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2092</v>
      </c>
      <c r="C389" s="25" t="s">
        <v>2093</v>
      </c>
      <c r="D389" s="23" t="s">
        <v>1325</v>
      </c>
      <c r="E389" s="45">
        <v>46132</v>
      </c>
      <c r="F389" s="26" t="s">
        <v>55</v>
      </c>
      <c r="G389" s="26" t="s">
        <v>57</v>
      </c>
      <c r="H389" s="26" t="s">
        <v>57</v>
      </c>
      <c r="I389" s="26" t="s">
        <v>88</v>
      </c>
      <c r="J389" s="26" t="s">
        <v>57</v>
      </c>
      <c r="K389" s="27" t="s">
        <v>89</v>
      </c>
      <c r="L389" s="28" t="s">
        <v>56</v>
      </c>
      <c r="M389" s="29" t="str">
        <f t="shared" ref="M389:M452" si="30">IF(E389="","",IF(H389="Yes","❌ Disc",IF(G389="No","⚠ Missing",IF(J389="Yes","✓ OK","⚠ Check"))))</f>
        <v>⚠ Missing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2094</v>
      </c>
      <c r="C390" s="44" t="s">
        <v>2095</v>
      </c>
      <c r="D390" s="42" t="s">
        <v>1325</v>
      </c>
      <c r="E390" s="45">
        <v>46132</v>
      </c>
      <c r="F390" s="26" t="s">
        <v>55</v>
      </c>
      <c r="G390" s="26" t="s">
        <v>57</v>
      </c>
      <c r="H390" s="26" t="s">
        <v>57</v>
      </c>
      <c r="I390" s="26" t="s">
        <v>88</v>
      </c>
      <c r="J390" s="26" t="s">
        <v>57</v>
      </c>
      <c r="K390" s="27" t="s">
        <v>89</v>
      </c>
      <c r="L390" s="28" t="s">
        <v>56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2096</v>
      </c>
      <c r="C391" s="25" t="s">
        <v>2097</v>
      </c>
      <c r="D391" s="23" t="s">
        <v>1325</v>
      </c>
      <c r="E391" s="45">
        <v>46132</v>
      </c>
      <c r="F391" s="26" t="s">
        <v>55</v>
      </c>
      <c r="G391" s="26" t="s">
        <v>57</v>
      </c>
      <c r="H391" s="26" t="s">
        <v>57</v>
      </c>
      <c r="I391" s="26" t="s">
        <v>88</v>
      </c>
      <c r="J391" s="26" t="s">
        <v>57</v>
      </c>
      <c r="K391" s="27" t="s">
        <v>89</v>
      </c>
      <c r="L391" s="28" t="s">
        <v>56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2098</v>
      </c>
      <c r="C392" s="44" t="s">
        <v>2099</v>
      </c>
      <c r="D392" s="42" t="s">
        <v>1325</v>
      </c>
      <c r="E392" s="45">
        <v>46132</v>
      </c>
      <c r="F392" s="26" t="s">
        <v>55</v>
      </c>
      <c r="G392" s="26" t="s">
        <v>57</v>
      </c>
      <c r="H392" s="26" t="s">
        <v>57</v>
      </c>
      <c r="I392" s="26" t="s">
        <v>88</v>
      </c>
      <c r="J392" s="26" t="s">
        <v>57</v>
      </c>
      <c r="K392" s="27" t="s">
        <v>89</v>
      </c>
      <c r="L392" s="28" t="s">
        <v>56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2100</v>
      </c>
      <c r="C393" s="25" t="s">
        <v>2101</v>
      </c>
      <c r="D393" s="23" t="s">
        <v>1325</v>
      </c>
      <c r="E393" s="45">
        <v>46132</v>
      </c>
      <c r="F393" s="26" t="s">
        <v>55</v>
      </c>
      <c r="G393" s="26" t="s">
        <v>57</v>
      </c>
      <c r="H393" s="26" t="s">
        <v>57</v>
      </c>
      <c r="I393" s="26" t="s">
        <v>88</v>
      </c>
      <c r="J393" s="26" t="s">
        <v>57</v>
      </c>
      <c r="K393" s="27" t="s">
        <v>89</v>
      </c>
      <c r="L393" s="28" t="s">
        <v>56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2102</v>
      </c>
      <c r="C394" s="44" t="s">
        <v>2103</v>
      </c>
      <c r="D394" s="42" t="s">
        <v>1325</v>
      </c>
      <c r="E394" s="45">
        <v>46132</v>
      </c>
      <c r="F394" s="26" t="s">
        <v>55</v>
      </c>
      <c r="G394" s="26" t="s">
        <v>57</v>
      </c>
      <c r="H394" s="26" t="s">
        <v>57</v>
      </c>
      <c r="I394" s="26" t="s">
        <v>88</v>
      </c>
      <c r="J394" s="26" t="s">
        <v>57</v>
      </c>
      <c r="K394" s="27" t="s">
        <v>89</v>
      </c>
      <c r="L394" s="28" t="s">
        <v>56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2104</v>
      </c>
      <c r="C395" s="25" t="s">
        <v>2105</v>
      </c>
      <c r="D395" s="23" t="s">
        <v>1325</v>
      </c>
      <c r="E395" s="45">
        <v>46132</v>
      </c>
      <c r="F395" s="26" t="s">
        <v>55</v>
      </c>
      <c r="G395" s="26" t="s">
        <v>57</v>
      </c>
      <c r="H395" s="26" t="s">
        <v>57</v>
      </c>
      <c r="I395" s="26" t="s">
        <v>88</v>
      </c>
      <c r="J395" s="26" t="s">
        <v>57</v>
      </c>
      <c r="K395" s="27" t="s">
        <v>89</v>
      </c>
      <c r="L395" s="28" t="s">
        <v>56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2106</v>
      </c>
      <c r="C396" s="44" t="s">
        <v>2107</v>
      </c>
      <c r="D396" s="42" t="s">
        <v>1325</v>
      </c>
      <c r="E396" s="45">
        <v>46132</v>
      </c>
      <c r="F396" s="26" t="s">
        <v>55</v>
      </c>
      <c r="G396" s="26" t="s">
        <v>57</v>
      </c>
      <c r="H396" s="26" t="s">
        <v>57</v>
      </c>
      <c r="I396" s="26" t="s">
        <v>88</v>
      </c>
      <c r="J396" s="26" t="s">
        <v>57</v>
      </c>
      <c r="K396" s="27" t="s">
        <v>89</v>
      </c>
      <c r="L396" s="28" t="s">
        <v>56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2108</v>
      </c>
      <c r="C397" s="25" t="s">
        <v>2109</v>
      </c>
      <c r="D397" s="23" t="s">
        <v>1325</v>
      </c>
      <c r="E397" s="45">
        <v>46132</v>
      </c>
      <c r="F397" s="26" t="s">
        <v>55</v>
      </c>
      <c r="G397" s="26" t="s">
        <v>57</v>
      </c>
      <c r="H397" s="26" t="s">
        <v>57</v>
      </c>
      <c r="I397" s="26" t="s">
        <v>88</v>
      </c>
      <c r="J397" s="26" t="s">
        <v>57</v>
      </c>
      <c r="K397" s="27" t="s">
        <v>89</v>
      </c>
      <c r="L397" s="28" t="s">
        <v>56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2110</v>
      </c>
      <c r="C398" s="44" t="s">
        <v>2111</v>
      </c>
      <c r="D398" s="42" t="s">
        <v>1325</v>
      </c>
      <c r="E398" s="45">
        <v>46132</v>
      </c>
      <c r="F398" s="26" t="s">
        <v>55</v>
      </c>
      <c r="G398" s="26" t="s">
        <v>57</v>
      </c>
      <c r="H398" s="26" t="s">
        <v>57</v>
      </c>
      <c r="I398" s="26" t="s">
        <v>88</v>
      </c>
      <c r="J398" s="26" t="s">
        <v>57</v>
      </c>
      <c r="K398" s="27" t="s">
        <v>89</v>
      </c>
      <c r="L398" s="28" t="s">
        <v>56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2112</v>
      </c>
      <c r="C399" s="25" t="s">
        <v>2113</v>
      </c>
      <c r="D399" s="23" t="s">
        <v>1325</v>
      </c>
      <c r="E399" s="45">
        <v>46132</v>
      </c>
      <c r="F399" s="26" t="s">
        <v>55</v>
      </c>
      <c r="G399" s="26" t="s">
        <v>57</v>
      </c>
      <c r="H399" s="26" t="s">
        <v>57</v>
      </c>
      <c r="I399" s="26" t="s">
        <v>88</v>
      </c>
      <c r="J399" s="26" t="s">
        <v>57</v>
      </c>
      <c r="K399" s="27" t="s">
        <v>89</v>
      </c>
      <c r="L399" s="28" t="s">
        <v>56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2114</v>
      </c>
      <c r="C400" s="44" t="s">
        <v>2115</v>
      </c>
      <c r="D400" s="42" t="s">
        <v>1325</v>
      </c>
      <c r="E400" s="45">
        <v>46132</v>
      </c>
      <c r="F400" s="26" t="s">
        <v>55</v>
      </c>
      <c r="G400" s="26" t="s">
        <v>57</v>
      </c>
      <c r="H400" s="26" t="s">
        <v>57</v>
      </c>
      <c r="I400" s="26" t="s">
        <v>88</v>
      </c>
      <c r="J400" s="26" t="s">
        <v>57</v>
      </c>
      <c r="K400" s="27" t="s">
        <v>89</v>
      </c>
      <c r="L400" s="28" t="s">
        <v>56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2116</v>
      </c>
      <c r="C401" s="25" t="s">
        <v>2117</v>
      </c>
      <c r="D401" s="23" t="s">
        <v>1325</v>
      </c>
      <c r="E401" s="45">
        <v>46132</v>
      </c>
      <c r="F401" s="26" t="s">
        <v>55</v>
      </c>
      <c r="G401" s="26" t="s">
        <v>57</v>
      </c>
      <c r="H401" s="26" t="s">
        <v>57</v>
      </c>
      <c r="I401" s="26" t="s">
        <v>88</v>
      </c>
      <c r="J401" s="26" t="s">
        <v>57</v>
      </c>
      <c r="K401" s="27" t="s">
        <v>89</v>
      </c>
      <c r="L401" s="28" t="s">
        <v>56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2118</v>
      </c>
      <c r="C402" s="44" t="s">
        <v>2119</v>
      </c>
      <c r="D402" s="42" t="s">
        <v>1325</v>
      </c>
      <c r="E402" s="45">
        <v>46132</v>
      </c>
      <c r="F402" s="26" t="s">
        <v>55</v>
      </c>
      <c r="G402" s="26" t="s">
        <v>57</v>
      </c>
      <c r="H402" s="26" t="s">
        <v>57</v>
      </c>
      <c r="I402" s="26" t="s">
        <v>88</v>
      </c>
      <c r="J402" s="26" t="s">
        <v>57</v>
      </c>
      <c r="K402" s="27" t="s">
        <v>89</v>
      </c>
      <c r="L402" s="28" t="s">
        <v>56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2120</v>
      </c>
      <c r="C403" s="25" t="s">
        <v>2121</v>
      </c>
      <c r="D403" s="23" t="s">
        <v>1325</v>
      </c>
      <c r="E403" s="45">
        <v>46132</v>
      </c>
      <c r="F403" s="26" t="s">
        <v>55</v>
      </c>
      <c r="G403" s="26" t="s">
        <v>57</v>
      </c>
      <c r="H403" s="26" t="s">
        <v>57</v>
      </c>
      <c r="I403" s="26" t="s">
        <v>88</v>
      </c>
      <c r="J403" s="26" t="s">
        <v>57</v>
      </c>
      <c r="K403" s="27" t="s">
        <v>89</v>
      </c>
      <c r="L403" s="28" t="s">
        <v>56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2122</v>
      </c>
      <c r="C404" s="44" t="s">
        <v>2123</v>
      </c>
      <c r="D404" s="42" t="s">
        <v>1325</v>
      </c>
      <c r="E404" s="45">
        <v>46132</v>
      </c>
      <c r="F404" s="26" t="s">
        <v>55</v>
      </c>
      <c r="G404" s="26" t="s">
        <v>57</v>
      </c>
      <c r="H404" s="26" t="s">
        <v>57</v>
      </c>
      <c r="I404" s="26" t="s">
        <v>88</v>
      </c>
      <c r="J404" s="26" t="s">
        <v>57</v>
      </c>
      <c r="K404" s="27" t="s">
        <v>89</v>
      </c>
      <c r="L404" s="28" t="s">
        <v>56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2124</v>
      </c>
      <c r="C405" s="25" t="s">
        <v>2125</v>
      </c>
      <c r="D405" s="23" t="s">
        <v>1325</v>
      </c>
      <c r="E405" s="45">
        <v>46132</v>
      </c>
      <c r="F405" s="26" t="s">
        <v>55</v>
      </c>
      <c r="G405" s="26" t="s">
        <v>57</v>
      </c>
      <c r="H405" s="26" t="s">
        <v>57</v>
      </c>
      <c r="I405" s="26" t="s">
        <v>88</v>
      </c>
      <c r="J405" s="26" t="s">
        <v>57</v>
      </c>
      <c r="K405" s="27" t="s">
        <v>89</v>
      </c>
      <c r="L405" s="28" t="s">
        <v>56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2126</v>
      </c>
      <c r="C406" s="44" t="s">
        <v>2127</v>
      </c>
      <c r="D406" s="42" t="s">
        <v>1325</v>
      </c>
      <c r="E406" s="45">
        <v>46132</v>
      </c>
      <c r="F406" s="26" t="s">
        <v>55</v>
      </c>
      <c r="G406" s="26" t="s">
        <v>57</v>
      </c>
      <c r="H406" s="26" t="s">
        <v>57</v>
      </c>
      <c r="I406" s="26" t="s">
        <v>88</v>
      </c>
      <c r="J406" s="26" t="s">
        <v>57</v>
      </c>
      <c r="K406" s="27" t="s">
        <v>89</v>
      </c>
      <c r="L406" s="28" t="s">
        <v>56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2128</v>
      </c>
      <c r="C407" s="25" t="s">
        <v>2129</v>
      </c>
      <c r="D407" s="23" t="s">
        <v>1325</v>
      </c>
      <c r="E407" s="45">
        <v>46132</v>
      </c>
      <c r="F407" s="26" t="s">
        <v>55</v>
      </c>
      <c r="G407" s="26" t="s">
        <v>57</v>
      </c>
      <c r="H407" s="26" t="s">
        <v>57</v>
      </c>
      <c r="I407" s="26" t="s">
        <v>88</v>
      </c>
      <c r="J407" s="26" t="s">
        <v>57</v>
      </c>
      <c r="K407" s="27" t="s">
        <v>89</v>
      </c>
      <c r="L407" s="28" t="s">
        <v>56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2130</v>
      </c>
      <c r="C408" s="44" t="s">
        <v>2131</v>
      </c>
      <c r="D408" s="42" t="s">
        <v>1325</v>
      </c>
      <c r="E408" s="45">
        <v>46132</v>
      </c>
      <c r="F408" s="26" t="s">
        <v>55</v>
      </c>
      <c r="G408" s="26" t="s">
        <v>57</v>
      </c>
      <c r="H408" s="26" t="s">
        <v>57</v>
      </c>
      <c r="I408" s="26" t="s">
        <v>88</v>
      </c>
      <c r="J408" s="26" t="s">
        <v>57</v>
      </c>
      <c r="K408" s="27" t="s">
        <v>89</v>
      </c>
      <c r="L408" s="28" t="s">
        <v>56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2132</v>
      </c>
      <c r="C409" s="25" t="s">
        <v>2133</v>
      </c>
      <c r="D409" s="23" t="s">
        <v>1325</v>
      </c>
      <c r="E409" s="45">
        <v>46132</v>
      </c>
      <c r="F409" s="26" t="s">
        <v>55</v>
      </c>
      <c r="G409" s="26" t="s">
        <v>57</v>
      </c>
      <c r="H409" s="26" t="s">
        <v>57</v>
      </c>
      <c r="I409" s="26" t="s">
        <v>88</v>
      </c>
      <c r="J409" s="26" t="s">
        <v>57</v>
      </c>
      <c r="K409" s="27" t="s">
        <v>89</v>
      </c>
      <c r="L409" s="28" t="s">
        <v>56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2134</v>
      </c>
      <c r="C410" s="44" t="s">
        <v>2135</v>
      </c>
      <c r="D410" s="42" t="s">
        <v>1325</v>
      </c>
      <c r="E410" s="45">
        <v>46132</v>
      </c>
      <c r="F410" s="26" t="s">
        <v>55</v>
      </c>
      <c r="G410" s="26" t="s">
        <v>57</v>
      </c>
      <c r="H410" s="26" t="s">
        <v>57</v>
      </c>
      <c r="I410" s="26" t="s">
        <v>88</v>
      </c>
      <c r="J410" s="26" t="s">
        <v>57</v>
      </c>
      <c r="K410" s="27" t="s">
        <v>89</v>
      </c>
      <c r="L410" s="28" t="s">
        <v>56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2136</v>
      </c>
      <c r="C411" s="25" t="s">
        <v>2137</v>
      </c>
      <c r="D411" s="23" t="s">
        <v>1325</v>
      </c>
      <c r="E411" s="45">
        <v>46132</v>
      </c>
      <c r="F411" s="26" t="s">
        <v>55</v>
      </c>
      <c r="G411" s="26" t="s">
        <v>57</v>
      </c>
      <c r="H411" s="26" t="s">
        <v>57</v>
      </c>
      <c r="I411" s="26" t="s">
        <v>88</v>
      </c>
      <c r="J411" s="26" t="s">
        <v>57</v>
      </c>
      <c r="K411" s="27" t="s">
        <v>89</v>
      </c>
      <c r="L411" s="28" t="s">
        <v>56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2138</v>
      </c>
      <c r="C412" s="44" t="s">
        <v>2139</v>
      </c>
      <c r="D412" s="42" t="s">
        <v>1325</v>
      </c>
      <c r="E412" s="45">
        <v>46132</v>
      </c>
      <c r="F412" s="26" t="s">
        <v>55</v>
      </c>
      <c r="G412" s="26" t="s">
        <v>57</v>
      </c>
      <c r="H412" s="26" t="s">
        <v>57</v>
      </c>
      <c r="I412" s="26" t="s">
        <v>88</v>
      </c>
      <c r="J412" s="26" t="s">
        <v>57</v>
      </c>
      <c r="K412" s="27" t="s">
        <v>89</v>
      </c>
      <c r="L412" s="28" t="s">
        <v>56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2140</v>
      </c>
      <c r="C413" s="25" t="s">
        <v>2141</v>
      </c>
      <c r="D413" s="23" t="s">
        <v>1325</v>
      </c>
      <c r="E413" s="45">
        <v>46132</v>
      </c>
      <c r="F413" s="26" t="s">
        <v>55</v>
      </c>
      <c r="G413" s="26" t="s">
        <v>57</v>
      </c>
      <c r="H413" s="26" t="s">
        <v>57</v>
      </c>
      <c r="I413" s="26" t="s">
        <v>88</v>
      </c>
      <c r="J413" s="26" t="s">
        <v>57</v>
      </c>
      <c r="K413" s="27" t="s">
        <v>89</v>
      </c>
      <c r="L413" s="28" t="s">
        <v>56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2142</v>
      </c>
      <c r="C414" s="44" t="s">
        <v>2143</v>
      </c>
      <c r="D414" s="42" t="s">
        <v>1325</v>
      </c>
      <c r="E414" s="45">
        <v>46132</v>
      </c>
      <c r="F414" s="26" t="s">
        <v>55</v>
      </c>
      <c r="G414" s="26" t="s">
        <v>57</v>
      </c>
      <c r="H414" s="26" t="s">
        <v>57</v>
      </c>
      <c r="I414" s="26" t="s">
        <v>88</v>
      </c>
      <c r="J414" s="26" t="s">
        <v>57</v>
      </c>
      <c r="K414" s="27" t="s">
        <v>89</v>
      </c>
      <c r="L414" s="28" t="s">
        <v>56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2144</v>
      </c>
      <c r="C415" s="25" t="s">
        <v>2145</v>
      </c>
      <c r="D415" s="23" t="s">
        <v>1325</v>
      </c>
      <c r="E415" s="45">
        <v>46132</v>
      </c>
      <c r="F415" s="26" t="s">
        <v>55</v>
      </c>
      <c r="G415" s="26" t="s">
        <v>57</v>
      </c>
      <c r="H415" s="26" t="s">
        <v>57</v>
      </c>
      <c r="I415" s="26" t="s">
        <v>88</v>
      </c>
      <c r="J415" s="26" t="s">
        <v>57</v>
      </c>
      <c r="K415" s="27" t="s">
        <v>89</v>
      </c>
      <c r="L415" s="28" t="s">
        <v>56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2146</v>
      </c>
      <c r="C416" s="44" t="s">
        <v>2147</v>
      </c>
      <c r="D416" s="42" t="s">
        <v>1325</v>
      </c>
      <c r="E416" s="45">
        <v>46132</v>
      </c>
      <c r="F416" s="26" t="s">
        <v>55</v>
      </c>
      <c r="G416" s="26" t="s">
        <v>57</v>
      </c>
      <c r="H416" s="26" t="s">
        <v>57</v>
      </c>
      <c r="I416" s="26" t="s">
        <v>88</v>
      </c>
      <c r="J416" s="26" t="s">
        <v>57</v>
      </c>
      <c r="K416" s="27" t="s">
        <v>89</v>
      </c>
      <c r="L416" s="28" t="s">
        <v>56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2148</v>
      </c>
      <c r="C417" s="25" t="s">
        <v>2149</v>
      </c>
      <c r="D417" s="23" t="s">
        <v>1325</v>
      </c>
      <c r="E417" s="45">
        <v>46132</v>
      </c>
      <c r="F417" s="26" t="s">
        <v>55</v>
      </c>
      <c r="G417" s="26" t="s">
        <v>57</v>
      </c>
      <c r="H417" s="26" t="s">
        <v>57</v>
      </c>
      <c r="I417" s="26" t="s">
        <v>88</v>
      </c>
      <c r="J417" s="26" t="s">
        <v>57</v>
      </c>
      <c r="K417" s="27" t="s">
        <v>89</v>
      </c>
      <c r="L417" s="28" t="s">
        <v>56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2150</v>
      </c>
      <c r="C418" s="44" t="s">
        <v>2151</v>
      </c>
      <c r="D418" s="42" t="s">
        <v>1325</v>
      </c>
      <c r="E418" s="45">
        <v>46132</v>
      </c>
      <c r="F418" s="26" t="s">
        <v>55</v>
      </c>
      <c r="G418" s="26" t="s">
        <v>57</v>
      </c>
      <c r="H418" s="26" t="s">
        <v>57</v>
      </c>
      <c r="I418" s="26" t="s">
        <v>88</v>
      </c>
      <c r="J418" s="26" t="s">
        <v>57</v>
      </c>
      <c r="K418" s="27" t="s">
        <v>89</v>
      </c>
      <c r="L418" s="28" t="s">
        <v>56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2152</v>
      </c>
      <c r="C419" s="25" t="s">
        <v>2153</v>
      </c>
      <c r="D419" s="23" t="s">
        <v>1325</v>
      </c>
      <c r="E419" s="45">
        <v>46132</v>
      </c>
      <c r="F419" s="26" t="s">
        <v>55</v>
      </c>
      <c r="G419" s="26" t="s">
        <v>57</v>
      </c>
      <c r="H419" s="26" t="s">
        <v>57</v>
      </c>
      <c r="I419" s="26" t="s">
        <v>88</v>
      </c>
      <c r="J419" s="26" t="s">
        <v>57</v>
      </c>
      <c r="K419" s="27" t="s">
        <v>89</v>
      </c>
      <c r="L419" s="28" t="s">
        <v>56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2154</v>
      </c>
      <c r="C420" s="44" t="s">
        <v>2155</v>
      </c>
      <c r="D420" s="42" t="s">
        <v>1325</v>
      </c>
      <c r="E420" s="45">
        <v>46132</v>
      </c>
      <c r="F420" s="26" t="s">
        <v>55</v>
      </c>
      <c r="G420" s="26" t="s">
        <v>57</v>
      </c>
      <c r="H420" s="26" t="s">
        <v>57</v>
      </c>
      <c r="I420" s="26" t="s">
        <v>88</v>
      </c>
      <c r="J420" s="26" t="s">
        <v>57</v>
      </c>
      <c r="K420" s="27" t="s">
        <v>89</v>
      </c>
      <c r="L420" s="28" t="s">
        <v>56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2156</v>
      </c>
      <c r="C421" s="25" t="s">
        <v>2157</v>
      </c>
      <c r="D421" s="23" t="s">
        <v>1325</v>
      </c>
      <c r="E421" s="45">
        <v>46132</v>
      </c>
      <c r="F421" s="26" t="s">
        <v>55</v>
      </c>
      <c r="G421" s="26" t="s">
        <v>57</v>
      </c>
      <c r="H421" s="26" t="s">
        <v>57</v>
      </c>
      <c r="I421" s="26" t="s">
        <v>88</v>
      </c>
      <c r="J421" s="26" t="s">
        <v>57</v>
      </c>
      <c r="K421" s="27" t="s">
        <v>89</v>
      </c>
      <c r="L421" s="28" t="s">
        <v>56</v>
      </c>
      <c r="M421" s="29" t="str">
        <f t="shared" si="30"/>
        <v>⚠ Missing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2158</v>
      </c>
      <c r="C422" s="44" t="s">
        <v>2159</v>
      </c>
      <c r="D422" s="42" t="s">
        <v>1325</v>
      </c>
      <c r="E422" s="45">
        <v>46132</v>
      </c>
      <c r="F422" s="26" t="s">
        <v>55</v>
      </c>
      <c r="G422" s="26" t="s">
        <v>57</v>
      </c>
      <c r="H422" s="26" t="s">
        <v>57</v>
      </c>
      <c r="I422" s="26" t="s">
        <v>88</v>
      </c>
      <c r="J422" s="26" t="s">
        <v>57</v>
      </c>
      <c r="K422" s="27" t="s">
        <v>89</v>
      </c>
      <c r="L422" s="28" t="s">
        <v>56</v>
      </c>
      <c r="M422" s="29" t="str">
        <f t="shared" si="30"/>
        <v>⚠ Missing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2160</v>
      </c>
      <c r="C423" s="25" t="s">
        <v>2161</v>
      </c>
      <c r="D423" s="23" t="s">
        <v>1325</v>
      </c>
      <c r="E423" s="45">
        <v>46132</v>
      </c>
      <c r="F423" s="26" t="s">
        <v>55</v>
      </c>
      <c r="G423" s="26" t="s">
        <v>57</v>
      </c>
      <c r="H423" s="26" t="s">
        <v>57</v>
      </c>
      <c r="I423" s="26" t="s">
        <v>88</v>
      </c>
      <c r="J423" s="26" t="s">
        <v>57</v>
      </c>
      <c r="K423" s="27" t="s">
        <v>89</v>
      </c>
      <c r="L423" s="28" t="s">
        <v>56</v>
      </c>
      <c r="M423" s="29" t="str">
        <f t="shared" si="30"/>
        <v>⚠ Missing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2162</v>
      </c>
      <c r="C424" s="44" t="s">
        <v>2163</v>
      </c>
      <c r="D424" s="42" t="s">
        <v>1325</v>
      </c>
      <c r="E424" s="45">
        <v>46132</v>
      </c>
      <c r="F424" s="26" t="s">
        <v>55</v>
      </c>
      <c r="G424" s="26" t="s">
        <v>57</v>
      </c>
      <c r="H424" s="26" t="s">
        <v>57</v>
      </c>
      <c r="I424" s="26" t="s">
        <v>88</v>
      </c>
      <c r="J424" s="26" t="s">
        <v>57</v>
      </c>
      <c r="K424" s="27" t="s">
        <v>89</v>
      </c>
      <c r="L424" s="28" t="s">
        <v>56</v>
      </c>
      <c r="M424" s="29" t="str">
        <f t="shared" si="30"/>
        <v>⚠ Missing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2164</v>
      </c>
      <c r="C425" s="25" t="s">
        <v>2165</v>
      </c>
      <c r="D425" s="23" t="s">
        <v>1325</v>
      </c>
      <c r="E425" s="45">
        <v>46132</v>
      </c>
      <c r="F425" s="26" t="s">
        <v>55</v>
      </c>
      <c r="G425" s="26" t="s">
        <v>57</v>
      </c>
      <c r="H425" s="26" t="s">
        <v>57</v>
      </c>
      <c r="I425" s="26" t="s">
        <v>88</v>
      </c>
      <c r="J425" s="26" t="s">
        <v>57</v>
      </c>
      <c r="K425" s="27" t="s">
        <v>89</v>
      </c>
      <c r="L425" s="28" t="s">
        <v>56</v>
      </c>
      <c r="M425" s="29" t="str">
        <f t="shared" si="30"/>
        <v>⚠ Missing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2166</v>
      </c>
      <c r="C426" s="44" t="s">
        <v>2167</v>
      </c>
      <c r="D426" s="42" t="s">
        <v>1325</v>
      </c>
      <c r="E426" s="45">
        <v>46132</v>
      </c>
      <c r="F426" s="26" t="s">
        <v>55</v>
      </c>
      <c r="G426" s="26" t="s">
        <v>57</v>
      </c>
      <c r="H426" s="26" t="s">
        <v>57</v>
      </c>
      <c r="I426" s="26" t="s">
        <v>88</v>
      </c>
      <c r="J426" s="26" t="s">
        <v>57</v>
      </c>
      <c r="K426" s="27" t="s">
        <v>89</v>
      </c>
      <c r="L426" s="28" t="s">
        <v>56</v>
      </c>
      <c r="M426" s="29" t="str">
        <f t="shared" si="30"/>
        <v>⚠ Missing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2168</v>
      </c>
      <c r="C427" s="25" t="s">
        <v>2169</v>
      </c>
      <c r="D427" s="23" t="s">
        <v>1325</v>
      </c>
      <c r="E427" s="45">
        <v>46132</v>
      </c>
      <c r="F427" s="26" t="s">
        <v>55</v>
      </c>
      <c r="G427" s="26" t="s">
        <v>57</v>
      </c>
      <c r="H427" s="26" t="s">
        <v>57</v>
      </c>
      <c r="I427" s="26" t="s">
        <v>88</v>
      </c>
      <c r="J427" s="26" t="s">
        <v>57</v>
      </c>
      <c r="K427" s="27" t="s">
        <v>89</v>
      </c>
      <c r="L427" s="28" t="s">
        <v>56</v>
      </c>
      <c r="M427" s="29" t="str">
        <f t="shared" si="30"/>
        <v>⚠ Missing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2170</v>
      </c>
      <c r="C428" s="44" t="s">
        <v>2171</v>
      </c>
      <c r="D428" s="42" t="s">
        <v>1325</v>
      </c>
      <c r="E428" s="45">
        <v>46132</v>
      </c>
      <c r="F428" s="26" t="s">
        <v>55</v>
      </c>
      <c r="G428" s="26" t="s">
        <v>57</v>
      </c>
      <c r="H428" s="26" t="s">
        <v>57</v>
      </c>
      <c r="I428" s="26" t="s">
        <v>88</v>
      </c>
      <c r="J428" s="26" t="s">
        <v>57</v>
      </c>
      <c r="K428" s="27" t="s">
        <v>89</v>
      </c>
      <c r="L428" s="28" t="s">
        <v>56</v>
      </c>
      <c r="M428" s="29" t="str">
        <f t="shared" si="30"/>
        <v>⚠ Missing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2172</v>
      </c>
      <c r="C429" s="25" t="s">
        <v>2173</v>
      </c>
      <c r="D429" s="23" t="s">
        <v>1325</v>
      </c>
      <c r="E429" s="45">
        <v>46132</v>
      </c>
      <c r="F429" s="26" t="s">
        <v>55</v>
      </c>
      <c r="G429" s="26" t="s">
        <v>57</v>
      </c>
      <c r="H429" s="26" t="s">
        <v>57</v>
      </c>
      <c r="I429" s="26" t="s">
        <v>88</v>
      </c>
      <c r="J429" s="26" t="s">
        <v>57</v>
      </c>
      <c r="K429" s="27" t="s">
        <v>89</v>
      </c>
      <c r="L429" s="28" t="s">
        <v>56</v>
      </c>
      <c r="M429" s="29" t="str">
        <f t="shared" si="30"/>
        <v>⚠ Missing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2174</v>
      </c>
      <c r="C430" s="44" t="s">
        <v>2175</v>
      </c>
      <c r="D430" s="42" t="s">
        <v>1325</v>
      </c>
      <c r="E430" s="45">
        <v>46132</v>
      </c>
      <c r="F430" s="26" t="s">
        <v>55</v>
      </c>
      <c r="G430" s="26" t="s">
        <v>57</v>
      </c>
      <c r="H430" s="26" t="s">
        <v>57</v>
      </c>
      <c r="I430" s="26" t="s">
        <v>88</v>
      </c>
      <c r="J430" s="26" t="s">
        <v>57</v>
      </c>
      <c r="K430" s="27" t="s">
        <v>89</v>
      </c>
      <c r="L430" s="28" t="s">
        <v>56</v>
      </c>
      <c r="M430" s="29" t="str">
        <f t="shared" si="30"/>
        <v>⚠ Missing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2176</v>
      </c>
      <c r="C431" s="25" t="s">
        <v>2177</v>
      </c>
      <c r="D431" s="23" t="s">
        <v>1325</v>
      </c>
      <c r="E431" s="45">
        <v>46132</v>
      </c>
      <c r="F431" s="26" t="s">
        <v>55</v>
      </c>
      <c r="G431" s="26" t="s">
        <v>57</v>
      </c>
      <c r="H431" s="26" t="s">
        <v>57</v>
      </c>
      <c r="I431" s="26" t="s">
        <v>88</v>
      </c>
      <c r="J431" s="26" t="s">
        <v>57</v>
      </c>
      <c r="K431" s="27" t="s">
        <v>89</v>
      </c>
      <c r="L431" s="28" t="s">
        <v>56</v>
      </c>
      <c r="M431" s="29" t="str">
        <f t="shared" si="30"/>
        <v>⚠ Missing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2178</v>
      </c>
      <c r="C432" s="44" t="s">
        <v>2179</v>
      </c>
      <c r="D432" s="42" t="s">
        <v>1325</v>
      </c>
      <c r="E432" s="45">
        <v>46132</v>
      </c>
      <c r="F432" s="26" t="s">
        <v>55</v>
      </c>
      <c r="G432" s="26" t="s">
        <v>57</v>
      </c>
      <c r="H432" s="26" t="s">
        <v>57</v>
      </c>
      <c r="I432" s="26" t="s">
        <v>88</v>
      </c>
      <c r="J432" s="26" t="s">
        <v>57</v>
      </c>
      <c r="K432" s="27" t="s">
        <v>89</v>
      </c>
      <c r="L432" s="28" t="s">
        <v>56</v>
      </c>
      <c r="M432" s="29" t="str">
        <f t="shared" si="30"/>
        <v>⚠ Missing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2180</v>
      </c>
      <c r="C433" s="25" t="s">
        <v>2181</v>
      </c>
      <c r="D433" s="23" t="s">
        <v>1325</v>
      </c>
      <c r="E433" s="45">
        <v>46132</v>
      </c>
      <c r="F433" s="26" t="s">
        <v>55</v>
      </c>
      <c r="G433" s="26" t="s">
        <v>57</v>
      </c>
      <c r="H433" s="26" t="s">
        <v>57</v>
      </c>
      <c r="I433" s="26" t="s">
        <v>88</v>
      </c>
      <c r="J433" s="26" t="s">
        <v>57</v>
      </c>
      <c r="K433" s="27" t="s">
        <v>89</v>
      </c>
      <c r="L433" s="28" t="s">
        <v>56</v>
      </c>
      <c r="M433" s="29" t="str">
        <f t="shared" si="30"/>
        <v>⚠ Missing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2182</v>
      </c>
      <c r="C434" s="44" t="s">
        <v>2183</v>
      </c>
      <c r="D434" s="42" t="s">
        <v>1325</v>
      </c>
      <c r="E434" s="45">
        <v>46132</v>
      </c>
      <c r="F434" s="26" t="s">
        <v>55</v>
      </c>
      <c r="G434" s="26" t="s">
        <v>57</v>
      </c>
      <c r="H434" s="26" t="s">
        <v>57</v>
      </c>
      <c r="I434" s="26" t="s">
        <v>88</v>
      </c>
      <c r="J434" s="26" t="s">
        <v>57</v>
      </c>
      <c r="K434" s="27" t="s">
        <v>89</v>
      </c>
      <c r="L434" s="28" t="s">
        <v>56</v>
      </c>
      <c r="M434" s="29" t="str">
        <f t="shared" si="30"/>
        <v>⚠ Missing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2184</v>
      </c>
      <c r="C435" s="25" t="s">
        <v>2185</v>
      </c>
      <c r="D435" s="23" t="s">
        <v>1325</v>
      </c>
      <c r="E435" s="45">
        <v>46132</v>
      </c>
      <c r="F435" s="26" t="s">
        <v>55</v>
      </c>
      <c r="G435" s="26" t="s">
        <v>57</v>
      </c>
      <c r="H435" s="26" t="s">
        <v>57</v>
      </c>
      <c r="I435" s="26" t="s">
        <v>88</v>
      </c>
      <c r="J435" s="26" t="s">
        <v>57</v>
      </c>
      <c r="K435" s="27" t="s">
        <v>89</v>
      </c>
      <c r="L435" s="28" t="s">
        <v>56</v>
      </c>
      <c r="M435" s="29" t="str">
        <f t="shared" si="30"/>
        <v>⚠ Missing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2186</v>
      </c>
      <c r="C436" s="44" t="s">
        <v>2187</v>
      </c>
      <c r="D436" s="42" t="s">
        <v>1325</v>
      </c>
      <c r="E436" s="45">
        <v>46132</v>
      </c>
      <c r="F436" s="26" t="s">
        <v>55</v>
      </c>
      <c r="G436" s="26" t="s">
        <v>57</v>
      </c>
      <c r="H436" s="26" t="s">
        <v>57</v>
      </c>
      <c r="I436" s="26" t="s">
        <v>88</v>
      </c>
      <c r="J436" s="26" t="s">
        <v>57</v>
      </c>
      <c r="K436" s="27" t="s">
        <v>89</v>
      </c>
      <c r="L436" s="28" t="s">
        <v>56</v>
      </c>
      <c r="M436" s="29" t="str">
        <f t="shared" si="30"/>
        <v>⚠ Missing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2188</v>
      </c>
      <c r="C437" s="25" t="s">
        <v>2189</v>
      </c>
      <c r="D437" s="23" t="s">
        <v>1325</v>
      </c>
      <c r="E437" s="45">
        <v>46132</v>
      </c>
      <c r="F437" s="26" t="s">
        <v>55</v>
      </c>
      <c r="G437" s="26" t="s">
        <v>57</v>
      </c>
      <c r="H437" s="26" t="s">
        <v>57</v>
      </c>
      <c r="I437" s="26" t="s">
        <v>88</v>
      </c>
      <c r="J437" s="26" t="s">
        <v>57</v>
      </c>
      <c r="K437" s="27" t="s">
        <v>89</v>
      </c>
      <c r="L437" s="28" t="s">
        <v>56</v>
      </c>
      <c r="M437" s="29" t="str">
        <f t="shared" si="30"/>
        <v>⚠ Missing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2190</v>
      </c>
      <c r="C438" s="44" t="s">
        <v>2191</v>
      </c>
      <c r="D438" s="42" t="s">
        <v>1325</v>
      </c>
      <c r="E438" s="45">
        <v>46132</v>
      </c>
      <c r="F438" s="26" t="s">
        <v>55</v>
      </c>
      <c r="G438" s="26" t="s">
        <v>57</v>
      </c>
      <c r="H438" s="26" t="s">
        <v>57</v>
      </c>
      <c r="I438" s="26" t="s">
        <v>88</v>
      </c>
      <c r="J438" s="26" t="s">
        <v>57</v>
      </c>
      <c r="K438" s="27" t="s">
        <v>89</v>
      </c>
      <c r="L438" s="28" t="s">
        <v>56</v>
      </c>
      <c r="M438" s="29" t="str">
        <f t="shared" si="30"/>
        <v>⚠ Missing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2192</v>
      </c>
      <c r="C439" s="25" t="s">
        <v>2193</v>
      </c>
      <c r="D439" s="23" t="s">
        <v>1325</v>
      </c>
      <c r="E439" s="45">
        <v>46132</v>
      </c>
      <c r="F439" s="26" t="s">
        <v>55</v>
      </c>
      <c r="G439" s="26" t="s">
        <v>57</v>
      </c>
      <c r="H439" s="26" t="s">
        <v>57</v>
      </c>
      <c r="I439" s="26" t="s">
        <v>88</v>
      </c>
      <c r="J439" s="26" t="s">
        <v>57</v>
      </c>
      <c r="K439" s="27" t="s">
        <v>89</v>
      </c>
      <c r="L439" s="28" t="s">
        <v>56</v>
      </c>
      <c r="M439" s="29" t="str">
        <f t="shared" si="30"/>
        <v>⚠ Missing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2194</v>
      </c>
      <c r="C440" s="44" t="s">
        <v>2195</v>
      </c>
      <c r="D440" s="42" t="s">
        <v>1325</v>
      </c>
      <c r="E440" s="45">
        <v>46132</v>
      </c>
      <c r="F440" s="26" t="s">
        <v>55</v>
      </c>
      <c r="G440" s="26" t="s">
        <v>57</v>
      </c>
      <c r="H440" s="26" t="s">
        <v>57</v>
      </c>
      <c r="I440" s="26" t="s">
        <v>88</v>
      </c>
      <c r="J440" s="26" t="s">
        <v>57</v>
      </c>
      <c r="K440" s="27" t="s">
        <v>89</v>
      </c>
      <c r="L440" s="28" t="s">
        <v>56</v>
      </c>
      <c r="M440" s="29" t="str">
        <f t="shared" si="30"/>
        <v>⚠ Missing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2196</v>
      </c>
      <c r="C441" s="25" t="s">
        <v>2197</v>
      </c>
      <c r="D441" s="23" t="s">
        <v>1325</v>
      </c>
      <c r="E441" s="45">
        <v>46132</v>
      </c>
      <c r="F441" s="26" t="s">
        <v>55</v>
      </c>
      <c r="G441" s="26" t="s">
        <v>57</v>
      </c>
      <c r="H441" s="26" t="s">
        <v>57</v>
      </c>
      <c r="I441" s="26" t="s">
        <v>88</v>
      </c>
      <c r="J441" s="26" t="s">
        <v>57</v>
      </c>
      <c r="K441" s="27" t="s">
        <v>89</v>
      </c>
      <c r="L441" s="28" t="s">
        <v>56</v>
      </c>
      <c r="M441" s="29" t="str">
        <f t="shared" si="30"/>
        <v>⚠ Missing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2198</v>
      </c>
      <c r="C442" s="44" t="s">
        <v>2199</v>
      </c>
      <c r="D442" s="42" t="s">
        <v>1325</v>
      </c>
      <c r="E442" s="45">
        <v>46132</v>
      </c>
      <c r="F442" s="26" t="s">
        <v>55</v>
      </c>
      <c r="G442" s="26" t="s">
        <v>57</v>
      </c>
      <c r="H442" s="26" t="s">
        <v>57</v>
      </c>
      <c r="I442" s="26" t="s">
        <v>88</v>
      </c>
      <c r="J442" s="26" t="s">
        <v>57</v>
      </c>
      <c r="K442" s="27" t="s">
        <v>89</v>
      </c>
      <c r="L442" s="28" t="s">
        <v>56</v>
      </c>
      <c r="M442" s="29" t="str">
        <f t="shared" si="30"/>
        <v>⚠ Missing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2200</v>
      </c>
      <c r="C443" s="25" t="s">
        <v>2201</v>
      </c>
      <c r="D443" s="23" t="s">
        <v>1325</v>
      </c>
      <c r="E443" s="45">
        <v>46132</v>
      </c>
      <c r="F443" s="26" t="s">
        <v>55</v>
      </c>
      <c r="G443" s="26" t="s">
        <v>57</v>
      </c>
      <c r="H443" s="26" t="s">
        <v>57</v>
      </c>
      <c r="I443" s="26" t="s">
        <v>88</v>
      </c>
      <c r="J443" s="26" t="s">
        <v>57</v>
      </c>
      <c r="K443" s="27" t="s">
        <v>89</v>
      </c>
      <c r="L443" s="28" t="s">
        <v>56</v>
      </c>
      <c r="M443" s="29" t="str">
        <f t="shared" si="30"/>
        <v>⚠ Missing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2202</v>
      </c>
      <c r="C444" s="44" t="s">
        <v>2203</v>
      </c>
      <c r="D444" s="42" t="s">
        <v>1325</v>
      </c>
      <c r="E444" s="45">
        <v>46132</v>
      </c>
      <c r="F444" s="26" t="s">
        <v>55</v>
      </c>
      <c r="G444" s="26" t="s">
        <v>57</v>
      </c>
      <c r="H444" s="26" t="s">
        <v>57</v>
      </c>
      <c r="I444" s="26" t="s">
        <v>88</v>
      </c>
      <c r="J444" s="26" t="s">
        <v>57</v>
      </c>
      <c r="K444" s="27" t="s">
        <v>89</v>
      </c>
      <c r="L444" s="28" t="s">
        <v>56</v>
      </c>
      <c r="M444" s="29" t="str">
        <f t="shared" si="30"/>
        <v>⚠ Missing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2204</v>
      </c>
      <c r="C445" s="25" t="s">
        <v>2205</v>
      </c>
      <c r="D445" s="23" t="s">
        <v>1325</v>
      </c>
      <c r="E445" s="45">
        <v>46132</v>
      </c>
      <c r="F445" s="26" t="s">
        <v>55</v>
      </c>
      <c r="G445" s="26" t="s">
        <v>57</v>
      </c>
      <c r="H445" s="26" t="s">
        <v>57</v>
      </c>
      <c r="I445" s="26" t="s">
        <v>88</v>
      </c>
      <c r="J445" s="26" t="s">
        <v>57</v>
      </c>
      <c r="K445" s="27" t="s">
        <v>89</v>
      </c>
      <c r="L445" s="28" t="s">
        <v>56</v>
      </c>
      <c r="M445" s="29" t="str">
        <f t="shared" si="30"/>
        <v>⚠ Missing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2206</v>
      </c>
      <c r="C446" s="44" t="s">
        <v>2207</v>
      </c>
      <c r="D446" s="42" t="s">
        <v>1325</v>
      </c>
      <c r="E446" s="45">
        <v>46132</v>
      </c>
      <c r="F446" s="26" t="s">
        <v>55</v>
      </c>
      <c r="G446" s="26" t="s">
        <v>57</v>
      </c>
      <c r="H446" s="26" t="s">
        <v>57</v>
      </c>
      <c r="I446" s="26" t="s">
        <v>88</v>
      </c>
      <c r="J446" s="26" t="s">
        <v>57</v>
      </c>
      <c r="K446" s="27" t="s">
        <v>89</v>
      </c>
      <c r="L446" s="28" t="s">
        <v>56</v>
      </c>
      <c r="M446" s="29" t="str">
        <f t="shared" si="30"/>
        <v>⚠ Missing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2208</v>
      </c>
      <c r="C447" s="25" t="s">
        <v>2209</v>
      </c>
      <c r="D447" s="23" t="s">
        <v>1325</v>
      </c>
      <c r="E447" s="45">
        <v>46132</v>
      </c>
      <c r="F447" s="26" t="s">
        <v>55</v>
      </c>
      <c r="G447" s="26" t="s">
        <v>57</v>
      </c>
      <c r="H447" s="26" t="s">
        <v>57</v>
      </c>
      <c r="I447" s="26" t="s">
        <v>88</v>
      </c>
      <c r="J447" s="26" t="s">
        <v>57</v>
      </c>
      <c r="K447" s="27" t="s">
        <v>89</v>
      </c>
      <c r="L447" s="28" t="s">
        <v>56</v>
      </c>
      <c r="M447" s="29" t="str">
        <f t="shared" si="30"/>
        <v>⚠ Missing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2210</v>
      </c>
      <c r="C448" s="44" t="s">
        <v>2211</v>
      </c>
      <c r="D448" s="42" t="s">
        <v>1325</v>
      </c>
      <c r="E448" s="45">
        <v>46132</v>
      </c>
      <c r="F448" s="26" t="s">
        <v>55</v>
      </c>
      <c r="G448" s="26" t="s">
        <v>57</v>
      </c>
      <c r="H448" s="26" t="s">
        <v>57</v>
      </c>
      <c r="I448" s="26" t="s">
        <v>88</v>
      </c>
      <c r="J448" s="26" t="s">
        <v>57</v>
      </c>
      <c r="K448" s="27" t="s">
        <v>89</v>
      </c>
      <c r="L448" s="28" t="s">
        <v>56</v>
      </c>
      <c r="M448" s="29" t="str">
        <f t="shared" si="30"/>
        <v>⚠ Missing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2212</v>
      </c>
      <c r="C449" s="25" t="s">
        <v>2213</v>
      </c>
      <c r="D449" s="23" t="s">
        <v>1325</v>
      </c>
      <c r="E449" s="45">
        <v>46132</v>
      </c>
      <c r="F449" s="26" t="s">
        <v>55</v>
      </c>
      <c r="G449" s="26" t="s">
        <v>57</v>
      </c>
      <c r="H449" s="26" t="s">
        <v>57</v>
      </c>
      <c r="I449" s="26" t="s">
        <v>88</v>
      </c>
      <c r="J449" s="26" t="s">
        <v>57</v>
      </c>
      <c r="K449" s="27" t="s">
        <v>89</v>
      </c>
      <c r="L449" s="28" t="s">
        <v>56</v>
      </c>
      <c r="M449" s="29" t="str">
        <f t="shared" si="30"/>
        <v>⚠ Missing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2214</v>
      </c>
      <c r="C450" s="44" t="s">
        <v>2215</v>
      </c>
      <c r="D450" s="42" t="s">
        <v>1325</v>
      </c>
      <c r="E450" s="45">
        <v>46132</v>
      </c>
      <c r="F450" s="26" t="s">
        <v>55</v>
      </c>
      <c r="G450" s="26" t="s">
        <v>57</v>
      </c>
      <c r="H450" s="26" t="s">
        <v>57</v>
      </c>
      <c r="I450" s="26" t="s">
        <v>88</v>
      </c>
      <c r="J450" s="26" t="s">
        <v>57</v>
      </c>
      <c r="K450" s="27" t="s">
        <v>89</v>
      </c>
      <c r="L450" s="28" t="s">
        <v>56</v>
      </c>
      <c r="M450" s="29" t="str">
        <f t="shared" si="30"/>
        <v>⚠ Missing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2216</v>
      </c>
      <c r="C451" s="25" t="s">
        <v>2217</v>
      </c>
      <c r="D451" s="23" t="s">
        <v>1325</v>
      </c>
      <c r="E451" s="45">
        <v>46132</v>
      </c>
      <c r="F451" s="26" t="s">
        <v>55</v>
      </c>
      <c r="G451" s="26" t="s">
        <v>57</v>
      </c>
      <c r="H451" s="26" t="s">
        <v>57</v>
      </c>
      <c r="I451" s="26" t="s">
        <v>88</v>
      </c>
      <c r="J451" s="26" t="s">
        <v>57</v>
      </c>
      <c r="K451" s="27" t="s">
        <v>89</v>
      </c>
      <c r="L451" s="28" t="s">
        <v>56</v>
      </c>
      <c r="M451" s="29" t="str">
        <f t="shared" si="30"/>
        <v>⚠ Missing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2218</v>
      </c>
      <c r="C452" s="44" t="s">
        <v>2219</v>
      </c>
      <c r="D452" s="42" t="s">
        <v>1325</v>
      </c>
      <c r="E452" s="45">
        <v>46132</v>
      </c>
      <c r="F452" s="26" t="s">
        <v>55</v>
      </c>
      <c r="G452" s="26" t="s">
        <v>57</v>
      </c>
      <c r="H452" s="26" t="s">
        <v>57</v>
      </c>
      <c r="I452" s="26" t="s">
        <v>88</v>
      </c>
      <c r="J452" s="26" t="s">
        <v>57</v>
      </c>
      <c r="K452" s="27" t="s">
        <v>89</v>
      </c>
      <c r="L452" s="28" t="s">
        <v>56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2220</v>
      </c>
      <c r="C453" s="25" t="s">
        <v>2221</v>
      </c>
      <c r="D453" s="23" t="s">
        <v>1325</v>
      </c>
      <c r="E453" s="45">
        <v>46132</v>
      </c>
      <c r="F453" s="26" t="s">
        <v>55</v>
      </c>
      <c r="G453" s="26" t="s">
        <v>57</v>
      </c>
      <c r="H453" s="26" t="s">
        <v>57</v>
      </c>
      <c r="I453" s="26" t="s">
        <v>88</v>
      </c>
      <c r="J453" s="26" t="s">
        <v>57</v>
      </c>
      <c r="K453" s="27" t="s">
        <v>89</v>
      </c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2222</v>
      </c>
      <c r="C454" s="44" t="s">
        <v>2223</v>
      </c>
      <c r="D454" s="42" t="s">
        <v>1325</v>
      </c>
      <c r="E454" s="45">
        <v>46132</v>
      </c>
      <c r="F454" s="26" t="s">
        <v>55</v>
      </c>
      <c r="G454" s="26" t="s">
        <v>57</v>
      </c>
      <c r="H454" s="26" t="s">
        <v>57</v>
      </c>
      <c r="I454" s="26" t="s">
        <v>88</v>
      </c>
      <c r="J454" s="26" t="s">
        <v>57</v>
      </c>
      <c r="K454" s="27" t="s">
        <v>89</v>
      </c>
      <c r="L454" s="28" t="s">
        <v>56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2224</v>
      </c>
      <c r="C455" s="25" t="s">
        <v>2225</v>
      </c>
      <c r="D455" s="23" t="s">
        <v>1325</v>
      </c>
      <c r="E455" s="45">
        <v>46132</v>
      </c>
      <c r="F455" s="26" t="s">
        <v>55</v>
      </c>
      <c r="G455" s="26" t="s">
        <v>57</v>
      </c>
      <c r="H455" s="26" t="s">
        <v>57</v>
      </c>
      <c r="I455" s="26" t="s">
        <v>88</v>
      </c>
      <c r="J455" s="26" t="s">
        <v>57</v>
      </c>
      <c r="K455" s="27" t="s">
        <v>89</v>
      </c>
      <c r="L455" s="28" t="s">
        <v>56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2226</v>
      </c>
      <c r="C456" s="44" t="s">
        <v>2227</v>
      </c>
      <c r="D456" s="42" t="s">
        <v>1325</v>
      </c>
      <c r="E456" s="45">
        <v>46132</v>
      </c>
      <c r="F456" s="26" t="s">
        <v>55</v>
      </c>
      <c r="G456" s="26" t="s">
        <v>57</v>
      </c>
      <c r="H456" s="26" t="s">
        <v>57</v>
      </c>
      <c r="I456" s="26" t="s">
        <v>88</v>
      </c>
      <c r="J456" s="26" t="s">
        <v>57</v>
      </c>
      <c r="K456" s="27" t="s">
        <v>89</v>
      </c>
      <c r="L456" s="28" t="s">
        <v>56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2228</v>
      </c>
      <c r="C457" s="25" t="s">
        <v>2229</v>
      </c>
      <c r="D457" s="23" t="s">
        <v>1325</v>
      </c>
      <c r="E457" s="45">
        <v>46132</v>
      </c>
      <c r="F457" s="26" t="s">
        <v>55</v>
      </c>
      <c r="G457" s="26" t="s">
        <v>57</v>
      </c>
      <c r="H457" s="26" t="s">
        <v>57</v>
      </c>
      <c r="I457" s="26" t="s">
        <v>88</v>
      </c>
      <c r="J457" s="26" t="s">
        <v>57</v>
      </c>
      <c r="K457" s="27" t="s">
        <v>89</v>
      </c>
      <c r="L457" s="28" t="s">
        <v>56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2230</v>
      </c>
      <c r="C458" s="44" t="s">
        <v>2231</v>
      </c>
      <c r="D458" s="42" t="s">
        <v>1325</v>
      </c>
      <c r="E458" s="45">
        <v>46132</v>
      </c>
      <c r="F458" s="26" t="s">
        <v>55</v>
      </c>
      <c r="G458" s="26" t="s">
        <v>57</v>
      </c>
      <c r="H458" s="26" t="s">
        <v>57</v>
      </c>
      <c r="I458" s="26" t="s">
        <v>88</v>
      </c>
      <c r="J458" s="26" t="s">
        <v>57</v>
      </c>
      <c r="K458" s="27" t="s">
        <v>89</v>
      </c>
      <c r="L458" s="28" t="s">
        <v>56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2232</v>
      </c>
      <c r="C459" s="25" t="s">
        <v>2233</v>
      </c>
      <c r="D459" s="23" t="s">
        <v>1325</v>
      </c>
      <c r="E459" s="45">
        <v>46132</v>
      </c>
      <c r="F459" s="26" t="s">
        <v>55</v>
      </c>
      <c r="G459" s="26" t="s">
        <v>57</v>
      </c>
      <c r="H459" s="26" t="s">
        <v>57</v>
      </c>
      <c r="I459" s="26" t="s">
        <v>88</v>
      </c>
      <c r="J459" s="26" t="s">
        <v>57</v>
      </c>
      <c r="K459" s="27" t="s">
        <v>89</v>
      </c>
      <c r="L459" s="28" t="s">
        <v>56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2234</v>
      </c>
      <c r="C460" s="44" t="s">
        <v>2235</v>
      </c>
      <c r="D460" s="42" t="s">
        <v>1325</v>
      </c>
      <c r="E460" s="45">
        <v>46132</v>
      </c>
      <c r="F460" s="26" t="s">
        <v>55</v>
      </c>
      <c r="G460" s="26" t="s">
        <v>57</v>
      </c>
      <c r="H460" s="26" t="s">
        <v>57</v>
      </c>
      <c r="I460" s="26" t="s">
        <v>88</v>
      </c>
      <c r="J460" s="26" t="s">
        <v>57</v>
      </c>
      <c r="K460" s="27" t="s">
        <v>89</v>
      </c>
      <c r="L460" s="28" t="s">
        <v>56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2236</v>
      </c>
      <c r="C461" s="25" t="s">
        <v>2237</v>
      </c>
      <c r="D461" s="23" t="s">
        <v>1325</v>
      </c>
      <c r="E461" s="45">
        <v>46132</v>
      </c>
      <c r="F461" s="26" t="s">
        <v>55</v>
      </c>
      <c r="G461" s="26" t="s">
        <v>57</v>
      </c>
      <c r="H461" s="26" t="s">
        <v>57</v>
      </c>
      <c r="I461" s="26" t="s">
        <v>88</v>
      </c>
      <c r="J461" s="26" t="s">
        <v>57</v>
      </c>
      <c r="K461" s="27" t="s">
        <v>89</v>
      </c>
      <c r="L461" s="28" t="s">
        <v>56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2238</v>
      </c>
      <c r="C462" s="44" t="s">
        <v>2239</v>
      </c>
      <c r="D462" s="42" t="s">
        <v>1325</v>
      </c>
      <c r="E462" s="45">
        <v>46132</v>
      </c>
      <c r="F462" s="26" t="s">
        <v>55</v>
      </c>
      <c r="G462" s="26" t="s">
        <v>57</v>
      </c>
      <c r="H462" s="26" t="s">
        <v>57</v>
      </c>
      <c r="I462" s="26" t="s">
        <v>88</v>
      </c>
      <c r="J462" s="26" t="s">
        <v>57</v>
      </c>
      <c r="K462" s="27" t="s">
        <v>89</v>
      </c>
      <c r="L462" s="28" t="s">
        <v>56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2240</v>
      </c>
      <c r="C463" s="25" t="s">
        <v>2241</v>
      </c>
      <c r="D463" s="23" t="s">
        <v>1325</v>
      </c>
      <c r="E463" s="45">
        <v>46132</v>
      </c>
      <c r="F463" s="26" t="s">
        <v>55</v>
      </c>
      <c r="G463" s="26" t="s">
        <v>57</v>
      </c>
      <c r="H463" s="26" t="s">
        <v>57</v>
      </c>
      <c r="I463" s="26" t="s">
        <v>88</v>
      </c>
      <c r="J463" s="26" t="s">
        <v>57</v>
      </c>
      <c r="K463" s="27" t="s">
        <v>89</v>
      </c>
      <c r="L463" s="28" t="s">
        <v>56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2242</v>
      </c>
      <c r="C464" s="44" t="s">
        <v>2243</v>
      </c>
      <c r="D464" s="42" t="s">
        <v>1325</v>
      </c>
      <c r="E464" s="45">
        <v>46132</v>
      </c>
      <c r="F464" s="26" t="s">
        <v>55</v>
      </c>
      <c r="G464" s="26" t="s">
        <v>57</v>
      </c>
      <c r="H464" s="26" t="s">
        <v>57</v>
      </c>
      <c r="I464" s="26" t="s">
        <v>88</v>
      </c>
      <c r="J464" s="26" t="s">
        <v>57</v>
      </c>
      <c r="K464" s="27" t="s">
        <v>89</v>
      </c>
      <c r="L464" s="28" t="s">
        <v>56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2244</v>
      </c>
      <c r="C465" s="25" t="s">
        <v>2245</v>
      </c>
      <c r="D465" s="23" t="s">
        <v>1325</v>
      </c>
      <c r="E465" s="45">
        <v>46132</v>
      </c>
      <c r="F465" s="26" t="s">
        <v>55</v>
      </c>
      <c r="G465" s="26" t="s">
        <v>57</v>
      </c>
      <c r="H465" s="26" t="s">
        <v>57</v>
      </c>
      <c r="I465" s="26" t="s">
        <v>88</v>
      </c>
      <c r="J465" s="26" t="s">
        <v>57</v>
      </c>
      <c r="K465" s="27" t="s">
        <v>89</v>
      </c>
      <c r="L465" s="28" t="s">
        <v>56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2246</v>
      </c>
      <c r="C466" s="44" t="s">
        <v>2247</v>
      </c>
      <c r="D466" s="42" t="s">
        <v>1325</v>
      </c>
      <c r="E466" s="45">
        <v>46132</v>
      </c>
      <c r="F466" s="26" t="s">
        <v>55</v>
      </c>
      <c r="G466" s="26" t="s">
        <v>57</v>
      </c>
      <c r="H466" s="26" t="s">
        <v>57</v>
      </c>
      <c r="I466" s="26" t="s">
        <v>88</v>
      </c>
      <c r="J466" s="26" t="s">
        <v>57</v>
      </c>
      <c r="K466" s="27" t="s">
        <v>89</v>
      </c>
      <c r="L466" s="28" t="s">
        <v>56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2248</v>
      </c>
      <c r="C467" s="25" t="s">
        <v>2249</v>
      </c>
      <c r="D467" s="23" t="s">
        <v>1325</v>
      </c>
      <c r="E467" s="45">
        <v>46132</v>
      </c>
      <c r="F467" s="26" t="s">
        <v>55</v>
      </c>
      <c r="G467" s="26" t="s">
        <v>57</v>
      </c>
      <c r="H467" s="26" t="s">
        <v>57</v>
      </c>
      <c r="I467" s="26" t="s">
        <v>88</v>
      </c>
      <c r="J467" s="26" t="s">
        <v>57</v>
      </c>
      <c r="K467" s="27" t="s">
        <v>89</v>
      </c>
      <c r="L467" s="28" t="s">
        <v>56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2250</v>
      </c>
      <c r="C468" s="44" t="s">
        <v>2251</v>
      </c>
      <c r="D468" s="42" t="s">
        <v>1325</v>
      </c>
      <c r="E468" s="45">
        <v>46132</v>
      </c>
      <c r="F468" s="26" t="s">
        <v>55</v>
      </c>
      <c r="G468" s="26" t="s">
        <v>57</v>
      </c>
      <c r="H468" s="26" t="s">
        <v>57</v>
      </c>
      <c r="I468" s="26" t="s">
        <v>88</v>
      </c>
      <c r="J468" s="26" t="s">
        <v>57</v>
      </c>
      <c r="K468" s="27" t="s">
        <v>89</v>
      </c>
      <c r="L468" s="28" t="s">
        <v>56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2252</v>
      </c>
      <c r="C469" s="25" t="s">
        <v>2253</v>
      </c>
      <c r="D469" s="23" t="s">
        <v>1325</v>
      </c>
      <c r="E469" s="45">
        <v>46132</v>
      </c>
      <c r="F469" s="26" t="s">
        <v>55</v>
      </c>
      <c r="G469" s="26" t="s">
        <v>57</v>
      </c>
      <c r="H469" s="26" t="s">
        <v>57</v>
      </c>
      <c r="I469" s="26" t="s">
        <v>88</v>
      </c>
      <c r="J469" s="26" t="s">
        <v>57</v>
      </c>
      <c r="K469" s="27" t="s">
        <v>89</v>
      </c>
      <c r="L469" s="28" t="s">
        <v>56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2254</v>
      </c>
      <c r="C470" s="44" t="s">
        <v>2255</v>
      </c>
      <c r="D470" s="42" t="s">
        <v>1325</v>
      </c>
      <c r="E470" s="45">
        <v>46132</v>
      </c>
      <c r="F470" s="26" t="s">
        <v>55</v>
      </c>
      <c r="G470" s="26" t="s">
        <v>57</v>
      </c>
      <c r="H470" s="26" t="s">
        <v>57</v>
      </c>
      <c r="I470" s="26" t="s">
        <v>88</v>
      </c>
      <c r="J470" s="26" t="s">
        <v>57</v>
      </c>
      <c r="K470" s="27" t="s">
        <v>89</v>
      </c>
      <c r="L470" s="28" t="s">
        <v>56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2256</v>
      </c>
      <c r="C471" s="25" t="s">
        <v>2257</v>
      </c>
      <c r="D471" s="23" t="s">
        <v>1325</v>
      </c>
      <c r="E471" s="45">
        <v>46132</v>
      </c>
      <c r="F471" s="26" t="s">
        <v>55</v>
      </c>
      <c r="G471" s="26" t="s">
        <v>57</v>
      </c>
      <c r="H471" s="26" t="s">
        <v>57</v>
      </c>
      <c r="I471" s="26" t="s">
        <v>88</v>
      </c>
      <c r="J471" s="26" t="s">
        <v>57</v>
      </c>
      <c r="K471" s="27" t="s">
        <v>89</v>
      </c>
      <c r="L471" s="28" t="s">
        <v>56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2258</v>
      </c>
      <c r="C472" s="44" t="s">
        <v>2259</v>
      </c>
      <c r="D472" s="42" t="s">
        <v>1325</v>
      </c>
      <c r="E472" s="45">
        <v>46132</v>
      </c>
      <c r="F472" s="26" t="s">
        <v>55</v>
      </c>
      <c r="G472" s="26" t="s">
        <v>57</v>
      </c>
      <c r="H472" s="26" t="s">
        <v>57</v>
      </c>
      <c r="I472" s="26" t="s">
        <v>88</v>
      </c>
      <c r="J472" s="26" t="s">
        <v>57</v>
      </c>
      <c r="K472" s="27" t="s">
        <v>89</v>
      </c>
      <c r="L472" s="28" t="s">
        <v>56</v>
      </c>
      <c r="M472" s="29" t="str">
        <f t="shared" si="35"/>
        <v>⚠ Missing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2260</v>
      </c>
      <c r="C473" s="25" t="s">
        <v>2261</v>
      </c>
      <c r="D473" s="23" t="s">
        <v>1325</v>
      </c>
      <c r="E473" s="45">
        <v>46132</v>
      </c>
      <c r="F473" s="26" t="s">
        <v>55</v>
      </c>
      <c r="G473" s="26" t="s">
        <v>57</v>
      </c>
      <c r="H473" s="26" t="s">
        <v>57</v>
      </c>
      <c r="I473" s="26" t="s">
        <v>88</v>
      </c>
      <c r="J473" s="26" t="s">
        <v>57</v>
      </c>
      <c r="K473" s="27" t="s">
        <v>89</v>
      </c>
      <c r="L473" s="28" t="s">
        <v>56</v>
      </c>
      <c r="M473" s="29" t="str">
        <f t="shared" si="35"/>
        <v>⚠ Missing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2262</v>
      </c>
      <c r="C474" s="44" t="s">
        <v>2263</v>
      </c>
      <c r="D474" s="42" t="s">
        <v>1325</v>
      </c>
      <c r="E474" s="45">
        <v>46132</v>
      </c>
      <c r="F474" s="26" t="s">
        <v>55</v>
      </c>
      <c r="G474" s="26" t="s">
        <v>57</v>
      </c>
      <c r="H474" s="26" t="s">
        <v>57</v>
      </c>
      <c r="I474" s="26" t="s">
        <v>88</v>
      </c>
      <c r="J474" s="26" t="s">
        <v>57</v>
      </c>
      <c r="K474" s="27" t="s">
        <v>89</v>
      </c>
      <c r="L474" s="28" t="s">
        <v>56</v>
      </c>
      <c r="M474" s="29" t="str">
        <f t="shared" si="35"/>
        <v>⚠ Missing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2264</v>
      </c>
      <c r="C475" s="25" t="s">
        <v>2265</v>
      </c>
      <c r="D475" s="23" t="s">
        <v>1325</v>
      </c>
      <c r="E475" s="45">
        <v>46132</v>
      </c>
      <c r="F475" s="26" t="s">
        <v>55</v>
      </c>
      <c r="G475" s="26" t="s">
        <v>57</v>
      </c>
      <c r="H475" s="26" t="s">
        <v>57</v>
      </c>
      <c r="I475" s="26" t="s">
        <v>88</v>
      </c>
      <c r="J475" s="26" t="s">
        <v>57</v>
      </c>
      <c r="K475" s="27" t="s">
        <v>89</v>
      </c>
      <c r="L475" s="28" t="s">
        <v>56</v>
      </c>
      <c r="M475" s="29" t="str">
        <f t="shared" si="35"/>
        <v>⚠ Missing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2266</v>
      </c>
      <c r="C476" s="44" t="s">
        <v>2267</v>
      </c>
      <c r="D476" s="42" t="s">
        <v>1325</v>
      </c>
      <c r="E476" s="45">
        <v>46132</v>
      </c>
      <c r="F476" s="26" t="s">
        <v>55</v>
      </c>
      <c r="G476" s="26" t="s">
        <v>57</v>
      </c>
      <c r="H476" s="26" t="s">
        <v>57</v>
      </c>
      <c r="I476" s="26" t="s">
        <v>88</v>
      </c>
      <c r="J476" s="26" t="s">
        <v>57</v>
      </c>
      <c r="K476" s="27" t="s">
        <v>89</v>
      </c>
      <c r="L476" s="28" t="s">
        <v>56</v>
      </c>
      <c r="M476" s="29" t="str">
        <f t="shared" si="35"/>
        <v>⚠ Missing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2268</v>
      </c>
      <c r="C477" s="25" t="s">
        <v>2269</v>
      </c>
      <c r="D477" s="23" t="s">
        <v>1325</v>
      </c>
      <c r="E477" s="45">
        <v>46132</v>
      </c>
      <c r="F477" s="26" t="s">
        <v>55</v>
      </c>
      <c r="G477" s="26" t="s">
        <v>57</v>
      </c>
      <c r="H477" s="26" t="s">
        <v>57</v>
      </c>
      <c r="I477" s="26" t="s">
        <v>88</v>
      </c>
      <c r="J477" s="26" t="s">
        <v>57</v>
      </c>
      <c r="K477" s="27" t="s">
        <v>89</v>
      </c>
      <c r="L477" s="28" t="s">
        <v>56</v>
      </c>
      <c r="M477" s="29" t="str">
        <f t="shared" si="35"/>
        <v>⚠ Missing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2270</v>
      </c>
      <c r="C478" s="44" t="s">
        <v>2271</v>
      </c>
      <c r="D478" s="42" t="s">
        <v>1325</v>
      </c>
      <c r="E478" s="45">
        <v>46132</v>
      </c>
      <c r="F478" s="26" t="s">
        <v>55</v>
      </c>
      <c r="G478" s="26" t="s">
        <v>57</v>
      </c>
      <c r="H478" s="26" t="s">
        <v>57</v>
      </c>
      <c r="I478" s="26" t="s">
        <v>88</v>
      </c>
      <c r="J478" s="26" t="s">
        <v>57</v>
      </c>
      <c r="K478" s="27" t="s">
        <v>89</v>
      </c>
      <c r="L478" s="28" t="s">
        <v>56</v>
      </c>
      <c r="M478" s="29" t="str">
        <f t="shared" si="35"/>
        <v>⚠ Missing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2272</v>
      </c>
      <c r="C479" s="25" t="s">
        <v>2273</v>
      </c>
      <c r="D479" s="23" t="s">
        <v>1325</v>
      </c>
      <c r="E479" s="45">
        <v>46132</v>
      </c>
      <c r="F479" s="26" t="s">
        <v>55</v>
      </c>
      <c r="G479" s="26" t="s">
        <v>57</v>
      </c>
      <c r="H479" s="26" t="s">
        <v>57</v>
      </c>
      <c r="I479" s="26" t="s">
        <v>88</v>
      </c>
      <c r="J479" s="26" t="s">
        <v>57</v>
      </c>
      <c r="K479" s="27" t="s">
        <v>89</v>
      </c>
      <c r="L479" s="28" t="s">
        <v>56</v>
      </c>
      <c r="M479" s="29" t="str">
        <f t="shared" si="35"/>
        <v>⚠ Missing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2274</v>
      </c>
      <c r="C480" s="44" t="s">
        <v>2275</v>
      </c>
      <c r="D480" s="42" t="s">
        <v>1325</v>
      </c>
      <c r="E480" s="45">
        <v>46132</v>
      </c>
      <c r="F480" s="26" t="s">
        <v>55</v>
      </c>
      <c r="G480" s="26" t="s">
        <v>57</v>
      </c>
      <c r="H480" s="26" t="s">
        <v>57</v>
      </c>
      <c r="I480" s="26" t="s">
        <v>88</v>
      </c>
      <c r="J480" s="26" t="s">
        <v>57</v>
      </c>
      <c r="K480" s="27" t="s">
        <v>89</v>
      </c>
      <c r="L480" s="28" t="s">
        <v>56</v>
      </c>
      <c r="M480" s="29" t="str">
        <f t="shared" si="35"/>
        <v>⚠ Missing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2276</v>
      </c>
      <c r="C481" s="25" t="s">
        <v>2277</v>
      </c>
      <c r="D481" s="23" t="s">
        <v>1325</v>
      </c>
      <c r="E481" s="45">
        <v>46132</v>
      </c>
      <c r="F481" s="26" t="s">
        <v>55</v>
      </c>
      <c r="G481" s="26" t="s">
        <v>57</v>
      </c>
      <c r="H481" s="26" t="s">
        <v>57</v>
      </c>
      <c r="I481" s="26" t="s">
        <v>88</v>
      </c>
      <c r="J481" s="26" t="s">
        <v>57</v>
      </c>
      <c r="K481" s="27" t="s">
        <v>89</v>
      </c>
      <c r="L481" s="28" t="s">
        <v>56</v>
      </c>
      <c r="M481" s="29" t="str">
        <f t="shared" si="35"/>
        <v>⚠ Missing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2278</v>
      </c>
      <c r="C482" s="44" t="s">
        <v>2279</v>
      </c>
      <c r="D482" s="42" t="s">
        <v>1325</v>
      </c>
      <c r="E482" s="45">
        <v>46132</v>
      </c>
      <c r="F482" s="26" t="s">
        <v>55</v>
      </c>
      <c r="G482" s="26" t="s">
        <v>57</v>
      </c>
      <c r="H482" s="26" t="s">
        <v>57</v>
      </c>
      <c r="I482" s="26" t="s">
        <v>88</v>
      </c>
      <c r="J482" s="26" t="s">
        <v>57</v>
      </c>
      <c r="K482" s="27" t="s">
        <v>89</v>
      </c>
      <c r="L482" s="28" t="s">
        <v>56</v>
      </c>
      <c r="M482" s="29" t="str">
        <f t="shared" si="35"/>
        <v>⚠ Missing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2280</v>
      </c>
      <c r="C483" s="25" t="s">
        <v>2281</v>
      </c>
      <c r="D483" s="23" t="s">
        <v>1325</v>
      </c>
      <c r="E483" s="45">
        <v>46132</v>
      </c>
      <c r="F483" s="26" t="s">
        <v>55</v>
      </c>
      <c r="G483" s="26" t="s">
        <v>57</v>
      </c>
      <c r="H483" s="26" t="s">
        <v>57</v>
      </c>
      <c r="I483" s="26" t="s">
        <v>88</v>
      </c>
      <c r="J483" s="26" t="s">
        <v>57</v>
      </c>
      <c r="K483" s="27" t="s">
        <v>89</v>
      </c>
      <c r="L483" s="28" t="s">
        <v>56</v>
      </c>
      <c r="M483" s="29" t="str">
        <f t="shared" si="35"/>
        <v>⚠ Missing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2282</v>
      </c>
      <c r="C484" s="44" t="s">
        <v>2283</v>
      </c>
      <c r="D484" s="42" t="s">
        <v>1325</v>
      </c>
      <c r="E484" s="45">
        <v>46132</v>
      </c>
      <c r="F484" s="26" t="s">
        <v>55</v>
      </c>
      <c r="G484" s="26" t="s">
        <v>57</v>
      </c>
      <c r="H484" s="26" t="s">
        <v>57</v>
      </c>
      <c r="I484" s="26" t="s">
        <v>88</v>
      </c>
      <c r="J484" s="26" t="s">
        <v>57</v>
      </c>
      <c r="K484" s="27" t="s">
        <v>89</v>
      </c>
      <c r="L484" s="28" t="s">
        <v>56</v>
      </c>
      <c r="M484" s="29" t="str">
        <f t="shared" si="35"/>
        <v>⚠ Missing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2284</v>
      </c>
      <c r="C485" s="25" t="s">
        <v>2285</v>
      </c>
      <c r="D485" s="23" t="s">
        <v>1325</v>
      </c>
      <c r="E485" s="45">
        <v>46132</v>
      </c>
      <c r="F485" s="26" t="s">
        <v>55</v>
      </c>
      <c r="G485" s="26" t="s">
        <v>57</v>
      </c>
      <c r="H485" s="26" t="s">
        <v>57</v>
      </c>
      <c r="I485" s="26" t="s">
        <v>88</v>
      </c>
      <c r="J485" s="26" t="s">
        <v>57</v>
      </c>
      <c r="K485" s="27" t="s">
        <v>89</v>
      </c>
      <c r="L485" s="28" t="s">
        <v>56</v>
      </c>
      <c r="M485" s="29" t="str">
        <f t="shared" si="35"/>
        <v>⚠ Missing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2286</v>
      </c>
      <c r="C486" s="44" t="s">
        <v>2287</v>
      </c>
      <c r="D486" s="42" t="s">
        <v>1325</v>
      </c>
      <c r="E486" s="45">
        <v>46132</v>
      </c>
      <c r="F486" s="26" t="s">
        <v>55</v>
      </c>
      <c r="G486" s="26" t="s">
        <v>57</v>
      </c>
      <c r="H486" s="26" t="s">
        <v>57</v>
      </c>
      <c r="I486" s="26" t="s">
        <v>88</v>
      </c>
      <c r="J486" s="26" t="s">
        <v>57</v>
      </c>
      <c r="K486" s="27" t="s">
        <v>89</v>
      </c>
      <c r="L486" s="28" t="s">
        <v>56</v>
      </c>
      <c r="M486" s="29" t="str">
        <f t="shared" si="35"/>
        <v>⚠ Missing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2288</v>
      </c>
      <c r="C487" s="25" t="s">
        <v>2289</v>
      </c>
      <c r="D487" s="23" t="s">
        <v>1325</v>
      </c>
      <c r="E487" s="45">
        <v>46132</v>
      </c>
      <c r="F487" s="26" t="s">
        <v>55</v>
      </c>
      <c r="G487" s="26" t="s">
        <v>57</v>
      </c>
      <c r="H487" s="26" t="s">
        <v>57</v>
      </c>
      <c r="I487" s="26" t="s">
        <v>88</v>
      </c>
      <c r="J487" s="26" t="s">
        <v>57</v>
      </c>
      <c r="K487" s="27" t="s">
        <v>89</v>
      </c>
      <c r="L487" s="28" t="s">
        <v>56</v>
      </c>
      <c r="M487" s="29" t="str">
        <f t="shared" si="35"/>
        <v>⚠ Missing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2290</v>
      </c>
      <c r="C488" s="44" t="s">
        <v>2291</v>
      </c>
      <c r="D488" s="42" t="s">
        <v>1325</v>
      </c>
      <c r="E488" s="45">
        <v>46132</v>
      </c>
      <c r="F488" s="26" t="s">
        <v>55</v>
      </c>
      <c r="G488" s="26" t="s">
        <v>57</v>
      </c>
      <c r="H488" s="26" t="s">
        <v>57</v>
      </c>
      <c r="I488" s="26" t="s">
        <v>88</v>
      </c>
      <c r="J488" s="26" t="s">
        <v>57</v>
      </c>
      <c r="K488" s="27" t="s">
        <v>89</v>
      </c>
      <c r="L488" s="28" t="s">
        <v>56</v>
      </c>
      <c r="M488" s="29" t="str">
        <f t="shared" si="35"/>
        <v>⚠ Missing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2292</v>
      </c>
      <c r="C489" s="25" t="s">
        <v>2293</v>
      </c>
      <c r="D489" s="23" t="s">
        <v>2294</v>
      </c>
      <c r="E489" s="45">
        <v>46129</v>
      </c>
      <c r="F489" s="26" t="s">
        <v>55</v>
      </c>
      <c r="G489" s="26" t="s">
        <v>56</v>
      </c>
      <c r="H489" s="26" t="s">
        <v>57</v>
      </c>
      <c r="I489" s="26" t="s">
        <v>58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2295</v>
      </c>
      <c r="C490" s="44" t="s">
        <v>2296</v>
      </c>
      <c r="D490" s="42" t="s">
        <v>2294</v>
      </c>
      <c r="E490" s="45">
        <v>46129</v>
      </c>
      <c r="F490" s="26" t="s">
        <v>55</v>
      </c>
      <c r="G490" s="26" t="s">
        <v>56</v>
      </c>
      <c r="H490" s="26" t="s">
        <v>57</v>
      </c>
      <c r="I490" s="26" t="s">
        <v>58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2297</v>
      </c>
      <c r="C491" s="25" t="s">
        <v>2298</v>
      </c>
      <c r="D491" s="23" t="s">
        <v>2294</v>
      </c>
      <c r="E491" s="45">
        <v>46129</v>
      </c>
      <c r="F491" s="26" t="s">
        <v>55</v>
      </c>
      <c r="G491" s="26" t="s">
        <v>56</v>
      </c>
      <c r="H491" s="26" t="s">
        <v>57</v>
      </c>
      <c r="I491" s="26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2299</v>
      </c>
      <c r="C492" s="44" t="s">
        <v>2300</v>
      </c>
      <c r="D492" s="42" t="s">
        <v>2294</v>
      </c>
      <c r="E492" s="45">
        <v>46129</v>
      </c>
      <c r="F492" s="26" t="s">
        <v>55</v>
      </c>
      <c r="G492" s="26" t="s">
        <v>56</v>
      </c>
      <c r="H492" s="26" t="s">
        <v>57</v>
      </c>
      <c r="I492" s="26" t="s">
        <v>58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2301</v>
      </c>
      <c r="C493" s="25" t="s">
        <v>2302</v>
      </c>
      <c r="D493" s="23" t="s">
        <v>2294</v>
      </c>
      <c r="E493" s="45">
        <v>46129</v>
      </c>
      <c r="F493" s="26" t="s">
        <v>55</v>
      </c>
      <c r="G493" s="26" t="s">
        <v>56</v>
      </c>
      <c r="H493" s="26" t="s">
        <v>57</v>
      </c>
      <c r="I493" s="26" t="s">
        <v>58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2303</v>
      </c>
      <c r="C494" s="44" t="s">
        <v>2304</v>
      </c>
      <c r="D494" s="42" t="s">
        <v>2294</v>
      </c>
      <c r="E494" s="45">
        <v>46129</v>
      </c>
      <c r="F494" s="26" t="s">
        <v>55</v>
      </c>
      <c r="G494" s="26" t="s">
        <v>56</v>
      </c>
      <c r="H494" s="26" t="s">
        <v>57</v>
      </c>
      <c r="I494" s="26" t="s">
        <v>58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2305</v>
      </c>
      <c r="C495" s="25" t="s">
        <v>2306</v>
      </c>
      <c r="D495" s="23" t="s">
        <v>2294</v>
      </c>
      <c r="E495" s="45">
        <v>46129</v>
      </c>
      <c r="F495" s="26" t="s">
        <v>55</v>
      </c>
      <c r="G495" s="26" t="s">
        <v>56</v>
      </c>
      <c r="H495" s="26" t="s">
        <v>57</v>
      </c>
      <c r="I495" s="26" t="s">
        <v>58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2307</v>
      </c>
      <c r="C496" s="44" t="s">
        <v>2308</v>
      </c>
      <c r="D496" s="42" t="s">
        <v>2294</v>
      </c>
      <c r="E496" s="45">
        <v>46129</v>
      </c>
      <c r="F496" s="26" t="s">
        <v>55</v>
      </c>
      <c r="G496" s="26" t="s">
        <v>56</v>
      </c>
      <c r="H496" s="26" t="s">
        <v>57</v>
      </c>
      <c r="I496" s="26" t="s">
        <v>58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2309</v>
      </c>
      <c r="C497" s="25" t="s">
        <v>2310</v>
      </c>
      <c r="D497" s="23" t="s">
        <v>2294</v>
      </c>
      <c r="E497" s="45">
        <v>46128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2311</v>
      </c>
      <c r="C498" s="44" t="s">
        <v>2312</v>
      </c>
      <c r="D498" s="42" t="s">
        <v>2294</v>
      </c>
      <c r="E498" s="45">
        <v>46128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2313</v>
      </c>
      <c r="C499" s="25" t="s">
        <v>2314</v>
      </c>
      <c r="D499" s="23" t="s">
        <v>2294</v>
      </c>
      <c r="E499" s="45">
        <v>46129</v>
      </c>
      <c r="F499" s="26" t="s">
        <v>55</v>
      </c>
      <c r="G499" s="26" t="s">
        <v>56</v>
      </c>
      <c r="H499" s="26" t="s">
        <v>57</v>
      </c>
      <c r="I499" s="26" t="s">
        <v>58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2315</v>
      </c>
      <c r="C500" s="44" t="s">
        <v>2316</v>
      </c>
      <c r="D500" s="42" t="s">
        <v>2294</v>
      </c>
      <c r="E500" s="45">
        <v>46129</v>
      </c>
      <c r="F500" s="26" t="s">
        <v>55</v>
      </c>
      <c r="G500" s="26" t="s">
        <v>56</v>
      </c>
      <c r="H500" s="26" t="s">
        <v>57</v>
      </c>
      <c r="I500" s="26" t="s">
        <v>58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2317</v>
      </c>
      <c r="C501" s="25" t="s">
        <v>2318</v>
      </c>
      <c r="D501" s="23" t="s">
        <v>2294</v>
      </c>
      <c r="E501" s="45">
        <v>46129</v>
      </c>
      <c r="F501" s="26" t="s">
        <v>55</v>
      </c>
      <c r="G501" s="26" t="s">
        <v>56</v>
      </c>
      <c r="H501" s="26" t="s">
        <v>57</v>
      </c>
      <c r="I501" s="26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2319</v>
      </c>
      <c r="C502" s="44" t="s">
        <v>2320</v>
      </c>
      <c r="D502" s="42" t="s">
        <v>2294</v>
      </c>
      <c r="E502" s="45">
        <v>46129</v>
      </c>
      <c r="F502" s="26" t="s">
        <v>55</v>
      </c>
      <c r="G502" s="26" t="s">
        <v>56</v>
      </c>
      <c r="H502" s="26" t="s">
        <v>57</v>
      </c>
      <c r="I502" s="26" t="s">
        <v>58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2321</v>
      </c>
      <c r="C503" s="25" t="s">
        <v>2322</v>
      </c>
      <c r="D503" s="23" t="s">
        <v>2294</v>
      </c>
      <c r="E503" s="45">
        <v>46128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2323</v>
      </c>
      <c r="C504" s="44" t="s">
        <v>2324</v>
      </c>
      <c r="D504" s="42" t="s">
        <v>2294</v>
      </c>
      <c r="E504" s="45">
        <v>46129</v>
      </c>
      <c r="F504" s="26" t="s">
        <v>55</v>
      </c>
      <c r="G504" s="26" t="s">
        <v>56</v>
      </c>
      <c r="H504" s="26" t="s">
        <v>57</v>
      </c>
      <c r="I504" s="26" t="s">
        <v>58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2325</v>
      </c>
      <c r="C505" s="25" t="s">
        <v>2326</v>
      </c>
      <c r="D505" s="23" t="s">
        <v>2294</v>
      </c>
      <c r="E505" s="45">
        <v>46129</v>
      </c>
      <c r="F505" s="26" t="s">
        <v>55</v>
      </c>
      <c r="G505" s="26" t="s">
        <v>56</v>
      </c>
      <c r="H505" s="26" t="s">
        <v>57</v>
      </c>
      <c r="I505" s="26" t="s">
        <v>58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2327</v>
      </c>
      <c r="C506" s="44" t="s">
        <v>2328</v>
      </c>
      <c r="D506" s="42" t="s">
        <v>2294</v>
      </c>
      <c r="E506" s="45">
        <v>46128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2329</v>
      </c>
      <c r="C507" s="25" t="s">
        <v>2330</v>
      </c>
      <c r="D507" s="23" t="s">
        <v>2294</v>
      </c>
      <c r="E507" s="45">
        <v>46128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2331</v>
      </c>
      <c r="C508" s="44" t="s">
        <v>2332</v>
      </c>
      <c r="D508" s="42" t="s">
        <v>2294</v>
      </c>
      <c r="E508" s="45">
        <v>46129</v>
      </c>
      <c r="F508" s="26" t="s">
        <v>55</v>
      </c>
      <c r="G508" s="26" t="s">
        <v>56</v>
      </c>
      <c r="H508" s="26" t="s">
        <v>57</v>
      </c>
      <c r="I508" s="26" t="s">
        <v>58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2333</v>
      </c>
      <c r="C509" s="25" t="s">
        <v>2334</v>
      </c>
      <c r="D509" s="23" t="s">
        <v>2294</v>
      </c>
      <c r="E509" s="45">
        <v>46129</v>
      </c>
      <c r="F509" s="26" t="s">
        <v>55</v>
      </c>
      <c r="G509" s="26" t="s">
        <v>56</v>
      </c>
      <c r="H509" s="26" t="s">
        <v>57</v>
      </c>
      <c r="I509" s="26" t="s">
        <v>58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2335</v>
      </c>
      <c r="C510" s="44" t="s">
        <v>2336</v>
      </c>
      <c r="D510" s="42" t="s">
        <v>2294</v>
      </c>
      <c r="E510" s="45">
        <v>46129</v>
      </c>
      <c r="F510" s="26" t="s">
        <v>55</v>
      </c>
      <c r="G510" s="26" t="s">
        <v>56</v>
      </c>
      <c r="H510" s="26" t="s">
        <v>57</v>
      </c>
      <c r="I510" s="26" t="s">
        <v>58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2337</v>
      </c>
      <c r="C511" s="25" t="s">
        <v>2338</v>
      </c>
      <c r="D511" s="23" t="s">
        <v>2294</v>
      </c>
      <c r="E511" s="45">
        <v>46129</v>
      </c>
      <c r="F511" s="26" t="s">
        <v>55</v>
      </c>
      <c r="G511" s="26" t="s">
        <v>56</v>
      </c>
      <c r="H511" s="26" t="s">
        <v>57</v>
      </c>
      <c r="I511" s="26" t="s">
        <v>58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2339</v>
      </c>
      <c r="C512" s="44" t="s">
        <v>2340</v>
      </c>
      <c r="D512" s="42" t="s">
        <v>2294</v>
      </c>
      <c r="E512" s="45">
        <v>46128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2341</v>
      </c>
      <c r="C513" s="25" t="s">
        <v>2342</v>
      </c>
      <c r="D513" s="23" t="s">
        <v>2294</v>
      </c>
      <c r="E513" s="45">
        <v>46128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2343</v>
      </c>
      <c r="C514" s="44" t="s">
        <v>2344</v>
      </c>
      <c r="D514" s="42" t="s">
        <v>2294</v>
      </c>
      <c r="E514" s="45">
        <v>46129</v>
      </c>
      <c r="F514" s="26" t="s">
        <v>55</v>
      </c>
      <c r="G514" s="26" t="s">
        <v>56</v>
      </c>
      <c r="H514" s="26" t="s">
        <v>57</v>
      </c>
      <c r="I514" s="26" t="s">
        <v>58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2345</v>
      </c>
      <c r="C515" s="25" t="s">
        <v>2346</v>
      </c>
      <c r="D515" s="23" t="s">
        <v>2294</v>
      </c>
      <c r="E515" s="45">
        <v>46129</v>
      </c>
      <c r="F515" s="26" t="s">
        <v>55</v>
      </c>
      <c r="G515" s="26" t="s">
        <v>56</v>
      </c>
      <c r="H515" s="26" t="s">
        <v>57</v>
      </c>
      <c r="I515" s="26" t="s">
        <v>58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2347</v>
      </c>
      <c r="C516" s="44" t="s">
        <v>2348</v>
      </c>
      <c r="D516" s="42" t="s">
        <v>2294</v>
      </c>
      <c r="E516" s="45">
        <v>46129</v>
      </c>
      <c r="F516" s="26" t="s">
        <v>55</v>
      </c>
      <c r="G516" s="26" t="s">
        <v>56</v>
      </c>
      <c r="H516" s="26" t="s">
        <v>57</v>
      </c>
      <c r="I516" s="26" t="s">
        <v>58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2349</v>
      </c>
      <c r="C517" s="25" t="s">
        <v>2350</v>
      </c>
      <c r="D517" s="23" t="s">
        <v>2294</v>
      </c>
      <c r="E517" s="45">
        <v>46129</v>
      </c>
      <c r="F517" s="26" t="s">
        <v>55</v>
      </c>
      <c r="G517" s="26" t="s">
        <v>56</v>
      </c>
      <c r="H517" s="26" t="s">
        <v>57</v>
      </c>
      <c r="I517" s="26" t="s">
        <v>58</v>
      </c>
      <c r="J517" s="26" t="s">
        <v>56</v>
      </c>
      <c r="K517" s="27"/>
      <c r="L517" s="28" t="s">
        <v>57</v>
      </c>
      <c r="M517" s="29" t="str">
        <f t="shared" ref="M517:M580" si="40">IF(E517="","",IF(H517="Yes","❌ Disc",IF(G517="No","⚠ Missing",IF(J517="Yes","✓ OK","⚠ Check"))))</f>
        <v>✓ OK</v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2351</v>
      </c>
      <c r="C518" s="44" t="s">
        <v>2352</v>
      </c>
      <c r="D518" s="42" t="s">
        <v>2294</v>
      </c>
      <c r="E518" s="45">
        <v>46128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 t="shared" si="40"/>
        <v>✓ OK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2353</v>
      </c>
      <c r="C519" s="25" t="s">
        <v>2354</v>
      </c>
      <c r="D519" s="23" t="s">
        <v>2294</v>
      </c>
      <c r="E519" s="45">
        <v>46128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 t="shared" si="40"/>
        <v>✓ OK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2355</v>
      </c>
      <c r="C520" s="44" t="s">
        <v>2356</v>
      </c>
      <c r="D520" s="42" t="s">
        <v>2294</v>
      </c>
      <c r="E520" s="45">
        <v>46129</v>
      </c>
      <c r="F520" s="26" t="s">
        <v>55</v>
      </c>
      <c r="G520" s="26" t="s">
        <v>56</v>
      </c>
      <c r="H520" s="26" t="s">
        <v>57</v>
      </c>
      <c r="I520" s="26" t="s">
        <v>58</v>
      </c>
      <c r="J520" s="26" t="s">
        <v>56</v>
      </c>
      <c r="K520" s="27"/>
      <c r="L520" s="28" t="s">
        <v>57</v>
      </c>
      <c r="M520" s="29" t="str">
        <f t="shared" si="40"/>
        <v>✓ OK</v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2357</v>
      </c>
      <c r="C521" s="25" t="s">
        <v>2358</v>
      </c>
      <c r="D521" s="23" t="s">
        <v>2294</v>
      </c>
      <c r="E521" s="45">
        <v>46129</v>
      </c>
      <c r="F521" s="26" t="s">
        <v>55</v>
      </c>
      <c r="G521" s="26" t="s">
        <v>56</v>
      </c>
      <c r="H521" s="26" t="s">
        <v>57</v>
      </c>
      <c r="I521" s="26" t="s">
        <v>58</v>
      </c>
      <c r="J521" s="26" t="s">
        <v>56</v>
      </c>
      <c r="K521" s="27"/>
      <c r="L521" s="28" t="s">
        <v>57</v>
      </c>
      <c r="M521" s="29" t="str">
        <f t="shared" si="40"/>
        <v>✓ OK</v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2359</v>
      </c>
      <c r="C522" s="44" t="s">
        <v>2360</v>
      </c>
      <c r="D522" s="42" t="s">
        <v>2294</v>
      </c>
      <c r="E522" s="45">
        <v>46129</v>
      </c>
      <c r="F522" s="26" t="s">
        <v>55</v>
      </c>
      <c r="G522" s="26" t="s">
        <v>56</v>
      </c>
      <c r="H522" s="26" t="s">
        <v>57</v>
      </c>
      <c r="I522" s="26" t="s">
        <v>58</v>
      </c>
      <c r="J522" s="26" t="s">
        <v>56</v>
      </c>
      <c r="K522" s="27"/>
      <c r="L522" s="28" t="s">
        <v>57</v>
      </c>
      <c r="M522" s="29" t="str">
        <f t="shared" si="40"/>
        <v>✓ OK</v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2361</v>
      </c>
      <c r="C523" s="25" t="s">
        <v>2362</v>
      </c>
      <c r="D523" s="23" t="s">
        <v>2294</v>
      </c>
      <c r="E523" s="45">
        <v>46129</v>
      </c>
      <c r="F523" s="26" t="s">
        <v>55</v>
      </c>
      <c r="G523" s="26" t="s">
        <v>56</v>
      </c>
      <c r="H523" s="26" t="s">
        <v>57</v>
      </c>
      <c r="I523" s="26" t="s">
        <v>58</v>
      </c>
      <c r="J523" s="26" t="s">
        <v>56</v>
      </c>
      <c r="K523" s="27"/>
      <c r="L523" s="28" t="s">
        <v>57</v>
      </c>
      <c r="M523" s="29" t="str">
        <f t="shared" si="40"/>
        <v>✓ OK</v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2363</v>
      </c>
      <c r="C524" s="44" t="s">
        <v>2364</v>
      </c>
      <c r="D524" s="42" t="s">
        <v>2294</v>
      </c>
      <c r="E524" s="45">
        <v>46128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 t="shared" si="40"/>
        <v>✓ OK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2365</v>
      </c>
      <c r="C525" s="25" t="s">
        <v>2366</v>
      </c>
      <c r="D525" s="23" t="s">
        <v>2294</v>
      </c>
      <c r="E525" s="45">
        <v>46128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 t="shared" si="40"/>
        <v>✓ OK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2367</v>
      </c>
      <c r="C526" s="44" t="s">
        <v>2368</v>
      </c>
      <c r="D526" s="42" t="s">
        <v>2294</v>
      </c>
      <c r="E526" s="45">
        <v>46128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 t="shared" si="40"/>
        <v>✓ OK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2369</v>
      </c>
      <c r="C527" s="25" t="s">
        <v>2370</v>
      </c>
      <c r="D527" s="23" t="s">
        <v>2294</v>
      </c>
      <c r="E527" s="45">
        <v>46128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 t="shared" si="40"/>
        <v>✓ OK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2371</v>
      </c>
      <c r="C528" s="44" t="s">
        <v>2372</v>
      </c>
      <c r="D528" s="42" t="s">
        <v>2294</v>
      </c>
      <c r="E528" s="45">
        <v>46128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 t="shared" si="40"/>
        <v>✓ OK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2373</v>
      </c>
      <c r="C529" s="25" t="s">
        <v>2374</v>
      </c>
      <c r="D529" s="23" t="s">
        <v>2294</v>
      </c>
      <c r="E529" s="45">
        <v>46128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 t="shared" si="40"/>
        <v>✓ OK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2375</v>
      </c>
      <c r="C530" s="44" t="s">
        <v>2376</v>
      </c>
      <c r="D530" s="42" t="s">
        <v>2294</v>
      </c>
      <c r="E530" s="45">
        <v>46129</v>
      </c>
      <c r="F530" s="26" t="s">
        <v>55</v>
      </c>
      <c r="G530" s="26" t="s">
        <v>56</v>
      </c>
      <c r="H530" s="26" t="s">
        <v>57</v>
      </c>
      <c r="I530" s="26" t="s">
        <v>58</v>
      </c>
      <c r="J530" s="26" t="s">
        <v>56</v>
      </c>
      <c r="K530" s="27"/>
      <c r="L530" s="28" t="s">
        <v>57</v>
      </c>
      <c r="M530" s="29" t="str">
        <f t="shared" si="40"/>
        <v>✓ OK</v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2377</v>
      </c>
      <c r="C531" s="25" t="s">
        <v>2378</v>
      </c>
      <c r="D531" s="23" t="s">
        <v>2294</v>
      </c>
      <c r="E531" s="45">
        <v>46129</v>
      </c>
      <c r="F531" s="26" t="s">
        <v>55</v>
      </c>
      <c r="G531" s="26" t="s">
        <v>56</v>
      </c>
      <c r="H531" s="26" t="s">
        <v>57</v>
      </c>
      <c r="I531" s="26" t="s">
        <v>58</v>
      </c>
      <c r="J531" s="26" t="s">
        <v>56</v>
      </c>
      <c r="K531" s="27"/>
      <c r="L531" s="28" t="s">
        <v>57</v>
      </c>
      <c r="M531" s="29" t="str">
        <f t="shared" si="40"/>
        <v>✓ OK</v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2379</v>
      </c>
      <c r="C532" s="44" t="s">
        <v>2380</v>
      </c>
      <c r="D532" s="42" t="s">
        <v>2294</v>
      </c>
      <c r="E532" s="45">
        <v>46132</v>
      </c>
      <c r="F532" s="26" t="s">
        <v>55</v>
      </c>
      <c r="G532" s="26" t="s">
        <v>56</v>
      </c>
      <c r="H532" s="26" t="s">
        <v>57</v>
      </c>
      <c r="I532" s="26" t="s">
        <v>58</v>
      </c>
      <c r="J532" s="26" t="s">
        <v>56</v>
      </c>
      <c r="K532" s="27"/>
      <c r="L532" s="28" t="s">
        <v>57</v>
      </c>
      <c r="M532" s="29" t="str">
        <f t="shared" si="40"/>
        <v>✓ OK</v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2381</v>
      </c>
      <c r="C533" s="25" t="s">
        <v>2382</v>
      </c>
      <c r="D533" s="23" t="s">
        <v>2294</v>
      </c>
      <c r="E533" s="45">
        <v>46132</v>
      </c>
      <c r="F533" s="26" t="s">
        <v>55</v>
      </c>
      <c r="G533" s="26" t="s">
        <v>56</v>
      </c>
      <c r="H533" s="26" t="s">
        <v>57</v>
      </c>
      <c r="I533" s="26" t="s">
        <v>58</v>
      </c>
      <c r="J533" s="26" t="s">
        <v>56</v>
      </c>
      <c r="K533" s="27"/>
      <c r="L533" s="28" t="s">
        <v>57</v>
      </c>
      <c r="M533" s="29" t="str">
        <f t="shared" si="40"/>
        <v>✓ OK</v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2383</v>
      </c>
      <c r="C534" s="44" t="s">
        <v>2384</v>
      </c>
      <c r="D534" s="42" t="s">
        <v>2294</v>
      </c>
      <c r="E534" s="45">
        <v>46129</v>
      </c>
      <c r="F534" s="26" t="s">
        <v>55</v>
      </c>
      <c r="G534" s="26" t="s">
        <v>56</v>
      </c>
      <c r="H534" s="26" t="s">
        <v>57</v>
      </c>
      <c r="I534" s="26" t="s">
        <v>58</v>
      </c>
      <c r="J534" s="26" t="s">
        <v>56</v>
      </c>
      <c r="K534" s="27"/>
      <c r="L534" s="28" t="s">
        <v>57</v>
      </c>
      <c r="M534" s="29" t="str">
        <f t="shared" si="40"/>
        <v>✓ OK</v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2385</v>
      </c>
      <c r="C535" s="25" t="s">
        <v>2386</v>
      </c>
      <c r="D535" s="23" t="s">
        <v>2294</v>
      </c>
      <c r="E535" s="45">
        <v>46129</v>
      </c>
      <c r="F535" s="26" t="s">
        <v>55</v>
      </c>
      <c r="G535" s="26" t="s">
        <v>56</v>
      </c>
      <c r="H535" s="26" t="s">
        <v>57</v>
      </c>
      <c r="I535" s="26" t="s">
        <v>58</v>
      </c>
      <c r="J535" s="26" t="s">
        <v>56</v>
      </c>
      <c r="K535" s="27"/>
      <c r="L535" s="28" t="s">
        <v>57</v>
      </c>
      <c r="M535" s="29" t="str">
        <f t="shared" si="40"/>
        <v>✓ OK</v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2387</v>
      </c>
      <c r="C536" s="44" t="s">
        <v>2388</v>
      </c>
      <c r="D536" s="42" t="s">
        <v>2294</v>
      </c>
      <c r="E536" s="45">
        <v>46129</v>
      </c>
      <c r="F536" s="26" t="s">
        <v>55</v>
      </c>
      <c r="G536" s="26" t="s">
        <v>56</v>
      </c>
      <c r="H536" s="26" t="s">
        <v>57</v>
      </c>
      <c r="I536" s="26" t="s">
        <v>58</v>
      </c>
      <c r="J536" s="26" t="s">
        <v>56</v>
      </c>
      <c r="K536" s="27"/>
      <c r="L536" s="28" t="s">
        <v>57</v>
      </c>
      <c r="M536" s="29" t="str">
        <f t="shared" si="40"/>
        <v>✓ OK</v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2389</v>
      </c>
      <c r="C537" s="25" t="s">
        <v>2390</v>
      </c>
      <c r="D537" s="23" t="s">
        <v>2294</v>
      </c>
      <c r="E537" s="45">
        <v>46129</v>
      </c>
      <c r="F537" s="26" t="s">
        <v>55</v>
      </c>
      <c r="G537" s="26" t="s">
        <v>56</v>
      </c>
      <c r="H537" s="26" t="s">
        <v>57</v>
      </c>
      <c r="I537" s="26" t="s">
        <v>58</v>
      </c>
      <c r="J537" s="26" t="s">
        <v>56</v>
      </c>
      <c r="K537" s="27"/>
      <c r="L537" s="28" t="s">
        <v>57</v>
      </c>
      <c r="M537" s="29" t="str">
        <f t="shared" si="40"/>
        <v>✓ OK</v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2391</v>
      </c>
      <c r="C538" s="44" t="s">
        <v>2392</v>
      </c>
      <c r="D538" s="42" t="s">
        <v>2294</v>
      </c>
      <c r="E538" s="45">
        <v>46128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 t="shared" si="40"/>
        <v>✓ OK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2393</v>
      </c>
      <c r="C539" s="25" t="s">
        <v>2394</v>
      </c>
      <c r="D539" s="23" t="s">
        <v>2294</v>
      </c>
      <c r="E539" s="45">
        <v>46128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 t="shared" si="40"/>
        <v>✓ OK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2395</v>
      </c>
      <c r="C540" s="44" t="s">
        <v>2396</v>
      </c>
      <c r="D540" s="42" t="s">
        <v>2294</v>
      </c>
      <c r="E540" s="45">
        <v>46128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 t="shared" si="40"/>
        <v>✓ OK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2397</v>
      </c>
      <c r="C541" s="25" t="s">
        <v>2398</v>
      </c>
      <c r="D541" s="23" t="s">
        <v>2294</v>
      </c>
      <c r="E541" s="45">
        <v>46128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 t="shared" si="40"/>
        <v>✓ OK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2399</v>
      </c>
      <c r="C542" s="44" t="s">
        <v>2400</v>
      </c>
      <c r="D542" s="42" t="s">
        <v>2294</v>
      </c>
      <c r="E542" s="45">
        <v>46129</v>
      </c>
      <c r="F542" s="26" t="s">
        <v>55</v>
      </c>
      <c r="G542" s="26" t="s">
        <v>56</v>
      </c>
      <c r="H542" s="26" t="s">
        <v>57</v>
      </c>
      <c r="I542" s="26" t="s">
        <v>58</v>
      </c>
      <c r="J542" s="26" t="s">
        <v>56</v>
      </c>
      <c r="K542" s="27"/>
      <c r="L542" s="28" t="s">
        <v>57</v>
      </c>
      <c r="M542" s="29" t="str">
        <f t="shared" si="40"/>
        <v>✓ OK</v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2401</v>
      </c>
      <c r="C543" s="25" t="s">
        <v>2402</v>
      </c>
      <c r="D543" s="23" t="s">
        <v>2294</v>
      </c>
      <c r="E543" s="45">
        <v>46129</v>
      </c>
      <c r="F543" s="26" t="s">
        <v>55</v>
      </c>
      <c r="G543" s="26" t="s">
        <v>56</v>
      </c>
      <c r="H543" s="26" t="s">
        <v>57</v>
      </c>
      <c r="I543" s="26" t="s">
        <v>58</v>
      </c>
      <c r="J543" s="26" t="s">
        <v>56</v>
      </c>
      <c r="K543" s="27"/>
      <c r="L543" s="28" t="s">
        <v>57</v>
      </c>
      <c r="M543" s="29" t="str">
        <f t="shared" si="40"/>
        <v>✓ OK</v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2403</v>
      </c>
      <c r="C544" s="44" t="s">
        <v>2404</v>
      </c>
      <c r="D544" s="42" t="s">
        <v>2294</v>
      </c>
      <c r="E544" s="45">
        <v>46129</v>
      </c>
      <c r="F544" s="26" t="s">
        <v>55</v>
      </c>
      <c r="G544" s="26" t="s">
        <v>56</v>
      </c>
      <c r="H544" s="26" t="s">
        <v>57</v>
      </c>
      <c r="I544" s="26" t="s">
        <v>58</v>
      </c>
      <c r="J544" s="26" t="s">
        <v>56</v>
      </c>
      <c r="K544" s="27"/>
      <c r="L544" s="28" t="s">
        <v>57</v>
      </c>
      <c r="M544" s="29" t="str">
        <f t="shared" si="40"/>
        <v>✓ OK</v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2405</v>
      </c>
      <c r="C545" s="25" t="s">
        <v>2406</v>
      </c>
      <c r="D545" s="23" t="s">
        <v>2294</v>
      </c>
      <c r="E545" s="45">
        <v>46129</v>
      </c>
      <c r="F545" s="26" t="s">
        <v>55</v>
      </c>
      <c r="G545" s="26" t="s">
        <v>56</v>
      </c>
      <c r="H545" s="26" t="s">
        <v>57</v>
      </c>
      <c r="I545" s="26" t="s">
        <v>58</v>
      </c>
      <c r="J545" s="26" t="s">
        <v>56</v>
      </c>
      <c r="K545" s="27"/>
      <c r="L545" s="28" t="s">
        <v>57</v>
      </c>
      <c r="M545" s="29" t="str">
        <f t="shared" si="40"/>
        <v>✓ OK</v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2407</v>
      </c>
      <c r="C546" s="44" t="s">
        <v>2408</v>
      </c>
      <c r="D546" s="42" t="s">
        <v>2294</v>
      </c>
      <c r="E546" s="45">
        <v>46128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 t="shared" si="40"/>
        <v>✓ OK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2409</v>
      </c>
      <c r="C547" s="25" t="s">
        <v>2410</v>
      </c>
      <c r="D547" s="23" t="s">
        <v>2294</v>
      </c>
      <c r="E547" s="45">
        <v>46128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 t="shared" si="40"/>
        <v>✓ OK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2411</v>
      </c>
      <c r="C548" s="44" t="s">
        <v>2412</v>
      </c>
      <c r="D548" s="42" t="s">
        <v>2294</v>
      </c>
      <c r="E548" s="45">
        <v>46128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 t="shared" si="40"/>
        <v>✓ OK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2413</v>
      </c>
      <c r="C549" s="25" t="s">
        <v>2414</v>
      </c>
      <c r="D549" s="23" t="s">
        <v>2294</v>
      </c>
      <c r="E549" s="45">
        <v>46129</v>
      </c>
      <c r="F549" s="26" t="s">
        <v>55</v>
      </c>
      <c r="G549" s="26" t="s">
        <v>56</v>
      </c>
      <c r="H549" s="26" t="s">
        <v>57</v>
      </c>
      <c r="I549" s="26" t="s">
        <v>58</v>
      </c>
      <c r="J549" s="26" t="s">
        <v>56</v>
      </c>
      <c r="K549" s="27"/>
      <c r="L549" s="28" t="s">
        <v>57</v>
      </c>
      <c r="M549" s="29" t="str">
        <f t="shared" si="40"/>
        <v>✓ OK</v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2415</v>
      </c>
      <c r="C550" s="44" t="s">
        <v>2416</v>
      </c>
      <c r="D550" s="42" t="s">
        <v>2294</v>
      </c>
      <c r="E550" s="45">
        <v>46129</v>
      </c>
      <c r="F550" s="26" t="s">
        <v>55</v>
      </c>
      <c r="G550" s="26" t="s">
        <v>56</v>
      </c>
      <c r="H550" s="26" t="s">
        <v>57</v>
      </c>
      <c r="I550" s="26" t="s">
        <v>58</v>
      </c>
      <c r="J550" s="26" t="s">
        <v>56</v>
      </c>
      <c r="K550" s="27"/>
      <c r="L550" s="28" t="s">
        <v>57</v>
      </c>
      <c r="M550" s="29" t="str">
        <f t="shared" si="40"/>
        <v>✓ OK</v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2417</v>
      </c>
      <c r="C551" s="25" t="s">
        <v>2418</v>
      </c>
      <c r="D551" s="23" t="s">
        <v>2294</v>
      </c>
      <c r="E551" s="45">
        <v>46128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 t="shared" si="40"/>
        <v>✓ OK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2419</v>
      </c>
      <c r="C552" s="44" t="s">
        <v>2420</v>
      </c>
      <c r="D552" s="42" t="s">
        <v>2294</v>
      </c>
      <c r="E552" s="45">
        <v>46128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 t="shared" si="40"/>
        <v>✓ OK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2421</v>
      </c>
      <c r="C553" s="25" t="s">
        <v>2422</v>
      </c>
      <c r="D553" s="23" t="s">
        <v>2294</v>
      </c>
      <c r="E553" s="45">
        <v>46129</v>
      </c>
      <c r="F553" s="26" t="s">
        <v>55</v>
      </c>
      <c r="G553" s="26" t="s">
        <v>56</v>
      </c>
      <c r="H553" s="26" t="s">
        <v>57</v>
      </c>
      <c r="I553" s="26" t="s">
        <v>58</v>
      </c>
      <c r="J553" s="26" t="s">
        <v>56</v>
      </c>
      <c r="K553" s="27"/>
      <c r="L553" s="28" t="s">
        <v>57</v>
      </c>
      <c r="M553" s="29" t="str">
        <f t="shared" si="40"/>
        <v>✓ OK</v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2423</v>
      </c>
      <c r="C554" s="44" t="s">
        <v>2424</v>
      </c>
      <c r="D554" s="42" t="s">
        <v>2294</v>
      </c>
      <c r="E554" s="45">
        <v>46129</v>
      </c>
      <c r="F554" s="26" t="s">
        <v>55</v>
      </c>
      <c r="G554" s="26" t="s">
        <v>56</v>
      </c>
      <c r="H554" s="26" t="s">
        <v>57</v>
      </c>
      <c r="I554" s="26" t="s">
        <v>58</v>
      </c>
      <c r="J554" s="26" t="s">
        <v>56</v>
      </c>
      <c r="K554" s="27"/>
      <c r="L554" s="28" t="s">
        <v>57</v>
      </c>
      <c r="M554" s="29" t="str">
        <f t="shared" si="40"/>
        <v>✓ OK</v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2425</v>
      </c>
      <c r="C555" s="25" t="s">
        <v>2426</v>
      </c>
      <c r="D555" s="23" t="s">
        <v>2294</v>
      </c>
      <c r="E555" s="45">
        <v>46132</v>
      </c>
      <c r="F555" s="26" t="s">
        <v>55</v>
      </c>
      <c r="G555" s="26" t="s">
        <v>56</v>
      </c>
      <c r="H555" s="26" t="s">
        <v>57</v>
      </c>
      <c r="I555" s="26" t="s">
        <v>58</v>
      </c>
      <c r="J555" s="26" t="s">
        <v>56</v>
      </c>
      <c r="K555" s="27"/>
      <c r="L555" s="28" t="s">
        <v>57</v>
      </c>
      <c r="M555" s="29" t="str">
        <f t="shared" si="40"/>
        <v>✓ OK</v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2427</v>
      </c>
      <c r="C556" s="44" t="s">
        <v>2428</v>
      </c>
      <c r="D556" s="42" t="s">
        <v>2294</v>
      </c>
      <c r="E556" s="45">
        <v>46132</v>
      </c>
      <c r="F556" s="26" t="s">
        <v>55</v>
      </c>
      <c r="G556" s="26" t="s">
        <v>56</v>
      </c>
      <c r="H556" s="26" t="s">
        <v>57</v>
      </c>
      <c r="I556" s="26" t="s">
        <v>58</v>
      </c>
      <c r="J556" s="26" t="s">
        <v>56</v>
      </c>
      <c r="K556" s="27"/>
      <c r="L556" s="28" t="s">
        <v>57</v>
      </c>
      <c r="M556" s="29" t="str">
        <f t="shared" si="40"/>
        <v>✓ OK</v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2429</v>
      </c>
      <c r="C557" s="25" t="s">
        <v>2430</v>
      </c>
      <c r="D557" s="23" t="s">
        <v>2294</v>
      </c>
      <c r="E557" s="45">
        <v>46129</v>
      </c>
      <c r="F557" s="26" t="s">
        <v>55</v>
      </c>
      <c r="G557" s="26" t="s">
        <v>56</v>
      </c>
      <c r="H557" s="26" t="s">
        <v>57</v>
      </c>
      <c r="I557" s="26" t="s">
        <v>58</v>
      </c>
      <c r="J557" s="26" t="s">
        <v>56</v>
      </c>
      <c r="K557" s="27"/>
      <c r="L557" s="28" t="s">
        <v>57</v>
      </c>
      <c r="M557" s="29" t="str">
        <f t="shared" si="40"/>
        <v>✓ OK</v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2431</v>
      </c>
      <c r="C558" s="44" t="s">
        <v>2432</v>
      </c>
      <c r="D558" s="42" t="s">
        <v>2294</v>
      </c>
      <c r="E558" s="45">
        <v>46129</v>
      </c>
      <c r="F558" s="26" t="s">
        <v>55</v>
      </c>
      <c r="G558" s="26" t="s">
        <v>56</v>
      </c>
      <c r="H558" s="26" t="s">
        <v>57</v>
      </c>
      <c r="I558" s="26" t="s">
        <v>58</v>
      </c>
      <c r="J558" s="26" t="s">
        <v>56</v>
      </c>
      <c r="K558" s="27"/>
      <c r="L558" s="28" t="s">
        <v>57</v>
      </c>
      <c r="M558" s="29" t="str">
        <f t="shared" si="40"/>
        <v>✓ OK</v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2433</v>
      </c>
      <c r="C559" s="25" t="s">
        <v>2434</v>
      </c>
      <c r="D559" s="23" t="s">
        <v>2294</v>
      </c>
      <c r="E559" s="45">
        <v>46128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 t="shared" si="40"/>
        <v>✓ OK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2435</v>
      </c>
      <c r="C560" s="44" t="s">
        <v>2436</v>
      </c>
      <c r="D560" s="42" t="s">
        <v>2294</v>
      </c>
      <c r="E560" s="45">
        <v>46128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 t="shared" si="40"/>
        <v>✓ OK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2437</v>
      </c>
      <c r="C561" s="25" t="s">
        <v>2438</v>
      </c>
      <c r="D561" s="23" t="s">
        <v>2294</v>
      </c>
      <c r="E561" s="45">
        <v>46129</v>
      </c>
      <c r="F561" s="26" t="s">
        <v>55</v>
      </c>
      <c r="G561" s="26" t="s">
        <v>56</v>
      </c>
      <c r="H561" s="26" t="s">
        <v>57</v>
      </c>
      <c r="I561" s="26" t="s">
        <v>58</v>
      </c>
      <c r="J561" s="26" t="s">
        <v>56</v>
      </c>
      <c r="K561" s="27"/>
      <c r="L561" s="28" t="s">
        <v>57</v>
      </c>
      <c r="M561" s="29" t="str">
        <f t="shared" si="40"/>
        <v>✓ OK</v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2439</v>
      </c>
      <c r="C562" s="44" t="s">
        <v>2440</v>
      </c>
      <c r="D562" s="42" t="s">
        <v>2294</v>
      </c>
      <c r="E562" s="45">
        <v>46129</v>
      </c>
      <c r="F562" s="26" t="s">
        <v>55</v>
      </c>
      <c r="G562" s="26" t="s">
        <v>56</v>
      </c>
      <c r="H562" s="26" t="s">
        <v>57</v>
      </c>
      <c r="I562" s="26" t="s">
        <v>58</v>
      </c>
      <c r="J562" s="26" t="s">
        <v>56</v>
      </c>
      <c r="K562" s="27"/>
      <c r="L562" s="28" t="s">
        <v>57</v>
      </c>
      <c r="M562" s="29" t="str">
        <f t="shared" si="40"/>
        <v>✓ OK</v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2441</v>
      </c>
      <c r="C563" s="25" t="s">
        <v>2442</v>
      </c>
      <c r="D563" s="23" t="s">
        <v>2294</v>
      </c>
      <c r="E563" s="45">
        <v>46129</v>
      </c>
      <c r="F563" s="26" t="s">
        <v>55</v>
      </c>
      <c r="G563" s="26" t="s">
        <v>56</v>
      </c>
      <c r="H563" s="26" t="s">
        <v>57</v>
      </c>
      <c r="I563" s="26" t="s">
        <v>58</v>
      </c>
      <c r="J563" s="26" t="s">
        <v>56</v>
      </c>
      <c r="K563" s="27"/>
      <c r="L563" s="28" t="s">
        <v>57</v>
      </c>
      <c r="M563" s="29" t="str">
        <f t="shared" si="40"/>
        <v>✓ OK</v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2443</v>
      </c>
      <c r="C564" s="44" t="s">
        <v>2444</v>
      </c>
      <c r="D564" s="42" t="s">
        <v>2294</v>
      </c>
      <c r="E564" s="45">
        <v>46129</v>
      </c>
      <c r="F564" s="26" t="s">
        <v>55</v>
      </c>
      <c r="G564" s="26" t="s">
        <v>56</v>
      </c>
      <c r="H564" s="26" t="s">
        <v>57</v>
      </c>
      <c r="I564" s="26" t="s">
        <v>58</v>
      </c>
      <c r="J564" s="26" t="s">
        <v>56</v>
      </c>
      <c r="K564" s="27"/>
      <c r="L564" s="28" t="s">
        <v>57</v>
      </c>
      <c r="M564" s="29" t="str">
        <f t="shared" si="40"/>
        <v>✓ OK</v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2445</v>
      </c>
      <c r="C565" s="25" t="s">
        <v>2446</v>
      </c>
      <c r="D565" s="23" t="s">
        <v>2294</v>
      </c>
      <c r="E565" s="45">
        <v>46129</v>
      </c>
      <c r="F565" s="26" t="s">
        <v>55</v>
      </c>
      <c r="G565" s="26" t="s">
        <v>56</v>
      </c>
      <c r="H565" s="26" t="s">
        <v>57</v>
      </c>
      <c r="I565" s="26" t="s">
        <v>58</v>
      </c>
      <c r="J565" s="26" t="s">
        <v>56</v>
      </c>
      <c r="K565" s="27"/>
      <c r="L565" s="28" t="s">
        <v>57</v>
      </c>
      <c r="M565" s="29" t="str">
        <f t="shared" si="40"/>
        <v>✓ OK</v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2447</v>
      </c>
      <c r="C566" s="44" t="s">
        <v>2448</v>
      </c>
      <c r="D566" s="42" t="s">
        <v>2294</v>
      </c>
      <c r="E566" s="45">
        <v>46129</v>
      </c>
      <c r="F566" s="26" t="s">
        <v>55</v>
      </c>
      <c r="G566" s="26" t="s">
        <v>56</v>
      </c>
      <c r="H566" s="26" t="s">
        <v>57</v>
      </c>
      <c r="I566" s="26" t="s">
        <v>58</v>
      </c>
      <c r="J566" s="26" t="s">
        <v>56</v>
      </c>
      <c r="K566" s="27"/>
      <c r="L566" s="28" t="s">
        <v>57</v>
      </c>
      <c r="M566" s="29" t="str">
        <f t="shared" si="40"/>
        <v>✓ OK</v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2449</v>
      </c>
      <c r="C567" s="25" t="s">
        <v>2450</v>
      </c>
      <c r="D567" s="23" t="s">
        <v>2294</v>
      </c>
      <c r="E567" s="45">
        <v>46129</v>
      </c>
      <c r="F567" s="26" t="s">
        <v>55</v>
      </c>
      <c r="G567" s="26" t="s">
        <v>56</v>
      </c>
      <c r="H567" s="26" t="s">
        <v>57</v>
      </c>
      <c r="I567" s="26" t="s">
        <v>58</v>
      </c>
      <c r="J567" s="26" t="s">
        <v>56</v>
      </c>
      <c r="K567" s="27"/>
      <c r="L567" s="28" t="s">
        <v>57</v>
      </c>
      <c r="M567" s="29" t="str">
        <f t="shared" si="40"/>
        <v>✓ OK</v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2451</v>
      </c>
      <c r="C568" s="44" t="s">
        <v>2452</v>
      </c>
      <c r="D568" s="42" t="s">
        <v>2294</v>
      </c>
      <c r="E568" s="45">
        <v>46129</v>
      </c>
      <c r="F568" s="26" t="s">
        <v>55</v>
      </c>
      <c r="G568" s="26" t="s">
        <v>56</v>
      </c>
      <c r="H568" s="26" t="s">
        <v>57</v>
      </c>
      <c r="I568" s="26" t="s">
        <v>58</v>
      </c>
      <c r="J568" s="26" t="s">
        <v>56</v>
      </c>
      <c r="K568" s="27"/>
      <c r="L568" s="28" t="s">
        <v>57</v>
      </c>
      <c r="M568" s="29" t="str">
        <f t="shared" si="40"/>
        <v>✓ OK</v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2453</v>
      </c>
      <c r="C569" s="25" t="s">
        <v>2454</v>
      </c>
      <c r="D569" s="23" t="s">
        <v>2294</v>
      </c>
      <c r="E569" s="45">
        <v>46129</v>
      </c>
      <c r="F569" s="26" t="s">
        <v>55</v>
      </c>
      <c r="G569" s="26" t="s">
        <v>56</v>
      </c>
      <c r="H569" s="26" t="s">
        <v>57</v>
      </c>
      <c r="I569" s="26" t="s">
        <v>58</v>
      </c>
      <c r="J569" s="26" t="s">
        <v>56</v>
      </c>
      <c r="K569" s="27"/>
      <c r="L569" s="28" t="s">
        <v>57</v>
      </c>
      <c r="M569" s="29" t="str">
        <f t="shared" si="40"/>
        <v>✓ OK</v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2455</v>
      </c>
      <c r="C570" s="44" t="s">
        <v>2456</v>
      </c>
      <c r="D570" s="42" t="s">
        <v>2294</v>
      </c>
      <c r="E570" s="45">
        <v>46129</v>
      </c>
      <c r="F570" s="26" t="s">
        <v>55</v>
      </c>
      <c r="G570" s="26" t="s">
        <v>56</v>
      </c>
      <c r="H570" s="26" t="s">
        <v>57</v>
      </c>
      <c r="I570" s="26" t="s">
        <v>58</v>
      </c>
      <c r="J570" s="26" t="s">
        <v>56</v>
      </c>
      <c r="K570" s="27"/>
      <c r="L570" s="28" t="s">
        <v>57</v>
      </c>
      <c r="M570" s="29" t="str">
        <f t="shared" si="40"/>
        <v>✓ OK</v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2457</v>
      </c>
      <c r="C571" s="25" t="s">
        <v>2458</v>
      </c>
      <c r="D571" s="23" t="s">
        <v>2294</v>
      </c>
      <c r="E571" s="45">
        <v>46129</v>
      </c>
      <c r="F571" s="26" t="s">
        <v>55</v>
      </c>
      <c r="G571" s="26" t="s">
        <v>56</v>
      </c>
      <c r="H571" s="26" t="s">
        <v>57</v>
      </c>
      <c r="I571" s="26" t="s">
        <v>58</v>
      </c>
      <c r="J571" s="26" t="s">
        <v>56</v>
      </c>
      <c r="K571" s="27"/>
      <c r="L571" s="28" t="s">
        <v>57</v>
      </c>
      <c r="M571" s="29" t="str">
        <f t="shared" si="40"/>
        <v>✓ OK</v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2459</v>
      </c>
      <c r="C572" s="44" t="s">
        <v>2460</v>
      </c>
      <c r="D572" s="42" t="s">
        <v>2294</v>
      </c>
      <c r="E572" s="45">
        <v>46129</v>
      </c>
      <c r="F572" s="26" t="s">
        <v>55</v>
      </c>
      <c r="G572" s="26" t="s">
        <v>56</v>
      </c>
      <c r="H572" s="26" t="s">
        <v>57</v>
      </c>
      <c r="I572" s="26" t="s">
        <v>58</v>
      </c>
      <c r="J572" s="26" t="s">
        <v>56</v>
      </c>
      <c r="K572" s="27"/>
      <c r="L572" s="28" t="s">
        <v>57</v>
      </c>
      <c r="M572" s="29" t="str">
        <f t="shared" si="40"/>
        <v>✓ OK</v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2461</v>
      </c>
      <c r="C573" s="25" t="s">
        <v>2462</v>
      </c>
      <c r="D573" s="23" t="s">
        <v>2294</v>
      </c>
      <c r="E573" s="45">
        <v>46129</v>
      </c>
      <c r="F573" s="26" t="s">
        <v>55</v>
      </c>
      <c r="G573" s="26" t="s">
        <v>56</v>
      </c>
      <c r="H573" s="26" t="s">
        <v>57</v>
      </c>
      <c r="I573" s="26" t="s">
        <v>58</v>
      </c>
      <c r="J573" s="26" t="s">
        <v>56</v>
      </c>
      <c r="K573" s="27"/>
      <c r="L573" s="28" t="s">
        <v>57</v>
      </c>
      <c r="M573" s="29" t="str">
        <f t="shared" si="40"/>
        <v>✓ OK</v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2463</v>
      </c>
      <c r="C574" s="44" t="s">
        <v>2464</v>
      </c>
      <c r="D574" s="42" t="s">
        <v>2294</v>
      </c>
      <c r="E574" s="45">
        <v>46129</v>
      </c>
      <c r="F574" s="26" t="s">
        <v>55</v>
      </c>
      <c r="G574" s="26" t="s">
        <v>56</v>
      </c>
      <c r="H574" s="26" t="s">
        <v>57</v>
      </c>
      <c r="I574" s="26" t="s">
        <v>58</v>
      </c>
      <c r="J574" s="26" t="s">
        <v>56</v>
      </c>
      <c r="K574" s="27"/>
      <c r="L574" s="28" t="s">
        <v>57</v>
      </c>
      <c r="M574" s="29" t="str">
        <f t="shared" si="40"/>
        <v>✓ OK</v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2465</v>
      </c>
      <c r="C575" s="25" t="s">
        <v>2466</v>
      </c>
      <c r="D575" s="23" t="s">
        <v>2294</v>
      </c>
      <c r="E575" s="45">
        <v>46128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 t="shared" si="40"/>
        <v>✓ OK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2467</v>
      </c>
      <c r="C576" s="44" t="s">
        <v>2468</v>
      </c>
      <c r="D576" s="42" t="s">
        <v>2294</v>
      </c>
      <c r="E576" s="45">
        <v>46128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 t="shared" si="40"/>
        <v>✓ OK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2469</v>
      </c>
      <c r="C577" s="25" t="s">
        <v>2470</v>
      </c>
      <c r="D577" s="23" t="s">
        <v>2294</v>
      </c>
      <c r="E577" s="45">
        <v>46129</v>
      </c>
      <c r="F577" s="26" t="s">
        <v>55</v>
      </c>
      <c r="G577" s="26" t="s">
        <v>56</v>
      </c>
      <c r="H577" s="26" t="s">
        <v>57</v>
      </c>
      <c r="I577" s="26" t="s">
        <v>58</v>
      </c>
      <c r="J577" s="26" t="s">
        <v>56</v>
      </c>
      <c r="K577" s="27"/>
      <c r="L577" s="28" t="s">
        <v>57</v>
      </c>
      <c r="M577" s="29" t="str">
        <f t="shared" si="40"/>
        <v>✓ OK</v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2471</v>
      </c>
      <c r="C578" s="44" t="s">
        <v>2472</v>
      </c>
      <c r="D578" s="42" t="s">
        <v>2294</v>
      </c>
      <c r="E578" s="45">
        <v>46129</v>
      </c>
      <c r="F578" s="26" t="s">
        <v>55</v>
      </c>
      <c r="G578" s="26" t="s">
        <v>56</v>
      </c>
      <c r="H578" s="26" t="s">
        <v>57</v>
      </c>
      <c r="I578" s="26" t="s">
        <v>58</v>
      </c>
      <c r="J578" s="26" t="s">
        <v>56</v>
      </c>
      <c r="K578" s="27"/>
      <c r="L578" s="28" t="s">
        <v>57</v>
      </c>
      <c r="M578" s="29" t="str">
        <f t="shared" si="40"/>
        <v>✓ OK</v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2473</v>
      </c>
      <c r="C579" s="25" t="s">
        <v>2474</v>
      </c>
      <c r="D579" s="23" t="s">
        <v>2294</v>
      </c>
      <c r="E579" s="45">
        <v>46129</v>
      </c>
      <c r="F579" s="26" t="s">
        <v>55</v>
      </c>
      <c r="G579" s="26" t="s">
        <v>56</v>
      </c>
      <c r="H579" s="26" t="s">
        <v>57</v>
      </c>
      <c r="I579" s="26" t="s">
        <v>58</v>
      </c>
      <c r="J579" s="26" t="s">
        <v>56</v>
      </c>
      <c r="K579" s="27"/>
      <c r="L579" s="28" t="s">
        <v>57</v>
      </c>
      <c r="M579" s="29" t="str">
        <f t="shared" si="40"/>
        <v>✓ OK</v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2475</v>
      </c>
      <c r="C580" s="44" t="s">
        <v>2476</v>
      </c>
      <c r="D580" s="42" t="s">
        <v>2294</v>
      </c>
      <c r="E580" s="45">
        <v>46129</v>
      </c>
      <c r="F580" s="26" t="s">
        <v>55</v>
      </c>
      <c r="G580" s="26" t="s">
        <v>56</v>
      </c>
      <c r="H580" s="26" t="s">
        <v>57</v>
      </c>
      <c r="I580" s="26" t="s">
        <v>58</v>
      </c>
      <c r="J580" s="26" t="s">
        <v>56</v>
      </c>
      <c r="K580" s="27"/>
      <c r="L580" s="28" t="s">
        <v>57</v>
      </c>
      <c r="M580" s="29" t="str">
        <f t="shared" si="40"/>
        <v>✓ OK</v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2477</v>
      </c>
      <c r="C581" s="25" t="s">
        <v>2478</v>
      </c>
      <c r="D581" s="23" t="s">
        <v>2294</v>
      </c>
      <c r="E581" s="45">
        <v>46128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 t="shared" ref="M581:M644" si="45">IF(E581="","",IF(H581="Yes","❌ Disc",IF(G581="No","⚠ Missing",IF(J581="Yes","✓ OK","⚠ Check"))))</f>
        <v>✓ OK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2479</v>
      </c>
      <c r="C582" s="44" t="s">
        <v>2480</v>
      </c>
      <c r="D582" s="42" t="s">
        <v>2294</v>
      </c>
      <c r="E582" s="45">
        <v>46128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 t="shared" si="45"/>
        <v>✓ OK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2481</v>
      </c>
      <c r="C583" s="25" t="s">
        <v>2482</v>
      </c>
      <c r="D583" s="23" t="s">
        <v>2294</v>
      </c>
      <c r="E583" s="45">
        <v>46132</v>
      </c>
      <c r="F583" s="26" t="s">
        <v>55</v>
      </c>
      <c r="G583" s="26" t="s">
        <v>56</v>
      </c>
      <c r="H583" s="26" t="s">
        <v>57</v>
      </c>
      <c r="I583" s="26" t="s">
        <v>58</v>
      </c>
      <c r="J583" s="26" t="s">
        <v>56</v>
      </c>
      <c r="K583" s="27"/>
      <c r="L583" s="28" t="s">
        <v>57</v>
      </c>
      <c r="M583" s="29" t="str">
        <f t="shared" si="45"/>
        <v>✓ OK</v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2483</v>
      </c>
      <c r="C584" s="44" t="s">
        <v>2484</v>
      </c>
      <c r="D584" s="42" t="s">
        <v>2294</v>
      </c>
      <c r="E584" s="45">
        <v>46132</v>
      </c>
      <c r="F584" s="26" t="s">
        <v>55</v>
      </c>
      <c r="G584" s="26" t="s">
        <v>56</v>
      </c>
      <c r="H584" s="26" t="s">
        <v>57</v>
      </c>
      <c r="I584" s="26" t="s">
        <v>58</v>
      </c>
      <c r="J584" s="26" t="s">
        <v>56</v>
      </c>
      <c r="K584" s="27"/>
      <c r="L584" s="28" t="s">
        <v>57</v>
      </c>
      <c r="M584" s="29" t="str">
        <f t="shared" si="45"/>
        <v>✓ OK</v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2485</v>
      </c>
      <c r="C585" s="25" t="s">
        <v>2486</v>
      </c>
      <c r="D585" s="23" t="s">
        <v>2294</v>
      </c>
      <c r="E585" s="45">
        <v>46129</v>
      </c>
      <c r="F585" s="26" t="s">
        <v>55</v>
      </c>
      <c r="G585" s="26" t="s">
        <v>56</v>
      </c>
      <c r="H585" s="26" t="s">
        <v>57</v>
      </c>
      <c r="I585" s="26" t="s">
        <v>58</v>
      </c>
      <c r="J585" s="26" t="s">
        <v>56</v>
      </c>
      <c r="K585" s="27"/>
      <c r="L585" s="28" t="s">
        <v>57</v>
      </c>
      <c r="M585" s="29" t="str">
        <f t="shared" si="45"/>
        <v>✓ OK</v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2487</v>
      </c>
      <c r="C586" s="44" t="s">
        <v>2488</v>
      </c>
      <c r="D586" s="42" t="s">
        <v>2294</v>
      </c>
      <c r="E586" s="45">
        <v>46129</v>
      </c>
      <c r="F586" s="26" t="s">
        <v>55</v>
      </c>
      <c r="G586" s="26" t="s">
        <v>56</v>
      </c>
      <c r="H586" s="26" t="s">
        <v>57</v>
      </c>
      <c r="I586" s="26" t="s">
        <v>58</v>
      </c>
      <c r="J586" s="26" t="s">
        <v>56</v>
      </c>
      <c r="K586" s="27"/>
      <c r="L586" s="28" t="s">
        <v>57</v>
      </c>
      <c r="M586" s="29" t="str">
        <f t="shared" si="45"/>
        <v>✓ OK</v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2489</v>
      </c>
      <c r="C587" s="25" t="s">
        <v>2490</v>
      </c>
      <c r="D587" s="23" t="s">
        <v>2294</v>
      </c>
      <c r="E587" s="45">
        <v>46132</v>
      </c>
      <c r="F587" s="26" t="s">
        <v>55</v>
      </c>
      <c r="G587" s="26" t="s">
        <v>56</v>
      </c>
      <c r="H587" s="26" t="s">
        <v>57</v>
      </c>
      <c r="I587" s="26" t="s">
        <v>58</v>
      </c>
      <c r="J587" s="26" t="s">
        <v>56</v>
      </c>
      <c r="K587" s="27"/>
      <c r="L587" s="28" t="s">
        <v>57</v>
      </c>
      <c r="M587" s="29" t="str">
        <f t="shared" si="45"/>
        <v>✓ OK</v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2491</v>
      </c>
      <c r="C588" s="44" t="s">
        <v>2492</v>
      </c>
      <c r="D588" s="42" t="s">
        <v>2294</v>
      </c>
      <c r="E588" s="45">
        <v>46132</v>
      </c>
      <c r="F588" s="26" t="s">
        <v>55</v>
      </c>
      <c r="G588" s="26" t="s">
        <v>56</v>
      </c>
      <c r="H588" s="26" t="s">
        <v>57</v>
      </c>
      <c r="I588" s="26" t="s">
        <v>58</v>
      </c>
      <c r="J588" s="26" t="s">
        <v>56</v>
      </c>
      <c r="K588" s="27"/>
      <c r="L588" s="28" t="s">
        <v>57</v>
      </c>
      <c r="M588" s="29" t="str">
        <f t="shared" si="45"/>
        <v>✓ OK</v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2493</v>
      </c>
      <c r="C589" s="25" t="s">
        <v>2494</v>
      </c>
      <c r="D589" s="23" t="s">
        <v>2294</v>
      </c>
      <c r="E589" s="45">
        <v>46132</v>
      </c>
      <c r="F589" s="26" t="s">
        <v>55</v>
      </c>
      <c r="G589" s="26" t="s">
        <v>56</v>
      </c>
      <c r="H589" s="26" t="s">
        <v>57</v>
      </c>
      <c r="I589" s="26" t="s">
        <v>58</v>
      </c>
      <c r="J589" s="26" t="s">
        <v>56</v>
      </c>
      <c r="K589" s="27"/>
      <c r="L589" s="28" t="s">
        <v>57</v>
      </c>
      <c r="M589" s="29" t="str">
        <f t="shared" si="45"/>
        <v>✓ OK</v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2495</v>
      </c>
      <c r="C590" s="44" t="s">
        <v>2496</v>
      </c>
      <c r="D590" s="42" t="s">
        <v>2294</v>
      </c>
      <c r="E590" s="45">
        <v>46132</v>
      </c>
      <c r="F590" s="26" t="s">
        <v>55</v>
      </c>
      <c r="G590" s="26" t="s">
        <v>56</v>
      </c>
      <c r="H590" s="26" t="s">
        <v>57</v>
      </c>
      <c r="I590" s="26" t="s">
        <v>58</v>
      </c>
      <c r="J590" s="26" t="s">
        <v>56</v>
      </c>
      <c r="K590" s="27"/>
      <c r="L590" s="28" t="s">
        <v>57</v>
      </c>
      <c r="M590" s="29" t="str">
        <f t="shared" si="45"/>
        <v>✓ OK</v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2497</v>
      </c>
      <c r="C591" s="25" t="s">
        <v>2498</v>
      </c>
      <c r="D591" s="23" t="s">
        <v>2294</v>
      </c>
      <c r="E591" s="45">
        <v>46129</v>
      </c>
      <c r="F591" s="26" t="s">
        <v>55</v>
      </c>
      <c r="G591" s="26" t="s">
        <v>56</v>
      </c>
      <c r="H591" s="26" t="s">
        <v>57</v>
      </c>
      <c r="I591" s="26" t="s">
        <v>58</v>
      </c>
      <c r="J591" s="26" t="s">
        <v>56</v>
      </c>
      <c r="K591" s="27"/>
      <c r="L591" s="28" t="s">
        <v>57</v>
      </c>
      <c r="M591" s="29" t="str">
        <f t="shared" si="45"/>
        <v>✓ OK</v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2499</v>
      </c>
      <c r="C592" s="44" t="s">
        <v>2500</v>
      </c>
      <c r="D592" s="42" t="s">
        <v>2294</v>
      </c>
      <c r="E592" s="45">
        <v>46129</v>
      </c>
      <c r="F592" s="26" t="s">
        <v>55</v>
      </c>
      <c r="G592" s="26" t="s">
        <v>56</v>
      </c>
      <c r="H592" s="26" t="s">
        <v>57</v>
      </c>
      <c r="I592" s="26" t="s">
        <v>58</v>
      </c>
      <c r="J592" s="26" t="s">
        <v>56</v>
      </c>
      <c r="K592" s="27"/>
      <c r="L592" s="28" t="s">
        <v>57</v>
      </c>
      <c r="M592" s="29" t="str">
        <f t="shared" si="45"/>
        <v>✓ OK</v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2501</v>
      </c>
      <c r="C593" s="25" t="s">
        <v>2502</v>
      </c>
      <c r="D593" s="23" t="s">
        <v>2294</v>
      </c>
      <c r="E593" s="45">
        <v>46129</v>
      </c>
      <c r="F593" s="26" t="s">
        <v>55</v>
      </c>
      <c r="G593" s="26" t="s">
        <v>56</v>
      </c>
      <c r="H593" s="26" t="s">
        <v>57</v>
      </c>
      <c r="I593" s="26" t="s">
        <v>58</v>
      </c>
      <c r="J593" s="26" t="s">
        <v>56</v>
      </c>
      <c r="K593" s="27"/>
      <c r="L593" s="28" t="s">
        <v>57</v>
      </c>
      <c r="M593" s="29" t="str">
        <f t="shared" si="45"/>
        <v>✓ OK</v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2503</v>
      </c>
      <c r="C594" s="44" t="s">
        <v>2504</v>
      </c>
      <c r="D594" s="42" t="s">
        <v>2294</v>
      </c>
      <c r="E594" s="45">
        <v>46129</v>
      </c>
      <c r="F594" s="26" t="s">
        <v>55</v>
      </c>
      <c r="G594" s="26" t="s">
        <v>56</v>
      </c>
      <c r="H594" s="26" t="s">
        <v>57</v>
      </c>
      <c r="I594" s="26" t="s">
        <v>58</v>
      </c>
      <c r="J594" s="26" t="s">
        <v>56</v>
      </c>
      <c r="K594" s="27"/>
      <c r="L594" s="28" t="s">
        <v>57</v>
      </c>
      <c r="M594" s="29" t="str">
        <f t="shared" si="45"/>
        <v>✓ OK</v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2505</v>
      </c>
      <c r="C595" s="25" t="s">
        <v>2506</v>
      </c>
      <c r="D595" s="23" t="s">
        <v>2294</v>
      </c>
      <c r="E595" s="45">
        <v>46129</v>
      </c>
      <c r="F595" s="26" t="s">
        <v>55</v>
      </c>
      <c r="G595" s="26" t="s">
        <v>56</v>
      </c>
      <c r="H595" s="26" t="s">
        <v>57</v>
      </c>
      <c r="I595" s="26" t="s">
        <v>58</v>
      </c>
      <c r="J595" s="26" t="s">
        <v>56</v>
      </c>
      <c r="K595" s="27"/>
      <c r="L595" s="28" t="s">
        <v>57</v>
      </c>
      <c r="M595" s="29" t="str">
        <f t="shared" si="45"/>
        <v>✓ OK</v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2507</v>
      </c>
      <c r="C596" s="44" t="s">
        <v>2508</v>
      </c>
      <c r="D596" s="42" t="s">
        <v>2294</v>
      </c>
      <c r="E596" s="45">
        <v>46129</v>
      </c>
      <c r="F596" s="26" t="s">
        <v>55</v>
      </c>
      <c r="G596" s="26" t="s">
        <v>56</v>
      </c>
      <c r="H596" s="26" t="s">
        <v>57</v>
      </c>
      <c r="I596" s="26" t="s">
        <v>58</v>
      </c>
      <c r="J596" s="26" t="s">
        <v>56</v>
      </c>
      <c r="K596" s="27"/>
      <c r="L596" s="28" t="s">
        <v>57</v>
      </c>
      <c r="M596" s="29" t="str">
        <f t="shared" si="45"/>
        <v>✓ OK</v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2509</v>
      </c>
      <c r="C597" s="25" t="s">
        <v>2510</v>
      </c>
      <c r="D597" s="23" t="s">
        <v>2294</v>
      </c>
      <c r="E597" s="45">
        <v>46129</v>
      </c>
      <c r="F597" s="26" t="s">
        <v>55</v>
      </c>
      <c r="G597" s="26" t="s">
        <v>56</v>
      </c>
      <c r="H597" s="26" t="s">
        <v>57</v>
      </c>
      <c r="I597" s="26" t="s">
        <v>58</v>
      </c>
      <c r="J597" s="26" t="s">
        <v>56</v>
      </c>
      <c r="K597" s="27"/>
      <c r="L597" s="28" t="s">
        <v>57</v>
      </c>
      <c r="M597" s="29" t="str">
        <f t="shared" si="45"/>
        <v>✓ OK</v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2511</v>
      </c>
      <c r="C598" s="44" t="s">
        <v>2512</v>
      </c>
      <c r="D598" s="42" t="s">
        <v>2294</v>
      </c>
      <c r="E598" s="45">
        <v>46129</v>
      </c>
      <c r="F598" s="26" t="s">
        <v>55</v>
      </c>
      <c r="G598" s="26" t="s">
        <v>56</v>
      </c>
      <c r="H598" s="26" t="s">
        <v>57</v>
      </c>
      <c r="I598" s="26" t="s">
        <v>58</v>
      </c>
      <c r="J598" s="26" t="s">
        <v>56</v>
      </c>
      <c r="K598" s="27"/>
      <c r="L598" s="28" t="s">
        <v>57</v>
      </c>
      <c r="M598" s="29" t="str">
        <f t="shared" si="45"/>
        <v>✓ OK</v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2513</v>
      </c>
      <c r="C599" s="25" t="s">
        <v>2514</v>
      </c>
      <c r="D599" s="23" t="s">
        <v>2294</v>
      </c>
      <c r="E599" s="45">
        <v>46129</v>
      </c>
      <c r="F599" s="26" t="s">
        <v>55</v>
      </c>
      <c r="G599" s="26" t="s">
        <v>56</v>
      </c>
      <c r="H599" s="26" t="s">
        <v>57</v>
      </c>
      <c r="I599" s="26" t="s">
        <v>58</v>
      </c>
      <c r="J599" s="26" t="s">
        <v>56</v>
      </c>
      <c r="K599" s="27"/>
      <c r="L599" s="28" t="s">
        <v>57</v>
      </c>
      <c r="M599" s="29" t="str">
        <f t="shared" si="45"/>
        <v>✓ OK</v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2515</v>
      </c>
      <c r="C600" s="44" t="s">
        <v>2516</v>
      </c>
      <c r="D600" s="42" t="s">
        <v>2294</v>
      </c>
      <c r="E600" s="45">
        <v>46129</v>
      </c>
      <c r="F600" s="26" t="s">
        <v>55</v>
      </c>
      <c r="G600" s="26" t="s">
        <v>56</v>
      </c>
      <c r="H600" s="26" t="s">
        <v>57</v>
      </c>
      <c r="I600" s="26" t="s">
        <v>58</v>
      </c>
      <c r="J600" s="26" t="s">
        <v>56</v>
      </c>
      <c r="K600" s="27"/>
      <c r="L600" s="28" t="s">
        <v>57</v>
      </c>
      <c r="M600" s="29" t="str">
        <f t="shared" si="45"/>
        <v>✓ OK</v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2517</v>
      </c>
      <c r="C601" s="25" t="s">
        <v>2518</v>
      </c>
      <c r="D601" s="23" t="s">
        <v>2294</v>
      </c>
      <c r="E601" s="45">
        <v>46129</v>
      </c>
      <c r="F601" s="26" t="s">
        <v>55</v>
      </c>
      <c r="G601" s="26" t="s">
        <v>56</v>
      </c>
      <c r="H601" s="26" t="s">
        <v>57</v>
      </c>
      <c r="I601" s="26" t="s">
        <v>58</v>
      </c>
      <c r="J601" s="26" t="s">
        <v>56</v>
      </c>
      <c r="K601" s="27"/>
      <c r="L601" s="28" t="s">
        <v>57</v>
      </c>
      <c r="M601" s="29" t="str">
        <f t="shared" si="45"/>
        <v>✓ OK</v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2519</v>
      </c>
      <c r="C602" s="44" t="s">
        <v>2520</v>
      </c>
      <c r="D602" s="42" t="s">
        <v>2294</v>
      </c>
      <c r="E602" s="45">
        <v>46129</v>
      </c>
      <c r="F602" s="26" t="s">
        <v>55</v>
      </c>
      <c r="G602" s="26" t="s">
        <v>56</v>
      </c>
      <c r="H602" s="26" t="s">
        <v>57</v>
      </c>
      <c r="I602" s="26" t="s">
        <v>58</v>
      </c>
      <c r="J602" s="26" t="s">
        <v>56</v>
      </c>
      <c r="K602" s="27"/>
      <c r="L602" s="28" t="s">
        <v>57</v>
      </c>
      <c r="M602" s="29" t="str">
        <f t="shared" si="45"/>
        <v>✓ OK</v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2521</v>
      </c>
      <c r="C603" s="25" t="s">
        <v>2522</v>
      </c>
      <c r="D603" s="23" t="s">
        <v>2294</v>
      </c>
      <c r="E603" s="45">
        <v>46129</v>
      </c>
      <c r="F603" s="26" t="s">
        <v>55</v>
      </c>
      <c r="G603" s="26" t="s">
        <v>56</v>
      </c>
      <c r="H603" s="26" t="s">
        <v>57</v>
      </c>
      <c r="I603" s="26" t="s">
        <v>58</v>
      </c>
      <c r="J603" s="26" t="s">
        <v>56</v>
      </c>
      <c r="K603" s="27"/>
      <c r="L603" s="28" t="s">
        <v>57</v>
      </c>
      <c r="M603" s="29" t="str">
        <f t="shared" si="45"/>
        <v>✓ OK</v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2523</v>
      </c>
      <c r="C604" s="44" t="s">
        <v>2524</v>
      </c>
      <c r="D604" s="42" t="s">
        <v>2294</v>
      </c>
      <c r="E604" s="45">
        <v>46129</v>
      </c>
      <c r="F604" s="26" t="s">
        <v>55</v>
      </c>
      <c r="G604" s="26" t="s">
        <v>56</v>
      </c>
      <c r="H604" s="26" t="s">
        <v>57</v>
      </c>
      <c r="I604" s="26" t="s">
        <v>58</v>
      </c>
      <c r="J604" s="26" t="s">
        <v>56</v>
      </c>
      <c r="K604" s="27"/>
      <c r="L604" s="28" t="s">
        <v>57</v>
      </c>
      <c r="M604" s="29" t="str">
        <f t="shared" si="45"/>
        <v>✓ OK</v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2525</v>
      </c>
      <c r="C605" s="25" t="s">
        <v>2526</v>
      </c>
      <c r="D605" s="23" t="s">
        <v>2294</v>
      </c>
      <c r="E605" s="45">
        <v>46128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 t="shared" si="45"/>
        <v>✓ OK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2527</v>
      </c>
      <c r="C606" s="44" t="s">
        <v>2528</v>
      </c>
      <c r="D606" s="42" t="s">
        <v>2294</v>
      </c>
      <c r="E606" s="45">
        <v>46128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 t="shared" si="45"/>
        <v>✓ OK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2529</v>
      </c>
      <c r="C607" s="25" t="s">
        <v>2530</v>
      </c>
      <c r="D607" s="23" t="s">
        <v>2294</v>
      </c>
      <c r="E607" s="45">
        <v>46128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 t="shared" si="45"/>
        <v>✓ OK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2531</v>
      </c>
      <c r="C608" s="44" t="s">
        <v>2532</v>
      </c>
      <c r="D608" s="42" t="s">
        <v>2294</v>
      </c>
      <c r="E608" s="45">
        <v>46128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 t="shared" si="45"/>
        <v>✓ OK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2533</v>
      </c>
      <c r="C609" s="25" t="s">
        <v>2534</v>
      </c>
      <c r="D609" s="23" t="s">
        <v>2294</v>
      </c>
      <c r="E609" s="45">
        <v>46132</v>
      </c>
      <c r="F609" s="26" t="s">
        <v>55</v>
      </c>
      <c r="G609" s="26" t="s">
        <v>56</v>
      </c>
      <c r="H609" s="26" t="s">
        <v>57</v>
      </c>
      <c r="I609" s="26" t="s">
        <v>58</v>
      </c>
      <c r="J609" s="26" t="s">
        <v>56</v>
      </c>
      <c r="K609" s="27"/>
      <c r="L609" s="28" t="s">
        <v>57</v>
      </c>
      <c r="M609" s="29" t="str">
        <f t="shared" si="45"/>
        <v>✓ OK</v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2535</v>
      </c>
      <c r="C610" s="44" t="s">
        <v>2536</v>
      </c>
      <c r="D610" s="42" t="s">
        <v>2294</v>
      </c>
      <c r="E610" s="45">
        <v>46132</v>
      </c>
      <c r="F610" s="26" t="s">
        <v>55</v>
      </c>
      <c r="G610" s="26" t="s">
        <v>56</v>
      </c>
      <c r="H610" s="26" t="s">
        <v>57</v>
      </c>
      <c r="I610" s="26" t="s">
        <v>58</v>
      </c>
      <c r="J610" s="26" t="s">
        <v>56</v>
      </c>
      <c r="K610" s="27"/>
      <c r="L610" s="28" t="s">
        <v>57</v>
      </c>
      <c r="M610" s="29" t="str">
        <f t="shared" si="45"/>
        <v>✓ OK</v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2537</v>
      </c>
      <c r="C611" s="25" t="s">
        <v>2538</v>
      </c>
      <c r="D611" s="23" t="s">
        <v>2294</v>
      </c>
      <c r="E611" s="45">
        <v>46132</v>
      </c>
      <c r="F611" s="26" t="s">
        <v>55</v>
      </c>
      <c r="G611" s="26" t="s">
        <v>56</v>
      </c>
      <c r="H611" s="26" t="s">
        <v>57</v>
      </c>
      <c r="I611" s="26" t="s">
        <v>58</v>
      </c>
      <c r="J611" s="26" t="s">
        <v>56</v>
      </c>
      <c r="K611" s="27"/>
      <c r="L611" s="28" t="s">
        <v>57</v>
      </c>
      <c r="M611" s="29" t="str">
        <f t="shared" si="45"/>
        <v>✓ OK</v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2539</v>
      </c>
      <c r="C612" s="44" t="s">
        <v>2540</v>
      </c>
      <c r="D612" s="42" t="s">
        <v>2294</v>
      </c>
      <c r="E612" s="45">
        <v>46132</v>
      </c>
      <c r="F612" s="26" t="s">
        <v>55</v>
      </c>
      <c r="G612" s="26" t="s">
        <v>56</v>
      </c>
      <c r="H612" s="26" t="s">
        <v>57</v>
      </c>
      <c r="I612" s="26" t="s">
        <v>58</v>
      </c>
      <c r="J612" s="26" t="s">
        <v>56</v>
      </c>
      <c r="K612" s="27"/>
      <c r="L612" s="28" t="s">
        <v>57</v>
      </c>
      <c r="M612" s="29" t="str">
        <f t="shared" si="45"/>
        <v>✓ OK</v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2541</v>
      </c>
      <c r="C613" s="25" t="s">
        <v>2542</v>
      </c>
      <c r="D613" s="23" t="s">
        <v>2294</v>
      </c>
      <c r="E613" s="45">
        <v>46132</v>
      </c>
      <c r="F613" s="26" t="s">
        <v>55</v>
      </c>
      <c r="G613" s="26" t="s">
        <v>56</v>
      </c>
      <c r="H613" s="26" t="s">
        <v>57</v>
      </c>
      <c r="I613" s="26" t="s">
        <v>58</v>
      </c>
      <c r="J613" s="26" t="s">
        <v>56</v>
      </c>
      <c r="K613" s="27"/>
      <c r="L613" s="28" t="s">
        <v>57</v>
      </c>
      <c r="M613" s="29" t="str">
        <f t="shared" si="45"/>
        <v>✓ OK</v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2543</v>
      </c>
      <c r="C614" s="44" t="s">
        <v>2544</v>
      </c>
      <c r="D614" s="42" t="s">
        <v>2294</v>
      </c>
      <c r="E614" s="45">
        <v>46132</v>
      </c>
      <c r="F614" s="26" t="s">
        <v>55</v>
      </c>
      <c r="G614" s="26" t="s">
        <v>56</v>
      </c>
      <c r="H614" s="26" t="s">
        <v>57</v>
      </c>
      <c r="I614" s="26" t="s">
        <v>58</v>
      </c>
      <c r="J614" s="26" t="s">
        <v>56</v>
      </c>
      <c r="K614" s="27"/>
      <c r="L614" s="28" t="s">
        <v>57</v>
      </c>
      <c r="M614" s="29" t="str">
        <f t="shared" si="45"/>
        <v>✓ OK</v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2545</v>
      </c>
      <c r="C615" s="25" t="s">
        <v>2546</v>
      </c>
      <c r="D615" s="23" t="s">
        <v>2294</v>
      </c>
      <c r="E615" s="45">
        <v>46129</v>
      </c>
      <c r="F615" s="26" t="s">
        <v>55</v>
      </c>
      <c r="G615" s="26" t="s">
        <v>56</v>
      </c>
      <c r="H615" s="26" t="s">
        <v>57</v>
      </c>
      <c r="I615" s="26" t="s">
        <v>58</v>
      </c>
      <c r="J615" s="26" t="s">
        <v>56</v>
      </c>
      <c r="K615" s="27"/>
      <c r="L615" s="28" t="s">
        <v>57</v>
      </c>
      <c r="M615" s="29" t="str">
        <f t="shared" si="45"/>
        <v>✓ OK</v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2547</v>
      </c>
      <c r="C616" s="44" t="s">
        <v>2548</v>
      </c>
      <c r="D616" s="42" t="s">
        <v>2294</v>
      </c>
      <c r="E616" s="45">
        <v>46129</v>
      </c>
      <c r="F616" s="26" t="s">
        <v>55</v>
      </c>
      <c r="G616" s="26" t="s">
        <v>56</v>
      </c>
      <c r="H616" s="26" t="s">
        <v>57</v>
      </c>
      <c r="I616" s="26" t="s">
        <v>58</v>
      </c>
      <c r="J616" s="26" t="s">
        <v>56</v>
      </c>
      <c r="K616" s="27"/>
      <c r="L616" s="28" t="s">
        <v>57</v>
      </c>
      <c r="M616" s="29" t="str">
        <f t="shared" si="45"/>
        <v>✓ OK</v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2549</v>
      </c>
      <c r="C617" s="25" t="s">
        <v>2550</v>
      </c>
      <c r="D617" s="23" t="s">
        <v>2294</v>
      </c>
      <c r="E617" s="45">
        <v>46128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 t="shared" si="45"/>
        <v>✓ OK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2551</v>
      </c>
      <c r="C618" s="44" t="s">
        <v>2552</v>
      </c>
      <c r="D618" s="42" t="s">
        <v>2294</v>
      </c>
      <c r="E618" s="45">
        <v>46128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 t="shared" si="45"/>
        <v>✓ OK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2553</v>
      </c>
      <c r="C619" s="25" t="s">
        <v>2554</v>
      </c>
      <c r="D619" s="23" t="s">
        <v>2294</v>
      </c>
      <c r="E619" s="45">
        <v>46128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 t="shared" si="45"/>
        <v>✓ OK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2555</v>
      </c>
      <c r="C620" s="44" t="s">
        <v>2556</v>
      </c>
      <c r="D620" s="42" t="s">
        <v>2294</v>
      </c>
      <c r="E620" s="45">
        <v>46132</v>
      </c>
      <c r="F620" s="26" t="s">
        <v>55</v>
      </c>
      <c r="G620" s="26" t="s">
        <v>56</v>
      </c>
      <c r="H620" s="26" t="s">
        <v>57</v>
      </c>
      <c r="I620" s="26" t="s">
        <v>58</v>
      </c>
      <c r="J620" s="26" t="s">
        <v>56</v>
      </c>
      <c r="K620" s="27"/>
      <c r="L620" s="28" t="s">
        <v>57</v>
      </c>
      <c r="M620" s="29" t="str">
        <f t="shared" si="45"/>
        <v>✓ OK</v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2557</v>
      </c>
      <c r="C621" s="25" t="s">
        <v>2558</v>
      </c>
      <c r="D621" s="23" t="s">
        <v>2294</v>
      </c>
      <c r="E621" s="45">
        <v>46132</v>
      </c>
      <c r="F621" s="26" t="s">
        <v>55</v>
      </c>
      <c r="G621" s="26" t="s">
        <v>56</v>
      </c>
      <c r="H621" s="26" t="s">
        <v>57</v>
      </c>
      <c r="I621" s="26" t="s">
        <v>58</v>
      </c>
      <c r="J621" s="26" t="s">
        <v>56</v>
      </c>
      <c r="K621" s="27"/>
      <c r="L621" s="28" t="s">
        <v>57</v>
      </c>
      <c r="M621" s="29" t="str">
        <f t="shared" si="45"/>
        <v>✓ OK</v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2559</v>
      </c>
      <c r="C622" s="44" t="s">
        <v>2560</v>
      </c>
      <c r="D622" s="42" t="s">
        <v>2294</v>
      </c>
      <c r="E622" s="45">
        <v>46129</v>
      </c>
      <c r="F622" s="26" t="s">
        <v>55</v>
      </c>
      <c r="G622" s="26" t="s">
        <v>56</v>
      </c>
      <c r="H622" s="26" t="s">
        <v>57</v>
      </c>
      <c r="I622" s="26" t="s">
        <v>58</v>
      </c>
      <c r="J622" s="26" t="s">
        <v>56</v>
      </c>
      <c r="K622" s="27"/>
      <c r="L622" s="28" t="s">
        <v>57</v>
      </c>
      <c r="M622" s="29" t="str">
        <f t="shared" si="45"/>
        <v>✓ OK</v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2561</v>
      </c>
      <c r="C623" s="25" t="s">
        <v>2562</v>
      </c>
      <c r="D623" s="23" t="s">
        <v>2294</v>
      </c>
      <c r="E623" s="45">
        <v>46129</v>
      </c>
      <c r="F623" s="26" t="s">
        <v>55</v>
      </c>
      <c r="G623" s="26" t="s">
        <v>56</v>
      </c>
      <c r="H623" s="26" t="s">
        <v>57</v>
      </c>
      <c r="I623" s="26" t="s">
        <v>58</v>
      </c>
      <c r="J623" s="26" t="s">
        <v>56</v>
      </c>
      <c r="K623" s="27"/>
      <c r="L623" s="28" t="s">
        <v>57</v>
      </c>
      <c r="M623" s="29" t="str">
        <f t="shared" si="45"/>
        <v>✓ OK</v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2563</v>
      </c>
      <c r="C624" s="44" t="s">
        <v>2564</v>
      </c>
      <c r="D624" s="42" t="s">
        <v>2294</v>
      </c>
      <c r="E624" s="45">
        <v>46128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 t="shared" si="45"/>
        <v>✓ OK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2565</v>
      </c>
      <c r="C625" s="25" t="s">
        <v>2566</v>
      </c>
      <c r="D625" s="23" t="s">
        <v>2294</v>
      </c>
      <c r="E625" s="45">
        <v>46129</v>
      </c>
      <c r="F625" s="26" t="s">
        <v>55</v>
      </c>
      <c r="G625" s="26" t="s">
        <v>56</v>
      </c>
      <c r="H625" s="26" t="s">
        <v>57</v>
      </c>
      <c r="I625" s="26" t="s">
        <v>58</v>
      </c>
      <c r="J625" s="26" t="s">
        <v>56</v>
      </c>
      <c r="K625" s="27"/>
      <c r="L625" s="28" t="s">
        <v>57</v>
      </c>
      <c r="M625" s="29" t="str">
        <f t="shared" si="45"/>
        <v>✓ OK</v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2567</v>
      </c>
      <c r="C626" s="44" t="s">
        <v>2568</v>
      </c>
      <c r="D626" s="42" t="s">
        <v>2294</v>
      </c>
      <c r="E626" s="45">
        <v>46129</v>
      </c>
      <c r="F626" s="26" t="s">
        <v>55</v>
      </c>
      <c r="G626" s="26" t="s">
        <v>56</v>
      </c>
      <c r="H626" s="26" t="s">
        <v>57</v>
      </c>
      <c r="I626" s="26" t="s">
        <v>58</v>
      </c>
      <c r="J626" s="26" t="s">
        <v>56</v>
      </c>
      <c r="K626" s="27"/>
      <c r="L626" s="28" t="s">
        <v>57</v>
      </c>
      <c r="M626" s="29" t="str">
        <f t="shared" si="45"/>
        <v>✓ OK</v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2569</v>
      </c>
      <c r="C627" s="25" t="s">
        <v>2570</v>
      </c>
      <c r="D627" s="23" t="s">
        <v>2294</v>
      </c>
      <c r="E627" s="45">
        <v>46128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 t="shared" si="45"/>
        <v>✓ OK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2571</v>
      </c>
      <c r="C628" s="44" t="s">
        <v>2572</v>
      </c>
      <c r="D628" s="42" t="s">
        <v>2294</v>
      </c>
      <c r="E628" s="45">
        <v>46128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 t="shared" si="45"/>
        <v>✓ OK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2573</v>
      </c>
      <c r="C629" s="25" t="s">
        <v>2574</v>
      </c>
      <c r="D629" s="23" t="s">
        <v>2294</v>
      </c>
      <c r="E629" s="45">
        <v>46128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 t="shared" si="45"/>
        <v>✓ OK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2575</v>
      </c>
      <c r="C630" s="44" t="s">
        <v>2576</v>
      </c>
      <c r="D630" s="42" t="s">
        <v>2294</v>
      </c>
      <c r="E630" s="45">
        <v>46129</v>
      </c>
      <c r="F630" s="26" t="s">
        <v>55</v>
      </c>
      <c r="G630" s="26" t="s">
        <v>56</v>
      </c>
      <c r="H630" s="26" t="s">
        <v>57</v>
      </c>
      <c r="I630" s="26" t="s">
        <v>58</v>
      </c>
      <c r="J630" s="26" t="s">
        <v>56</v>
      </c>
      <c r="K630" s="27"/>
      <c r="L630" s="28" t="s">
        <v>57</v>
      </c>
      <c r="M630" s="29" t="str">
        <f t="shared" si="45"/>
        <v>✓ OK</v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2577</v>
      </c>
      <c r="C631" s="25" t="s">
        <v>2578</v>
      </c>
      <c r="D631" s="23" t="s">
        <v>2294</v>
      </c>
      <c r="E631" s="45">
        <v>46132</v>
      </c>
      <c r="F631" s="26" t="s">
        <v>55</v>
      </c>
      <c r="G631" s="26" t="s">
        <v>56</v>
      </c>
      <c r="H631" s="26" t="s">
        <v>57</v>
      </c>
      <c r="I631" s="26" t="s">
        <v>58</v>
      </c>
      <c r="J631" s="26" t="s">
        <v>56</v>
      </c>
      <c r="K631" s="27"/>
      <c r="L631" s="28" t="s">
        <v>57</v>
      </c>
      <c r="M631" s="29" t="str">
        <f t="shared" si="45"/>
        <v>✓ OK</v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2579</v>
      </c>
      <c r="C632" s="44" t="s">
        <v>2580</v>
      </c>
      <c r="D632" s="42" t="s">
        <v>2294</v>
      </c>
      <c r="E632" s="45">
        <v>46129</v>
      </c>
      <c r="F632" s="26" t="s">
        <v>55</v>
      </c>
      <c r="G632" s="26" t="s">
        <v>56</v>
      </c>
      <c r="H632" s="26" t="s">
        <v>57</v>
      </c>
      <c r="I632" s="26" t="s">
        <v>58</v>
      </c>
      <c r="J632" s="26" t="s">
        <v>56</v>
      </c>
      <c r="K632" s="27"/>
      <c r="L632" s="28" t="s">
        <v>57</v>
      </c>
      <c r="M632" s="29" t="str">
        <f t="shared" si="45"/>
        <v>✓ OK</v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2581</v>
      </c>
      <c r="C633" s="25" t="s">
        <v>2582</v>
      </c>
      <c r="D633" s="23" t="s">
        <v>2294</v>
      </c>
      <c r="E633" s="45">
        <v>46129</v>
      </c>
      <c r="F633" s="26" t="s">
        <v>55</v>
      </c>
      <c r="G633" s="26" t="s">
        <v>56</v>
      </c>
      <c r="H633" s="26" t="s">
        <v>57</v>
      </c>
      <c r="I633" s="26" t="s">
        <v>58</v>
      </c>
      <c r="J633" s="26" t="s">
        <v>56</v>
      </c>
      <c r="K633" s="27"/>
      <c r="L633" s="28" t="s">
        <v>57</v>
      </c>
      <c r="M633" s="29" t="str">
        <f t="shared" si="45"/>
        <v>✓ OK</v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2583</v>
      </c>
      <c r="C634" s="44" t="s">
        <v>2584</v>
      </c>
      <c r="D634" s="42" t="s">
        <v>2294</v>
      </c>
      <c r="E634" s="45">
        <v>46132</v>
      </c>
      <c r="F634" s="26" t="s">
        <v>55</v>
      </c>
      <c r="G634" s="26" t="s">
        <v>56</v>
      </c>
      <c r="H634" s="26" t="s">
        <v>57</v>
      </c>
      <c r="I634" s="26" t="s">
        <v>58</v>
      </c>
      <c r="J634" s="26" t="s">
        <v>56</v>
      </c>
      <c r="K634" s="27"/>
      <c r="L634" s="28" t="s">
        <v>57</v>
      </c>
      <c r="M634" s="29" t="str">
        <f t="shared" si="45"/>
        <v>✓ OK</v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2585</v>
      </c>
      <c r="C635" s="25" t="s">
        <v>2586</v>
      </c>
      <c r="D635" s="23" t="s">
        <v>2294</v>
      </c>
      <c r="E635" s="45">
        <v>46132</v>
      </c>
      <c r="F635" s="26" t="s">
        <v>55</v>
      </c>
      <c r="G635" s="26" t="s">
        <v>56</v>
      </c>
      <c r="H635" s="26" t="s">
        <v>57</v>
      </c>
      <c r="I635" s="26" t="s">
        <v>58</v>
      </c>
      <c r="J635" s="26" t="s">
        <v>56</v>
      </c>
      <c r="K635" s="27"/>
      <c r="L635" s="28" t="s">
        <v>57</v>
      </c>
      <c r="M635" s="29" t="str">
        <f t="shared" si="45"/>
        <v>✓ OK</v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2587</v>
      </c>
      <c r="C636" s="44" t="s">
        <v>2588</v>
      </c>
      <c r="D636" s="42" t="s">
        <v>2294</v>
      </c>
      <c r="E636" s="45">
        <v>46128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 t="shared" si="45"/>
        <v>✓ OK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2589</v>
      </c>
      <c r="C637" s="25" t="s">
        <v>2590</v>
      </c>
      <c r="D637" s="23" t="s">
        <v>2294</v>
      </c>
      <c r="E637" s="45">
        <v>46128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 t="shared" si="45"/>
        <v>✓ OK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2591</v>
      </c>
      <c r="C638" s="44" t="s">
        <v>2592</v>
      </c>
      <c r="D638" s="42" t="s">
        <v>2294</v>
      </c>
      <c r="E638" s="45">
        <v>46128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 t="shared" si="45"/>
        <v>✓ OK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2593</v>
      </c>
      <c r="C639" s="25" t="s">
        <v>2594</v>
      </c>
      <c r="D639" s="23" t="s">
        <v>2294</v>
      </c>
      <c r="E639" s="45">
        <v>46129</v>
      </c>
      <c r="F639" s="26" t="s">
        <v>55</v>
      </c>
      <c r="G639" s="26" t="s">
        <v>56</v>
      </c>
      <c r="H639" s="26" t="s">
        <v>57</v>
      </c>
      <c r="I639" s="26" t="s">
        <v>58</v>
      </c>
      <c r="J639" s="26" t="s">
        <v>56</v>
      </c>
      <c r="K639" s="27"/>
      <c r="L639" s="28" t="s">
        <v>57</v>
      </c>
      <c r="M639" s="29" t="str">
        <f t="shared" si="45"/>
        <v>✓ OK</v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2595</v>
      </c>
      <c r="C640" s="44" t="s">
        <v>2596</v>
      </c>
      <c r="D640" s="42" t="s">
        <v>2294</v>
      </c>
      <c r="E640" s="45">
        <v>46129</v>
      </c>
      <c r="F640" s="26" t="s">
        <v>55</v>
      </c>
      <c r="G640" s="26" t="s">
        <v>56</v>
      </c>
      <c r="H640" s="26" t="s">
        <v>57</v>
      </c>
      <c r="I640" s="26" t="s">
        <v>58</v>
      </c>
      <c r="J640" s="26" t="s">
        <v>56</v>
      </c>
      <c r="K640" s="27"/>
      <c r="L640" s="28" t="s">
        <v>57</v>
      </c>
      <c r="M640" s="29" t="str">
        <f t="shared" si="45"/>
        <v>✓ OK</v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2597</v>
      </c>
      <c r="C641" s="25" t="s">
        <v>2598</v>
      </c>
      <c r="D641" s="23" t="s">
        <v>2294</v>
      </c>
      <c r="E641" s="45">
        <v>46128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 t="shared" si="45"/>
        <v>✓ OK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2599</v>
      </c>
      <c r="C642" s="44" t="s">
        <v>2600</v>
      </c>
      <c r="D642" s="42" t="s">
        <v>2294</v>
      </c>
      <c r="E642" s="45">
        <v>46128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 t="shared" si="45"/>
        <v>✓ OK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2601</v>
      </c>
      <c r="C643" s="25" t="s">
        <v>2602</v>
      </c>
      <c r="D643" s="23" t="s">
        <v>2294</v>
      </c>
      <c r="E643" s="45">
        <v>46132</v>
      </c>
      <c r="F643" s="26" t="s">
        <v>55</v>
      </c>
      <c r="G643" s="26" t="s">
        <v>56</v>
      </c>
      <c r="H643" s="26" t="s">
        <v>57</v>
      </c>
      <c r="I643" s="26" t="s">
        <v>58</v>
      </c>
      <c r="J643" s="26" t="s">
        <v>56</v>
      </c>
      <c r="K643" s="27"/>
      <c r="L643" s="28" t="s">
        <v>57</v>
      </c>
      <c r="M643" s="29" t="str">
        <f t="shared" si="45"/>
        <v>✓ OK</v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2603</v>
      </c>
      <c r="C644" s="44" t="s">
        <v>2604</v>
      </c>
      <c r="D644" s="42" t="s">
        <v>2294</v>
      </c>
      <c r="E644" s="45">
        <v>46132</v>
      </c>
      <c r="F644" s="26" t="s">
        <v>55</v>
      </c>
      <c r="G644" s="26" t="s">
        <v>56</v>
      </c>
      <c r="H644" s="26" t="s">
        <v>57</v>
      </c>
      <c r="I644" s="26" t="s">
        <v>58</v>
      </c>
      <c r="J644" s="26" t="s">
        <v>56</v>
      </c>
      <c r="K644" s="27"/>
      <c r="L644" s="28" t="s">
        <v>57</v>
      </c>
      <c r="M644" s="29" t="str">
        <f t="shared" si="45"/>
        <v>✓ OK</v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2605</v>
      </c>
      <c r="C645" s="25" t="s">
        <v>2606</v>
      </c>
      <c r="D645" s="23" t="s">
        <v>2294</v>
      </c>
      <c r="E645" s="45">
        <v>46128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 t="shared" ref="M645:M708" si="50">IF(E645="","",IF(H645="Yes","❌ Disc",IF(G645="No","⚠ Missing",IF(J645="Yes","✓ OK","⚠ Check"))))</f>
        <v>✓ OK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2607</v>
      </c>
      <c r="C646" s="44" t="s">
        <v>2608</v>
      </c>
      <c r="D646" s="42" t="s">
        <v>2294</v>
      </c>
      <c r="E646" s="45">
        <v>46128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 t="shared" si="50"/>
        <v>✓ OK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2609</v>
      </c>
      <c r="C647" s="25" t="s">
        <v>2610</v>
      </c>
      <c r="D647" s="23" t="s">
        <v>2294</v>
      </c>
      <c r="E647" s="45">
        <v>46132</v>
      </c>
      <c r="F647" s="26" t="s">
        <v>55</v>
      </c>
      <c r="G647" s="26" t="s">
        <v>56</v>
      </c>
      <c r="H647" s="26" t="s">
        <v>57</v>
      </c>
      <c r="I647" s="26" t="s">
        <v>58</v>
      </c>
      <c r="J647" s="26" t="s">
        <v>56</v>
      </c>
      <c r="K647" s="27"/>
      <c r="L647" s="28" t="s">
        <v>57</v>
      </c>
      <c r="M647" s="29" t="str">
        <f t="shared" si="50"/>
        <v>✓ OK</v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2611</v>
      </c>
      <c r="C648" s="44" t="s">
        <v>2612</v>
      </c>
      <c r="D648" s="42" t="s">
        <v>2294</v>
      </c>
      <c r="E648" s="45">
        <v>46132</v>
      </c>
      <c r="F648" s="26" t="s">
        <v>55</v>
      </c>
      <c r="G648" s="26" t="s">
        <v>56</v>
      </c>
      <c r="H648" s="26" t="s">
        <v>57</v>
      </c>
      <c r="I648" s="26" t="s">
        <v>58</v>
      </c>
      <c r="J648" s="26" t="s">
        <v>56</v>
      </c>
      <c r="K648" s="27"/>
      <c r="L648" s="28" t="s">
        <v>57</v>
      </c>
      <c r="M648" s="29" t="str">
        <f t="shared" si="50"/>
        <v>✓ OK</v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2613</v>
      </c>
      <c r="C649" s="25" t="s">
        <v>2614</v>
      </c>
      <c r="D649" s="23" t="s">
        <v>2294</v>
      </c>
      <c r="E649" s="45">
        <v>46132</v>
      </c>
      <c r="F649" s="26" t="s">
        <v>55</v>
      </c>
      <c r="G649" s="26" t="s">
        <v>56</v>
      </c>
      <c r="H649" s="26" t="s">
        <v>57</v>
      </c>
      <c r="I649" s="26" t="s">
        <v>58</v>
      </c>
      <c r="J649" s="26" t="s">
        <v>56</v>
      </c>
      <c r="K649" s="27"/>
      <c r="L649" s="28" t="s">
        <v>57</v>
      </c>
      <c r="M649" s="29" t="str">
        <f t="shared" si="50"/>
        <v>✓ OK</v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2615</v>
      </c>
      <c r="C650" s="44" t="s">
        <v>2616</v>
      </c>
      <c r="D650" s="42" t="s">
        <v>2294</v>
      </c>
      <c r="E650" s="45">
        <v>46132</v>
      </c>
      <c r="F650" s="26" t="s">
        <v>55</v>
      </c>
      <c r="G650" s="26" t="s">
        <v>56</v>
      </c>
      <c r="H650" s="26" t="s">
        <v>57</v>
      </c>
      <c r="I650" s="26" t="s">
        <v>58</v>
      </c>
      <c r="J650" s="26" t="s">
        <v>56</v>
      </c>
      <c r="K650" s="27"/>
      <c r="L650" s="28" t="s">
        <v>57</v>
      </c>
      <c r="M650" s="29" t="str">
        <f t="shared" si="50"/>
        <v>✓ OK</v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2617</v>
      </c>
      <c r="C651" s="25" t="s">
        <v>2618</v>
      </c>
      <c r="D651" s="23" t="s">
        <v>2294</v>
      </c>
      <c r="E651" s="45">
        <v>46132</v>
      </c>
      <c r="F651" s="26" t="s">
        <v>55</v>
      </c>
      <c r="G651" s="26" t="s">
        <v>56</v>
      </c>
      <c r="H651" s="26" t="s">
        <v>57</v>
      </c>
      <c r="I651" s="26" t="s">
        <v>58</v>
      </c>
      <c r="J651" s="26" t="s">
        <v>56</v>
      </c>
      <c r="K651" s="27"/>
      <c r="L651" s="28" t="s">
        <v>57</v>
      </c>
      <c r="M651" s="29" t="str">
        <f t="shared" si="50"/>
        <v>✓ OK</v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2619</v>
      </c>
      <c r="C652" s="44" t="s">
        <v>2620</v>
      </c>
      <c r="D652" s="42" t="s">
        <v>2294</v>
      </c>
      <c r="E652" s="45">
        <v>46132</v>
      </c>
      <c r="F652" s="26" t="s">
        <v>55</v>
      </c>
      <c r="G652" s="26" t="s">
        <v>56</v>
      </c>
      <c r="H652" s="26" t="s">
        <v>57</v>
      </c>
      <c r="I652" s="26" t="s">
        <v>58</v>
      </c>
      <c r="J652" s="26" t="s">
        <v>56</v>
      </c>
      <c r="K652" s="27"/>
      <c r="L652" s="28" t="s">
        <v>57</v>
      </c>
      <c r="M652" s="29" t="str">
        <f t="shared" si="50"/>
        <v>✓ OK</v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2621</v>
      </c>
      <c r="C653" s="25" t="s">
        <v>2622</v>
      </c>
      <c r="D653" s="23" t="s">
        <v>2294</v>
      </c>
      <c r="E653" s="45">
        <v>46129</v>
      </c>
      <c r="F653" s="26" t="s">
        <v>55</v>
      </c>
      <c r="G653" s="26" t="s">
        <v>56</v>
      </c>
      <c r="H653" s="26" t="s">
        <v>57</v>
      </c>
      <c r="I653" s="26" t="s">
        <v>58</v>
      </c>
      <c r="J653" s="26" t="s">
        <v>56</v>
      </c>
      <c r="K653" s="27"/>
      <c r="L653" s="28" t="s">
        <v>57</v>
      </c>
      <c r="M653" s="29" t="str">
        <f t="shared" si="50"/>
        <v>✓ OK</v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2623</v>
      </c>
      <c r="C654" s="44" t="s">
        <v>2624</v>
      </c>
      <c r="D654" s="42" t="s">
        <v>2294</v>
      </c>
      <c r="E654" s="45">
        <v>46129</v>
      </c>
      <c r="F654" s="26" t="s">
        <v>55</v>
      </c>
      <c r="G654" s="26" t="s">
        <v>56</v>
      </c>
      <c r="H654" s="26" t="s">
        <v>57</v>
      </c>
      <c r="I654" s="26" t="s">
        <v>58</v>
      </c>
      <c r="J654" s="26" t="s">
        <v>56</v>
      </c>
      <c r="K654" s="27"/>
      <c r="L654" s="28" t="s">
        <v>57</v>
      </c>
      <c r="M654" s="29" t="str">
        <f t="shared" si="50"/>
        <v>✓ OK</v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2625</v>
      </c>
      <c r="C655" s="25" t="s">
        <v>2626</v>
      </c>
      <c r="D655" s="23" t="s">
        <v>2294</v>
      </c>
      <c r="E655" s="45">
        <v>46132</v>
      </c>
      <c r="F655" s="26" t="s">
        <v>55</v>
      </c>
      <c r="G655" s="26" t="s">
        <v>56</v>
      </c>
      <c r="H655" s="26" t="s">
        <v>57</v>
      </c>
      <c r="I655" s="26" t="s">
        <v>58</v>
      </c>
      <c r="J655" s="26" t="s">
        <v>56</v>
      </c>
      <c r="K655" s="27"/>
      <c r="L655" s="28" t="s">
        <v>57</v>
      </c>
      <c r="M655" s="29" t="str">
        <f t="shared" si="50"/>
        <v>✓ OK</v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2627</v>
      </c>
      <c r="C656" s="44" t="s">
        <v>2628</v>
      </c>
      <c r="D656" s="42" t="s">
        <v>2294</v>
      </c>
      <c r="E656" s="45">
        <v>46132</v>
      </c>
      <c r="F656" s="26" t="s">
        <v>55</v>
      </c>
      <c r="G656" s="26" t="s">
        <v>56</v>
      </c>
      <c r="H656" s="26" t="s">
        <v>57</v>
      </c>
      <c r="I656" s="26" t="s">
        <v>58</v>
      </c>
      <c r="J656" s="26" t="s">
        <v>56</v>
      </c>
      <c r="K656" s="27"/>
      <c r="L656" s="28" t="s">
        <v>57</v>
      </c>
      <c r="M656" s="29" t="str">
        <f t="shared" si="50"/>
        <v>✓ OK</v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2629</v>
      </c>
      <c r="C657" s="25" t="s">
        <v>2630</v>
      </c>
      <c r="D657" s="23" t="s">
        <v>2294</v>
      </c>
      <c r="E657" s="45">
        <v>46132</v>
      </c>
      <c r="F657" s="26" t="s">
        <v>55</v>
      </c>
      <c r="G657" s="26" t="s">
        <v>56</v>
      </c>
      <c r="H657" s="26" t="s">
        <v>57</v>
      </c>
      <c r="I657" s="26" t="s">
        <v>58</v>
      </c>
      <c r="J657" s="26" t="s">
        <v>56</v>
      </c>
      <c r="K657" s="27"/>
      <c r="L657" s="28" t="s">
        <v>57</v>
      </c>
      <c r="M657" s="29" t="str">
        <f t="shared" si="50"/>
        <v>✓ OK</v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2631</v>
      </c>
      <c r="C658" s="44" t="s">
        <v>2632</v>
      </c>
      <c r="D658" s="42" t="s">
        <v>2294</v>
      </c>
      <c r="E658" s="45">
        <v>46132</v>
      </c>
      <c r="F658" s="26" t="s">
        <v>55</v>
      </c>
      <c r="G658" s="26" t="s">
        <v>56</v>
      </c>
      <c r="H658" s="26" t="s">
        <v>57</v>
      </c>
      <c r="I658" s="26" t="s">
        <v>58</v>
      </c>
      <c r="J658" s="26" t="s">
        <v>56</v>
      </c>
      <c r="K658" s="27"/>
      <c r="L658" s="28" t="s">
        <v>57</v>
      </c>
      <c r="M658" s="29" t="str">
        <f t="shared" si="50"/>
        <v>✓ OK</v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2633</v>
      </c>
      <c r="C659" s="25" t="s">
        <v>2634</v>
      </c>
      <c r="D659" s="23" t="s">
        <v>2294</v>
      </c>
      <c r="E659" s="45">
        <v>46128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 t="shared" si="50"/>
        <v>✓ OK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2635</v>
      </c>
      <c r="C660" s="44" t="s">
        <v>2636</v>
      </c>
      <c r="D660" s="42" t="s">
        <v>2294</v>
      </c>
      <c r="E660" s="45">
        <v>46128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 t="shared" si="50"/>
        <v>✓ OK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2637</v>
      </c>
      <c r="C661" s="25" t="s">
        <v>2638</v>
      </c>
      <c r="D661" s="23" t="s">
        <v>2294</v>
      </c>
      <c r="E661" s="45">
        <v>46132</v>
      </c>
      <c r="F661" s="26" t="s">
        <v>55</v>
      </c>
      <c r="G661" s="26" t="s">
        <v>56</v>
      </c>
      <c r="H661" s="26" t="s">
        <v>57</v>
      </c>
      <c r="I661" s="26" t="s">
        <v>58</v>
      </c>
      <c r="J661" s="26" t="s">
        <v>56</v>
      </c>
      <c r="K661" s="27"/>
      <c r="L661" s="28" t="s">
        <v>57</v>
      </c>
      <c r="M661" s="29" t="str">
        <f t="shared" si="50"/>
        <v>✓ OK</v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2639</v>
      </c>
      <c r="C662" s="44" t="s">
        <v>2640</v>
      </c>
      <c r="D662" s="42" t="s">
        <v>2294</v>
      </c>
      <c r="E662" s="45">
        <v>46132</v>
      </c>
      <c r="F662" s="26" t="s">
        <v>55</v>
      </c>
      <c r="G662" s="26" t="s">
        <v>56</v>
      </c>
      <c r="H662" s="26" t="s">
        <v>57</v>
      </c>
      <c r="I662" s="26" t="s">
        <v>58</v>
      </c>
      <c r="J662" s="26" t="s">
        <v>56</v>
      </c>
      <c r="K662" s="27"/>
      <c r="L662" s="28" t="s">
        <v>57</v>
      </c>
      <c r="M662" s="29" t="str">
        <f t="shared" si="50"/>
        <v>✓ OK</v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2641</v>
      </c>
      <c r="C663" s="25" t="s">
        <v>2642</v>
      </c>
      <c r="D663" s="23" t="s">
        <v>2294</v>
      </c>
      <c r="E663" s="45">
        <v>46128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 t="shared" si="50"/>
        <v>✓ OK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2643</v>
      </c>
      <c r="C664" s="44" t="s">
        <v>2644</v>
      </c>
      <c r="D664" s="42" t="s">
        <v>2294</v>
      </c>
      <c r="E664" s="45">
        <v>46128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 t="shared" si="50"/>
        <v>✓ OK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2645</v>
      </c>
      <c r="C665" s="25" t="s">
        <v>2646</v>
      </c>
      <c r="D665" s="23" t="s">
        <v>2294</v>
      </c>
      <c r="E665" s="45">
        <v>46128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 t="shared" si="50"/>
        <v>✓ OK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2647</v>
      </c>
      <c r="C666" s="44" t="s">
        <v>2648</v>
      </c>
      <c r="D666" s="42" t="s">
        <v>2294</v>
      </c>
      <c r="E666" s="45">
        <v>46128</v>
      </c>
      <c r="F666" s="26" t="s">
        <v>55</v>
      </c>
      <c r="G666" s="26" t="s">
        <v>56</v>
      </c>
      <c r="H666" s="26" t="s">
        <v>57</v>
      </c>
      <c r="I666" s="26" t="s">
        <v>58</v>
      </c>
      <c r="J666" s="26" t="s">
        <v>56</v>
      </c>
      <c r="K666" s="27"/>
      <c r="L666" s="28" t="s">
        <v>57</v>
      </c>
      <c r="M666" s="29" t="str">
        <f t="shared" si="50"/>
        <v>✓ OK</v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2649</v>
      </c>
      <c r="C667" s="25" t="s">
        <v>2650</v>
      </c>
      <c r="D667" s="23" t="s">
        <v>2294</v>
      </c>
      <c r="E667" s="45">
        <v>46128</v>
      </c>
      <c r="F667" s="26" t="s">
        <v>55</v>
      </c>
      <c r="G667" s="26" t="s">
        <v>56</v>
      </c>
      <c r="H667" s="26" t="s">
        <v>57</v>
      </c>
      <c r="I667" s="26" t="s">
        <v>58</v>
      </c>
      <c r="J667" s="26" t="s">
        <v>56</v>
      </c>
      <c r="K667" s="27"/>
      <c r="L667" s="28" t="s">
        <v>57</v>
      </c>
      <c r="M667" s="29" t="str">
        <f t="shared" si="50"/>
        <v>✓ OK</v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2651</v>
      </c>
      <c r="C668" s="44" t="s">
        <v>2652</v>
      </c>
      <c r="D668" s="42" t="s">
        <v>2294</v>
      </c>
      <c r="E668" s="45">
        <v>46129</v>
      </c>
      <c r="F668" s="26" t="s">
        <v>55</v>
      </c>
      <c r="G668" s="26" t="s">
        <v>56</v>
      </c>
      <c r="H668" s="26" t="s">
        <v>57</v>
      </c>
      <c r="I668" s="26" t="s">
        <v>58</v>
      </c>
      <c r="J668" s="26" t="s">
        <v>56</v>
      </c>
      <c r="K668" s="27"/>
      <c r="L668" s="28" t="s">
        <v>57</v>
      </c>
      <c r="M668" s="29" t="str">
        <f t="shared" si="50"/>
        <v>✓ OK</v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2653</v>
      </c>
      <c r="C669" s="25" t="s">
        <v>2654</v>
      </c>
      <c r="D669" s="23" t="s">
        <v>2294</v>
      </c>
      <c r="E669" s="45">
        <v>46129</v>
      </c>
      <c r="F669" s="26" t="s">
        <v>55</v>
      </c>
      <c r="G669" s="26" t="s">
        <v>56</v>
      </c>
      <c r="H669" s="26" t="s">
        <v>57</v>
      </c>
      <c r="I669" s="26" t="s">
        <v>58</v>
      </c>
      <c r="J669" s="26" t="s">
        <v>56</v>
      </c>
      <c r="K669" s="27"/>
      <c r="L669" s="28" t="s">
        <v>57</v>
      </c>
      <c r="M669" s="29" t="str">
        <f t="shared" si="50"/>
        <v>✓ OK</v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2655</v>
      </c>
      <c r="C670" s="44" t="s">
        <v>2656</v>
      </c>
      <c r="D670" s="42" t="s">
        <v>2294</v>
      </c>
      <c r="E670" s="45">
        <v>46129</v>
      </c>
      <c r="F670" s="26" t="s">
        <v>55</v>
      </c>
      <c r="G670" s="26" t="s">
        <v>56</v>
      </c>
      <c r="H670" s="26" t="s">
        <v>57</v>
      </c>
      <c r="I670" s="26" t="s">
        <v>58</v>
      </c>
      <c r="J670" s="26" t="s">
        <v>56</v>
      </c>
      <c r="K670" s="27"/>
      <c r="L670" s="28" t="s">
        <v>57</v>
      </c>
      <c r="M670" s="29" t="str">
        <f t="shared" si="50"/>
        <v>✓ OK</v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2657</v>
      </c>
      <c r="C671" s="25" t="s">
        <v>2658</v>
      </c>
      <c r="D671" s="23" t="s">
        <v>2294</v>
      </c>
      <c r="E671" s="45">
        <v>46129</v>
      </c>
      <c r="F671" s="26" t="s">
        <v>55</v>
      </c>
      <c r="G671" s="26" t="s">
        <v>56</v>
      </c>
      <c r="H671" s="26" t="s">
        <v>57</v>
      </c>
      <c r="I671" s="26" t="s">
        <v>58</v>
      </c>
      <c r="J671" s="26" t="s">
        <v>56</v>
      </c>
      <c r="K671" s="27"/>
      <c r="L671" s="28" t="s">
        <v>57</v>
      </c>
      <c r="M671" s="29" t="str">
        <f t="shared" si="50"/>
        <v>✓ OK</v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2659</v>
      </c>
      <c r="C672" s="44" t="s">
        <v>2660</v>
      </c>
      <c r="D672" s="42" t="s">
        <v>2294</v>
      </c>
      <c r="E672" s="45">
        <v>46132</v>
      </c>
      <c r="F672" s="26" t="s">
        <v>55</v>
      </c>
      <c r="G672" s="26" t="s">
        <v>56</v>
      </c>
      <c r="H672" s="26" t="s">
        <v>57</v>
      </c>
      <c r="I672" s="26" t="s">
        <v>58</v>
      </c>
      <c r="J672" s="26" t="s">
        <v>56</v>
      </c>
      <c r="K672" s="27"/>
      <c r="L672" s="28" t="s">
        <v>57</v>
      </c>
      <c r="M672" s="29" t="str">
        <f t="shared" si="50"/>
        <v>✓ OK</v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2661</v>
      </c>
      <c r="C673" s="25" t="s">
        <v>2662</v>
      </c>
      <c r="D673" s="23" t="s">
        <v>2294</v>
      </c>
      <c r="E673" s="45">
        <v>46132</v>
      </c>
      <c r="F673" s="26" t="s">
        <v>55</v>
      </c>
      <c r="G673" s="26" t="s">
        <v>56</v>
      </c>
      <c r="H673" s="26" t="s">
        <v>57</v>
      </c>
      <c r="I673" s="26" t="s">
        <v>58</v>
      </c>
      <c r="J673" s="26" t="s">
        <v>56</v>
      </c>
      <c r="K673" s="27"/>
      <c r="L673" s="28" t="s">
        <v>57</v>
      </c>
      <c r="M673" s="29" t="str">
        <f t="shared" si="50"/>
        <v>✓ OK</v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2663</v>
      </c>
      <c r="C674" s="44" t="s">
        <v>2664</v>
      </c>
      <c r="D674" s="42" t="s">
        <v>2294</v>
      </c>
      <c r="E674" s="45">
        <v>46128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 t="shared" si="50"/>
        <v>✓ OK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2665</v>
      </c>
      <c r="C675" s="25" t="s">
        <v>2666</v>
      </c>
      <c r="D675" s="23" t="s">
        <v>2294</v>
      </c>
      <c r="E675" s="45">
        <v>46128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 t="shared" si="50"/>
        <v>✓ OK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2667</v>
      </c>
      <c r="C676" s="44" t="s">
        <v>2668</v>
      </c>
      <c r="D676" s="42" t="s">
        <v>2294</v>
      </c>
      <c r="E676" s="45">
        <v>46132</v>
      </c>
      <c r="F676" s="26" t="s">
        <v>55</v>
      </c>
      <c r="G676" s="26" t="s">
        <v>56</v>
      </c>
      <c r="H676" s="26" t="s">
        <v>57</v>
      </c>
      <c r="I676" s="26" t="s">
        <v>58</v>
      </c>
      <c r="J676" s="26" t="s">
        <v>56</v>
      </c>
      <c r="K676" s="27"/>
      <c r="L676" s="28" t="s">
        <v>57</v>
      </c>
      <c r="M676" s="29" t="str">
        <f t="shared" si="50"/>
        <v>✓ OK</v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2669</v>
      </c>
      <c r="C677" s="25" t="s">
        <v>2670</v>
      </c>
      <c r="D677" s="23" t="s">
        <v>2294</v>
      </c>
      <c r="E677" s="45">
        <v>46132</v>
      </c>
      <c r="F677" s="26" t="s">
        <v>55</v>
      </c>
      <c r="G677" s="26" t="s">
        <v>56</v>
      </c>
      <c r="H677" s="26" t="s">
        <v>57</v>
      </c>
      <c r="I677" s="26" t="s">
        <v>58</v>
      </c>
      <c r="J677" s="26" t="s">
        <v>56</v>
      </c>
      <c r="K677" s="27"/>
      <c r="L677" s="28" t="s">
        <v>57</v>
      </c>
      <c r="M677" s="29" t="str">
        <f t="shared" si="50"/>
        <v>✓ OK</v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2671</v>
      </c>
      <c r="C678" s="44" t="s">
        <v>2672</v>
      </c>
      <c r="D678" s="42" t="s">
        <v>2294</v>
      </c>
      <c r="E678" s="45">
        <v>46129</v>
      </c>
      <c r="F678" s="26" t="s">
        <v>55</v>
      </c>
      <c r="G678" s="26" t="s">
        <v>56</v>
      </c>
      <c r="H678" s="26" t="s">
        <v>57</v>
      </c>
      <c r="I678" s="26" t="s">
        <v>58</v>
      </c>
      <c r="J678" s="26" t="s">
        <v>56</v>
      </c>
      <c r="K678" s="27"/>
      <c r="L678" s="28" t="s">
        <v>57</v>
      </c>
      <c r="M678" s="29" t="str">
        <f t="shared" si="50"/>
        <v>✓ OK</v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2673</v>
      </c>
      <c r="C679" s="25" t="s">
        <v>2674</v>
      </c>
      <c r="D679" s="23" t="s">
        <v>2294</v>
      </c>
      <c r="E679" s="45">
        <v>46129</v>
      </c>
      <c r="F679" s="26" t="s">
        <v>55</v>
      </c>
      <c r="G679" s="26" t="s">
        <v>56</v>
      </c>
      <c r="H679" s="26" t="s">
        <v>57</v>
      </c>
      <c r="I679" s="26" t="s">
        <v>58</v>
      </c>
      <c r="J679" s="26" t="s">
        <v>56</v>
      </c>
      <c r="K679" s="27"/>
      <c r="L679" s="28" t="s">
        <v>57</v>
      </c>
      <c r="M679" s="29" t="str">
        <f t="shared" si="50"/>
        <v>✓ OK</v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2675</v>
      </c>
      <c r="C680" s="44" t="s">
        <v>2676</v>
      </c>
      <c r="D680" s="42" t="s">
        <v>2294</v>
      </c>
      <c r="E680" s="45">
        <v>46132</v>
      </c>
      <c r="F680" s="26" t="s">
        <v>55</v>
      </c>
      <c r="G680" s="26" t="s">
        <v>56</v>
      </c>
      <c r="H680" s="26" t="s">
        <v>57</v>
      </c>
      <c r="I680" s="26" t="s">
        <v>58</v>
      </c>
      <c r="J680" s="26" t="s">
        <v>56</v>
      </c>
      <c r="K680" s="27"/>
      <c r="L680" s="28" t="s">
        <v>57</v>
      </c>
      <c r="M680" s="29" t="str">
        <f t="shared" si="50"/>
        <v>✓ OK</v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2677</v>
      </c>
      <c r="C681" s="25" t="s">
        <v>2678</v>
      </c>
      <c r="D681" s="23" t="s">
        <v>2294</v>
      </c>
      <c r="E681" s="45">
        <v>46132</v>
      </c>
      <c r="F681" s="26" t="s">
        <v>55</v>
      </c>
      <c r="G681" s="26" t="s">
        <v>56</v>
      </c>
      <c r="H681" s="26" t="s">
        <v>57</v>
      </c>
      <c r="I681" s="26" t="s">
        <v>58</v>
      </c>
      <c r="J681" s="26" t="s">
        <v>56</v>
      </c>
      <c r="K681" s="27"/>
      <c r="L681" s="28" t="s">
        <v>57</v>
      </c>
      <c r="M681" s="29" t="str">
        <f t="shared" si="50"/>
        <v>✓ OK</v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2679</v>
      </c>
      <c r="C682" s="44" t="s">
        <v>2680</v>
      </c>
      <c r="D682" s="42" t="s">
        <v>2294</v>
      </c>
      <c r="E682" s="45">
        <v>46132</v>
      </c>
      <c r="F682" s="26" t="s">
        <v>55</v>
      </c>
      <c r="G682" s="26" t="s">
        <v>56</v>
      </c>
      <c r="H682" s="26" t="s">
        <v>57</v>
      </c>
      <c r="I682" s="26" t="s">
        <v>58</v>
      </c>
      <c r="J682" s="26" t="s">
        <v>56</v>
      </c>
      <c r="K682" s="27"/>
      <c r="L682" s="28" t="s">
        <v>57</v>
      </c>
      <c r="M682" s="29" t="str">
        <f t="shared" si="50"/>
        <v>✓ OK</v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2681</v>
      </c>
      <c r="C683" s="25" t="s">
        <v>2682</v>
      </c>
      <c r="D683" s="23" t="s">
        <v>2294</v>
      </c>
      <c r="E683" s="45">
        <v>46132</v>
      </c>
      <c r="F683" s="26" t="s">
        <v>55</v>
      </c>
      <c r="G683" s="26" t="s">
        <v>56</v>
      </c>
      <c r="H683" s="26" t="s">
        <v>57</v>
      </c>
      <c r="I683" s="26" t="s">
        <v>58</v>
      </c>
      <c r="J683" s="26" t="s">
        <v>56</v>
      </c>
      <c r="K683" s="27"/>
      <c r="L683" s="28" t="s">
        <v>57</v>
      </c>
      <c r="M683" s="29" t="str">
        <f t="shared" si="50"/>
        <v>✓ OK</v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2683</v>
      </c>
      <c r="C684" s="44" t="s">
        <v>2684</v>
      </c>
      <c r="D684" s="42" t="s">
        <v>2294</v>
      </c>
      <c r="E684" s="45">
        <v>46128</v>
      </c>
      <c r="F684" s="26" t="s">
        <v>55</v>
      </c>
      <c r="G684" s="26" t="s">
        <v>56</v>
      </c>
      <c r="H684" s="26" t="s">
        <v>57</v>
      </c>
      <c r="I684" s="26" t="s">
        <v>58</v>
      </c>
      <c r="J684" s="26" t="s">
        <v>56</v>
      </c>
      <c r="K684" s="27"/>
      <c r="L684" s="28" t="s">
        <v>57</v>
      </c>
      <c r="M684" s="29" t="str">
        <f t="shared" si="50"/>
        <v>✓ OK</v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2685</v>
      </c>
      <c r="C685" s="25" t="s">
        <v>2686</v>
      </c>
      <c r="D685" s="23" t="s">
        <v>2294</v>
      </c>
      <c r="E685" s="45">
        <v>46132</v>
      </c>
      <c r="F685" s="26" t="s">
        <v>55</v>
      </c>
      <c r="G685" s="26" t="s">
        <v>56</v>
      </c>
      <c r="H685" s="26" t="s">
        <v>57</v>
      </c>
      <c r="I685" s="26" t="s">
        <v>58</v>
      </c>
      <c r="J685" s="26" t="s">
        <v>56</v>
      </c>
      <c r="K685" s="27"/>
      <c r="L685" s="28" t="s">
        <v>57</v>
      </c>
      <c r="M685" s="29" t="str">
        <f t="shared" si="50"/>
        <v>✓ OK</v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2687</v>
      </c>
      <c r="C686" s="44" t="s">
        <v>2688</v>
      </c>
      <c r="D686" s="42" t="s">
        <v>2294</v>
      </c>
      <c r="E686" s="45">
        <v>46132</v>
      </c>
      <c r="F686" s="26" t="s">
        <v>55</v>
      </c>
      <c r="G686" s="26" t="s">
        <v>56</v>
      </c>
      <c r="H686" s="26" t="s">
        <v>57</v>
      </c>
      <c r="I686" s="26" t="s">
        <v>58</v>
      </c>
      <c r="J686" s="26" t="s">
        <v>56</v>
      </c>
      <c r="K686" s="27"/>
      <c r="L686" s="28" t="s">
        <v>57</v>
      </c>
      <c r="M686" s="29" t="str">
        <f t="shared" si="50"/>
        <v>✓ OK</v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2689</v>
      </c>
      <c r="C687" s="25" t="s">
        <v>2690</v>
      </c>
      <c r="D687" s="23" t="s">
        <v>2294</v>
      </c>
      <c r="E687" s="45">
        <v>46132</v>
      </c>
      <c r="F687" s="26" t="s">
        <v>55</v>
      </c>
      <c r="G687" s="26" t="s">
        <v>56</v>
      </c>
      <c r="H687" s="26" t="s">
        <v>57</v>
      </c>
      <c r="I687" s="26" t="s">
        <v>58</v>
      </c>
      <c r="J687" s="26" t="s">
        <v>56</v>
      </c>
      <c r="K687" s="27"/>
      <c r="L687" s="28" t="s">
        <v>57</v>
      </c>
      <c r="M687" s="29" t="str">
        <f t="shared" si="50"/>
        <v>✓ OK</v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2691</v>
      </c>
      <c r="C688" s="44" t="s">
        <v>2692</v>
      </c>
      <c r="D688" s="42" t="s">
        <v>2294</v>
      </c>
      <c r="E688" s="45">
        <v>46132</v>
      </c>
      <c r="F688" s="26" t="s">
        <v>55</v>
      </c>
      <c r="G688" s="26" t="s">
        <v>56</v>
      </c>
      <c r="H688" s="26" t="s">
        <v>57</v>
      </c>
      <c r="I688" s="26" t="s">
        <v>58</v>
      </c>
      <c r="J688" s="26" t="s">
        <v>56</v>
      </c>
      <c r="K688" s="27"/>
      <c r="L688" s="28" t="s">
        <v>57</v>
      </c>
      <c r="M688" s="29" t="str">
        <f t="shared" si="50"/>
        <v>✓ OK</v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2693</v>
      </c>
      <c r="C689" s="25" t="s">
        <v>2694</v>
      </c>
      <c r="D689" s="23" t="s">
        <v>2294</v>
      </c>
      <c r="E689" s="45">
        <v>46129</v>
      </c>
      <c r="F689" s="26" t="s">
        <v>55</v>
      </c>
      <c r="G689" s="26" t="s">
        <v>56</v>
      </c>
      <c r="H689" s="26" t="s">
        <v>57</v>
      </c>
      <c r="I689" s="26" t="s">
        <v>58</v>
      </c>
      <c r="J689" s="26" t="s">
        <v>56</v>
      </c>
      <c r="K689" s="27"/>
      <c r="L689" s="28" t="s">
        <v>57</v>
      </c>
      <c r="M689" s="29" t="str">
        <f t="shared" si="50"/>
        <v>✓ OK</v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2695</v>
      </c>
      <c r="C690" s="44" t="s">
        <v>2696</v>
      </c>
      <c r="D690" s="42" t="s">
        <v>2294</v>
      </c>
      <c r="E690" s="45">
        <v>46129</v>
      </c>
      <c r="F690" s="26" t="s">
        <v>55</v>
      </c>
      <c r="G690" s="26" t="s">
        <v>56</v>
      </c>
      <c r="H690" s="26" t="s">
        <v>57</v>
      </c>
      <c r="I690" s="26" t="s">
        <v>58</v>
      </c>
      <c r="J690" s="26" t="s">
        <v>56</v>
      </c>
      <c r="K690" s="27"/>
      <c r="L690" s="28" t="s">
        <v>57</v>
      </c>
      <c r="M690" s="29" t="str">
        <f t="shared" si="50"/>
        <v>✓ OK</v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2697</v>
      </c>
      <c r="C691" s="25" t="s">
        <v>2698</v>
      </c>
      <c r="D691" s="23" t="s">
        <v>2294</v>
      </c>
      <c r="E691" s="45">
        <v>46129</v>
      </c>
      <c r="F691" s="26" t="s">
        <v>55</v>
      </c>
      <c r="G691" s="26" t="s">
        <v>56</v>
      </c>
      <c r="H691" s="26" t="s">
        <v>57</v>
      </c>
      <c r="I691" s="26" t="s">
        <v>58</v>
      </c>
      <c r="J691" s="26" t="s">
        <v>56</v>
      </c>
      <c r="K691" s="27"/>
      <c r="L691" s="28" t="s">
        <v>57</v>
      </c>
      <c r="M691" s="29" t="str">
        <f t="shared" si="50"/>
        <v>✓ OK</v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2699</v>
      </c>
      <c r="C692" s="44" t="s">
        <v>2700</v>
      </c>
      <c r="D692" s="42" t="s">
        <v>2294</v>
      </c>
      <c r="E692" s="45">
        <v>46129</v>
      </c>
      <c r="F692" s="26" t="s">
        <v>55</v>
      </c>
      <c r="G692" s="26" t="s">
        <v>56</v>
      </c>
      <c r="H692" s="26" t="s">
        <v>57</v>
      </c>
      <c r="I692" s="26" t="s">
        <v>58</v>
      </c>
      <c r="J692" s="26" t="s">
        <v>56</v>
      </c>
      <c r="K692" s="27"/>
      <c r="L692" s="28" t="s">
        <v>57</v>
      </c>
      <c r="M692" s="29" t="str">
        <f t="shared" si="50"/>
        <v>✓ OK</v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2701</v>
      </c>
      <c r="C693" s="25" t="s">
        <v>2702</v>
      </c>
      <c r="D693" s="23" t="s">
        <v>2294</v>
      </c>
      <c r="E693" s="45">
        <v>46132</v>
      </c>
      <c r="F693" s="26" t="s">
        <v>55</v>
      </c>
      <c r="G693" s="26" t="s">
        <v>56</v>
      </c>
      <c r="H693" s="26" t="s">
        <v>57</v>
      </c>
      <c r="I693" s="26" t="s">
        <v>58</v>
      </c>
      <c r="J693" s="26" t="s">
        <v>56</v>
      </c>
      <c r="K693" s="27"/>
      <c r="L693" s="28" t="s">
        <v>57</v>
      </c>
      <c r="M693" s="29" t="str">
        <f t="shared" si="50"/>
        <v>✓ OK</v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2703</v>
      </c>
      <c r="C694" s="44" t="s">
        <v>2704</v>
      </c>
      <c r="D694" s="42" t="s">
        <v>2294</v>
      </c>
      <c r="E694" s="45">
        <v>46132</v>
      </c>
      <c r="F694" s="26" t="s">
        <v>55</v>
      </c>
      <c r="G694" s="26" t="s">
        <v>56</v>
      </c>
      <c r="H694" s="26" t="s">
        <v>57</v>
      </c>
      <c r="I694" s="26" t="s">
        <v>58</v>
      </c>
      <c r="J694" s="26" t="s">
        <v>56</v>
      </c>
      <c r="K694" s="27"/>
      <c r="L694" s="28" t="s">
        <v>57</v>
      </c>
      <c r="M694" s="29" t="str">
        <f t="shared" si="50"/>
        <v>✓ OK</v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2705</v>
      </c>
      <c r="C695" s="25" t="s">
        <v>2706</v>
      </c>
      <c r="D695" s="23" t="s">
        <v>2294</v>
      </c>
      <c r="E695" s="45">
        <v>46129</v>
      </c>
      <c r="F695" s="26" t="s">
        <v>55</v>
      </c>
      <c r="G695" s="26" t="s">
        <v>56</v>
      </c>
      <c r="H695" s="26" t="s">
        <v>57</v>
      </c>
      <c r="I695" s="26" t="s">
        <v>58</v>
      </c>
      <c r="J695" s="26" t="s">
        <v>56</v>
      </c>
      <c r="K695" s="27"/>
      <c r="L695" s="28" t="s">
        <v>57</v>
      </c>
      <c r="M695" s="29" t="str">
        <f t="shared" si="50"/>
        <v>✓ OK</v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2707</v>
      </c>
      <c r="C696" s="44" t="s">
        <v>2708</v>
      </c>
      <c r="D696" s="42" t="s">
        <v>2294</v>
      </c>
      <c r="E696" s="45">
        <v>46129</v>
      </c>
      <c r="F696" s="26" t="s">
        <v>55</v>
      </c>
      <c r="G696" s="26" t="s">
        <v>56</v>
      </c>
      <c r="H696" s="26" t="s">
        <v>57</v>
      </c>
      <c r="I696" s="26" t="s">
        <v>58</v>
      </c>
      <c r="J696" s="26" t="s">
        <v>56</v>
      </c>
      <c r="K696" s="27"/>
      <c r="L696" s="28" t="s">
        <v>57</v>
      </c>
      <c r="M696" s="29" t="str">
        <f t="shared" si="50"/>
        <v>✓ OK</v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2709</v>
      </c>
      <c r="C697" s="25" t="s">
        <v>2710</v>
      </c>
      <c r="D697" s="23" t="s">
        <v>2294</v>
      </c>
      <c r="E697" s="45">
        <v>46132</v>
      </c>
      <c r="F697" s="26" t="s">
        <v>55</v>
      </c>
      <c r="G697" s="26" t="s">
        <v>56</v>
      </c>
      <c r="H697" s="26" t="s">
        <v>57</v>
      </c>
      <c r="I697" s="26" t="s">
        <v>58</v>
      </c>
      <c r="J697" s="26" t="s">
        <v>56</v>
      </c>
      <c r="K697" s="27"/>
      <c r="L697" s="28" t="s">
        <v>57</v>
      </c>
      <c r="M697" s="29" t="str">
        <f t="shared" si="50"/>
        <v>✓ OK</v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2711</v>
      </c>
      <c r="C698" s="44" t="s">
        <v>2712</v>
      </c>
      <c r="D698" s="42" t="s">
        <v>2294</v>
      </c>
      <c r="E698" s="45">
        <v>46132</v>
      </c>
      <c r="F698" s="26" t="s">
        <v>55</v>
      </c>
      <c r="G698" s="26" t="s">
        <v>56</v>
      </c>
      <c r="H698" s="26" t="s">
        <v>57</v>
      </c>
      <c r="I698" s="26" t="s">
        <v>58</v>
      </c>
      <c r="J698" s="26" t="s">
        <v>56</v>
      </c>
      <c r="K698" s="27"/>
      <c r="L698" s="28" t="s">
        <v>57</v>
      </c>
      <c r="M698" s="29" t="str">
        <f t="shared" si="50"/>
        <v>✓ OK</v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2713</v>
      </c>
      <c r="C699" s="25" t="s">
        <v>2714</v>
      </c>
      <c r="D699" s="23" t="s">
        <v>2294</v>
      </c>
      <c r="E699" s="45">
        <v>46132</v>
      </c>
      <c r="F699" s="26" t="s">
        <v>55</v>
      </c>
      <c r="G699" s="26" t="s">
        <v>56</v>
      </c>
      <c r="H699" s="26" t="s">
        <v>57</v>
      </c>
      <c r="I699" s="26" t="s">
        <v>58</v>
      </c>
      <c r="J699" s="26" t="s">
        <v>56</v>
      </c>
      <c r="K699" s="27"/>
      <c r="L699" s="28" t="s">
        <v>57</v>
      </c>
      <c r="M699" s="29" t="str">
        <f t="shared" si="50"/>
        <v>✓ OK</v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2715</v>
      </c>
      <c r="C700" s="44" t="s">
        <v>2716</v>
      </c>
      <c r="D700" s="42" t="s">
        <v>2294</v>
      </c>
      <c r="E700" s="45">
        <v>46132</v>
      </c>
      <c r="F700" s="26" t="s">
        <v>55</v>
      </c>
      <c r="G700" s="26" t="s">
        <v>56</v>
      </c>
      <c r="H700" s="26" t="s">
        <v>57</v>
      </c>
      <c r="I700" s="26" t="s">
        <v>58</v>
      </c>
      <c r="J700" s="26" t="s">
        <v>56</v>
      </c>
      <c r="K700" s="27"/>
      <c r="L700" s="28" t="s">
        <v>57</v>
      </c>
      <c r="M700" s="29" t="str">
        <f t="shared" si="50"/>
        <v>✓ OK</v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2717</v>
      </c>
      <c r="C701" s="25" t="s">
        <v>2718</v>
      </c>
      <c r="D701" s="23" t="s">
        <v>2294</v>
      </c>
      <c r="E701" s="45">
        <v>46129</v>
      </c>
      <c r="F701" s="26" t="s">
        <v>55</v>
      </c>
      <c r="G701" s="26" t="s">
        <v>56</v>
      </c>
      <c r="H701" s="26" t="s">
        <v>57</v>
      </c>
      <c r="I701" s="26" t="s">
        <v>58</v>
      </c>
      <c r="J701" s="26" t="s">
        <v>56</v>
      </c>
      <c r="K701" s="27"/>
      <c r="L701" s="28" t="s">
        <v>57</v>
      </c>
      <c r="M701" s="29" t="str">
        <f t="shared" si="50"/>
        <v>✓ OK</v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2719</v>
      </c>
      <c r="C702" s="44" t="s">
        <v>2720</v>
      </c>
      <c r="D702" s="42" t="s">
        <v>2294</v>
      </c>
      <c r="E702" s="45">
        <v>46129</v>
      </c>
      <c r="F702" s="26" t="s">
        <v>55</v>
      </c>
      <c r="G702" s="26" t="s">
        <v>56</v>
      </c>
      <c r="H702" s="26" t="s">
        <v>57</v>
      </c>
      <c r="I702" s="26" t="s">
        <v>58</v>
      </c>
      <c r="J702" s="26" t="s">
        <v>56</v>
      </c>
      <c r="K702" s="27"/>
      <c r="L702" s="28" t="s">
        <v>57</v>
      </c>
      <c r="M702" s="29" t="str">
        <f t="shared" si="50"/>
        <v>✓ OK</v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2721</v>
      </c>
      <c r="C703" s="25" t="s">
        <v>2722</v>
      </c>
      <c r="D703" s="23" t="s">
        <v>2294</v>
      </c>
      <c r="E703" s="45">
        <v>46129</v>
      </c>
      <c r="F703" s="26" t="s">
        <v>55</v>
      </c>
      <c r="G703" s="26" t="s">
        <v>56</v>
      </c>
      <c r="H703" s="26" t="s">
        <v>57</v>
      </c>
      <c r="I703" s="26" t="s">
        <v>58</v>
      </c>
      <c r="J703" s="26" t="s">
        <v>56</v>
      </c>
      <c r="K703" s="27"/>
      <c r="L703" s="28" t="s">
        <v>57</v>
      </c>
      <c r="M703" s="29" t="str">
        <f t="shared" si="50"/>
        <v>✓ OK</v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2723</v>
      </c>
      <c r="C704" s="44" t="s">
        <v>2724</v>
      </c>
      <c r="D704" s="42" t="s">
        <v>2294</v>
      </c>
      <c r="E704" s="45">
        <v>46129</v>
      </c>
      <c r="F704" s="26" t="s">
        <v>55</v>
      </c>
      <c r="G704" s="26" t="s">
        <v>56</v>
      </c>
      <c r="H704" s="26" t="s">
        <v>57</v>
      </c>
      <c r="I704" s="26" t="s">
        <v>58</v>
      </c>
      <c r="J704" s="26" t="s">
        <v>56</v>
      </c>
      <c r="K704" s="27"/>
      <c r="L704" s="28" t="s">
        <v>57</v>
      </c>
      <c r="M704" s="29" t="str">
        <f t="shared" si="50"/>
        <v>✓ OK</v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2725</v>
      </c>
      <c r="C705" s="25" t="s">
        <v>2726</v>
      </c>
      <c r="D705" s="23" t="s">
        <v>2294</v>
      </c>
      <c r="E705" s="45">
        <v>46129</v>
      </c>
      <c r="F705" s="26" t="s">
        <v>55</v>
      </c>
      <c r="G705" s="26" t="s">
        <v>56</v>
      </c>
      <c r="H705" s="26" t="s">
        <v>57</v>
      </c>
      <c r="I705" s="26" t="s">
        <v>58</v>
      </c>
      <c r="J705" s="26" t="s">
        <v>56</v>
      </c>
      <c r="K705" s="27"/>
      <c r="L705" s="28" t="s">
        <v>57</v>
      </c>
      <c r="M705" s="29" t="str">
        <f t="shared" si="50"/>
        <v>✓ OK</v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2727</v>
      </c>
      <c r="C706" s="44" t="s">
        <v>2728</v>
      </c>
      <c r="D706" s="42" t="s">
        <v>2294</v>
      </c>
      <c r="E706" s="45">
        <v>46129</v>
      </c>
      <c r="F706" s="26" t="s">
        <v>55</v>
      </c>
      <c r="G706" s="26" t="s">
        <v>56</v>
      </c>
      <c r="H706" s="26" t="s">
        <v>57</v>
      </c>
      <c r="I706" s="26" t="s">
        <v>58</v>
      </c>
      <c r="J706" s="26" t="s">
        <v>56</v>
      </c>
      <c r="K706" s="27"/>
      <c r="L706" s="28" t="s">
        <v>57</v>
      </c>
      <c r="M706" s="29" t="str">
        <f t="shared" si="50"/>
        <v>✓ OK</v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2729</v>
      </c>
      <c r="C707" s="25" t="s">
        <v>2730</v>
      </c>
      <c r="D707" s="23" t="s">
        <v>2294</v>
      </c>
      <c r="E707" s="45">
        <v>46129</v>
      </c>
      <c r="F707" s="26" t="s">
        <v>55</v>
      </c>
      <c r="G707" s="26" t="s">
        <v>56</v>
      </c>
      <c r="H707" s="26" t="s">
        <v>57</v>
      </c>
      <c r="I707" s="26" t="s">
        <v>58</v>
      </c>
      <c r="J707" s="26" t="s">
        <v>56</v>
      </c>
      <c r="K707" s="27"/>
      <c r="L707" s="28" t="s">
        <v>57</v>
      </c>
      <c r="M707" s="29" t="str">
        <f t="shared" si="50"/>
        <v>✓ OK</v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2731</v>
      </c>
      <c r="C708" s="44" t="s">
        <v>2732</v>
      </c>
      <c r="D708" s="42" t="s">
        <v>2294</v>
      </c>
      <c r="E708" s="45">
        <v>46129</v>
      </c>
      <c r="F708" s="26" t="s">
        <v>55</v>
      </c>
      <c r="G708" s="26" t="s">
        <v>56</v>
      </c>
      <c r="H708" s="26" t="s">
        <v>57</v>
      </c>
      <c r="I708" s="26" t="s">
        <v>58</v>
      </c>
      <c r="J708" s="26" t="s">
        <v>56</v>
      </c>
      <c r="K708" s="27"/>
      <c r="L708" s="28" t="s">
        <v>57</v>
      </c>
      <c r="M708" s="29" t="str">
        <f t="shared" si="50"/>
        <v>✓ OK</v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2733</v>
      </c>
      <c r="C709" s="25" t="s">
        <v>2734</v>
      </c>
      <c r="D709" s="23" t="s">
        <v>2294</v>
      </c>
      <c r="E709" s="45">
        <v>46128</v>
      </c>
      <c r="F709" s="26" t="s">
        <v>55</v>
      </c>
      <c r="G709" s="26" t="s">
        <v>56</v>
      </c>
      <c r="H709" s="26" t="s">
        <v>57</v>
      </c>
      <c r="I709" s="26" t="s">
        <v>58</v>
      </c>
      <c r="J709" s="26" t="s">
        <v>56</v>
      </c>
      <c r="K709" s="27"/>
      <c r="L709" s="28" t="s">
        <v>57</v>
      </c>
      <c r="M709" s="29" t="str">
        <f t="shared" ref="M709:M772" si="55">IF(E709="","",IF(H709="Yes","❌ Disc",IF(G709="No","⚠ Missing",IF(J709="Yes","✓ OK","⚠ Check"))))</f>
        <v>✓ OK</v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2735</v>
      </c>
      <c r="C710" s="44" t="s">
        <v>2736</v>
      </c>
      <c r="D710" s="42" t="s">
        <v>2294</v>
      </c>
      <c r="E710" s="45">
        <v>46128</v>
      </c>
      <c r="F710" s="26" t="s">
        <v>55</v>
      </c>
      <c r="G710" s="26" t="s">
        <v>56</v>
      </c>
      <c r="H710" s="26" t="s">
        <v>57</v>
      </c>
      <c r="I710" s="26" t="s">
        <v>58</v>
      </c>
      <c r="J710" s="26" t="s">
        <v>56</v>
      </c>
      <c r="K710" s="27"/>
      <c r="L710" s="28" t="s">
        <v>57</v>
      </c>
      <c r="M710" s="29" t="str">
        <f t="shared" si="55"/>
        <v>✓ OK</v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2737</v>
      </c>
      <c r="C711" s="25" t="s">
        <v>2738</v>
      </c>
      <c r="D711" s="23" t="s">
        <v>2294</v>
      </c>
      <c r="E711" s="45">
        <v>46132</v>
      </c>
      <c r="F711" s="26" t="s">
        <v>55</v>
      </c>
      <c r="G711" s="26" t="s">
        <v>56</v>
      </c>
      <c r="H711" s="26" t="s">
        <v>57</v>
      </c>
      <c r="I711" s="26" t="s">
        <v>58</v>
      </c>
      <c r="J711" s="26" t="s">
        <v>56</v>
      </c>
      <c r="K711" s="27"/>
      <c r="L711" s="28" t="s">
        <v>57</v>
      </c>
      <c r="M711" s="29" t="str">
        <f t="shared" si="55"/>
        <v>✓ OK</v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2739</v>
      </c>
      <c r="C712" s="44" t="s">
        <v>2740</v>
      </c>
      <c r="D712" s="42" t="s">
        <v>2294</v>
      </c>
      <c r="E712" s="45">
        <v>46132</v>
      </c>
      <c r="F712" s="26" t="s">
        <v>55</v>
      </c>
      <c r="G712" s="26" t="s">
        <v>56</v>
      </c>
      <c r="H712" s="26" t="s">
        <v>57</v>
      </c>
      <c r="I712" s="26" t="s">
        <v>58</v>
      </c>
      <c r="J712" s="26" t="s">
        <v>56</v>
      </c>
      <c r="K712" s="27"/>
      <c r="L712" s="28" t="s">
        <v>57</v>
      </c>
      <c r="M712" s="29" t="str">
        <f t="shared" si="55"/>
        <v>✓ OK</v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2741</v>
      </c>
      <c r="C713" s="25" t="s">
        <v>2742</v>
      </c>
      <c r="D713" s="23" t="s">
        <v>2294</v>
      </c>
      <c r="E713" s="45">
        <v>46129</v>
      </c>
      <c r="F713" s="26" t="s">
        <v>55</v>
      </c>
      <c r="G713" s="26" t="s">
        <v>56</v>
      </c>
      <c r="H713" s="26" t="s">
        <v>57</v>
      </c>
      <c r="I713" s="26" t="s">
        <v>58</v>
      </c>
      <c r="J713" s="26" t="s">
        <v>56</v>
      </c>
      <c r="K713" s="27"/>
      <c r="L713" s="28" t="s">
        <v>57</v>
      </c>
      <c r="M713" s="29" t="str">
        <f t="shared" si="55"/>
        <v>✓ OK</v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2743</v>
      </c>
      <c r="C714" s="44" t="s">
        <v>2744</v>
      </c>
      <c r="D714" s="42" t="s">
        <v>2294</v>
      </c>
      <c r="E714" s="45">
        <v>46129</v>
      </c>
      <c r="F714" s="26" t="s">
        <v>55</v>
      </c>
      <c r="G714" s="26" t="s">
        <v>56</v>
      </c>
      <c r="H714" s="26" t="s">
        <v>57</v>
      </c>
      <c r="I714" s="26" t="s">
        <v>58</v>
      </c>
      <c r="J714" s="26" t="s">
        <v>56</v>
      </c>
      <c r="K714" s="27"/>
      <c r="L714" s="28" t="s">
        <v>57</v>
      </c>
      <c r="M714" s="29" t="str">
        <f t="shared" si="55"/>
        <v>✓ OK</v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2745</v>
      </c>
      <c r="C715" s="25" t="s">
        <v>2746</v>
      </c>
      <c r="D715" s="23" t="s">
        <v>2294</v>
      </c>
      <c r="E715" s="45">
        <v>46132</v>
      </c>
      <c r="F715" s="26" t="s">
        <v>55</v>
      </c>
      <c r="G715" s="26" t="s">
        <v>56</v>
      </c>
      <c r="H715" s="26" t="s">
        <v>57</v>
      </c>
      <c r="I715" s="26" t="s">
        <v>58</v>
      </c>
      <c r="J715" s="26" t="s">
        <v>56</v>
      </c>
      <c r="K715" s="27"/>
      <c r="L715" s="28" t="s">
        <v>57</v>
      </c>
      <c r="M715" s="29" t="str">
        <f t="shared" si="55"/>
        <v>✓ OK</v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2747</v>
      </c>
      <c r="C716" s="44" t="s">
        <v>2748</v>
      </c>
      <c r="D716" s="42" t="s">
        <v>2294</v>
      </c>
      <c r="E716" s="45">
        <v>46132</v>
      </c>
      <c r="F716" s="26" t="s">
        <v>55</v>
      </c>
      <c r="G716" s="26" t="s">
        <v>56</v>
      </c>
      <c r="H716" s="26" t="s">
        <v>57</v>
      </c>
      <c r="I716" s="26" t="s">
        <v>58</v>
      </c>
      <c r="J716" s="26" t="s">
        <v>56</v>
      </c>
      <c r="K716" s="27"/>
      <c r="L716" s="28" t="s">
        <v>57</v>
      </c>
      <c r="M716" s="29" t="str">
        <f t="shared" si="55"/>
        <v>✓ OK</v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2749</v>
      </c>
      <c r="C717" s="25" t="s">
        <v>2750</v>
      </c>
      <c r="D717" s="23" t="s">
        <v>2294</v>
      </c>
      <c r="E717" s="45">
        <v>46132</v>
      </c>
      <c r="F717" s="26" t="s">
        <v>55</v>
      </c>
      <c r="G717" s="26" t="s">
        <v>56</v>
      </c>
      <c r="H717" s="26" t="s">
        <v>57</v>
      </c>
      <c r="I717" s="26" t="s">
        <v>58</v>
      </c>
      <c r="J717" s="26" t="s">
        <v>56</v>
      </c>
      <c r="K717" s="27"/>
      <c r="L717" s="28" t="s">
        <v>57</v>
      </c>
      <c r="M717" s="29" t="str">
        <f t="shared" si="55"/>
        <v>✓ OK</v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2751</v>
      </c>
      <c r="C718" s="44" t="s">
        <v>2752</v>
      </c>
      <c r="D718" s="42" t="s">
        <v>2294</v>
      </c>
      <c r="E718" s="45">
        <v>46132</v>
      </c>
      <c r="F718" s="26" t="s">
        <v>55</v>
      </c>
      <c r="G718" s="26" t="s">
        <v>56</v>
      </c>
      <c r="H718" s="26" t="s">
        <v>57</v>
      </c>
      <c r="I718" s="26" t="s">
        <v>58</v>
      </c>
      <c r="J718" s="26" t="s">
        <v>56</v>
      </c>
      <c r="K718" s="27"/>
      <c r="L718" s="28" t="s">
        <v>57</v>
      </c>
      <c r="M718" s="29" t="str">
        <f t="shared" si="55"/>
        <v>✓ OK</v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2753</v>
      </c>
      <c r="C719" s="25" t="s">
        <v>2754</v>
      </c>
      <c r="D719" s="23" t="s">
        <v>2294</v>
      </c>
      <c r="E719" s="45">
        <v>46128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 t="shared" si="55"/>
        <v>✓ OK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2755</v>
      </c>
      <c r="C720" s="44" t="s">
        <v>2756</v>
      </c>
      <c r="D720" s="42" t="s">
        <v>2294</v>
      </c>
      <c r="E720" s="45">
        <v>46128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 t="shared" si="55"/>
        <v>✓ OK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2757</v>
      </c>
      <c r="C721" s="25" t="s">
        <v>2758</v>
      </c>
      <c r="D721" s="23" t="s">
        <v>2294</v>
      </c>
      <c r="E721" s="45">
        <v>46128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 t="shared" si="55"/>
        <v>✓ OK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2759</v>
      </c>
      <c r="C722" s="44" t="s">
        <v>2760</v>
      </c>
      <c r="D722" s="42" t="s">
        <v>2294</v>
      </c>
      <c r="E722" s="45">
        <v>46129</v>
      </c>
      <c r="F722" s="26" t="s">
        <v>55</v>
      </c>
      <c r="G722" s="26" t="s">
        <v>56</v>
      </c>
      <c r="H722" s="26" t="s">
        <v>57</v>
      </c>
      <c r="I722" s="26" t="s">
        <v>58</v>
      </c>
      <c r="J722" s="26" t="s">
        <v>56</v>
      </c>
      <c r="K722" s="27"/>
      <c r="L722" s="28" t="s">
        <v>57</v>
      </c>
      <c r="M722" s="29" t="str">
        <f t="shared" si="55"/>
        <v>✓ OK</v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2761</v>
      </c>
      <c r="C723" s="25" t="s">
        <v>2762</v>
      </c>
      <c r="D723" s="23" t="s">
        <v>2294</v>
      </c>
      <c r="E723" s="45">
        <v>46129</v>
      </c>
      <c r="F723" s="26" t="s">
        <v>55</v>
      </c>
      <c r="G723" s="26" t="s">
        <v>56</v>
      </c>
      <c r="H723" s="26" t="s">
        <v>57</v>
      </c>
      <c r="I723" s="26" t="s">
        <v>58</v>
      </c>
      <c r="J723" s="26" t="s">
        <v>56</v>
      </c>
      <c r="K723" s="27"/>
      <c r="L723" s="28" t="s">
        <v>57</v>
      </c>
      <c r="M723" s="29" t="str">
        <f t="shared" si="55"/>
        <v>✓ OK</v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2763</v>
      </c>
      <c r="C724" s="44" t="s">
        <v>2764</v>
      </c>
      <c r="D724" s="42" t="s">
        <v>2294</v>
      </c>
      <c r="E724" s="45">
        <v>46129</v>
      </c>
      <c r="F724" s="26" t="s">
        <v>55</v>
      </c>
      <c r="G724" s="26" t="s">
        <v>56</v>
      </c>
      <c r="H724" s="26" t="s">
        <v>57</v>
      </c>
      <c r="I724" s="26" t="s">
        <v>58</v>
      </c>
      <c r="J724" s="26" t="s">
        <v>56</v>
      </c>
      <c r="K724" s="27"/>
      <c r="L724" s="28" t="s">
        <v>57</v>
      </c>
      <c r="M724" s="29" t="str">
        <f t="shared" si="55"/>
        <v>✓ OK</v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2765</v>
      </c>
      <c r="C725" s="25" t="s">
        <v>2766</v>
      </c>
      <c r="D725" s="23" t="s">
        <v>2294</v>
      </c>
      <c r="E725" s="45">
        <v>46129</v>
      </c>
      <c r="F725" s="26" t="s">
        <v>55</v>
      </c>
      <c r="G725" s="26" t="s">
        <v>56</v>
      </c>
      <c r="H725" s="26" t="s">
        <v>57</v>
      </c>
      <c r="I725" s="26" t="s">
        <v>58</v>
      </c>
      <c r="J725" s="26" t="s">
        <v>56</v>
      </c>
      <c r="K725" s="27"/>
      <c r="L725" s="28" t="s">
        <v>57</v>
      </c>
      <c r="M725" s="29" t="str">
        <f t="shared" si="55"/>
        <v>✓ OK</v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2767</v>
      </c>
      <c r="C726" s="44" t="s">
        <v>2768</v>
      </c>
      <c r="D726" s="42" t="s">
        <v>2294</v>
      </c>
      <c r="E726" s="45">
        <v>46132</v>
      </c>
      <c r="F726" s="26" t="s">
        <v>55</v>
      </c>
      <c r="G726" s="26" t="s">
        <v>56</v>
      </c>
      <c r="H726" s="26" t="s">
        <v>57</v>
      </c>
      <c r="I726" s="26" t="s">
        <v>58</v>
      </c>
      <c r="J726" s="26" t="s">
        <v>56</v>
      </c>
      <c r="K726" s="27"/>
      <c r="L726" s="28" t="s">
        <v>57</v>
      </c>
      <c r="M726" s="29" t="str">
        <f t="shared" si="55"/>
        <v>✓ OK</v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2769</v>
      </c>
      <c r="C727" s="25" t="s">
        <v>2770</v>
      </c>
      <c r="D727" s="23" t="s">
        <v>2294</v>
      </c>
      <c r="E727" s="45">
        <v>46132</v>
      </c>
      <c r="F727" s="26" t="s">
        <v>55</v>
      </c>
      <c r="G727" s="26" t="s">
        <v>56</v>
      </c>
      <c r="H727" s="26" t="s">
        <v>57</v>
      </c>
      <c r="I727" s="26" t="s">
        <v>58</v>
      </c>
      <c r="J727" s="26" t="s">
        <v>56</v>
      </c>
      <c r="K727" s="27"/>
      <c r="L727" s="28" t="s">
        <v>57</v>
      </c>
      <c r="M727" s="29" t="str">
        <f t="shared" si="55"/>
        <v>✓ OK</v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2771</v>
      </c>
      <c r="C728" s="44" t="s">
        <v>2772</v>
      </c>
      <c r="D728" s="42" t="s">
        <v>2294</v>
      </c>
      <c r="E728" s="45">
        <v>46132</v>
      </c>
      <c r="F728" s="26" t="s">
        <v>55</v>
      </c>
      <c r="G728" s="26" t="s">
        <v>56</v>
      </c>
      <c r="H728" s="26" t="s">
        <v>57</v>
      </c>
      <c r="I728" s="26" t="s">
        <v>58</v>
      </c>
      <c r="J728" s="26" t="s">
        <v>56</v>
      </c>
      <c r="K728" s="27"/>
      <c r="L728" s="28" t="s">
        <v>57</v>
      </c>
      <c r="M728" s="29" t="str">
        <f t="shared" si="55"/>
        <v>✓ OK</v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2773</v>
      </c>
      <c r="C729" s="25" t="s">
        <v>2774</v>
      </c>
      <c r="D729" s="23" t="s">
        <v>2294</v>
      </c>
      <c r="E729" s="45">
        <v>46132</v>
      </c>
      <c r="F729" s="26" t="s">
        <v>55</v>
      </c>
      <c r="G729" s="26" t="s">
        <v>56</v>
      </c>
      <c r="H729" s="26" t="s">
        <v>57</v>
      </c>
      <c r="I729" s="26" t="s">
        <v>58</v>
      </c>
      <c r="J729" s="26" t="s">
        <v>56</v>
      </c>
      <c r="K729" s="27"/>
      <c r="L729" s="28" t="s">
        <v>57</v>
      </c>
      <c r="M729" s="29" t="str">
        <f t="shared" si="55"/>
        <v>✓ OK</v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2775</v>
      </c>
      <c r="C730" s="44" t="s">
        <v>2776</v>
      </c>
      <c r="D730" s="42" t="s">
        <v>2294</v>
      </c>
      <c r="E730" s="45">
        <v>46129</v>
      </c>
      <c r="F730" s="26" t="s">
        <v>55</v>
      </c>
      <c r="G730" s="26" t="s">
        <v>56</v>
      </c>
      <c r="H730" s="26" t="s">
        <v>57</v>
      </c>
      <c r="I730" s="26" t="s">
        <v>58</v>
      </c>
      <c r="J730" s="26" t="s">
        <v>56</v>
      </c>
      <c r="K730" s="27"/>
      <c r="L730" s="28" t="s">
        <v>57</v>
      </c>
      <c r="M730" s="29" t="str">
        <f t="shared" si="55"/>
        <v>✓ OK</v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2777</v>
      </c>
      <c r="C731" s="25" t="s">
        <v>2778</v>
      </c>
      <c r="D731" s="23" t="s">
        <v>2294</v>
      </c>
      <c r="E731" s="45">
        <v>46129</v>
      </c>
      <c r="F731" s="26" t="s">
        <v>55</v>
      </c>
      <c r="G731" s="26" t="s">
        <v>56</v>
      </c>
      <c r="H731" s="26" t="s">
        <v>57</v>
      </c>
      <c r="I731" s="26" t="s">
        <v>58</v>
      </c>
      <c r="J731" s="26" t="s">
        <v>56</v>
      </c>
      <c r="K731" s="27"/>
      <c r="L731" s="28" t="s">
        <v>57</v>
      </c>
      <c r="M731" s="29" t="str">
        <f t="shared" si="55"/>
        <v>✓ OK</v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2779</v>
      </c>
      <c r="C732" s="44" t="s">
        <v>2780</v>
      </c>
      <c r="D732" s="42" t="s">
        <v>2294</v>
      </c>
      <c r="E732" s="45">
        <v>46129</v>
      </c>
      <c r="F732" s="26" t="s">
        <v>55</v>
      </c>
      <c r="G732" s="26" t="s">
        <v>56</v>
      </c>
      <c r="H732" s="26" t="s">
        <v>57</v>
      </c>
      <c r="I732" s="26" t="s">
        <v>58</v>
      </c>
      <c r="J732" s="26" t="s">
        <v>56</v>
      </c>
      <c r="K732" s="27"/>
      <c r="L732" s="28" t="s">
        <v>57</v>
      </c>
      <c r="M732" s="29" t="str">
        <f t="shared" si="55"/>
        <v>✓ OK</v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2781</v>
      </c>
      <c r="C733" s="25" t="s">
        <v>2782</v>
      </c>
      <c r="D733" s="23" t="s">
        <v>2294</v>
      </c>
      <c r="E733" s="45">
        <v>46129</v>
      </c>
      <c r="F733" s="26" t="s">
        <v>55</v>
      </c>
      <c r="G733" s="26" t="s">
        <v>56</v>
      </c>
      <c r="H733" s="26" t="s">
        <v>57</v>
      </c>
      <c r="I733" s="26" t="s">
        <v>58</v>
      </c>
      <c r="J733" s="26" t="s">
        <v>56</v>
      </c>
      <c r="K733" s="27"/>
      <c r="L733" s="28" t="s">
        <v>57</v>
      </c>
      <c r="M733" s="29" t="str">
        <f t="shared" si="55"/>
        <v>✓ OK</v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2783</v>
      </c>
      <c r="C734" s="44" t="s">
        <v>2784</v>
      </c>
      <c r="D734" s="42" t="s">
        <v>2294</v>
      </c>
      <c r="E734" s="45">
        <v>46129</v>
      </c>
      <c r="F734" s="26" t="s">
        <v>55</v>
      </c>
      <c r="G734" s="26" t="s">
        <v>56</v>
      </c>
      <c r="H734" s="26" t="s">
        <v>57</v>
      </c>
      <c r="I734" s="26" t="s">
        <v>58</v>
      </c>
      <c r="J734" s="26" t="s">
        <v>56</v>
      </c>
      <c r="K734" s="27"/>
      <c r="L734" s="28" t="s">
        <v>57</v>
      </c>
      <c r="M734" s="29" t="str">
        <f t="shared" si="55"/>
        <v>✓ OK</v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2785</v>
      </c>
      <c r="C735" s="25" t="s">
        <v>2786</v>
      </c>
      <c r="D735" s="23" t="s">
        <v>2294</v>
      </c>
      <c r="E735" s="45">
        <v>46129</v>
      </c>
      <c r="F735" s="26" t="s">
        <v>55</v>
      </c>
      <c r="G735" s="26" t="s">
        <v>56</v>
      </c>
      <c r="H735" s="26" t="s">
        <v>57</v>
      </c>
      <c r="I735" s="26" t="s">
        <v>58</v>
      </c>
      <c r="J735" s="26" t="s">
        <v>56</v>
      </c>
      <c r="K735" s="27"/>
      <c r="L735" s="28" t="s">
        <v>57</v>
      </c>
      <c r="M735" s="29" t="str">
        <f t="shared" si="55"/>
        <v>✓ OK</v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2787</v>
      </c>
      <c r="C736" s="44" t="s">
        <v>2788</v>
      </c>
      <c r="D736" s="42" t="s">
        <v>2294</v>
      </c>
      <c r="E736" s="45">
        <v>46128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 t="shared" si="55"/>
        <v>✓ OK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2789</v>
      </c>
      <c r="C737" s="25" t="s">
        <v>2790</v>
      </c>
      <c r="D737" s="23" t="s">
        <v>2294</v>
      </c>
      <c r="E737" s="45">
        <v>46128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 t="shared" si="55"/>
        <v>✓ OK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2791</v>
      </c>
      <c r="C738" s="44" t="s">
        <v>2792</v>
      </c>
      <c r="D738" s="42" t="s">
        <v>2294</v>
      </c>
      <c r="E738" s="45">
        <v>46128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 t="shared" si="55"/>
        <v>✓ OK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2793</v>
      </c>
      <c r="C739" s="25" t="s">
        <v>2794</v>
      </c>
      <c r="D739" s="23" t="s">
        <v>2294</v>
      </c>
      <c r="E739" s="45">
        <v>46128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 t="shared" si="55"/>
        <v>✓ OK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2795</v>
      </c>
      <c r="C740" s="44" t="s">
        <v>2796</v>
      </c>
      <c r="D740" s="42" t="s">
        <v>2294</v>
      </c>
      <c r="E740" s="45">
        <v>46128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 t="shared" si="55"/>
        <v>✓ OK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2797</v>
      </c>
      <c r="C741" s="25" t="s">
        <v>2798</v>
      </c>
      <c r="D741" s="23" t="s">
        <v>2294</v>
      </c>
      <c r="E741" s="45">
        <v>46128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 t="shared" si="55"/>
        <v>✓ OK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2799</v>
      </c>
      <c r="C742" s="44" t="s">
        <v>2800</v>
      </c>
      <c r="D742" s="42" t="s">
        <v>2294</v>
      </c>
      <c r="E742" s="45">
        <v>46129</v>
      </c>
      <c r="F742" s="26" t="s">
        <v>55</v>
      </c>
      <c r="G742" s="26" t="s">
        <v>56</v>
      </c>
      <c r="H742" s="26" t="s">
        <v>57</v>
      </c>
      <c r="I742" s="26" t="s">
        <v>58</v>
      </c>
      <c r="J742" s="26" t="s">
        <v>56</v>
      </c>
      <c r="K742" s="27"/>
      <c r="L742" s="28" t="s">
        <v>57</v>
      </c>
      <c r="M742" s="29" t="str">
        <f t="shared" si="55"/>
        <v>✓ OK</v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2801</v>
      </c>
      <c r="C743" s="25" t="s">
        <v>2802</v>
      </c>
      <c r="D743" s="23" t="s">
        <v>2294</v>
      </c>
      <c r="E743" s="45">
        <v>46129</v>
      </c>
      <c r="F743" s="26" t="s">
        <v>55</v>
      </c>
      <c r="G743" s="26" t="s">
        <v>56</v>
      </c>
      <c r="H743" s="26" t="s">
        <v>57</v>
      </c>
      <c r="I743" s="26" t="s">
        <v>58</v>
      </c>
      <c r="J743" s="26" t="s">
        <v>56</v>
      </c>
      <c r="K743" s="27"/>
      <c r="L743" s="28" t="s">
        <v>57</v>
      </c>
      <c r="M743" s="29" t="str">
        <f t="shared" si="55"/>
        <v>✓ OK</v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2803</v>
      </c>
      <c r="C744" s="44" t="s">
        <v>2804</v>
      </c>
      <c r="D744" s="42" t="s">
        <v>2294</v>
      </c>
      <c r="E744" s="45">
        <v>46132</v>
      </c>
      <c r="F744" s="26" t="s">
        <v>55</v>
      </c>
      <c r="G744" s="26" t="s">
        <v>56</v>
      </c>
      <c r="H744" s="26" t="s">
        <v>57</v>
      </c>
      <c r="I744" s="26" t="s">
        <v>58</v>
      </c>
      <c r="J744" s="26" t="s">
        <v>56</v>
      </c>
      <c r="K744" s="27"/>
      <c r="L744" s="28" t="s">
        <v>57</v>
      </c>
      <c r="M744" s="29" t="str">
        <f t="shared" si="55"/>
        <v>✓ OK</v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2805</v>
      </c>
      <c r="C745" s="25" t="s">
        <v>2806</v>
      </c>
      <c r="D745" s="23" t="s">
        <v>2294</v>
      </c>
      <c r="E745" s="45">
        <v>46132</v>
      </c>
      <c r="F745" s="26" t="s">
        <v>55</v>
      </c>
      <c r="G745" s="26" t="s">
        <v>56</v>
      </c>
      <c r="H745" s="26" t="s">
        <v>57</v>
      </c>
      <c r="I745" s="26" t="s">
        <v>58</v>
      </c>
      <c r="J745" s="26" t="s">
        <v>56</v>
      </c>
      <c r="K745" s="27"/>
      <c r="L745" s="28" t="s">
        <v>57</v>
      </c>
      <c r="M745" s="29" t="str">
        <f t="shared" si="55"/>
        <v>✓ OK</v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2807</v>
      </c>
      <c r="C746" s="44" t="s">
        <v>2808</v>
      </c>
      <c r="D746" s="42" t="s">
        <v>2294</v>
      </c>
      <c r="E746" s="45">
        <v>46129</v>
      </c>
      <c r="F746" s="26" t="s">
        <v>55</v>
      </c>
      <c r="G746" s="26" t="s">
        <v>56</v>
      </c>
      <c r="H746" s="26" t="s">
        <v>57</v>
      </c>
      <c r="I746" s="26" t="s">
        <v>58</v>
      </c>
      <c r="J746" s="26" t="s">
        <v>56</v>
      </c>
      <c r="K746" s="27"/>
      <c r="L746" s="28" t="s">
        <v>57</v>
      </c>
      <c r="M746" s="29" t="str">
        <f t="shared" si="55"/>
        <v>✓ OK</v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2809</v>
      </c>
      <c r="C747" s="25" t="s">
        <v>2810</v>
      </c>
      <c r="D747" s="23" t="s">
        <v>2294</v>
      </c>
      <c r="E747" s="45">
        <v>46129</v>
      </c>
      <c r="F747" s="26" t="s">
        <v>55</v>
      </c>
      <c r="G747" s="26" t="s">
        <v>56</v>
      </c>
      <c r="H747" s="26" t="s">
        <v>57</v>
      </c>
      <c r="I747" s="26" t="s">
        <v>58</v>
      </c>
      <c r="J747" s="26" t="s">
        <v>56</v>
      </c>
      <c r="K747" s="27"/>
      <c r="L747" s="28" t="s">
        <v>57</v>
      </c>
      <c r="M747" s="29" t="str">
        <f t="shared" si="55"/>
        <v>✓ OK</v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2811</v>
      </c>
      <c r="C748" s="44" t="s">
        <v>2812</v>
      </c>
      <c r="D748" s="42" t="s">
        <v>2294</v>
      </c>
      <c r="E748" s="45">
        <v>46129</v>
      </c>
      <c r="F748" s="26" t="s">
        <v>55</v>
      </c>
      <c r="G748" s="26" t="s">
        <v>56</v>
      </c>
      <c r="H748" s="26" t="s">
        <v>57</v>
      </c>
      <c r="I748" s="26" t="s">
        <v>58</v>
      </c>
      <c r="J748" s="26" t="s">
        <v>56</v>
      </c>
      <c r="K748" s="27"/>
      <c r="L748" s="28" t="s">
        <v>57</v>
      </c>
      <c r="M748" s="29" t="str">
        <f t="shared" si="55"/>
        <v>✓ OK</v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2813</v>
      </c>
      <c r="C749" s="25" t="s">
        <v>2814</v>
      </c>
      <c r="D749" s="23" t="s">
        <v>2294</v>
      </c>
      <c r="E749" s="45">
        <v>46129</v>
      </c>
      <c r="F749" s="26" t="s">
        <v>55</v>
      </c>
      <c r="G749" s="26" t="s">
        <v>56</v>
      </c>
      <c r="H749" s="26" t="s">
        <v>57</v>
      </c>
      <c r="I749" s="26" t="s">
        <v>58</v>
      </c>
      <c r="J749" s="26" t="s">
        <v>56</v>
      </c>
      <c r="K749" s="27"/>
      <c r="L749" s="28" t="s">
        <v>57</v>
      </c>
      <c r="M749" s="29" t="str">
        <f t="shared" si="55"/>
        <v>✓ OK</v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2815</v>
      </c>
      <c r="C750" s="44" t="s">
        <v>2816</v>
      </c>
      <c r="D750" s="42" t="s">
        <v>2294</v>
      </c>
      <c r="E750" s="45">
        <v>46128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 t="shared" si="55"/>
        <v>✓ OK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2817</v>
      </c>
      <c r="C751" s="25" t="s">
        <v>2818</v>
      </c>
      <c r="D751" s="23" t="s">
        <v>2294</v>
      </c>
      <c r="E751" s="45">
        <v>46128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 t="shared" si="55"/>
        <v>✓ OK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2819</v>
      </c>
      <c r="C752" s="44" t="s">
        <v>2820</v>
      </c>
      <c r="D752" s="42" t="s">
        <v>2294</v>
      </c>
      <c r="E752" s="45">
        <v>46129</v>
      </c>
      <c r="F752" s="26" t="s">
        <v>55</v>
      </c>
      <c r="G752" s="26" t="s">
        <v>56</v>
      </c>
      <c r="H752" s="26" t="s">
        <v>57</v>
      </c>
      <c r="I752" s="26" t="s">
        <v>58</v>
      </c>
      <c r="J752" s="26" t="s">
        <v>56</v>
      </c>
      <c r="K752" s="27"/>
      <c r="L752" s="28" t="s">
        <v>57</v>
      </c>
      <c r="M752" s="29" t="str">
        <f t="shared" si="55"/>
        <v>✓ OK</v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2821</v>
      </c>
      <c r="C753" s="25" t="s">
        <v>2822</v>
      </c>
      <c r="D753" s="23" t="s">
        <v>2294</v>
      </c>
      <c r="E753" s="45">
        <v>46129</v>
      </c>
      <c r="F753" s="26" t="s">
        <v>55</v>
      </c>
      <c r="G753" s="26" t="s">
        <v>56</v>
      </c>
      <c r="H753" s="26" t="s">
        <v>57</v>
      </c>
      <c r="I753" s="26" t="s">
        <v>58</v>
      </c>
      <c r="J753" s="26" t="s">
        <v>56</v>
      </c>
      <c r="K753" s="27"/>
      <c r="L753" s="28" t="s">
        <v>57</v>
      </c>
      <c r="M753" s="29" t="str">
        <f t="shared" si="55"/>
        <v>✓ OK</v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2823</v>
      </c>
      <c r="C754" s="44" t="s">
        <v>2824</v>
      </c>
      <c r="D754" s="42" t="s">
        <v>2294</v>
      </c>
      <c r="E754" s="45">
        <v>46132</v>
      </c>
      <c r="F754" s="26" t="s">
        <v>55</v>
      </c>
      <c r="G754" s="26" t="s">
        <v>56</v>
      </c>
      <c r="H754" s="26" t="s">
        <v>57</v>
      </c>
      <c r="I754" s="26" t="s">
        <v>58</v>
      </c>
      <c r="J754" s="26" t="s">
        <v>56</v>
      </c>
      <c r="K754" s="27"/>
      <c r="L754" s="28" t="s">
        <v>57</v>
      </c>
      <c r="M754" s="29" t="str">
        <f t="shared" si="55"/>
        <v>✓ OK</v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2825</v>
      </c>
      <c r="C755" s="25" t="s">
        <v>2826</v>
      </c>
      <c r="D755" s="23" t="s">
        <v>2294</v>
      </c>
      <c r="E755" s="45">
        <v>46132</v>
      </c>
      <c r="F755" s="26" t="s">
        <v>55</v>
      </c>
      <c r="G755" s="26" t="s">
        <v>56</v>
      </c>
      <c r="H755" s="26" t="s">
        <v>57</v>
      </c>
      <c r="I755" s="26" t="s">
        <v>58</v>
      </c>
      <c r="J755" s="26" t="s">
        <v>56</v>
      </c>
      <c r="K755" s="27"/>
      <c r="L755" s="28" t="s">
        <v>57</v>
      </c>
      <c r="M755" s="29" t="str">
        <f t="shared" si="55"/>
        <v>✓ OK</v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2827</v>
      </c>
      <c r="C756" s="44" t="s">
        <v>2828</v>
      </c>
      <c r="D756" s="42" t="s">
        <v>2294</v>
      </c>
      <c r="E756" s="45">
        <v>46128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 t="shared" si="55"/>
        <v>✓ OK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2829</v>
      </c>
      <c r="C757" s="25" t="s">
        <v>2830</v>
      </c>
      <c r="D757" s="23" t="s">
        <v>2294</v>
      </c>
      <c r="E757" s="45">
        <v>46129</v>
      </c>
      <c r="F757" s="26" t="s">
        <v>55</v>
      </c>
      <c r="G757" s="26" t="s">
        <v>56</v>
      </c>
      <c r="H757" s="26" t="s">
        <v>57</v>
      </c>
      <c r="I757" s="26" t="s">
        <v>58</v>
      </c>
      <c r="J757" s="26" t="s">
        <v>56</v>
      </c>
      <c r="K757" s="27"/>
      <c r="L757" s="28" t="s">
        <v>57</v>
      </c>
      <c r="M757" s="29" t="str">
        <f t="shared" si="55"/>
        <v>✓ OK</v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2831</v>
      </c>
      <c r="C758" s="44" t="s">
        <v>2832</v>
      </c>
      <c r="D758" s="42" t="s">
        <v>2294</v>
      </c>
      <c r="E758" s="45">
        <v>46129</v>
      </c>
      <c r="F758" s="26" t="s">
        <v>55</v>
      </c>
      <c r="G758" s="26" t="s">
        <v>56</v>
      </c>
      <c r="H758" s="26" t="s">
        <v>57</v>
      </c>
      <c r="I758" s="26" t="s">
        <v>58</v>
      </c>
      <c r="J758" s="26" t="s">
        <v>56</v>
      </c>
      <c r="K758" s="27"/>
      <c r="L758" s="28" t="s">
        <v>57</v>
      </c>
      <c r="M758" s="29" t="str">
        <f t="shared" si="55"/>
        <v>✓ OK</v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2833</v>
      </c>
      <c r="C759" s="25" t="s">
        <v>2834</v>
      </c>
      <c r="D759" s="23" t="s">
        <v>2294</v>
      </c>
      <c r="E759" s="45">
        <v>46128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 t="shared" si="55"/>
        <v>✓ OK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2835</v>
      </c>
      <c r="C760" s="44" t="s">
        <v>2836</v>
      </c>
      <c r="D760" s="42" t="s">
        <v>2294</v>
      </c>
      <c r="E760" s="45">
        <v>46128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 t="shared" si="55"/>
        <v>✓ OK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2837</v>
      </c>
      <c r="C761" s="25" t="s">
        <v>2838</v>
      </c>
      <c r="D761" s="23" t="s">
        <v>2294</v>
      </c>
      <c r="E761" s="45">
        <v>46128</v>
      </c>
      <c r="F761" s="26" t="s">
        <v>55</v>
      </c>
      <c r="G761" s="26" t="s">
        <v>56</v>
      </c>
      <c r="H761" s="26" t="s">
        <v>57</v>
      </c>
      <c r="I761" s="26" t="s">
        <v>58</v>
      </c>
      <c r="J761" s="26" t="s">
        <v>56</v>
      </c>
      <c r="K761" s="27"/>
      <c r="L761" s="28" t="s">
        <v>57</v>
      </c>
      <c r="M761" s="29" t="str">
        <f t="shared" si="55"/>
        <v>✓ OK</v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2839</v>
      </c>
      <c r="C762" s="44" t="s">
        <v>2840</v>
      </c>
      <c r="D762" s="42" t="s">
        <v>2294</v>
      </c>
      <c r="E762" s="45">
        <v>46128</v>
      </c>
      <c r="F762" s="26" t="s">
        <v>55</v>
      </c>
      <c r="G762" s="26" t="s">
        <v>56</v>
      </c>
      <c r="H762" s="26" t="s">
        <v>57</v>
      </c>
      <c r="I762" s="26" t="s">
        <v>58</v>
      </c>
      <c r="J762" s="26" t="s">
        <v>56</v>
      </c>
      <c r="K762" s="27"/>
      <c r="L762" s="28" t="s">
        <v>57</v>
      </c>
      <c r="M762" s="29" t="str">
        <f t="shared" si="55"/>
        <v>✓ OK</v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2841</v>
      </c>
      <c r="C763" s="25" t="s">
        <v>2842</v>
      </c>
      <c r="D763" s="23" t="s">
        <v>2294</v>
      </c>
      <c r="E763" s="45">
        <v>46132</v>
      </c>
      <c r="F763" s="26" t="s">
        <v>55</v>
      </c>
      <c r="G763" s="26" t="s">
        <v>56</v>
      </c>
      <c r="H763" s="26" t="s">
        <v>57</v>
      </c>
      <c r="I763" s="26" t="s">
        <v>58</v>
      </c>
      <c r="J763" s="26" t="s">
        <v>56</v>
      </c>
      <c r="K763" s="27"/>
      <c r="L763" s="28" t="s">
        <v>57</v>
      </c>
      <c r="M763" s="29" t="str">
        <f t="shared" si="55"/>
        <v>✓ OK</v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2843</v>
      </c>
      <c r="C764" s="44" t="s">
        <v>2844</v>
      </c>
      <c r="D764" s="42" t="s">
        <v>2294</v>
      </c>
      <c r="E764" s="45">
        <v>46132</v>
      </c>
      <c r="F764" s="26" t="s">
        <v>55</v>
      </c>
      <c r="G764" s="26" t="s">
        <v>56</v>
      </c>
      <c r="H764" s="26" t="s">
        <v>57</v>
      </c>
      <c r="I764" s="26" t="s">
        <v>58</v>
      </c>
      <c r="J764" s="26" t="s">
        <v>56</v>
      </c>
      <c r="K764" s="27"/>
      <c r="L764" s="28" t="s">
        <v>57</v>
      </c>
      <c r="M764" s="29" t="str">
        <f t="shared" si="55"/>
        <v>✓ OK</v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2845</v>
      </c>
      <c r="C765" s="25" t="s">
        <v>2846</v>
      </c>
      <c r="D765" s="23" t="s">
        <v>2294</v>
      </c>
      <c r="E765" s="45">
        <v>46128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 t="shared" si="55"/>
        <v>✓ OK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2847</v>
      </c>
      <c r="C766" s="44" t="s">
        <v>2848</v>
      </c>
      <c r="D766" s="42" t="s">
        <v>2294</v>
      </c>
      <c r="E766" s="45">
        <v>46128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 t="shared" si="55"/>
        <v>✓ OK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2849</v>
      </c>
      <c r="C767" s="25" t="s">
        <v>2850</v>
      </c>
      <c r="D767" s="23" t="s">
        <v>2294</v>
      </c>
      <c r="E767" s="45">
        <v>46132</v>
      </c>
      <c r="F767" s="26" t="s">
        <v>55</v>
      </c>
      <c r="G767" s="26" t="s">
        <v>56</v>
      </c>
      <c r="H767" s="26" t="s">
        <v>57</v>
      </c>
      <c r="I767" s="26" t="s">
        <v>58</v>
      </c>
      <c r="J767" s="26" t="s">
        <v>56</v>
      </c>
      <c r="K767" s="27"/>
      <c r="L767" s="28" t="s">
        <v>57</v>
      </c>
      <c r="M767" s="29" t="str">
        <f t="shared" si="55"/>
        <v>✓ OK</v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2851</v>
      </c>
      <c r="C768" s="44" t="s">
        <v>2852</v>
      </c>
      <c r="D768" s="42" t="s">
        <v>2294</v>
      </c>
      <c r="E768" s="45">
        <v>46132</v>
      </c>
      <c r="F768" s="26" t="s">
        <v>55</v>
      </c>
      <c r="G768" s="26" t="s">
        <v>56</v>
      </c>
      <c r="H768" s="26" t="s">
        <v>57</v>
      </c>
      <c r="I768" s="26" t="s">
        <v>58</v>
      </c>
      <c r="J768" s="26" t="s">
        <v>56</v>
      </c>
      <c r="K768" s="27"/>
      <c r="L768" s="28" t="s">
        <v>57</v>
      </c>
      <c r="M768" s="29" t="str">
        <f t="shared" si="55"/>
        <v>✓ OK</v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2853</v>
      </c>
      <c r="C769" s="25" t="s">
        <v>2854</v>
      </c>
      <c r="D769" s="23" t="s">
        <v>2294</v>
      </c>
      <c r="E769" s="45">
        <v>46132</v>
      </c>
      <c r="F769" s="26" t="s">
        <v>55</v>
      </c>
      <c r="G769" s="26" t="s">
        <v>56</v>
      </c>
      <c r="H769" s="26" t="s">
        <v>57</v>
      </c>
      <c r="I769" s="26" t="s">
        <v>58</v>
      </c>
      <c r="J769" s="26" t="s">
        <v>56</v>
      </c>
      <c r="K769" s="27"/>
      <c r="L769" s="28" t="s">
        <v>57</v>
      </c>
      <c r="M769" s="29" t="str">
        <f t="shared" si="55"/>
        <v>✓ OK</v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2855</v>
      </c>
      <c r="C770" s="44" t="s">
        <v>2856</v>
      </c>
      <c r="D770" s="42" t="s">
        <v>2294</v>
      </c>
      <c r="E770" s="45">
        <v>46132</v>
      </c>
      <c r="F770" s="26" t="s">
        <v>55</v>
      </c>
      <c r="G770" s="26" t="s">
        <v>56</v>
      </c>
      <c r="H770" s="26" t="s">
        <v>57</v>
      </c>
      <c r="I770" s="26" t="s">
        <v>58</v>
      </c>
      <c r="J770" s="26" t="s">
        <v>56</v>
      </c>
      <c r="K770" s="27"/>
      <c r="L770" s="28" t="s">
        <v>57</v>
      </c>
      <c r="M770" s="29" t="str">
        <f t="shared" si="55"/>
        <v>✓ OK</v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2857</v>
      </c>
      <c r="C771" s="25" t="s">
        <v>2858</v>
      </c>
      <c r="D771" s="23" t="s">
        <v>2294</v>
      </c>
      <c r="E771" s="45">
        <v>46132</v>
      </c>
      <c r="F771" s="26" t="s">
        <v>55</v>
      </c>
      <c r="G771" s="26" t="s">
        <v>56</v>
      </c>
      <c r="H771" s="26" t="s">
        <v>57</v>
      </c>
      <c r="I771" s="26" t="s">
        <v>58</v>
      </c>
      <c r="J771" s="26" t="s">
        <v>56</v>
      </c>
      <c r="K771" s="27"/>
      <c r="L771" s="28" t="s">
        <v>57</v>
      </c>
      <c r="M771" s="29" t="str">
        <f t="shared" si="55"/>
        <v>✓ OK</v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2859</v>
      </c>
      <c r="C772" s="44" t="s">
        <v>2860</v>
      </c>
      <c r="D772" s="42" t="s">
        <v>2294</v>
      </c>
      <c r="E772" s="45">
        <v>46132</v>
      </c>
      <c r="F772" s="26" t="s">
        <v>55</v>
      </c>
      <c r="G772" s="26" t="s">
        <v>56</v>
      </c>
      <c r="H772" s="26" t="s">
        <v>57</v>
      </c>
      <c r="I772" s="26" t="s">
        <v>58</v>
      </c>
      <c r="J772" s="26" t="s">
        <v>56</v>
      </c>
      <c r="K772" s="27"/>
      <c r="L772" s="28" t="s">
        <v>57</v>
      </c>
      <c r="M772" s="29" t="str">
        <f t="shared" si="55"/>
        <v>✓ OK</v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2861</v>
      </c>
      <c r="C773" s="25" t="s">
        <v>2862</v>
      </c>
      <c r="D773" s="23" t="s">
        <v>2294</v>
      </c>
      <c r="E773" s="45">
        <v>46132</v>
      </c>
      <c r="F773" s="26" t="s">
        <v>55</v>
      </c>
      <c r="G773" s="26" t="s">
        <v>56</v>
      </c>
      <c r="H773" s="26" t="s">
        <v>57</v>
      </c>
      <c r="I773" s="26" t="s">
        <v>58</v>
      </c>
      <c r="J773" s="26" t="s">
        <v>56</v>
      </c>
      <c r="K773" s="27"/>
      <c r="L773" s="28" t="s">
        <v>57</v>
      </c>
      <c r="M773" s="29" t="str">
        <f t="shared" ref="M773:M836" si="60">IF(E773="","",IF(H773="Yes","❌ Disc",IF(G773="No","⚠ Missing",IF(J773="Yes","✓ OK","⚠ Check"))))</f>
        <v>✓ OK</v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2863</v>
      </c>
      <c r="C774" s="44" t="s">
        <v>2864</v>
      </c>
      <c r="D774" s="42" t="s">
        <v>2294</v>
      </c>
      <c r="E774" s="45">
        <v>46132</v>
      </c>
      <c r="F774" s="26" t="s">
        <v>55</v>
      </c>
      <c r="G774" s="26" t="s">
        <v>56</v>
      </c>
      <c r="H774" s="26" t="s">
        <v>57</v>
      </c>
      <c r="I774" s="26" t="s">
        <v>58</v>
      </c>
      <c r="J774" s="26" t="s">
        <v>56</v>
      </c>
      <c r="K774" s="27"/>
      <c r="L774" s="28" t="s">
        <v>57</v>
      </c>
      <c r="M774" s="29" t="str">
        <f t="shared" si="60"/>
        <v>✓ OK</v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2865</v>
      </c>
      <c r="C775" s="25" t="s">
        <v>2866</v>
      </c>
      <c r="D775" s="23" t="s">
        <v>2294</v>
      </c>
      <c r="E775" s="45">
        <v>46132</v>
      </c>
      <c r="F775" s="26" t="s">
        <v>55</v>
      </c>
      <c r="G775" s="26" t="s">
        <v>56</v>
      </c>
      <c r="H775" s="26" t="s">
        <v>57</v>
      </c>
      <c r="I775" s="26" t="s">
        <v>58</v>
      </c>
      <c r="J775" s="26" t="s">
        <v>56</v>
      </c>
      <c r="K775" s="27"/>
      <c r="L775" s="28" t="s">
        <v>57</v>
      </c>
      <c r="M775" s="29" t="str">
        <f t="shared" si="60"/>
        <v>✓ OK</v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2867</v>
      </c>
      <c r="C776" s="44" t="s">
        <v>2868</v>
      </c>
      <c r="D776" s="42" t="s">
        <v>2294</v>
      </c>
      <c r="E776" s="45">
        <v>46132</v>
      </c>
      <c r="F776" s="26" t="s">
        <v>55</v>
      </c>
      <c r="G776" s="26" t="s">
        <v>56</v>
      </c>
      <c r="H776" s="26" t="s">
        <v>57</v>
      </c>
      <c r="I776" s="26" t="s">
        <v>58</v>
      </c>
      <c r="J776" s="26" t="s">
        <v>56</v>
      </c>
      <c r="K776" s="27"/>
      <c r="L776" s="28" t="s">
        <v>57</v>
      </c>
      <c r="M776" s="29" t="str">
        <f t="shared" si="60"/>
        <v>✓ OK</v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2869</v>
      </c>
      <c r="C777" s="25" t="s">
        <v>2870</v>
      </c>
      <c r="D777" s="23" t="s">
        <v>2294</v>
      </c>
      <c r="E777" s="45">
        <v>46128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 t="shared" si="60"/>
        <v>✓ OK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2871</v>
      </c>
      <c r="C778" s="44" t="s">
        <v>2872</v>
      </c>
      <c r="D778" s="42" t="s">
        <v>2294</v>
      </c>
      <c r="E778" s="45">
        <v>46129</v>
      </c>
      <c r="F778" s="26" t="s">
        <v>55</v>
      </c>
      <c r="G778" s="26" t="s">
        <v>56</v>
      </c>
      <c r="H778" s="26" t="s">
        <v>57</v>
      </c>
      <c r="I778" s="26" t="s">
        <v>58</v>
      </c>
      <c r="J778" s="26" t="s">
        <v>56</v>
      </c>
      <c r="K778" s="27"/>
      <c r="L778" s="28" t="s">
        <v>57</v>
      </c>
      <c r="M778" s="29" t="str">
        <f t="shared" si="60"/>
        <v>✓ OK</v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2873</v>
      </c>
      <c r="C779" s="25" t="s">
        <v>2874</v>
      </c>
      <c r="D779" s="23" t="s">
        <v>2294</v>
      </c>
      <c r="E779" s="45">
        <v>46129</v>
      </c>
      <c r="F779" s="26" t="s">
        <v>55</v>
      </c>
      <c r="G779" s="26" t="s">
        <v>56</v>
      </c>
      <c r="H779" s="26" t="s">
        <v>57</v>
      </c>
      <c r="I779" s="26" t="s">
        <v>58</v>
      </c>
      <c r="J779" s="26" t="s">
        <v>56</v>
      </c>
      <c r="K779" s="27"/>
      <c r="L779" s="28" t="s">
        <v>57</v>
      </c>
      <c r="M779" s="29" t="str">
        <f t="shared" si="60"/>
        <v>✓ OK</v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2875</v>
      </c>
      <c r="C780" s="44" t="s">
        <v>2876</v>
      </c>
      <c r="D780" s="42" t="s">
        <v>2294</v>
      </c>
      <c r="E780" s="45">
        <v>46129</v>
      </c>
      <c r="F780" s="26" t="s">
        <v>55</v>
      </c>
      <c r="G780" s="26" t="s">
        <v>56</v>
      </c>
      <c r="H780" s="26" t="s">
        <v>57</v>
      </c>
      <c r="I780" s="26" t="s">
        <v>58</v>
      </c>
      <c r="J780" s="26" t="s">
        <v>56</v>
      </c>
      <c r="K780" s="27"/>
      <c r="L780" s="28" t="s">
        <v>57</v>
      </c>
      <c r="M780" s="29" t="str">
        <f t="shared" si="60"/>
        <v>✓ OK</v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2877</v>
      </c>
      <c r="C781" s="25" t="s">
        <v>2878</v>
      </c>
      <c r="D781" s="23" t="s">
        <v>2294</v>
      </c>
      <c r="E781" s="45">
        <v>46129</v>
      </c>
      <c r="F781" s="26" t="s">
        <v>55</v>
      </c>
      <c r="G781" s="26" t="s">
        <v>56</v>
      </c>
      <c r="H781" s="26" t="s">
        <v>57</v>
      </c>
      <c r="I781" s="26" t="s">
        <v>58</v>
      </c>
      <c r="J781" s="26" t="s">
        <v>56</v>
      </c>
      <c r="K781" s="27"/>
      <c r="L781" s="28" t="s">
        <v>57</v>
      </c>
      <c r="M781" s="29" t="str">
        <f t="shared" si="60"/>
        <v>✓ OK</v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2879</v>
      </c>
      <c r="C782" s="44" t="s">
        <v>2880</v>
      </c>
      <c r="D782" s="42" t="s">
        <v>2294</v>
      </c>
      <c r="E782" s="45">
        <v>46128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 t="shared" si="60"/>
        <v>✓ OK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2881</v>
      </c>
      <c r="C783" s="25" t="s">
        <v>2882</v>
      </c>
      <c r="D783" s="23" t="s">
        <v>2294</v>
      </c>
      <c r="E783" s="45">
        <v>46128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 t="shared" si="60"/>
        <v>✓ OK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2883</v>
      </c>
      <c r="C784" s="44" t="s">
        <v>2884</v>
      </c>
      <c r="D784" s="42" t="s">
        <v>2294</v>
      </c>
      <c r="E784" s="45">
        <v>46129</v>
      </c>
      <c r="F784" s="26" t="s">
        <v>55</v>
      </c>
      <c r="G784" s="26" t="s">
        <v>56</v>
      </c>
      <c r="H784" s="26" t="s">
        <v>57</v>
      </c>
      <c r="I784" s="26" t="s">
        <v>58</v>
      </c>
      <c r="J784" s="26" t="s">
        <v>56</v>
      </c>
      <c r="K784" s="27"/>
      <c r="L784" s="28" t="s">
        <v>57</v>
      </c>
      <c r="M784" s="29" t="str">
        <f t="shared" si="60"/>
        <v>✓ OK</v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2885</v>
      </c>
      <c r="C785" s="25" t="s">
        <v>2886</v>
      </c>
      <c r="D785" s="23" t="s">
        <v>2294</v>
      </c>
      <c r="E785" s="45">
        <v>46129</v>
      </c>
      <c r="F785" s="26" t="s">
        <v>55</v>
      </c>
      <c r="G785" s="26" t="s">
        <v>56</v>
      </c>
      <c r="H785" s="26" t="s">
        <v>57</v>
      </c>
      <c r="I785" s="26" t="s">
        <v>58</v>
      </c>
      <c r="J785" s="26" t="s">
        <v>56</v>
      </c>
      <c r="K785" s="27"/>
      <c r="L785" s="28" t="s">
        <v>57</v>
      </c>
      <c r="M785" s="29" t="str">
        <f t="shared" si="60"/>
        <v>✓ OK</v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2887</v>
      </c>
      <c r="C786" s="44" t="s">
        <v>2888</v>
      </c>
      <c r="D786" s="42" t="s">
        <v>2294</v>
      </c>
      <c r="E786" s="45">
        <v>46129</v>
      </c>
      <c r="F786" s="26" t="s">
        <v>55</v>
      </c>
      <c r="G786" s="26" t="s">
        <v>56</v>
      </c>
      <c r="H786" s="26" t="s">
        <v>57</v>
      </c>
      <c r="I786" s="26" t="s">
        <v>58</v>
      </c>
      <c r="J786" s="26" t="s">
        <v>56</v>
      </c>
      <c r="K786" s="27"/>
      <c r="L786" s="28" t="s">
        <v>57</v>
      </c>
      <c r="M786" s="29" t="str">
        <f t="shared" si="60"/>
        <v>✓ OK</v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2889</v>
      </c>
      <c r="C787" s="25" t="s">
        <v>2890</v>
      </c>
      <c r="D787" s="23" t="s">
        <v>2294</v>
      </c>
      <c r="E787" s="45">
        <v>46129</v>
      </c>
      <c r="F787" s="26" t="s">
        <v>55</v>
      </c>
      <c r="G787" s="26" t="s">
        <v>56</v>
      </c>
      <c r="H787" s="26" t="s">
        <v>57</v>
      </c>
      <c r="I787" s="26" t="s">
        <v>58</v>
      </c>
      <c r="J787" s="26" t="s">
        <v>56</v>
      </c>
      <c r="K787" s="27"/>
      <c r="L787" s="28" t="s">
        <v>57</v>
      </c>
      <c r="M787" s="29" t="str">
        <f t="shared" si="60"/>
        <v>✓ OK</v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2891</v>
      </c>
      <c r="C788" s="44" t="s">
        <v>2892</v>
      </c>
      <c r="D788" s="42" t="s">
        <v>2294</v>
      </c>
      <c r="E788" s="45">
        <v>46128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 t="shared" si="60"/>
        <v>✓ OK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2893</v>
      </c>
      <c r="C789" s="25" t="s">
        <v>2894</v>
      </c>
      <c r="D789" s="23" t="s">
        <v>2294</v>
      </c>
      <c r="E789" s="45">
        <v>46132</v>
      </c>
      <c r="F789" s="26" t="s">
        <v>55</v>
      </c>
      <c r="G789" s="26" t="s">
        <v>56</v>
      </c>
      <c r="H789" s="26" t="s">
        <v>57</v>
      </c>
      <c r="I789" s="26" t="s">
        <v>58</v>
      </c>
      <c r="J789" s="26" t="s">
        <v>56</v>
      </c>
      <c r="K789" s="27"/>
      <c r="L789" s="28" t="s">
        <v>57</v>
      </c>
      <c r="M789" s="29" t="str">
        <f t="shared" si="60"/>
        <v>✓ OK</v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2895</v>
      </c>
      <c r="C790" s="44" t="s">
        <v>2896</v>
      </c>
      <c r="D790" s="42" t="s">
        <v>2294</v>
      </c>
      <c r="E790" s="45">
        <v>46132</v>
      </c>
      <c r="F790" s="26" t="s">
        <v>55</v>
      </c>
      <c r="G790" s="26" t="s">
        <v>56</v>
      </c>
      <c r="H790" s="26" t="s">
        <v>57</v>
      </c>
      <c r="I790" s="26" t="s">
        <v>58</v>
      </c>
      <c r="J790" s="26" t="s">
        <v>56</v>
      </c>
      <c r="K790" s="27"/>
      <c r="L790" s="28" t="s">
        <v>57</v>
      </c>
      <c r="M790" s="29" t="str">
        <f t="shared" si="60"/>
        <v>✓ OK</v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2897</v>
      </c>
      <c r="C791" s="25" t="s">
        <v>2898</v>
      </c>
      <c r="D791" s="23" t="s">
        <v>2294</v>
      </c>
      <c r="E791" s="45">
        <v>46129</v>
      </c>
      <c r="F791" s="26" t="s">
        <v>55</v>
      </c>
      <c r="G791" s="26" t="s">
        <v>56</v>
      </c>
      <c r="H791" s="26" t="s">
        <v>57</v>
      </c>
      <c r="I791" s="26" t="s">
        <v>58</v>
      </c>
      <c r="J791" s="26" t="s">
        <v>56</v>
      </c>
      <c r="K791" s="27"/>
      <c r="L791" s="28" t="s">
        <v>57</v>
      </c>
      <c r="M791" s="29" t="str">
        <f t="shared" si="60"/>
        <v>✓ OK</v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2899</v>
      </c>
      <c r="C792" s="44" t="s">
        <v>2900</v>
      </c>
      <c r="D792" s="42" t="s">
        <v>2294</v>
      </c>
      <c r="E792" s="45">
        <v>46129</v>
      </c>
      <c r="F792" s="26" t="s">
        <v>55</v>
      </c>
      <c r="G792" s="26" t="s">
        <v>56</v>
      </c>
      <c r="H792" s="26" t="s">
        <v>57</v>
      </c>
      <c r="I792" s="26" t="s">
        <v>58</v>
      </c>
      <c r="J792" s="26" t="s">
        <v>56</v>
      </c>
      <c r="K792" s="27"/>
      <c r="L792" s="28" t="s">
        <v>57</v>
      </c>
      <c r="M792" s="29" t="str">
        <f t="shared" si="60"/>
        <v>✓ OK</v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2901</v>
      </c>
      <c r="C793" s="25" t="s">
        <v>2902</v>
      </c>
      <c r="D793" s="23" t="s">
        <v>2294</v>
      </c>
      <c r="E793" s="45">
        <v>46132</v>
      </c>
      <c r="F793" s="26" t="s">
        <v>55</v>
      </c>
      <c r="G793" s="26" t="s">
        <v>56</v>
      </c>
      <c r="H793" s="26" t="s">
        <v>57</v>
      </c>
      <c r="I793" s="26" t="s">
        <v>58</v>
      </c>
      <c r="J793" s="26" t="s">
        <v>56</v>
      </c>
      <c r="K793" s="27"/>
      <c r="L793" s="28" t="s">
        <v>57</v>
      </c>
      <c r="M793" s="29" t="str">
        <f t="shared" si="60"/>
        <v>✓ OK</v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2903</v>
      </c>
      <c r="C794" s="44" t="s">
        <v>2904</v>
      </c>
      <c r="D794" s="42" t="s">
        <v>2294</v>
      </c>
      <c r="E794" s="45">
        <v>46132</v>
      </c>
      <c r="F794" s="26" t="s">
        <v>55</v>
      </c>
      <c r="G794" s="26" t="s">
        <v>56</v>
      </c>
      <c r="H794" s="26" t="s">
        <v>57</v>
      </c>
      <c r="I794" s="26" t="s">
        <v>58</v>
      </c>
      <c r="J794" s="26" t="s">
        <v>56</v>
      </c>
      <c r="K794" s="27"/>
      <c r="L794" s="28" t="s">
        <v>57</v>
      </c>
      <c r="M794" s="29" t="str">
        <f t="shared" si="60"/>
        <v>✓ OK</v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2905</v>
      </c>
      <c r="C795" s="25" t="s">
        <v>2906</v>
      </c>
      <c r="D795" s="23" t="s">
        <v>2294</v>
      </c>
      <c r="E795" s="45">
        <v>46132</v>
      </c>
      <c r="F795" s="26" t="s">
        <v>55</v>
      </c>
      <c r="G795" s="26" t="s">
        <v>56</v>
      </c>
      <c r="H795" s="26" t="s">
        <v>57</v>
      </c>
      <c r="I795" s="26" t="s">
        <v>58</v>
      </c>
      <c r="J795" s="26" t="s">
        <v>56</v>
      </c>
      <c r="K795" s="27"/>
      <c r="L795" s="28" t="s">
        <v>57</v>
      </c>
      <c r="M795" s="29" t="str">
        <f t="shared" si="60"/>
        <v>✓ OK</v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2907</v>
      </c>
      <c r="C796" s="44" t="s">
        <v>2908</v>
      </c>
      <c r="D796" s="42" t="s">
        <v>2294</v>
      </c>
      <c r="E796" s="45">
        <v>46132</v>
      </c>
      <c r="F796" s="26" t="s">
        <v>55</v>
      </c>
      <c r="G796" s="26" t="s">
        <v>56</v>
      </c>
      <c r="H796" s="26" t="s">
        <v>57</v>
      </c>
      <c r="I796" s="26" t="s">
        <v>58</v>
      </c>
      <c r="J796" s="26" t="s">
        <v>56</v>
      </c>
      <c r="K796" s="27"/>
      <c r="L796" s="28" t="s">
        <v>57</v>
      </c>
      <c r="M796" s="29" t="str">
        <f t="shared" si="60"/>
        <v>✓ OK</v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2909</v>
      </c>
      <c r="C797" s="25" t="s">
        <v>2910</v>
      </c>
      <c r="D797" s="23" t="s">
        <v>2294</v>
      </c>
      <c r="E797" s="45">
        <v>46128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 t="shared" si="60"/>
        <v>✓ OK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2911</v>
      </c>
      <c r="C798" s="44" t="s">
        <v>2912</v>
      </c>
      <c r="D798" s="42" t="s">
        <v>2294</v>
      </c>
      <c r="E798" s="45">
        <v>46128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 t="shared" si="60"/>
        <v>✓ OK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2913</v>
      </c>
      <c r="C799" s="25" t="s">
        <v>2914</v>
      </c>
      <c r="D799" s="23" t="s">
        <v>2294</v>
      </c>
      <c r="E799" s="45">
        <v>46128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 t="shared" si="60"/>
        <v>✓ OK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2915</v>
      </c>
      <c r="C800" s="44" t="s">
        <v>2916</v>
      </c>
      <c r="D800" s="42" t="s">
        <v>2294</v>
      </c>
      <c r="E800" s="45">
        <v>46128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 t="shared" si="60"/>
        <v>✓ OK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2917</v>
      </c>
      <c r="C801" s="25" t="s">
        <v>2918</v>
      </c>
      <c r="D801" s="23" t="s">
        <v>2294</v>
      </c>
      <c r="E801" s="45">
        <v>46128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 t="shared" si="60"/>
        <v>✓ OK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2919</v>
      </c>
      <c r="C802" s="44" t="s">
        <v>2920</v>
      </c>
      <c r="D802" s="42" t="s">
        <v>2294</v>
      </c>
      <c r="E802" s="45">
        <v>46128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 t="shared" si="60"/>
        <v>✓ OK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2921</v>
      </c>
      <c r="C803" s="25" t="s">
        <v>2922</v>
      </c>
      <c r="D803" s="23" t="s">
        <v>2294</v>
      </c>
      <c r="E803" s="45">
        <v>46128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 t="shared" si="60"/>
        <v>✓ OK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2923</v>
      </c>
      <c r="C804" s="44" t="s">
        <v>2924</v>
      </c>
      <c r="D804" s="42" t="s">
        <v>2294</v>
      </c>
      <c r="E804" s="45">
        <v>46132</v>
      </c>
      <c r="F804" s="26" t="s">
        <v>55</v>
      </c>
      <c r="G804" s="26" t="s">
        <v>56</v>
      </c>
      <c r="H804" s="26" t="s">
        <v>57</v>
      </c>
      <c r="I804" s="26" t="s">
        <v>58</v>
      </c>
      <c r="J804" s="26" t="s">
        <v>56</v>
      </c>
      <c r="K804" s="27"/>
      <c r="L804" s="28" t="s">
        <v>57</v>
      </c>
      <c r="M804" s="29" t="str">
        <f t="shared" si="60"/>
        <v>✓ OK</v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2925</v>
      </c>
      <c r="C805" s="25" t="s">
        <v>2926</v>
      </c>
      <c r="D805" s="23" t="s">
        <v>2294</v>
      </c>
      <c r="E805" s="45">
        <v>46132</v>
      </c>
      <c r="F805" s="26" t="s">
        <v>55</v>
      </c>
      <c r="G805" s="26" t="s">
        <v>56</v>
      </c>
      <c r="H805" s="26" t="s">
        <v>57</v>
      </c>
      <c r="I805" s="26" t="s">
        <v>58</v>
      </c>
      <c r="J805" s="26" t="s">
        <v>56</v>
      </c>
      <c r="K805" s="27"/>
      <c r="L805" s="28" t="s">
        <v>57</v>
      </c>
      <c r="M805" s="29" t="str">
        <f t="shared" si="60"/>
        <v>✓ OK</v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2927</v>
      </c>
      <c r="C806" s="44" t="s">
        <v>2928</v>
      </c>
      <c r="D806" s="42" t="s">
        <v>2294</v>
      </c>
      <c r="E806" s="45">
        <v>46128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 t="shared" si="60"/>
        <v>✓ OK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2929</v>
      </c>
      <c r="C807" s="25" t="s">
        <v>2930</v>
      </c>
      <c r="D807" s="23" t="s">
        <v>2294</v>
      </c>
      <c r="E807" s="45">
        <v>46128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 t="shared" si="60"/>
        <v>✓ OK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2931</v>
      </c>
      <c r="C808" s="44" t="s">
        <v>2932</v>
      </c>
      <c r="D808" s="42" t="s">
        <v>2294</v>
      </c>
      <c r="E808" s="45">
        <v>46128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 t="shared" si="60"/>
        <v>✓ OK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2933</v>
      </c>
      <c r="C809" s="25" t="s">
        <v>2934</v>
      </c>
      <c r="D809" s="23" t="s">
        <v>2294</v>
      </c>
      <c r="E809" s="45">
        <v>46128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 t="shared" si="60"/>
        <v>✓ OK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2935</v>
      </c>
      <c r="C810" s="44" t="s">
        <v>2936</v>
      </c>
      <c r="D810" s="42" t="s">
        <v>2294</v>
      </c>
      <c r="E810" s="45">
        <v>46128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 t="shared" si="60"/>
        <v>✓ OK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2937</v>
      </c>
      <c r="C811" s="25" t="s">
        <v>2938</v>
      </c>
      <c r="D811" s="23" t="s">
        <v>2294</v>
      </c>
      <c r="E811" s="45">
        <v>46128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 t="shared" si="60"/>
        <v>✓ OK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2939</v>
      </c>
      <c r="C812" s="44" t="s">
        <v>2940</v>
      </c>
      <c r="D812" s="42" t="s">
        <v>2294</v>
      </c>
      <c r="E812" s="45">
        <v>46129</v>
      </c>
      <c r="F812" s="26" t="s">
        <v>55</v>
      </c>
      <c r="G812" s="26" t="s">
        <v>56</v>
      </c>
      <c r="H812" s="26" t="s">
        <v>57</v>
      </c>
      <c r="I812" s="26" t="s">
        <v>58</v>
      </c>
      <c r="J812" s="26" t="s">
        <v>56</v>
      </c>
      <c r="K812" s="27"/>
      <c r="L812" s="28" t="s">
        <v>57</v>
      </c>
      <c r="M812" s="29" t="str">
        <f t="shared" si="60"/>
        <v>✓ OK</v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2941</v>
      </c>
      <c r="C813" s="25" t="s">
        <v>2942</v>
      </c>
      <c r="D813" s="23" t="s">
        <v>2294</v>
      </c>
      <c r="E813" s="45">
        <v>46129</v>
      </c>
      <c r="F813" s="26" t="s">
        <v>55</v>
      </c>
      <c r="G813" s="26" t="s">
        <v>56</v>
      </c>
      <c r="H813" s="26" t="s">
        <v>57</v>
      </c>
      <c r="I813" s="26" t="s">
        <v>58</v>
      </c>
      <c r="J813" s="26" t="s">
        <v>56</v>
      </c>
      <c r="K813" s="27"/>
      <c r="L813" s="28" t="s">
        <v>57</v>
      </c>
      <c r="M813" s="29" t="str">
        <f t="shared" si="60"/>
        <v>✓ OK</v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2943</v>
      </c>
      <c r="C814" s="44" t="s">
        <v>2944</v>
      </c>
      <c r="D814" s="42" t="s">
        <v>2294</v>
      </c>
      <c r="E814" s="45">
        <v>46128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 t="shared" si="60"/>
        <v>✓ OK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2945</v>
      </c>
      <c r="C815" s="25" t="s">
        <v>2946</v>
      </c>
      <c r="D815" s="23" t="s">
        <v>2294</v>
      </c>
      <c r="E815" s="45">
        <v>46132</v>
      </c>
      <c r="F815" s="26" t="s">
        <v>55</v>
      </c>
      <c r="G815" s="26" t="s">
        <v>56</v>
      </c>
      <c r="H815" s="26" t="s">
        <v>57</v>
      </c>
      <c r="I815" s="26" t="s">
        <v>58</v>
      </c>
      <c r="J815" s="26" t="s">
        <v>56</v>
      </c>
      <c r="K815" s="27"/>
      <c r="L815" s="28" t="s">
        <v>57</v>
      </c>
      <c r="M815" s="29" t="str">
        <f t="shared" si="60"/>
        <v>✓ OK</v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2947</v>
      </c>
      <c r="C816" s="44" t="s">
        <v>2948</v>
      </c>
      <c r="D816" s="42" t="s">
        <v>2294</v>
      </c>
      <c r="E816" s="45">
        <v>46132</v>
      </c>
      <c r="F816" s="26" t="s">
        <v>55</v>
      </c>
      <c r="G816" s="26" t="s">
        <v>56</v>
      </c>
      <c r="H816" s="26" t="s">
        <v>57</v>
      </c>
      <c r="I816" s="26" t="s">
        <v>58</v>
      </c>
      <c r="J816" s="26" t="s">
        <v>56</v>
      </c>
      <c r="K816" s="27"/>
      <c r="L816" s="28" t="s">
        <v>57</v>
      </c>
      <c r="M816" s="29" t="str">
        <f t="shared" si="60"/>
        <v>✓ OK</v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2949</v>
      </c>
      <c r="C817" s="25" t="s">
        <v>2950</v>
      </c>
      <c r="D817" s="23" t="s">
        <v>2294</v>
      </c>
      <c r="E817" s="45">
        <v>46129</v>
      </c>
      <c r="F817" s="26" t="s">
        <v>55</v>
      </c>
      <c r="G817" s="26" t="s">
        <v>56</v>
      </c>
      <c r="H817" s="26" t="s">
        <v>57</v>
      </c>
      <c r="I817" s="26" t="s">
        <v>58</v>
      </c>
      <c r="J817" s="26" t="s">
        <v>56</v>
      </c>
      <c r="K817" s="27"/>
      <c r="L817" s="28" t="s">
        <v>57</v>
      </c>
      <c r="M817" s="29" t="str">
        <f t="shared" si="60"/>
        <v>✓ OK</v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2951</v>
      </c>
      <c r="C818" s="44" t="s">
        <v>2952</v>
      </c>
      <c r="D818" s="42" t="s">
        <v>2294</v>
      </c>
      <c r="E818" s="45">
        <v>46129</v>
      </c>
      <c r="F818" s="26" t="s">
        <v>55</v>
      </c>
      <c r="G818" s="26" t="s">
        <v>56</v>
      </c>
      <c r="H818" s="26" t="s">
        <v>57</v>
      </c>
      <c r="I818" s="26" t="s">
        <v>58</v>
      </c>
      <c r="J818" s="26" t="s">
        <v>56</v>
      </c>
      <c r="K818" s="27"/>
      <c r="L818" s="28" t="s">
        <v>57</v>
      </c>
      <c r="M818" s="29" t="str">
        <f t="shared" si="60"/>
        <v>✓ OK</v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2953</v>
      </c>
      <c r="C819" s="25" t="s">
        <v>2954</v>
      </c>
      <c r="D819" s="23" t="s">
        <v>2294</v>
      </c>
      <c r="E819" s="45">
        <v>46129</v>
      </c>
      <c r="F819" s="26" t="s">
        <v>55</v>
      </c>
      <c r="G819" s="26" t="s">
        <v>56</v>
      </c>
      <c r="H819" s="26" t="s">
        <v>57</v>
      </c>
      <c r="I819" s="26" t="s">
        <v>58</v>
      </c>
      <c r="J819" s="26" t="s">
        <v>56</v>
      </c>
      <c r="K819" s="27"/>
      <c r="L819" s="28" t="s">
        <v>57</v>
      </c>
      <c r="M819" s="29" t="str">
        <f t="shared" si="60"/>
        <v>✓ OK</v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2955</v>
      </c>
      <c r="C820" s="44" t="s">
        <v>2956</v>
      </c>
      <c r="D820" s="42" t="s">
        <v>2294</v>
      </c>
      <c r="E820" s="45">
        <v>46129</v>
      </c>
      <c r="F820" s="26" t="s">
        <v>55</v>
      </c>
      <c r="G820" s="26" t="s">
        <v>56</v>
      </c>
      <c r="H820" s="26" t="s">
        <v>57</v>
      </c>
      <c r="I820" s="26" t="s">
        <v>58</v>
      </c>
      <c r="J820" s="26" t="s">
        <v>56</v>
      </c>
      <c r="K820" s="27"/>
      <c r="L820" s="28" t="s">
        <v>57</v>
      </c>
      <c r="M820" s="29" t="str">
        <f t="shared" si="60"/>
        <v>✓ OK</v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2957</v>
      </c>
      <c r="C821" s="25" t="s">
        <v>2958</v>
      </c>
      <c r="D821" s="23" t="s">
        <v>2294</v>
      </c>
      <c r="E821" s="45">
        <v>46129</v>
      </c>
      <c r="F821" s="26" t="s">
        <v>55</v>
      </c>
      <c r="G821" s="26" t="s">
        <v>56</v>
      </c>
      <c r="H821" s="26" t="s">
        <v>57</v>
      </c>
      <c r="I821" s="26" t="s">
        <v>58</v>
      </c>
      <c r="J821" s="26" t="s">
        <v>56</v>
      </c>
      <c r="K821" s="27"/>
      <c r="L821" s="28" t="s">
        <v>57</v>
      </c>
      <c r="M821" s="29" t="str">
        <f t="shared" si="60"/>
        <v>✓ OK</v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2959</v>
      </c>
      <c r="C822" s="44" t="s">
        <v>2960</v>
      </c>
      <c r="D822" s="42" t="s">
        <v>2294</v>
      </c>
      <c r="E822" s="45">
        <v>46129</v>
      </c>
      <c r="F822" s="26" t="s">
        <v>55</v>
      </c>
      <c r="G822" s="26" t="s">
        <v>56</v>
      </c>
      <c r="H822" s="26" t="s">
        <v>57</v>
      </c>
      <c r="I822" s="26" t="s">
        <v>58</v>
      </c>
      <c r="J822" s="26" t="s">
        <v>56</v>
      </c>
      <c r="K822" s="27"/>
      <c r="L822" s="28" t="s">
        <v>57</v>
      </c>
      <c r="M822" s="29" t="str">
        <f t="shared" si="60"/>
        <v>✓ OK</v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2961</v>
      </c>
      <c r="C823" s="25" t="s">
        <v>2962</v>
      </c>
      <c r="D823" s="23" t="s">
        <v>2294</v>
      </c>
      <c r="E823" s="45">
        <v>46132</v>
      </c>
      <c r="F823" s="26" t="s">
        <v>55</v>
      </c>
      <c r="G823" s="26" t="s">
        <v>56</v>
      </c>
      <c r="H823" s="26" t="s">
        <v>57</v>
      </c>
      <c r="I823" s="26" t="s">
        <v>58</v>
      </c>
      <c r="J823" s="26" t="s">
        <v>56</v>
      </c>
      <c r="K823" s="27"/>
      <c r="L823" s="28" t="s">
        <v>57</v>
      </c>
      <c r="M823" s="29" t="str">
        <f t="shared" si="60"/>
        <v>✓ OK</v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2963</v>
      </c>
      <c r="C824" s="44" t="s">
        <v>2964</v>
      </c>
      <c r="D824" s="42" t="s">
        <v>2294</v>
      </c>
      <c r="E824" s="45">
        <v>46132</v>
      </c>
      <c r="F824" s="26" t="s">
        <v>55</v>
      </c>
      <c r="G824" s="26" t="s">
        <v>56</v>
      </c>
      <c r="H824" s="26" t="s">
        <v>57</v>
      </c>
      <c r="I824" s="26" t="s">
        <v>58</v>
      </c>
      <c r="J824" s="26" t="s">
        <v>56</v>
      </c>
      <c r="K824" s="27"/>
      <c r="L824" s="28" t="s">
        <v>57</v>
      </c>
      <c r="M824" s="29" t="str">
        <f t="shared" si="60"/>
        <v>✓ OK</v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2965</v>
      </c>
      <c r="C825" s="25" t="s">
        <v>2966</v>
      </c>
      <c r="D825" s="23" t="s">
        <v>2294</v>
      </c>
      <c r="E825" s="45">
        <v>46129</v>
      </c>
      <c r="F825" s="26" t="s">
        <v>55</v>
      </c>
      <c r="G825" s="26" t="s">
        <v>56</v>
      </c>
      <c r="H825" s="26" t="s">
        <v>57</v>
      </c>
      <c r="I825" s="26" t="s">
        <v>58</v>
      </c>
      <c r="J825" s="26" t="s">
        <v>56</v>
      </c>
      <c r="K825" s="27"/>
      <c r="L825" s="28" t="s">
        <v>57</v>
      </c>
      <c r="M825" s="29" t="str">
        <f t="shared" si="60"/>
        <v>✓ OK</v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2967</v>
      </c>
      <c r="C826" s="44" t="s">
        <v>2968</v>
      </c>
      <c r="D826" s="42" t="s">
        <v>2294</v>
      </c>
      <c r="E826" s="45">
        <v>46129</v>
      </c>
      <c r="F826" s="26" t="s">
        <v>55</v>
      </c>
      <c r="G826" s="26" t="s">
        <v>56</v>
      </c>
      <c r="H826" s="26" t="s">
        <v>57</v>
      </c>
      <c r="I826" s="26" t="s">
        <v>58</v>
      </c>
      <c r="J826" s="26" t="s">
        <v>56</v>
      </c>
      <c r="K826" s="27"/>
      <c r="L826" s="28" t="s">
        <v>57</v>
      </c>
      <c r="M826" s="29" t="str">
        <f t="shared" si="60"/>
        <v>✓ OK</v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2969</v>
      </c>
      <c r="C827" s="25" t="s">
        <v>2970</v>
      </c>
      <c r="D827" s="23" t="s">
        <v>2294</v>
      </c>
      <c r="E827" s="45">
        <v>46128</v>
      </c>
      <c r="F827" s="26" t="s">
        <v>55</v>
      </c>
      <c r="G827" s="26" t="s">
        <v>56</v>
      </c>
      <c r="H827" s="26" t="s">
        <v>57</v>
      </c>
      <c r="I827" s="26" t="s">
        <v>58</v>
      </c>
      <c r="J827" s="26" t="s">
        <v>56</v>
      </c>
      <c r="K827" s="27"/>
      <c r="L827" s="28" t="s">
        <v>57</v>
      </c>
      <c r="M827" s="29" t="str">
        <f t="shared" si="60"/>
        <v>✓ OK</v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2971</v>
      </c>
      <c r="C828" s="44" t="s">
        <v>2972</v>
      </c>
      <c r="D828" s="42" t="s">
        <v>2294</v>
      </c>
      <c r="E828" s="45">
        <v>46129</v>
      </c>
      <c r="F828" s="26" t="s">
        <v>55</v>
      </c>
      <c r="G828" s="26" t="s">
        <v>56</v>
      </c>
      <c r="H828" s="26" t="s">
        <v>57</v>
      </c>
      <c r="I828" s="26" t="s">
        <v>58</v>
      </c>
      <c r="J828" s="26" t="s">
        <v>56</v>
      </c>
      <c r="K828" s="27"/>
      <c r="L828" s="28" t="s">
        <v>57</v>
      </c>
      <c r="M828" s="29" t="str">
        <f t="shared" si="60"/>
        <v>✓ OK</v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2973</v>
      </c>
      <c r="C829" s="25" t="s">
        <v>2974</v>
      </c>
      <c r="D829" s="23" t="s">
        <v>2294</v>
      </c>
      <c r="E829" s="45">
        <v>46129</v>
      </c>
      <c r="F829" s="26" t="s">
        <v>55</v>
      </c>
      <c r="G829" s="26" t="s">
        <v>56</v>
      </c>
      <c r="H829" s="26" t="s">
        <v>57</v>
      </c>
      <c r="I829" s="26" t="s">
        <v>58</v>
      </c>
      <c r="J829" s="26" t="s">
        <v>56</v>
      </c>
      <c r="K829" s="27"/>
      <c r="L829" s="28" t="s">
        <v>57</v>
      </c>
      <c r="M829" s="29" t="str">
        <f t="shared" si="60"/>
        <v>✓ OK</v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2975</v>
      </c>
      <c r="C830" s="44" t="s">
        <v>2976</v>
      </c>
      <c r="D830" s="42" t="s">
        <v>2294</v>
      </c>
      <c r="E830" s="45">
        <v>46128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 t="shared" si="60"/>
        <v>✓ OK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2977</v>
      </c>
      <c r="C831" s="25" t="s">
        <v>2978</v>
      </c>
      <c r="D831" s="23" t="s">
        <v>2294</v>
      </c>
      <c r="E831" s="45">
        <v>46128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 t="shared" si="60"/>
        <v>✓ OK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2979</v>
      </c>
      <c r="C832" s="44" t="s">
        <v>2980</v>
      </c>
      <c r="D832" s="42" t="s">
        <v>2294</v>
      </c>
      <c r="E832" s="45">
        <v>46128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 t="shared" si="60"/>
        <v>✓ OK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2981</v>
      </c>
      <c r="C833" s="25" t="s">
        <v>2982</v>
      </c>
      <c r="D833" s="23" t="s">
        <v>2294</v>
      </c>
      <c r="E833" s="45">
        <v>46128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 t="shared" si="60"/>
        <v>✓ OK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2983</v>
      </c>
      <c r="C834" s="44" t="s">
        <v>2984</v>
      </c>
      <c r="D834" s="42" t="s">
        <v>2294</v>
      </c>
      <c r="E834" s="45">
        <v>46132</v>
      </c>
      <c r="F834" s="26" t="s">
        <v>55</v>
      </c>
      <c r="G834" s="26" t="s">
        <v>56</v>
      </c>
      <c r="H834" s="26" t="s">
        <v>57</v>
      </c>
      <c r="I834" s="26" t="s">
        <v>58</v>
      </c>
      <c r="J834" s="26" t="s">
        <v>56</v>
      </c>
      <c r="K834" s="27"/>
      <c r="L834" s="28" t="s">
        <v>57</v>
      </c>
      <c r="M834" s="29" t="str">
        <f t="shared" si="60"/>
        <v>✓ OK</v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2985</v>
      </c>
      <c r="C835" s="25" t="s">
        <v>2986</v>
      </c>
      <c r="D835" s="23" t="s">
        <v>2294</v>
      </c>
      <c r="E835" s="45">
        <v>46128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 t="shared" si="60"/>
        <v>✓ OK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2987</v>
      </c>
      <c r="C836" s="44" t="s">
        <v>2988</v>
      </c>
      <c r="D836" s="42" t="s">
        <v>2294</v>
      </c>
      <c r="E836" s="45">
        <v>46128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 t="shared" si="60"/>
        <v>✓ OK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2989</v>
      </c>
      <c r="C837" s="25" t="s">
        <v>2990</v>
      </c>
      <c r="D837" s="23" t="s">
        <v>2294</v>
      </c>
      <c r="E837" s="45">
        <v>46128</v>
      </c>
      <c r="F837" s="26" t="s">
        <v>55</v>
      </c>
      <c r="G837" s="26" t="s">
        <v>56</v>
      </c>
      <c r="H837" s="26" t="s">
        <v>57</v>
      </c>
      <c r="I837" s="26" t="s">
        <v>58</v>
      </c>
      <c r="J837" s="26" t="s">
        <v>56</v>
      </c>
      <c r="K837" s="27"/>
      <c r="L837" s="28" t="s">
        <v>57</v>
      </c>
      <c r="M837" s="29" t="str">
        <f t="shared" ref="M837:M900" si="65">IF(E837="","",IF(H837="Yes","❌ Disc",IF(G837="No","⚠ Missing",IF(J837="Yes","✓ OK","⚠ Check"))))</f>
        <v>✓ OK</v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2991</v>
      </c>
      <c r="C838" s="44" t="s">
        <v>2992</v>
      </c>
      <c r="D838" s="42" t="s">
        <v>2294</v>
      </c>
      <c r="E838" s="45">
        <v>46128</v>
      </c>
      <c r="F838" s="26" t="s">
        <v>55</v>
      </c>
      <c r="G838" s="26" t="s">
        <v>56</v>
      </c>
      <c r="H838" s="26" t="s">
        <v>57</v>
      </c>
      <c r="I838" s="26" t="s">
        <v>58</v>
      </c>
      <c r="J838" s="26" t="s">
        <v>56</v>
      </c>
      <c r="K838" s="27"/>
      <c r="L838" s="28" t="s">
        <v>57</v>
      </c>
      <c r="M838" s="29" t="str">
        <f t="shared" si="65"/>
        <v>✓ OK</v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2993</v>
      </c>
      <c r="C839" s="25" t="s">
        <v>2994</v>
      </c>
      <c r="D839" s="23" t="s">
        <v>2294</v>
      </c>
      <c r="E839" s="45">
        <v>46128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 t="shared" si="65"/>
        <v>✓ OK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2995</v>
      </c>
      <c r="C840" s="44" t="s">
        <v>2996</v>
      </c>
      <c r="D840" s="42" t="s">
        <v>2294</v>
      </c>
      <c r="E840" s="45">
        <v>46128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 t="shared" si="65"/>
        <v>✓ OK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2997</v>
      </c>
      <c r="C841" s="25" t="s">
        <v>2998</v>
      </c>
      <c r="D841" s="23" t="s">
        <v>2294</v>
      </c>
      <c r="E841" s="45">
        <v>46132</v>
      </c>
      <c r="F841" s="26" t="s">
        <v>55</v>
      </c>
      <c r="G841" s="26" t="s">
        <v>56</v>
      </c>
      <c r="H841" s="26" t="s">
        <v>57</v>
      </c>
      <c r="I841" s="26" t="s">
        <v>58</v>
      </c>
      <c r="J841" s="26" t="s">
        <v>56</v>
      </c>
      <c r="K841" s="27"/>
      <c r="L841" s="28" t="s">
        <v>57</v>
      </c>
      <c r="M841" s="29" t="str">
        <f t="shared" si="65"/>
        <v>✓ OK</v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2999</v>
      </c>
      <c r="C842" s="44" t="s">
        <v>3000</v>
      </c>
      <c r="D842" s="42" t="s">
        <v>2294</v>
      </c>
      <c r="E842" s="45">
        <v>46132</v>
      </c>
      <c r="F842" s="26" t="s">
        <v>55</v>
      </c>
      <c r="G842" s="26" t="s">
        <v>56</v>
      </c>
      <c r="H842" s="26" t="s">
        <v>57</v>
      </c>
      <c r="I842" s="26" t="s">
        <v>58</v>
      </c>
      <c r="J842" s="26" t="s">
        <v>56</v>
      </c>
      <c r="K842" s="27"/>
      <c r="L842" s="28" t="s">
        <v>57</v>
      </c>
      <c r="M842" s="29" t="str">
        <f t="shared" si="65"/>
        <v>✓ OK</v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3001</v>
      </c>
      <c r="C843" s="25" t="s">
        <v>3002</v>
      </c>
      <c r="D843" s="23" t="s">
        <v>2294</v>
      </c>
      <c r="E843" s="45">
        <v>46132</v>
      </c>
      <c r="F843" s="26" t="s">
        <v>55</v>
      </c>
      <c r="G843" s="26" t="s">
        <v>56</v>
      </c>
      <c r="H843" s="26" t="s">
        <v>57</v>
      </c>
      <c r="I843" s="26" t="s">
        <v>58</v>
      </c>
      <c r="J843" s="26" t="s">
        <v>56</v>
      </c>
      <c r="K843" s="27"/>
      <c r="L843" s="28" t="s">
        <v>57</v>
      </c>
      <c r="M843" s="29" t="str">
        <f t="shared" si="65"/>
        <v>✓ OK</v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3003</v>
      </c>
      <c r="C844" s="44" t="s">
        <v>3004</v>
      </c>
      <c r="D844" s="42" t="s">
        <v>2294</v>
      </c>
      <c r="E844" s="45">
        <v>46132</v>
      </c>
      <c r="F844" s="26" t="s">
        <v>55</v>
      </c>
      <c r="G844" s="26" t="s">
        <v>56</v>
      </c>
      <c r="H844" s="26" t="s">
        <v>57</v>
      </c>
      <c r="I844" s="26" t="s">
        <v>58</v>
      </c>
      <c r="J844" s="26" t="s">
        <v>56</v>
      </c>
      <c r="K844" s="27"/>
      <c r="L844" s="28" t="s">
        <v>57</v>
      </c>
      <c r="M844" s="29" t="str">
        <f t="shared" si="65"/>
        <v>✓ OK</v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3005</v>
      </c>
      <c r="C845" s="25" t="s">
        <v>3006</v>
      </c>
      <c r="D845" s="23" t="s">
        <v>2294</v>
      </c>
      <c r="E845" s="45">
        <v>46129</v>
      </c>
      <c r="F845" s="26" t="s">
        <v>55</v>
      </c>
      <c r="G845" s="26" t="s">
        <v>56</v>
      </c>
      <c r="H845" s="26" t="s">
        <v>57</v>
      </c>
      <c r="I845" s="26" t="s">
        <v>58</v>
      </c>
      <c r="J845" s="26" t="s">
        <v>56</v>
      </c>
      <c r="K845" s="27"/>
      <c r="L845" s="28" t="s">
        <v>57</v>
      </c>
      <c r="M845" s="29" t="str">
        <f t="shared" si="65"/>
        <v>✓ OK</v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3007</v>
      </c>
      <c r="C846" s="44" t="s">
        <v>3008</v>
      </c>
      <c r="D846" s="42" t="s">
        <v>2294</v>
      </c>
      <c r="E846" s="45">
        <v>46129</v>
      </c>
      <c r="F846" s="26" t="s">
        <v>55</v>
      </c>
      <c r="G846" s="26" t="s">
        <v>56</v>
      </c>
      <c r="H846" s="26" t="s">
        <v>57</v>
      </c>
      <c r="I846" s="26" t="s">
        <v>58</v>
      </c>
      <c r="J846" s="26" t="s">
        <v>56</v>
      </c>
      <c r="K846" s="27"/>
      <c r="L846" s="28" t="s">
        <v>57</v>
      </c>
      <c r="M846" s="29" t="str">
        <f t="shared" si="65"/>
        <v>✓ OK</v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3009</v>
      </c>
      <c r="C847" s="25" t="s">
        <v>3010</v>
      </c>
      <c r="D847" s="23" t="s">
        <v>2294</v>
      </c>
      <c r="E847" s="45">
        <v>46128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 t="shared" si="65"/>
        <v>✓ OK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3011</v>
      </c>
      <c r="C848" s="44" t="s">
        <v>3012</v>
      </c>
      <c r="D848" s="42" t="s">
        <v>2294</v>
      </c>
      <c r="E848" s="45">
        <v>46128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 t="shared" si="65"/>
        <v>✓ OK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3013</v>
      </c>
      <c r="C849" s="25" t="s">
        <v>3014</v>
      </c>
      <c r="D849" s="23" t="s">
        <v>2294</v>
      </c>
      <c r="E849" s="45">
        <v>46128</v>
      </c>
      <c r="F849" s="26" t="s">
        <v>55</v>
      </c>
      <c r="G849" s="26" t="s">
        <v>56</v>
      </c>
      <c r="H849" s="26" t="s">
        <v>57</v>
      </c>
      <c r="I849" s="26" t="s">
        <v>58</v>
      </c>
      <c r="J849" s="26" t="s">
        <v>56</v>
      </c>
      <c r="K849" s="27"/>
      <c r="L849" s="28" t="s">
        <v>57</v>
      </c>
      <c r="M849" s="29" t="str">
        <f t="shared" si="65"/>
        <v>✓ OK</v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3015</v>
      </c>
      <c r="C850" s="44" t="s">
        <v>3016</v>
      </c>
      <c r="D850" s="42" t="s">
        <v>2294</v>
      </c>
      <c r="E850" s="45">
        <v>46128</v>
      </c>
      <c r="F850" s="26" t="s">
        <v>55</v>
      </c>
      <c r="G850" s="26" t="s">
        <v>56</v>
      </c>
      <c r="H850" s="26" t="s">
        <v>57</v>
      </c>
      <c r="I850" s="26" t="s">
        <v>58</v>
      </c>
      <c r="J850" s="26" t="s">
        <v>56</v>
      </c>
      <c r="K850" s="27"/>
      <c r="L850" s="28" t="s">
        <v>57</v>
      </c>
      <c r="M850" s="29" t="str">
        <f t="shared" si="65"/>
        <v>✓ OK</v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3017</v>
      </c>
      <c r="C851" s="25" t="s">
        <v>3018</v>
      </c>
      <c r="D851" s="23" t="s">
        <v>2294</v>
      </c>
      <c r="E851" s="45">
        <v>46129</v>
      </c>
      <c r="F851" s="26" t="s">
        <v>55</v>
      </c>
      <c r="G851" s="26" t="s">
        <v>56</v>
      </c>
      <c r="H851" s="26" t="s">
        <v>57</v>
      </c>
      <c r="I851" s="26" t="s">
        <v>58</v>
      </c>
      <c r="J851" s="26" t="s">
        <v>56</v>
      </c>
      <c r="K851" s="27"/>
      <c r="L851" s="28" t="s">
        <v>57</v>
      </c>
      <c r="M851" s="29" t="str">
        <f t="shared" si="65"/>
        <v>✓ OK</v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3019</v>
      </c>
      <c r="C852" s="44" t="s">
        <v>3020</v>
      </c>
      <c r="D852" s="42" t="s">
        <v>2294</v>
      </c>
      <c r="E852" s="45">
        <v>46129</v>
      </c>
      <c r="F852" s="26" t="s">
        <v>55</v>
      </c>
      <c r="G852" s="26" t="s">
        <v>56</v>
      </c>
      <c r="H852" s="26" t="s">
        <v>57</v>
      </c>
      <c r="I852" s="26" t="s">
        <v>58</v>
      </c>
      <c r="J852" s="26" t="s">
        <v>56</v>
      </c>
      <c r="K852" s="27"/>
      <c r="L852" s="28" t="s">
        <v>57</v>
      </c>
      <c r="M852" s="29" t="str">
        <f t="shared" si="65"/>
        <v>✓ OK</v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3021</v>
      </c>
      <c r="C853" s="25" t="s">
        <v>3022</v>
      </c>
      <c r="D853" s="23" t="s">
        <v>2294</v>
      </c>
      <c r="E853" s="45">
        <v>46129</v>
      </c>
      <c r="F853" s="26" t="s">
        <v>55</v>
      </c>
      <c r="G853" s="26" t="s">
        <v>56</v>
      </c>
      <c r="H853" s="26" t="s">
        <v>57</v>
      </c>
      <c r="I853" s="26" t="s">
        <v>58</v>
      </c>
      <c r="J853" s="26" t="s">
        <v>56</v>
      </c>
      <c r="K853" s="27"/>
      <c r="L853" s="28" t="s">
        <v>57</v>
      </c>
      <c r="M853" s="29" t="str">
        <f t="shared" si="65"/>
        <v>✓ OK</v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3023</v>
      </c>
      <c r="C854" s="44" t="s">
        <v>3024</v>
      </c>
      <c r="D854" s="42" t="s">
        <v>2294</v>
      </c>
      <c r="E854" s="45">
        <v>46129</v>
      </c>
      <c r="F854" s="26" t="s">
        <v>55</v>
      </c>
      <c r="G854" s="26" t="s">
        <v>56</v>
      </c>
      <c r="H854" s="26" t="s">
        <v>57</v>
      </c>
      <c r="I854" s="26" t="s">
        <v>58</v>
      </c>
      <c r="J854" s="26" t="s">
        <v>56</v>
      </c>
      <c r="K854" s="27"/>
      <c r="L854" s="28" t="s">
        <v>57</v>
      </c>
      <c r="M854" s="29" t="str">
        <f t="shared" si="65"/>
        <v>✓ OK</v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3025</v>
      </c>
      <c r="C855" s="25" t="s">
        <v>3026</v>
      </c>
      <c r="D855" s="23" t="s">
        <v>2294</v>
      </c>
      <c r="E855" s="45">
        <v>46129</v>
      </c>
      <c r="F855" s="26" t="s">
        <v>55</v>
      </c>
      <c r="G855" s="26" t="s">
        <v>56</v>
      </c>
      <c r="H855" s="26" t="s">
        <v>57</v>
      </c>
      <c r="I855" s="26" t="s">
        <v>58</v>
      </c>
      <c r="J855" s="26" t="s">
        <v>56</v>
      </c>
      <c r="K855" s="27"/>
      <c r="L855" s="28" t="s">
        <v>57</v>
      </c>
      <c r="M855" s="29" t="str">
        <f t="shared" si="65"/>
        <v>✓ OK</v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3027</v>
      </c>
      <c r="C856" s="44" t="s">
        <v>3028</v>
      </c>
      <c r="D856" s="42" t="s">
        <v>2294</v>
      </c>
      <c r="E856" s="45">
        <v>46129</v>
      </c>
      <c r="F856" s="26" t="s">
        <v>55</v>
      </c>
      <c r="G856" s="26" t="s">
        <v>56</v>
      </c>
      <c r="H856" s="26" t="s">
        <v>57</v>
      </c>
      <c r="I856" s="26" t="s">
        <v>58</v>
      </c>
      <c r="J856" s="26" t="s">
        <v>56</v>
      </c>
      <c r="K856" s="27"/>
      <c r="L856" s="28" t="s">
        <v>57</v>
      </c>
      <c r="M856" s="29" t="str">
        <f t="shared" si="65"/>
        <v>✓ OK</v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3029</v>
      </c>
      <c r="C857" s="25" t="s">
        <v>3030</v>
      </c>
      <c r="D857" s="23" t="s">
        <v>2294</v>
      </c>
      <c r="E857" s="45">
        <v>46132</v>
      </c>
      <c r="F857" s="26" t="s">
        <v>55</v>
      </c>
      <c r="G857" s="26" t="s">
        <v>56</v>
      </c>
      <c r="H857" s="26" t="s">
        <v>57</v>
      </c>
      <c r="I857" s="26" t="s">
        <v>58</v>
      </c>
      <c r="J857" s="26" t="s">
        <v>56</v>
      </c>
      <c r="K857" s="27"/>
      <c r="L857" s="28" t="s">
        <v>57</v>
      </c>
      <c r="M857" s="29" t="str">
        <f t="shared" si="65"/>
        <v>✓ OK</v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3031</v>
      </c>
      <c r="C858" s="44" t="s">
        <v>3032</v>
      </c>
      <c r="D858" s="42" t="s">
        <v>2294</v>
      </c>
      <c r="E858" s="45">
        <v>46132</v>
      </c>
      <c r="F858" s="26" t="s">
        <v>55</v>
      </c>
      <c r="G858" s="26" t="s">
        <v>56</v>
      </c>
      <c r="H858" s="26" t="s">
        <v>57</v>
      </c>
      <c r="I858" s="26" t="s">
        <v>58</v>
      </c>
      <c r="J858" s="26" t="s">
        <v>56</v>
      </c>
      <c r="K858" s="27"/>
      <c r="L858" s="28" t="s">
        <v>57</v>
      </c>
      <c r="M858" s="29" t="str">
        <f t="shared" si="65"/>
        <v>✓ OK</v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3033</v>
      </c>
      <c r="C859" s="25" t="s">
        <v>3034</v>
      </c>
      <c r="D859" s="23" t="s">
        <v>2294</v>
      </c>
      <c r="E859" s="45">
        <v>46128</v>
      </c>
      <c r="F859" s="26" t="s">
        <v>55</v>
      </c>
      <c r="G859" s="26" t="s">
        <v>56</v>
      </c>
      <c r="H859" s="26" t="s">
        <v>57</v>
      </c>
      <c r="I859" s="26" t="s">
        <v>58</v>
      </c>
      <c r="J859" s="26" t="s">
        <v>56</v>
      </c>
      <c r="K859" s="27"/>
      <c r="L859" s="28" t="s">
        <v>57</v>
      </c>
      <c r="M859" s="29" t="str">
        <f t="shared" si="65"/>
        <v>✓ OK</v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3035</v>
      </c>
      <c r="C860" s="44" t="s">
        <v>3036</v>
      </c>
      <c r="D860" s="42" t="s">
        <v>2294</v>
      </c>
      <c r="E860" s="45">
        <v>46128</v>
      </c>
      <c r="F860" s="26" t="s">
        <v>55</v>
      </c>
      <c r="G860" s="26" t="s">
        <v>56</v>
      </c>
      <c r="H860" s="26" t="s">
        <v>57</v>
      </c>
      <c r="I860" s="26" t="s">
        <v>58</v>
      </c>
      <c r="J860" s="26" t="s">
        <v>56</v>
      </c>
      <c r="K860" s="27"/>
      <c r="L860" s="28" t="s">
        <v>57</v>
      </c>
      <c r="M860" s="29" t="str">
        <f t="shared" si="65"/>
        <v>✓ OK</v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3037</v>
      </c>
      <c r="C861" s="25" t="s">
        <v>3038</v>
      </c>
      <c r="D861" s="23" t="s">
        <v>2294</v>
      </c>
      <c r="E861" s="45">
        <v>46128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 t="shared" si="65"/>
        <v>✓ OK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3039</v>
      </c>
      <c r="C862" s="44" t="s">
        <v>3040</v>
      </c>
      <c r="D862" s="42" t="s">
        <v>2294</v>
      </c>
      <c r="E862" s="45">
        <v>46128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 t="shared" si="65"/>
        <v>✓ OK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3041</v>
      </c>
      <c r="C863" s="25" t="s">
        <v>3042</v>
      </c>
      <c r="D863" s="23" t="s">
        <v>2294</v>
      </c>
      <c r="E863" s="45">
        <v>46128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 t="shared" si="65"/>
        <v>✓ OK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3043</v>
      </c>
      <c r="C864" s="44" t="s">
        <v>3044</v>
      </c>
      <c r="D864" s="42" t="s">
        <v>2294</v>
      </c>
      <c r="E864" s="45">
        <v>46128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 t="shared" si="65"/>
        <v>✓ OK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3045</v>
      </c>
      <c r="C865" s="25" t="s">
        <v>3046</v>
      </c>
      <c r="D865" s="23" t="s">
        <v>2294</v>
      </c>
      <c r="E865" s="45">
        <v>46132</v>
      </c>
      <c r="F865" s="26" t="s">
        <v>55</v>
      </c>
      <c r="G865" s="26" t="s">
        <v>56</v>
      </c>
      <c r="H865" s="26" t="s">
        <v>57</v>
      </c>
      <c r="I865" s="26" t="s">
        <v>58</v>
      </c>
      <c r="J865" s="26" t="s">
        <v>56</v>
      </c>
      <c r="K865" s="27"/>
      <c r="L865" s="28" t="s">
        <v>57</v>
      </c>
      <c r="M865" s="29" t="str">
        <f t="shared" si="65"/>
        <v>✓ OK</v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3047</v>
      </c>
      <c r="C866" s="44" t="s">
        <v>3048</v>
      </c>
      <c r="D866" s="42" t="s">
        <v>2294</v>
      </c>
      <c r="E866" s="45">
        <v>46132</v>
      </c>
      <c r="F866" s="26" t="s">
        <v>55</v>
      </c>
      <c r="G866" s="26" t="s">
        <v>56</v>
      </c>
      <c r="H866" s="26" t="s">
        <v>57</v>
      </c>
      <c r="I866" s="26" t="s">
        <v>58</v>
      </c>
      <c r="J866" s="26" t="s">
        <v>56</v>
      </c>
      <c r="K866" s="27"/>
      <c r="L866" s="28" t="s">
        <v>57</v>
      </c>
      <c r="M866" s="29" t="str">
        <f t="shared" si="65"/>
        <v>✓ OK</v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3049</v>
      </c>
      <c r="C867" s="25" t="s">
        <v>3050</v>
      </c>
      <c r="D867" s="23" t="s">
        <v>2294</v>
      </c>
      <c r="E867" s="45">
        <v>46129</v>
      </c>
      <c r="F867" s="26" t="s">
        <v>55</v>
      </c>
      <c r="G867" s="26" t="s">
        <v>56</v>
      </c>
      <c r="H867" s="26" t="s">
        <v>57</v>
      </c>
      <c r="I867" s="26" t="s">
        <v>58</v>
      </c>
      <c r="J867" s="26" t="s">
        <v>56</v>
      </c>
      <c r="K867" s="27"/>
      <c r="L867" s="28" t="s">
        <v>57</v>
      </c>
      <c r="M867" s="29" t="str">
        <f t="shared" si="65"/>
        <v>✓ OK</v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3051</v>
      </c>
      <c r="C868" s="44" t="s">
        <v>3052</v>
      </c>
      <c r="D868" s="42" t="s">
        <v>2294</v>
      </c>
      <c r="E868" s="45">
        <v>46129</v>
      </c>
      <c r="F868" s="26" t="s">
        <v>55</v>
      </c>
      <c r="G868" s="26" t="s">
        <v>56</v>
      </c>
      <c r="H868" s="26" t="s">
        <v>57</v>
      </c>
      <c r="I868" s="26" t="s">
        <v>58</v>
      </c>
      <c r="J868" s="26" t="s">
        <v>56</v>
      </c>
      <c r="K868" s="27"/>
      <c r="L868" s="28" t="s">
        <v>57</v>
      </c>
      <c r="M868" s="29" t="str">
        <f t="shared" si="65"/>
        <v>✓ OK</v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3053</v>
      </c>
      <c r="C869" s="25" t="s">
        <v>3054</v>
      </c>
      <c r="D869" s="23" t="s">
        <v>2294</v>
      </c>
      <c r="E869" s="45">
        <v>46128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 t="shared" si="65"/>
        <v>✓ OK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3055</v>
      </c>
      <c r="C870" s="44" t="s">
        <v>3056</v>
      </c>
      <c r="D870" s="42" t="s">
        <v>2294</v>
      </c>
      <c r="E870" s="45">
        <v>46129</v>
      </c>
      <c r="F870" s="26" t="s">
        <v>55</v>
      </c>
      <c r="G870" s="26" t="s">
        <v>56</v>
      </c>
      <c r="H870" s="26" t="s">
        <v>57</v>
      </c>
      <c r="I870" s="26" t="s">
        <v>58</v>
      </c>
      <c r="J870" s="26" t="s">
        <v>56</v>
      </c>
      <c r="K870" s="27"/>
      <c r="L870" s="28" t="s">
        <v>57</v>
      </c>
      <c r="M870" s="29" t="str">
        <f t="shared" si="65"/>
        <v>✓ OK</v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3057</v>
      </c>
      <c r="C871" s="25" t="s">
        <v>3058</v>
      </c>
      <c r="D871" s="23" t="s">
        <v>2294</v>
      </c>
      <c r="E871" s="45">
        <v>46129</v>
      </c>
      <c r="F871" s="26" t="s">
        <v>55</v>
      </c>
      <c r="G871" s="26" t="s">
        <v>56</v>
      </c>
      <c r="H871" s="26" t="s">
        <v>57</v>
      </c>
      <c r="I871" s="26" t="s">
        <v>58</v>
      </c>
      <c r="J871" s="26" t="s">
        <v>56</v>
      </c>
      <c r="K871" s="27"/>
      <c r="L871" s="28" t="s">
        <v>57</v>
      </c>
      <c r="M871" s="29" t="str">
        <f t="shared" si="65"/>
        <v>✓ OK</v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3059</v>
      </c>
      <c r="C872" s="44" t="s">
        <v>3060</v>
      </c>
      <c r="D872" s="42" t="s">
        <v>2294</v>
      </c>
      <c r="E872" s="45">
        <v>46128</v>
      </c>
      <c r="F872" s="26" t="s">
        <v>55</v>
      </c>
      <c r="G872" s="26" t="s">
        <v>56</v>
      </c>
      <c r="H872" s="26" t="s">
        <v>57</v>
      </c>
      <c r="I872" s="26" t="s">
        <v>58</v>
      </c>
      <c r="J872" s="26" t="s">
        <v>56</v>
      </c>
      <c r="K872" s="27"/>
      <c r="L872" s="28" t="s">
        <v>57</v>
      </c>
      <c r="M872" s="29" t="str">
        <f t="shared" si="65"/>
        <v>✓ OK</v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3061</v>
      </c>
      <c r="C873" s="25" t="s">
        <v>3062</v>
      </c>
      <c r="D873" s="23" t="s">
        <v>2294</v>
      </c>
      <c r="E873" s="45">
        <v>46128</v>
      </c>
      <c r="F873" s="26" t="s">
        <v>55</v>
      </c>
      <c r="G873" s="26" t="s">
        <v>56</v>
      </c>
      <c r="H873" s="26" t="s">
        <v>57</v>
      </c>
      <c r="I873" s="26" t="s">
        <v>58</v>
      </c>
      <c r="J873" s="26" t="s">
        <v>56</v>
      </c>
      <c r="K873" s="27"/>
      <c r="L873" s="28" t="s">
        <v>57</v>
      </c>
      <c r="M873" s="29" t="str">
        <f t="shared" si="65"/>
        <v>✓ OK</v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3063</v>
      </c>
      <c r="C874" s="44" t="s">
        <v>3064</v>
      </c>
      <c r="D874" s="42" t="s">
        <v>2294</v>
      </c>
      <c r="E874" s="45">
        <v>46129</v>
      </c>
      <c r="F874" s="26" t="s">
        <v>55</v>
      </c>
      <c r="G874" s="26" t="s">
        <v>56</v>
      </c>
      <c r="H874" s="26" t="s">
        <v>57</v>
      </c>
      <c r="I874" s="26" t="s">
        <v>58</v>
      </c>
      <c r="J874" s="26" t="s">
        <v>56</v>
      </c>
      <c r="K874" s="27"/>
      <c r="L874" s="28" t="s">
        <v>57</v>
      </c>
      <c r="M874" s="29" t="str">
        <f t="shared" si="65"/>
        <v>✓ OK</v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3065</v>
      </c>
      <c r="C875" s="25" t="s">
        <v>3066</v>
      </c>
      <c r="D875" s="23" t="s">
        <v>2294</v>
      </c>
      <c r="E875" s="45">
        <v>46129</v>
      </c>
      <c r="F875" s="26" t="s">
        <v>55</v>
      </c>
      <c r="G875" s="26" t="s">
        <v>56</v>
      </c>
      <c r="H875" s="26" t="s">
        <v>57</v>
      </c>
      <c r="I875" s="26" t="s">
        <v>58</v>
      </c>
      <c r="J875" s="26" t="s">
        <v>56</v>
      </c>
      <c r="K875" s="27"/>
      <c r="L875" s="28" t="s">
        <v>57</v>
      </c>
      <c r="M875" s="29" t="str">
        <f t="shared" si="65"/>
        <v>✓ OK</v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3067</v>
      </c>
      <c r="C876" s="44" t="s">
        <v>3068</v>
      </c>
      <c r="D876" s="42" t="s">
        <v>2294</v>
      </c>
      <c r="E876" s="45">
        <v>46132</v>
      </c>
      <c r="F876" s="26" t="s">
        <v>55</v>
      </c>
      <c r="G876" s="26" t="s">
        <v>56</v>
      </c>
      <c r="H876" s="26" t="s">
        <v>57</v>
      </c>
      <c r="I876" s="26" t="s">
        <v>58</v>
      </c>
      <c r="J876" s="26" t="s">
        <v>56</v>
      </c>
      <c r="K876" s="27"/>
      <c r="L876" s="28" t="s">
        <v>57</v>
      </c>
      <c r="M876" s="29" t="str">
        <f t="shared" si="65"/>
        <v>✓ OK</v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3069</v>
      </c>
      <c r="C877" s="25" t="s">
        <v>3070</v>
      </c>
      <c r="D877" s="23" t="s">
        <v>2294</v>
      </c>
      <c r="E877" s="45">
        <v>46132</v>
      </c>
      <c r="F877" s="26" t="s">
        <v>55</v>
      </c>
      <c r="G877" s="26" t="s">
        <v>56</v>
      </c>
      <c r="H877" s="26" t="s">
        <v>57</v>
      </c>
      <c r="I877" s="26" t="s">
        <v>58</v>
      </c>
      <c r="J877" s="26" t="s">
        <v>56</v>
      </c>
      <c r="K877" s="27"/>
      <c r="L877" s="28" t="s">
        <v>57</v>
      </c>
      <c r="M877" s="29" t="str">
        <f t="shared" si="65"/>
        <v>✓ OK</v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3071</v>
      </c>
      <c r="C878" s="44" t="s">
        <v>3072</v>
      </c>
      <c r="D878" s="42" t="s">
        <v>2294</v>
      </c>
      <c r="E878" s="45">
        <v>46129</v>
      </c>
      <c r="F878" s="26" t="s">
        <v>55</v>
      </c>
      <c r="G878" s="26" t="s">
        <v>56</v>
      </c>
      <c r="H878" s="26" t="s">
        <v>57</v>
      </c>
      <c r="I878" s="26" t="s">
        <v>58</v>
      </c>
      <c r="J878" s="26" t="s">
        <v>56</v>
      </c>
      <c r="K878" s="27"/>
      <c r="L878" s="28" t="s">
        <v>57</v>
      </c>
      <c r="M878" s="29" t="str">
        <f t="shared" si="65"/>
        <v>✓ OK</v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3073</v>
      </c>
      <c r="C879" s="25" t="s">
        <v>3074</v>
      </c>
      <c r="D879" s="23" t="s">
        <v>2294</v>
      </c>
      <c r="E879" s="45">
        <v>46129</v>
      </c>
      <c r="F879" s="26" t="s">
        <v>55</v>
      </c>
      <c r="G879" s="26" t="s">
        <v>56</v>
      </c>
      <c r="H879" s="26" t="s">
        <v>57</v>
      </c>
      <c r="I879" s="26" t="s">
        <v>58</v>
      </c>
      <c r="J879" s="26" t="s">
        <v>56</v>
      </c>
      <c r="K879" s="27"/>
      <c r="L879" s="28" t="s">
        <v>57</v>
      </c>
      <c r="M879" s="29" t="str">
        <f t="shared" si="65"/>
        <v>✓ OK</v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3075</v>
      </c>
      <c r="C880" s="44" t="s">
        <v>3076</v>
      </c>
      <c r="D880" s="42" t="s">
        <v>2294</v>
      </c>
      <c r="E880" s="45">
        <v>46132</v>
      </c>
      <c r="F880" s="26" t="s">
        <v>55</v>
      </c>
      <c r="G880" s="26" t="s">
        <v>56</v>
      </c>
      <c r="H880" s="26" t="s">
        <v>57</v>
      </c>
      <c r="I880" s="26" t="s">
        <v>58</v>
      </c>
      <c r="J880" s="26" t="s">
        <v>56</v>
      </c>
      <c r="K880" s="27"/>
      <c r="L880" s="28" t="s">
        <v>57</v>
      </c>
      <c r="M880" s="29" t="str">
        <f t="shared" si="65"/>
        <v>✓ OK</v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3077</v>
      </c>
      <c r="C881" s="25" t="s">
        <v>3078</v>
      </c>
      <c r="D881" s="23" t="s">
        <v>2294</v>
      </c>
      <c r="E881" s="45">
        <v>46132</v>
      </c>
      <c r="F881" s="26" t="s">
        <v>55</v>
      </c>
      <c r="G881" s="26" t="s">
        <v>56</v>
      </c>
      <c r="H881" s="26" t="s">
        <v>57</v>
      </c>
      <c r="I881" s="26" t="s">
        <v>58</v>
      </c>
      <c r="J881" s="26" t="s">
        <v>56</v>
      </c>
      <c r="K881" s="27"/>
      <c r="L881" s="28" t="s">
        <v>57</v>
      </c>
      <c r="M881" s="29" t="str">
        <f t="shared" si="65"/>
        <v>✓ OK</v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3079</v>
      </c>
      <c r="C882" s="44" t="s">
        <v>3080</v>
      </c>
      <c r="D882" s="42" t="s">
        <v>2294</v>
      </c>
      <c r="E882" s="45">
        <v>46129</v>
      </c>
      <c r="F882" s="26" t="s">
        <v>55</v>
      </c>
      <c r="G882" s="26" t="s">
        <v>56</v>
      </c>
      <c r="H882" s="26" t="s">
        <v>57</v>
      </c>
      <c r="I882" s="26" t="s">
        <v>58</v>
      </c>
      <c r="J882" s="26" t="s">
        <v>56</v>
      </c>
      <c r="K882" s="27"/>
      <c r="L882" s="28" t="s">
        <v>57</v>
      </c>
      <c r="M882" s="29" t="str">
        <f t="shared" si="65"/>
        <v>✓ OK</v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3081</v>
      </c>
      <c r="C883" s="25" t="s">
        <v>3082</v>
      </c>
      <c r="D883" s="23" t="s">
        <v>2294</v>
      </c>
      <c r="E883" s="45">
        <v>46129</v>
      </c>
      <c r="F883" s="26" t="s">
        <v>55</v>
      </c>
      <c r="G883" s="26" t="s">
        <v>56</v>
      </c>
      <c r="H883" s="26" t="s">
        <v>57</v>
      </c>
      <c r="I883" s="26" t="s">
        <v>58</v>
      </c>
      <c r="J883" s="26" t="s">
        <v>56</v>
      </c>
      <c r="K883" s="27"/>
      <c r="L883" s="28" t="s">
        <v>57</v>
      </c>
      <c r="M883" s="29" t="str">
        <f t="shared" si="65"/>
        <v>✓ OK</v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3083</v>
      </c>
      <c r="C884" s="44" t="s">
        <v>3084</v>
      </c>
      <c r="D884" s="42" t="s">
        <v>2294</v>
      </c>
      <c r="E884" s="45">
        <v>46132</v>
      </c>
      <c r="F884" s="26" t="s">
        <v>55</v>
      </c>
      <c r="G884" s="26" t="s">
        <v>56</v>
      </c>
      <c r="H884" s="26" t="s">
        <v>57</v>
      </c>
      <c r="I884" s="26" t="s">
        <v>58</v>
      </c>
      <c r="J884" s="26" t="s">
        <v>56</v>
      </c>
      <c r="K884" s="27"/>
      <c r="L884" s="28" t="s">
        <v>57</v>
      </c>
      <c r="M884" s="29" t="str">
        <f t="shared" si="65"/>
        <v>✓ OK</v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3085</v>
      </c>
      <c r="C885" s="25" t="s">
        <v>3086</v>
      </c>
      <c r="D885" s="23" t="s">
        <v>2294</v>
      </c>
      <c r="E885" s="45">
        <v>46132</v>
      </c>
      <c r="F885" s="26" t="s">
        <v>55</v>
      </c>
      <c r="G885" s="26" t="s">
        <v>56</v>
      </c>
      <c r="H885" s="26" t="s">
        <v>57</v>
      </c>
      <c r="I885" s="26" t="s">
        <v>58</v>
      </c>
      <c r="J885" s="26" t="s">
        <v>56</v>
      </c>
      <c r="K885" s="27"/>
      <c r="L885" s="28" t="s">
        <v>57</v>
      </c>
      <c r="M885" s="29" t="str">
        <f t="shared" si="65"/>
        <v>✓ OK</v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3087</v>
      </c>
      <c r="C886" s="44" t="s">
        <v>3088</v>
      </c>
      <c r="D886" s="42" t="s">
        <v>2294</v>
      </c>
      <c r="E886" s="45">
        <v>46132</v>
      </c>
      <c r="F886" s="26" t="s">
        <v>55</v>
      </c>
      <c r="G886" s="26" t="s">
        <v>56</v>
      </c>
      <c r="H886" s="26" t="s">
        <v>57</v>
      </c>
      <c r="I886" s="26" t="s">
        <v>58</v>
      </c>
      <c r="J886" s="26" t="s">
        <v>56</v>
      </c>
      <c r="K886" s="27"/>
      <c r="L886" s="28" t="s">
        <v>57</v>
      </c>
      <c r="M886" s="29" t="str">
        <f t="shared" si="65"/>
        <v>✓ OK</v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3089</v>
      </c>
      <c r="C887" s="25" t="s">
        <v>3090</v>
      </c>
      <c r="D887" s="23" t="s">
        <v>2294</v>
      </c>
      <c r="E887" s="45">
        <v>46132</v>
      </c>
      <c r="F887" s="26" t="s">
        <v>55</v>
      </c>
      <c r="G887" s="26" t="s">
        <v>56</v>
      </c>
      <c r="H887" s="26" t="s">
        <v>57</v>
      </c>
      <c r="I887" s="26" t="s">
        <v>58</v>
      </c>
      <c r="J887" s="26" t="s">
        <v>56</v>
      </c>
      <c r="K887" s="27"/>
      <c r="L887" s="28" t="s">
        <v>57</v>
      </c>
      <c r="M887" s="29" t="str">
        <f t="shared" si="65"/>
        <v>✓ OK</v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3091</v>
      </c>
      <c r="C888" s="44" t="s">
        <v>3092</v>
      </c>
      <c r="D888" s="42" t="s">
        <v>2294</v>
      </c>
      <c r="E888" s="45">
        <v>46132</v>
      </c>
      <c r="F888" s="26" t="s">
        <v>55</v>
      </c>
      <c r="G888" s="26" t="s">
        <v>56</v>
      </c>
      <c r="H888" s="26" t="s">
        <v>57</v>
      </c>
      <c r="I888" s="26" t="s">
        <v>58</v>
      </c>
      <c r="J888" s="26" t="s">
        <v>56</v>
      </c>
      <c r="K888" s="27"/>
      <c r="L888" s="28" t="s">
        <v>57</v>
      </c>
      <c r="M888" s="29" t="str">
        <f t="shared" si="65"/>
        <v>✓ OK</v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3093</v>
      </c>
      <c r="C889" s="25" t="s">
        <v>3094</v>
      </c>
      <c r="D889" s="23" t="s">
        <v>2294</v>
      </c>
      <c r="E889" s="45">
        <v>46132</v>
      </c>
      <c r="F889" s="26" t="s">
        <v>55</v>
      </c>
      <c r="G889" s="26" t="s">
        <v>56</v>
      </c>
      <c r="H889" s="26" t="s">
        <v>57</v>
      </c>
      <c r="I889" s="26" t="s">
        <v>58</v>
      </c>
      <c r="J889" s="26" t="s">
        <v>56</v>
      </c>
      <c r="K889" s="27"/>
      <c r="L889" s="28" t="s">
        <v>57</v>
      </c>
      <c r="M889" s="29" t="str">
        <f t="shared" si="65"/>
        <v>✓ OK</v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3095</v>
      </c>
      <c r="C890" s="44" t="s">
        <v>3096</v>
      </c>
      <c r="D890" s="42" t="s">
        <v>2294</v>
      </c>
      <c r="E890" s="45">
        <v>46132</v>
      </c>
      <c r="F890" s="26" t="s">
        <v>55</v>
      </c>
      <c r="G890" s="26" t="s">
        <v>56</v>
      </c>
      <c r="H890" s="26" t="s">
        <v>57</v>
      </c>
      <c r="I890" s="26" t="s">
        <v>58</v>
      </c>
      <c r="J890" s="26" t="s">
        <v>56</v>
      </c>
      <c r="K890" s="27"/>
      <c r="L890" s="28" t="s">
        <v>57</v>
      </c>
      <c r="M890" s="29" t="str">
        <f t="shared" si="65"/>
        <v>✓ OK</v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3097</v>
      </c>
      <c r="C891" s="25" t="s">
        <v>3098</v>
      </c>
      <c r="D891" s="23" t="s">
        <v>2294</v>
      </c>
      <c r="E891" s="45">
        <v>46132</v>
      </c>
      <c r="F891" s="26" t="s">
        <v>55</v>
      </c>
      <c r="G891" s="26" t="s">
        <v>56</v>
      </c>
      <c r="H891" s="26" t="s">
        <v>57</v>
      </c>
      <c r="I891" s="26" t="s">
        <v>58</v>
      </c>
      <c r="J891" s="26" t="s">
        <v>56</v>
      </c>
      <c r="K891" s="27"/>
      <c r="L891" s="28" t="s">
        <v>57</v>
      </c>
      <c r="M891" s="29" t="str">
        <f t="shared" si="65"/>
        <v>✓ OK</v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3099</v>
      </c>
      <c r="C892" s="44" t="s">
        <v>3100</v>
      </c>
      <c r="D892" s="42" t="s">
        <v>2294</v>
      </c>
      <c r="E892" s="45">
        <v>46129</v>
      </c>
      <c r="F892" s="26" t="s">
        <v>55</v>
      </c>
      <c r="G892" s="26" t="s">
        <v>56</v>
      </c>
      <c r="H892" s="26" t="s">
        <v>57</v>
      </c>
      <c r="I892" s="26" t="s">
        <v>58</v>
      </c>
      <c r="J892" s="26" t="s">
        <v>56</v>
      </c>
      <c r="K892" s="27"/>
      <c r="L892" s="28" t="s">
        <v>57</v>
      </c>
      <c r="M892" s="29" t="str">
        <f t="shared" si="65"/>
        <v>✓ OK</v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3101</v>
      </c>
      <c r="C893" s="25" t="s">
        <v>3102</v>
      </c>
      <c r="D893" s="23" t="s">
        <v>2294</v>
      </c>
      <c r="E893" s="45">
        <v>46129</v>
      </c>
      <c r="F893" s="26" t="s">
        <v>55</v>
      </c>
      <c r="G893" s="26" t="s">
        <v>56</v>
      </c>
      <c r="H893" s="26" t="s">
        <v>57</v>
      </c>
      <c r="I893" s="26" t="s">
        <v>58</v>
      </c>
      <c r="J893" s="26" t="s">
        <v>56</v>
      </c>
      <c r="K893" s="27"/>
      <c r="L893" s="28" t="s">
        <v>57</v>
      </c>
      <c r="M893" s="29" t="str">
        <f t="shared" si="65"/>
        <v>✓ OK</v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3103</v>
      </c>
      <c r="C894" s="44" t="s">
        <v>3104</v>
      </c>
      <c r="D894" s="42" t="s">
        <v>2294</v>
      </c>
      <c r="E894" s="45">
        <v>46132</v>
      </c>
      <c r="F894" s="26" t="s">
        <v>55</v>
      </c>
      <c r="G894" s="26" t="s">
        <v>56</v>
      </c>
      <c r="H894" s="26" t="s">
        <v>57</v>
      </c>
      <c r="I894" s="26"/>
      <c r="J894" s="26"/>
      <c r="K894" s="27"/>
      <c r="L894" s="28"/>
      <c r="M894" s="29" t="str">
        <f t="shared" si="65"/>
        <v>⚠ Check</v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3105</v>
      </c>
      <c r="C895" s="25" t="s">
        <v>3106</v>
      </c>
      <c r="D895" s="23" t="s">
        <v>2294</v>
      </c>
      <c r="E895" s="45">
        <v>46132</v>
      </c>
      <c r="F895" s="26" t="s">
        <v>55</v>
      </c>
      <c r="G895" s="26" t="s">
        <v>56</v>
      </c>
      <c r="H895" s="26" t="s">
        <v>57</v>
      </c>
      <c r="I895" s="26" t="s">
        <v>58</v>
      </c>
      <c r="J895" s="26" t="s">
        <v>56</v>
      </c>
      <c r="K895" s="27"/>
      <c r="L895" s="28" t="s">
        <v>57</v>
      </c>
      <c r="M895" s="29" t="str">
        <f t="shared" si="65"/>
        <v>✓ OK</v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3107</v>
      </c>
      <c r="C896" s="44" t="s">
        <v>3108</v>
      </c>
      <c r="D896" s="42" t="s">
        <v>2294</v>
      </c>
      <c r="E896" s="45">
        <v>46129</v>
      </c>
      <c r="F896" s="26" t="s">
        <v>55</v>
      </c>
      <c r="G896" s="26" t="s">
        <v>56</v>
      </c>
      <c r="H896" s="26" t="s">
        <v>57</v>
      </c>
      <c r="I896" s="26" t="s">
        <v>58</v>
      </c>
      <c r="J896" s="26" t="s">
        <v>56</v>
      </c>
      <c r="K896" s="27"/>
      <c r="L896" s="28" t="s">
        <v>57</v>
      </c>
      <c r="M896" s="29" t="str">
        <f t="shared" si="65"/>
        <v>✓ OK</v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3109</v>
      </c>
      <c r="C897" s="25" t="s">
        <v>3110</v>
      </c>
      <c r="D897" s="23" t="s">
        <v>2294</v>
      </c>
      <c r="E897" s="45">
        <v>46129</v>
      </c>
      <c r="F897" s="26" t="s">
        <v>55</v>
      </c>
      <c r="G897" s="26" t="s">
        <v>56</v>
      </c>
      <c r="H897" s="26" t="s">
        <v>57</v>
      </c>
      <c r="I897" s="26" t="s">
        <v>58</v>
      </c>
      <c r="J897" s="26" t="s">
        <v>56</v>
      </c>
      <c r="K897" s="27"/>
      <c r="L897" s="28" t="s">
        <v>57</v>
      </c>
      <c r="M897" s="29" t="str">
        <f t="shared" si="65"/>
        <v>✓ OK</v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3111</v>
      </c>
      <c r="C898" s="44" t="s">
        <v>3112</v>
      </c>
      <c r="D898" s="42" t="s">
        <v>2294</v>
      </c>
      <c r="E898" s="45">
        <v>46128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 t="shared" si="65"/>
        <v>✓ OK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3113</v>
      </c>
      <c r="C899" s="25" t="s">
        <v>3114</v>
      </c>
      <c r="D899" s="23" t="s">
        <v>2294</v>
      </c>
      <c r="E899" s="45">
        <v>46128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 t="shared" si="65"/>
        <v>✓ OK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3115</v>
      </c>
      <c r="C900" s="44" t="s">
        <v>3116</v>
      </c>
      <c r="D900" s="42" t="s">
        <v>2294</v>
      </c>
      <c r="E900" s="45">
        <v>46128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 t="shared" si="65"/>
        <v>✓ OK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3117</v>
      </c>
      <c r="C901" s="25" t="s">
        <v>3118</v>
      </c>
      <c r="D901" s="23" t="s">
        <v>2294</v>
      </c>
      <c r="E901" s="45">
        <v>46128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 t="shared" ref="M901:M964" si="70">IF(E901="","",IF(H901="Yes","❌ Disc",IF(G901="No","⚠ Missing",IF(J901="Yes","✓ OK","⚠ Check"))))</f>
        <v>✓ OK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3119</v>
      </c>
      <c r="C902" s="44" t="s">
        <v>3120</v>
      </c>
      <c r="D902" s="42" t="s">
        <v>2294</v>
      </c>
      <c r="E902" s="45">
        <v>46129</v>
      </c>
      <c r="F902" s="26" t="s">
        <v>55</v>
      </c>
      <c r="G902" s="26" t="s">
        <v>56</v>
      </c>
      <c r="H902" s="26" t="s">
        <v>57</v>
      </c>
      <c r="I902" s="26" t="s">
        <v>58</v>
      </c>
      <c r="J902" s="26" t="s">
        <v>56</v>
      </c>
      <c r="K902" s="27"/>
      <c r="L902" s="28" t="s">
        <v>57</v>
      </c>
      <c r="M902" s="29" t="str">
        <f t="shared" si="70"/>
        <v>✓ OK</v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3121</v>
      </c>
      <c r="C903" s="25" t="s">
        <v>3122</v>
      </c>
      <c r="D903" s="23" t="s">
        <v>2294</v>
      </c>
      <c r="E903" s="45">
        <v>46129</v>
      </c>
      <c r="F903" s="26" t="s">
        <v>55</v>
      </c>
      <c r="G903" s="26" t="s">
        <v>56</v>
      </c>
      <c r="H903" s="26" t="s">
        <v>57</v>
      </c>
      <c r="I903" s="26" t="s">
        <v>58</v>
      </c>
      <c r="J903" s="26" t="s">
        <v>56</v>
      </c>
      <c r="K903" s="27"/>
      <c r="L903" s="28" t="s">
        <v>57</v>
      </c>
      <c r="M903" s="29" t="str">
        <f t="shared" si="70"/>
        <v>✓ OK</v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3123</v>
      </c>
      <c r="C904" s="44" t="s">
        <v>3124</v>
      </c>
      <c r="D904" s="42" t="s">
        <v>2294</v>
      </c>
      <c r="E904" s="45">
        <v>46128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 t="shared" si="70"/>
        <v>✓ OK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3125</v>
      </c>
      <c r="C905" s="25" t="s">
        <v>3126</v>
      </c>
      <c r="D905" s="23" t="s">
        <v>2294</v>
      </c>
      <c r="E905" s="45">
        <v>46128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 t="shared" si="70"/>
        <v>✓ OK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3127</v>
      </c>
      <c r="C906" s="44" t="s">
        <v>3128</v>
      </c>
      <c r="D906" s="42" t="s">
        <v>2294</v>
      </c>
      <c r="E906" s="45">
        <v>46128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 t="shared" si="70"/>
        <v>✓ OK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3129</v>
      </c>
      <c r="C907" s="25" t="s">
        <v>3130</v>
      </c>
      <c r="D907" s="23" t="s">
        <v>2294</v>
      </c>
      <c r="E907" s="45">
        <v>46128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 t="shared" si="70"/>
        <v>✓ OK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3131</v>
      </c>
      <c r="C908" s="44" t="s">
        <v>3132</v>
      </c>
      <c r="D908" s="42" t="s">
        <v>2294</v>
      </c>
      <c r="E908" s="45">
        <v>46128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 t="shared" si="70"/>
        <v>✓ OK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3133</v>
      </c>
      <c r="C909" s="25" t="s">
        <v>3134</v>
      </c>
      <c r="D909" s="23" t="s">
        <v>2294</v>
      </c>
      <c r="E909" s="45">
        <v>46128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 t="shared" si="70"/>
        <v>✓ OK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3135</v>
      </c>
      <c r="C910" s="44" t="s">
        <v>3136</v>
      </c>
      <c r="D910" s="42" t="s">
        <v>2294</v>
      </c>
      <c r="E910" s="45">
        <v>46129</v>
      </c>
      <c r="F910" s="26" t="s">
        <v>55</v>
      </c>
      <c r="G910" s="26" t="s">
        <v>56</v>
      </c>
      <c r="H910" s="26" t="s">
        <v>57</v>
      </c>
      <c r="I910" s="26" t="s">
        <v>58</v>
      </c>
      <c r="J910" s="26" t="s">
        <v>56</v>
      </c>
      <c r="K910" s="27"/>
      <c r="L910" s="28" t="s">
        <v>57</v>
      </c>
      <c r="M910" s="29" t="str">
        <f t="shared" si="70"/>
        <v>✓ OK</v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3137</v>
      </c>
      <c r="C911" s="25" t="s">
        <v>3138</v>
      </c>
      <c r="D911" s="23" t="s">
        <v>2294</v>
      </c>
      <c r="E911" s="45">
        <v>46129</v>
      </c>
      <c r="F911" s="26" t="s">
        <v>55</v>
      </c>
      <c r="G911" s="26" t="s">
        <v>56</v>
      </c>
      <c r="H911" s="26" t="s">
        <v>57</v>
      </c>
      <c r="I911" s="26" t="s">
        <v>58</v>
      </c>
      <c r="J911" s="26" t="s">
        <v>56</v>
      </c>
      <c r="K911" s="27"/>
      <c r="L911" s="28" t="s">
        <v>57</v>
      </c>
      <c r="M911" s="29" t="str">
        <f t="shared" si="70"/>
        <v>✓ OK</v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3139</v>
      </c>
      <c r="C912" s="44" t="s">
        <v>3140</v>
      </c>
      <c r="D912" s="42" t="s">
        <v>2294</v>
      </c>
      <c r="E912" s="45">
        <v>46132</v>
      </c>
      <c r="F912" s="26" t="s">
        <v>55</v>
      </c>
      <c r="G912" s="26" t="s">
        <v>56</v>
      </c>
      <c r="H912" s="26" t="s">
        <v>57</v>
      </c>
      <c r="I912" s="26" t="s">
        <v>58</v>
      </c>
      <c r="J912" s="26" t="s">
        <v>56</v>
      </c>
      <c r="K912" s="27"/>
      <c r="L912" s="28" t="s">
        <v>57</v>
      </c>
      <c r="M912" s="29" t="str">
        <f t="shared" si="70"/>
        <v>✓ OK</v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3141</v>
      </c>
      <c r="C913" s="25" t="s">
        <v>3142</v>
      </c>
      <c r="D913" s="23" t="s">
        <v>2294</v>
      </c>
      <c r="E913" s="45">
        <v>46132</v>
      </c>
      <c r="F913" s="26" t="s">
        <v>55</v>
      </c>
      <c r="G913" s="26" t="s">
        <v>56</v>
      </c>
      <c r="H913" s="26" t="s">
        <v>57</v>
      </c>
      <c r="I913" s="26" t="s">
        <v>58</v>
      </c>
      <c r="J913" s="26" t="s">
        <v>56</v>
      </c>
      <c r="K913" s="27"/>
      <c r="L913" s="28" t="s">
        <v>57</v>
      </c>
      <c r="M913" s="29" t="str">
        <f t="shared" si="70"/>
        <v>✓ OK</v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3143</v>
      </c>
      <c r="C914" s="44" t="s">
        <v>3144</v>
      </c>
      <c r="D914" s="42" t="s">
        <v>2294</v>
      </c>
      <c r="E914" s="45">
        <v>46132</v>
      </c>
      <c r="F914" s="26" t="s">
        <v>55</v>
      </c>
      <c r="G914" s="26" t="s">
        <v>56</v>
      </c>
      <c r="H914" s="26" t="s">
        <v>57</v>
      </c>
      <c r="I914" s="26" t="s">
        <v>58</v>
      </c>
      <c r="J914" s="26" t="s">
        <v>56</v>
      </c>
      <c r="K914" s="27"/>
      <c r="L914" s="28" t="s">
        <v>57</v>
      </c>
      <c r="M914" s="29" t="str">
        <f t="shared" si="70"/>
        <v>✓ OK</v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3145</v>
      </c>
      <c r="C915" s="25" t="s">
        <v>3146</v>
      </c>
      <c r="D915" s="23" t="s">
        <v>2294</v>
      </c>
      <c r="E915" s="45">
        <v>46132</v>
      </c>
      <c r="F915" s="26" t="s">
        <v>55</v>
      </c>
      <c r="G915" s="26" t="s">
        <v>56</v>
      </c>
      <c r="H915" s="26" t="s">
        <v>57</v>
      </c>
      <c r="I915" s="26" t="s">
        <v>58</v>
      </c>
      <c r="J915" s="26" t="s">
        <v>56</v>
      </c>
      <c r="K915" s="27"/>
      <c r="L915" s="28" t="s">
        <v>57</v>
      </c>
      <c r="M915" s="29" t="str">
        <f t="shared" si="70"/>
        <v>✓ OK</v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3147</v>
      </c>
      <c r="C916" s="44" t="s">
        <v>3148</v>
      </c>
      <c r="D916" s="42" t="s">
        <v>2294</v>
      </c>
      <c r="E916" s="45">
        <v>46132</v>
      </c>
      <c r="F916" s="26" t="s">
        <v>55</v>
      </c>
      <c r="G916" s="26" t="s">
        <v>56</v>
      </c>
      <c r="H916" s="26" t="s">
        <v>57</v>
      </c>
      <c r="I916" s="26" t="s">
        <v>58</v>
      </c>
      <c r="J916" s="26" t="s">
        <v>56</v>
      </c>
      <c r="K916" s="27"/>
      <c r="L916" s="28" t="s">
        <v>57</v>
      </c>
      <c r="M916" s="29" t="str">
        <f t="shared" si="70"/>
        <v>✓ OK</v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3149</v>
      </c>
      <c r="C917" s="25" t="s">
        <v>3150</v>
      </c>
      <c r="D917" s="23" t="s">
        <v>2294</v>
      </c>
      <c r="E917" s="45">
        <v>46132</v>
      </c>
      <c r="F917" s="26" t="s">
        <v>55</v>
      </c>
      <c r="G917" s="26" t="s">
        <v>56</v>
      </c>
      <c r="H917" s="26" t="s">
        <v>57</v>
      </c>
      <c r="I917" s="26" t="s">
        <v>58</v>
      </c>
      <c r="J917" s="26" t="s">
        <v>56</v>
      </c>
      <c r="K917" s="27"/>
      <c r="L917" s="28" t="s">
        <v>57</v>
      </c>
      <c r="M917" s="29" t="str">
        <f t="shared" si="70"/>
        <v>✓ OK</v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3151</v>
      </c>
      <c r="C918" s="44" t="s">
        <v>3152</v>
      </c>
      <c r="D918" s="42" t="s">
        <v>2294</v>
      </c>
      <c r="E918" s="45">
        <v>46132</v>
      </c>
      <c r="F918" s="26" t="s">
        <v>55</v>
      </c>
      <c r="G918" s="26" t="s">
        <v>56</v>
      </c>
      <c r="H918" s="26" t="s">
        <v>57</v>
      </c>
      <c r="I918" s="26" t="s">
        <v>58</v>
      </c>
      <c r="J918" s="26" t="s">
        <v>56</v>
      </c>
      <c r="K918" s="27"/>
      <c r="L918" s="28" t="s">
        <v>57</v>
      </c>
      <c r="M918" s="29" t="str">
        <f t="shared" si="70"/>
        <v>✓ OK</v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3153</v>
      </c>
      <c r="C919" s="25" t="s">
        <v>3154</v>
      </c>
      <c r="D919" s="23" t="s">
        <v>2294</v>
      </c>
      <c r="E919" s="45">
        <v>46132</v>
      </c>
      <c r="F919" s="26" t="s">
        <v>55</v>
      </c>
      <c r="G919" s="26" t="s">
        <v>56</v>
      </c>
      <c r="H919" s="26" t="s">
        <v>57</v>
      </c>
      <c r="I919" s="26" t="s">
        <v>58</v>
      </c>
      <c r="J919" s="26" t="s">
        <v>56</v>
      </c>
      <c r="K919" s="27"/>
      <c r="L919" s="28" t="s">
        <v>57</v>
      </c>
      <c r="M919" s="29" t="str">
        <f t="shared" si="70"/>
        <v>✓ OK</v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3155</v>
      </c>
      <c r="C920" s="44" t="s">
        <v>3156</v>
      </c>
      <c r="D920" s="42" t="s">
        <v>2294</v>
      </c>
      <c r="E920" s="45">
        <v>46132</v>
      </c>
      <c r="F920" s="26" t="s">
        <v>55</v>
      </c>
      <c r="G920" s="26" t="s">
        <v>56</v>
      </c>
      <c r="H920" s="26" t="s">
        <v>57</v>
      </c>
      <c r="I920" s="26" t="s">
        <v>58</v>
      </c>
      <c r="J920" s="26" t="s">
        <v>56</v>
      </c>
      <c r="K920" s="27"/>
      <c r="L920" s="28" t="s">
        <v>57</v>
      </c>
      <c r="M920" s="29" t="str">
        <f t="shared" si="70"/>
        <v>✓ OK</v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3157</v>
      </c>
      <c r="C921" s="25" t="s">
        <v>3158</v>
      </c>
      <c r="D921" s="23" t="s">
        <v>2294</v>
      </c>
      <c r="E921" s="45">
        <v>46132</v>
      </c>
      <c r="F921" s="26" t="s">
        <v>55</v>
      </c>
      <c r="G921" s="26" t="s">
        <v>56</v>
      </c>
      <c r="H921" s="26" t="s">
        <v>57</v>
      </c>
      <c r="I921" s="26" t="s">
        <v>58</v>
      </c>
      <c r="J921" s="26" t="s">
        <v>56</v>
      </c>
      <c r="K921" s="27"/>
      <c r="L921" s="28" t="s">
        <v>57</v>
      </c>
      <c r="M921" s="29" t="str">
        <f t="shared" si="70"/>
        <v>✓ OK</v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3159</v>
      </c>
      <c r="C922" s="44" t="s">
        <v>3160</v>
      </c>
      <c r="D922" s="42" t="s">
        <v>2294</v>
      </c>
      <c r="E922" s="45">
        <v>46128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 t="shared" si="70"/>
        <v>✓ OK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3161</v>
      </c>
      <c r="C923" s="25" t="s">
        <v>3162</v>
      </c>
      <c r="D923" s="23" t="s">
        <v>2294</v>
      </c>
      <c r="E923" s="45">
        <v>46128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 t="shared" si="70"/>
        <v>✓ OK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3163</v>
      </c>
      <c r="C924" s="44" t="s">
        <v>3164</v>
      </c>
      <c r="D924" s="42" t="s">
        <v>2294</v>
      </c>
      <c r="E924" s="45">
        <v>46132</v>
      </c>
      <c r="F924" s="26" t="s">
        <v>55</v>
      </c>
      <c r="G924" s="26" t="s">
        <v>56</v>
      </c>
      <c r="H924" s="26" t="s">
        <v>57</v>
      </c>
      <c r="I924" s="26" t="s">
        <v>58</v>
      </c>
      <c r="J924" s="26" t="s">
        <v>56</v>
      </c>
      <c r="K924" s="27"/>
      <c r="L924" s="28" t="s">
        <v>57</v>
      </c>
      <c r="M924" s="29" t="str">
        <f t="shared" si="70"/>
        <v>✓ OK</v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3165</v>
      </c>
      <c r="C925" s="25" t="s">
        <v>3166</v>
      </c>
      <c r="D925" s="23" t="s">
        <v>2294</v>
      </c>
      <c r="E925" s="45">
        <v>46132</v>
      </c>
      <c r="F925" s="26" t="s">
        <v>55</v>
      </c>
      <c r="G925" s="26" t="s">
        <v>56</v>
      </c>
      <c r="H925" s="26" t="s">
        <v>57</v>
      </c>
      <c r="I925" s="26" t="s">
        <v>58</v>
      </c>
      <c r="J925" s="26" t="s">
        <v>56</v>
      </c>
      <c r="K925" s="27"/>
      <c r="L925" s="28" t="s">
        <v>57</v>
      </c>
      <c r="M925" s="29" t="str">
        <f t="shared" si="70"/>
        <v>✓ OK</v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3167</v>
      </c>
      <c r="C926" s="44" t="s">
        <v>3168</v>
      </c>
      <c r="D926" s="42" t="s">
        <v>2294</v>
      </c>
      <c r="E926" s="45">
        <v>46132</v>
      </c>
      <c r="F926" s="26" t="s">
        <v>55</v>
      </c>
      <c r="G926" s="26" t="s">
        <v>56</v>
      </c>
      <c r="H926" s="26" t="s">
        <v>57</v>
      </c>
      <c r="I926" s="26" t="s">
        <v>58</v>
      </c>
      <c r="J926" s="26" t="s">
        <v>56</v>
      </c>
      <c r="K926" s="27"/>
      <c r="L926" s="28" t="s">
        <v>57</v>
      </c>
      <c r="M926" s="29" t="str">
        <f t="shared" si="70"/>
        <v>✓ OK</v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3169</v>
      </c>
      <c r="C927" s="25" t="s">
        <v>3170</v>
      </c>
      <c r="D927" s="23" t="s">
        <v>2294</v>
      </c>
      <c r="E927" s="45">
        <v>46132</v>
      </c>
      <c r="F927" s="26" t="s">
        <v>55</v>
      </c>
      <c r="G927" s="26" t="s">
        <v>56</v>
      </c>
      <c r="H927" s="26" t="s">
        <v>57</v>
      </c>
      <c r="I927" s="26" t="s">
        <v>58</v>
      </c>
      <c r="J927" s="26" t="s">
        <v>56</v>
      </c>
      <c r="K927" s="27"/>
      <c r="L927" s="28" t="s">
        <v>57</v>
      </c>
      <c r="M927" s="29" t="str">
        <f t="shared" si="70"/>
        <v>✓ OK</v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3171</v>
      </c>
      <c r="C928" s="44" t="s">
        <v>3172</v>
      </c>
      <c r="D928" s="42" t="s">
        <v>2294</v>
      </c>
      <c r="E928" s="45">
        <v>46132</v>
      </c>
      <c r="F928" s="26" t="s">
        <v>55</v>
      </c>
      <c r="G928" s="26" t="s">
        <v>56</v>
      </c>
      <c r="H928" s="26" t="s">
        <v>57</v>
      </c>
      <c r="I928" s="26" t="s">
        <v>58</v>
      </c>
      <c r="J928" s="26" t="s">
        <v>56</v>
      </c>
      <c r="K928" s="27"/>
      <c r="L928" s="28" t="s">
        <v>57</v>
      </c>
      <c r="M928" s="29" t="str">
        <f t="shared" si="70"/>
        <v>✓ OK</v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3173</v>
      </c>
      <c r="C929" s="25" t="s">
        <v>3174</v>
      </c>
      <c r="D929" s="23" t="s">
        <v>2294</v>
      </c>
      <c r="E929" s="45">
        <v>46129</v>
      </c>
      <c r="F929" s="26" t="s">
        <v>55</v>
      </c>
      <c r="G929" s="26" t="s">
        <v>56</v>
      </c>
      <c r="H929" s="26" t="s">
        <v>57</v>
      </c>
      <c r="I929" s="26" t="s">
        <v>58</v>
      </c>
      <c r="J929" s="26" t="s">
        <v>56</v>
      </c>
      <c r="K929" s="27"/>
      <c r="L929" s="28" t="s">
        <v>57</v>
      </c>
      <c r="M929" s="29" t="str">
        <f t="shared" si="70"/>
        <v>✓ OK</v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3175</v>
      </c>
      <c r="C930" s="44" t="s">
        <v>3176</v>
      </c>
      <c r="D930" s="42" t="s">
        <v>2294</v>
      </c>
      <c r="E930" s="45">
        <v>46129</v>
      </c>
      <c r="F930" s="26" t="s">
        <v>55</v>
      </c>
      <c r="G930" s="26" t="s">
        <v>56</v>
      </c>
      <c r="H930" s="26" t="s">
        <v>57</v>
      </c>
      <c r="I930" s="26" t="s">
        <v>58</v>
      </c>
      <c r="J930" s="26" t="s">
        <v>56</v>
      </c>
      <c r="K930" s="27"/>
      <c r="L930" s="28" t="s">
        <v>57</v>
      </c>
      <c r="M930" s="29" t="str">
        <f t="shared" si="70"/>
        <v>✓ OK</v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3177</v>
      </c>
      <c r="C931" s="25" t="s">
        <v>3178</v>
      </c>
      <c r="D931" s="23" t="s">
        <v>2294</v>
      </c>
      <c r="E931" s="45">
        <v>46132</v>
      </c>
      <c r="F931" s="26" t="s">
        <v>55</v>
      </c>
      <c r="G931" s="26" t="s">
        <v>56</v>
      </c>
      <c r="H931" s="26" t="s">
        <v>57</v>
      </c>
      <c r="I931" s="26" t="s">
        <v>58</v>
      </c>
      <c r="J931" s="26" t="s">
        <v>56</v>
      </c>
      <c r="K931" s="27"/>
      <c r="L931" s="28" t="s">
        <v>57</v>
      </c>
      <c r="M931" s="29" t="str">
        <f t="shared" si="70"/>
        <v>✓ OK</v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3179</v>
      </c>
      <c r="C932" s="44" t="s">
        <v>3180</v>
      </c>
      <c r="D932" s="42" t="s">
        <v>2294</v>
      </c>
      <c r="E932" s="45">
        <v>46132</v>
      </c>
      <c r="F932" s="26" t="s">
        <v>55</v>
      </c>
      <c r="G932" s="26" t="s">
        <v>56</v>
      </c>
      <c r="H932" s="26" t="s">
        <v>57</v>
      </c>
      <c r="I932" s="26" t="s">
        <v>58</v>
      </c>
      <c r="J932" s="26" t="s">
        <v>56</v>
      </c>
      <c r="K932" s="27"/>
      <c r="L932" s="28" t="s">
        <v>57</v>
      </c>
      <c r="M932" s="29" t="str">
        <f t="shared" si="70"/>
        <v>✓ OK</v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3181</v>
      </c>
      <c r="C933" s="25" t="s">
        <v>3182</v>
      </c>
      <c r="D933" s="23" t="s">
        <v>2294</v>
      </c>
      <c r="E933" s="45">
        <v>46129</v>
      </c>
      <c r="F933" s="26" t="s">
        <v>55</v>
      </c>
      <c r="G933" s="26" t="s">
        <v>56</v>
      </c>
      <c r="H933" s="26" t="s">
        <v>57</v>
      </c>
      <c r="I933" s="26" t="s">
        <v>58</v>
      </c>
      <c r="J933" s="26" t="s">
        <v>56</v>
      </c>
      <c r="K933" s="27"/>
      <c r="L933" s="28" t="s">
        <v>57</v>
      </c>
      <c r="M933" s="29" t="str">
        <f t="shared" si="70"/>
        <v>✓ OK</v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3183</v>
      </c>
      <c r="C934" s="44" t="s">
        <v>3184</v>
      </c>
      <c r="D934" s="42" t="s">
        <v>2294</v>
      </c>
      <c r="E934" s="45">
        <v>46129</v>
      </c>
      <c r="F934" s="26" t="s">
        <v>55</v>
      </c>
      <c r="G934" s="26" t="s">
        <v>56</v>
      </c>
      <c r="H934" s="26" t="s">
        <v>57</v>
      </c>
      <c r="I934" s="26" t="s">
        <v>58</v>
      </c>
      <c r="J934" s="26" t="s">
        <v>56</v>
      </c>
      <c r="K934" s="27"/>
      <c r="L934" s="28" t="s">
        <v>57</v>
      </c>
      <c r="M934" s="29" t="str">
        <f t="shared" si="70"/>
        <v>✓ OK</v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3185</v>
      </c>
      <c r="C935" s="25" t="s">
        <v>3186</v>
      </c>
      <c r="D935" s="23" t="s">
        <v>2294</v>
      </c>
      <c r="E935" s="45">
        <v>46128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 t="shared" si="70"/>
        <v>✓ OK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3187</v>
      </c>
      <c r="C936" s="44" t="s">
        <v>3188</v>
      </c>
      <c r="D936" s="42" t="s">
        <v>2294</v>
      </c>
      <c r="E936" s="45">
        <v>46128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 t="shared" si="70"/>
        <v>✓ OK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3189</v>
      </c>
      <c r="C937" s="25" t="s">
        <v>3190</v>
      </c>
      <c r="D937" s="23" t="s">
        <v>2294</v>
      </c>
      <c r="E937" s="45">
        <v>46132</v>
      </c>
      <c r="F937" s="26" t="s">
        <v>55</v>
      </c>
      <c r="G937" s="26" t="s">
        <v>56</v>
      </c>
      <c r="H937" s="26" t="s">
        <v>57</v>
      </c>
      <c r="I937" s="26" t="s">
        <v>58</v>
      </c>
      <c r="J937" s="26" t="s">
        <v>56</v>
      </c>
      <c r="K937" s="27"/>
      <c r="L937" s="28" t="s">
        <v>57</v>
      </c>
      <c r="M937" s="29" t="str">
        <f t="shared" si="70"/>
        <v>✓ OK</v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3191</v>
      </c>
      <c r="C938" s="44" t="s">
        <v>3192</v>
      </c>
      <c r="D938" s="42" t="s">
        <v>2294</v>
      </c>
      <c r="E938" s="45">
        <v>46132</v>
      </c>
      <c r="F938" s="26" t="s">
        <v>55</v>
      </c>
      <c r="G938" s="26" t="s">
        <v>56</v>
      </c>
      <c r="H938" s="26" t="s">
        <v>57</v>
      </c>
      <c r="I938" s="26" t="s">
        <v>58</v>
      </c>
      <c r="J938" s="26" t="s">
        <v>56</v>
      </c>
      <c r="K938" s="27"/>
      <c r="L938" s="28" t="s">
        <v>57</v>
      </c>
      <c r="M938" s="29" t="str">
        <f t="shared" si="70"/>
        <v>✓ OK</v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3193</v>
      </c>
      <c r="C939" s="25" t="s">
        <v>3194</v>
      </c>
      <c r="D939" s="23" t="s">
        <v>2294</v>
      </c>
      <c r="E939" s="45">
        <v>46132</v>
      </c>
      <c r="F939" s="26" t="s">
        <v>55</v>
      </c>
      <c r="G939" s="26" t="s">
        <v>56</v>
      </c>
      <c r="H939" s="26" t="s">
        <v>57</v>
      </c>
      <c r="I939" s="26" t="s">
        <v>58</v>
      </c>
      <c r="J939" s="26" t="s">
        <v>56</v>
      </c>
      <c r="K939" s="27"/>
      <c r="L939" s="28" t="s">
        <v>57</v>
      </c>
      <c r="M939" s="29" t="str">
        <f t="shared" si="70"/>
        <v>✓ OK</v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3195</v>
      </c>
      <c r="C940" s="44" t="s">
        <v>3196</v>
      </c>
      <c r="D940" s="42" t="s">
        <v>2294</v>
      </c>
      <c r="E940" s="45">
        <v>46132</v>
      </c>
      <c r="F940" s="26" t="s">
        <v>55</v>
      </c>
      <c r="G940" s="26" t="s">
        <v>56</v>
      </c>
      <c r="H940" s="26" t="s">
        <v>57</v>
      </c>
      <c r="I940" s="26" t="s">
        <v>58</v>
      </c>
      <c r="J940" s="26" t="s">
        <v>56</v>
      </c>
      <c r="K940" s="27"/>
      <c r="L940" s="28" t="s">
        <v>57</v>
      </c>
      <c r="M940" s="29" t="str">
        <f t="shared" si="70"/>
        <v>✓ OK</v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3197</v>
      </c>
      <c r="C941" s="25" t="s">
        <v>3198</v>
      </c>
      <c r="D941" s="23" t="s">
        <v>2294</v>
      </c>
      <c r="E941" s="45">
        <v>46128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 t="shared" si="70"/>
        <v>✓ OK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3199</v>
      </c>
      <c r="C942" s="44" t="s">
        <v>3200</v>
      </c>
      <c r="D942" s="42" t="s">
        <v>2294</v>
      </c>
      <c r="E942" s="45">
        <v>46128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 t="shared" si="70"/>
        <v>✓ OK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3201</v>
      </c>
      <c r="C943" s="25" t="s">
        <v>3202</v>
      </c>
      <c r="D943" s="23" t="s">
        <v>2294</v>
      </c>
      <c r="E943" s="45">
        <v>46132</v>
      </c>
      <c r="F943" s="26" t="s">
        <v>55</v>
      </c>
      <c r="G943" s="26" t="s">
        <v>56</v>
      </c>
      <c r="H943" s="26" t="s">
        <v>57</v>
      </c>
      <c r="I943" s="26" t="s">
        <v>58</v>
      </c>
      <c r="J943" s="26" t="s">
        <v>56</v>
      </c>
      <c r="K943" s="27"/>
      <c r="L943" s="28" t="s">
        <v>57</v>
      </c>
      <c r="M943" s="29" t="str">
        <f t="shared" si="70"/>
        <v>✓ OK</v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3203</v>
      </c>
      <c r="C944" s="44" t="s">
        <v>3204</v>
      </c>
      <c r="D944" s="42" t="s">
        <v>2294</v>
      </c>
      <c r="E944" s="45">
        <v>46132</v>
      </c>
      <c r="F944" s="26" t="s">
        <v>55</v>
      </c>
      <c r="G944" s="26" t="s">
        <v>56</v>
      </c>
      <c r="H944" s="26" t="s">
        <v>57</v>
      </c>
      <c r="I944" s="26" t="s">
        <v>58</v>
      </c>
      <c r="J944" s="26" t="s">
        <v>56</v>
      </c>
      <c r="K944" s="27"/>
      <c r="L944" s="28" t="s">
        <v>57</v>
      </c>
      <c r="M944" s="29" t="str">
        <f t="shared" si="70"/>
        <v>✓ OK</v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3205</v>
      </c>
      <c r="C945" s="25" t="s">
        <v>3206</v>
      </c>
      <c r="D945" s="23" t="s">
        <v>2294</v>
      </c>
      <c r="E945" s="45">
        <v>46128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 t="shared" si="70"/>
        <v>✓ OK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3207</v>
      </c>
      <c r="C946" s="44" t="s">
        <v>3208</v>
      </c>
      <c r="D946" s="42" t="s">
        <v>2294</v>
      </c>
      <c r="E946" s="45">
        <v>46129</v>
      </c>
      <c r="F946" s="26" t="s">
        <v>55</v>
      </c>
      <c r="G946" s="26" t="s">
        <v>56</v>
      </c>
      <c r="H946" s="26" t="s">
        <v>57</v>
      </c>
      <c r="I946" s="26" t="s">
        <v>58</v>
      </c>
      <c r="J946" s="26" t="s">
        <v>56</v>
      </c>
      <c r="K946" s="27"/>
      <c r="L946" s="28" t="s">
        <v>57</v>
      </c>
      <c r="M946" s="29" t="str">
        <f t="shared" si="70"/>
        <v>✓ OK</v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3209</v>
      </c>
      <c r="C947" s="25" t="s">
        <v>3210</v>
      </c>
      <c r="D947" s="23" t="s">
        <v>2294</v>
      </c>
      <c r="E947" s="45">
        <v>46132</v>
      </c>
      <c r="F947" s="26" t="s">
        <v>55</v>
      </c>
      <c r="G947" s="26" t="s">
        <v>56</v>
      </c>
      <c r="H947" s="26" t="s">
        <v>57</v>
      </c>
      <c r="I947" s="26" t="s">
        <v>58</v>
      </c>
      <c r="J947" s="26" t="s">
        <v>56</v>
      </c>
      <c r="K947" s="27"/>
      <c r="L947" s="28" t="s">
        <v>57</v>
      </c>
      <c r="M947" s="29" t="str">
        <f t="shared" si="70"/>
        <v>✓ OK</v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3211</v>
      </c>
      <c r="C948" s="44" t="s">
        <v>3212</v>
      </c>
      <c r="D948" s="42" t="s">
        <v>2294</v>
      </c>
      <c r="E948" s="45">
        <v>46132</v>
      </c>
      <c r="F948" s="26" t="s">
        <v>55</v>
      </c>
      <c r="G948" s="26" t="s">
        <v>56</v>
      </c>
      <c r="H948" s="26" t="s">
        <v>57</v>
      </c>
      <c r="I948" s="26" t="s">
        <v>58</v>
      </c>
      <c r="J948" s="26" t="s">
        <v>56</v>
      </c>
      <c r="K948" s="27"/>
      <c r="L948" s="28" t="s">
        <v>57</v>
      </c>
      <c r="M948" s="29" t="str">
        <f t="shared" si="70"/>
        <v>✓ OK</v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3213</v>
      </c>
      <c r="C949" s="25" t="s">
        <v>3214</v>
      </c>
      <c r="D949" s="23" t="s">
        <v>2294</v>
      </c>
      <c r="E949" s="45">
        <v>46128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 t="shared" si="70"/>
        <v>✓ OK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3215</v>
      </c>
      <c r="C950" s="44" t="s">
        <v>3216</v>
      </c>
      <c r="D950" s="42" t="s">
        <v>2294</v>
      </c>
      <c r="E950" s="45">
        <v>46129</v>
      </c>
      <c r="F950" s="26" t="s">
        <v>55</v>
      </c>
      <c r="G950" s="26" t="s">
        <v>56</v>
      </c>
      <c r="H950" s="26" t="s">
        <v>57</v>
      </c>
      <c r="I950" s="26" t="s">
        <v>58</v>
      </c>
      <c r="J950" s="26" t="s">
        <v>56</v>
      </c>
      <c r="K950" s="27"/>
      <c r="L950" s="28" t="s">
        <v>57</v>
      </c>
      <c r="M950" s="29" t="str">
        <f t="shared" si="70"/>
        <v>✓ OK</v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3217</v>
      </c>
      <c r="C951" s="25" t="s">
        <v>3218</v>
      </c>
      <c r="D951" s="23" t="s">
        <v>2294</v>
      </c>
      <c r="E951" s="45">
        <v>46129</v>
      </c>
      <c r="F951" s="26" t="s">
        <v>55</v>
      </c>
      <c r="G951" s="26" t="s">
        <v>56</v>
      </c>
      <c r="H951" s="26" t="s">
        <v>57</v>
      </c>
      <c r="I951" s="26" t="s">
        <v>58</v>
      </c>
      <c r="J951" s="26" t="s">
        <v>56</v>
      </c>
      <c r="K951" s="27"/>
      <c r="L951" s="28" t="s">
        <v>57</v>
      </c>
      <c r="M951" s="29" t="str">
        <f t="shared" si="70"/>
        <v>✓ OK</v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3219</v>
      </c>
      <c r="C952" s="44" t="s">
        <v>3220</v>
      </c>
      <c r="D952" s="42" t="s">
        <v>2294</v>
      </c>
      <c r="E952" s="45">
        <v>46128</v>
      </c>
      <c r="F952" s="26" t="s">
        <v>55</v>
      </c>
      <c r="G952" s="26" t="s">
        <v>56</v>
      </c>
      <c r="H952" s="26" t="s">
        <v>57</v>
      </c>
      <c r="I952" s="26" t="s">
        <v>58</v>
      </c>
      <c r="J952" s="26" t="s">
        <v>56</v>
      </c>
      <c r="K952" s="27"/>
      <c r="L952" s="28" t="s">
        <v>57</v>
      </c>
      <c r="M952" s="29" t="str">
        <f t="shared" si="70"/>
        <v>✓ OK</v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3221</v>
      </c>
      <c r="C953" s="25" t="s">
        <v>3222</v>
      </c>
      <c r="D953" s="23" t="s">
        <v>2294</v>
      </c>
      <c r="E953" s="45">
        <v>46128</v>
      </c>
      <c r="F953" s="26" t="s">
        <v>55</v>
      </c>
      <c r="G953" s="26" t="s">
        <v>56</v>
      </c>
      <c r="H953" s="26" t="s">
        <v>57</v>
      </c>
      <c r="I953" s="26" t="s">
        <v>58</v>
      </c>
      <c r="J953" s="26" t="s">
        <v>56</v>
      </c>
      <c r="K953" s="27"/>
      <c r="L953" s="28" t="s">
        <v>57</v>
      </c>
      <c r="M953" s="29" t="str">
        <f t="shared" si="70"/>
        <v>✓ OK</v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3223</v>
      </c>
      <c r="C954" s="44" t="s">
        <v>3224</v>
      </c>
      <c r="D954" s="42" t="s">
        <v>2294</v>
      </c>
      <c r="E954" s="45">
        <v>46128</v>
      </c>
      <c r="F954" s="26" t="s">
        <v>55</v>
      </c>
      <c r="G954" s="26" t="s">
        <v>56</v>
      </c>
      <c r="H954" s="26" t="s">
        <v>57</v>
      </c>
      <c r="I954" s="26" t="s">
        <v>58</v>
      </c>
      <c r="J954" s="26" t="s">
        <v>56</v>
      </c>
      <c r="K954" s="27"/>
      <c r="L954" s="28" t="s">
        <v>57</v>
      </c>
      <c r="M954" s="29" t="str">
        <f t="shared" si="70"/>
        <v>✓ OK</v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3225</v>
      </c>
      <c r="C955" s="25" t="s">
        <v>3226</v>
      </c>
      <c r="D955" s="23" t="s">
        <v>2294</v>
      </c>
      <c r="E955" s="45">
        <v>46128</v>
      </c>
      <c r="F955" s="26" t="s">
        <v>55</v>
      </c>
      <c r="G955" s="26" t="s">
        <v>56</v>
      </c>
      <c r="H955" s="26" t="s">
        <v>57</v>
      </c>
      <c r="I955" s="26" t="s">
        <v>58</v>
      </c>
      <c r="J955" s="26" t="s">
        <v>56</v>
      </c>
      <c r="K955" s="27"/>
      <c r="L955" s="28" t="s">
        <v>57</v>
      </c>
      <c r="M955" s="29" t="str">
        <f t="shared" si="70"/>
        <v>✓ OK</v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3227</v>
      </c>
      <c r="C956" s="44" t="s">
        <v>3228</v>
      </c>
      <c r="D956" s="42" t="s">
        <v>2294</v>
      </c>
      <c r="E956" s="45">
        <v>46128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 t="shared" si="70"/>
        <v>✓ OK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3229</v>
      </c>
      <c r="C957" s="25" t="s">
        <v>3230</v>
      </c>
      <c r="D957" s="23" t="s">
        <v>2294</v>
      </c>
      <c r="E957" s="45">
        <v>46128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 t="shared" si="70"/>
        <v>✓ OK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3231</v>
      </c>
      <c r="C958" s="44" t="s">
        <v>3232</v>
      </c>
      <c r="D958" s="42" t="s">
        <v>2294</v>
      </c>
      <c r="E958" s="45">
        <v>46128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 t="shared" si="70"/>
        <v>✓ OK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3233</v>
      </c>
      <c r="C959" s="25" t="s">
        <v>3234</v>
      </c>
      <c r="D959" s="23" t="s">
        <v>2294</v>
      </c>
      <c r="E959" s="45">
        <v>46132</v>
      </c>
      <c r="F959" s="26" t="s">
        <v>55</v>
      </c>
      <c r="G959" s="26" t="s">
        <v>56</v>
      </c>
      <c r="H959" s="26" t="s">
        <v>57</v>
      </c>
      <c r="I959" s="26" t="s">
        <v>58</v>
      </c>
      <c r="J959" s="26" t="s">
        <v>56</v>
      </c>
      <c r="K959" s="27"/>
      <c r="L959" s="28" t="s">
        <v>57</v>
      </c>
      <c r="M959" s="29" t="str">
        <f t="shared" si="70"/>
        <v>✓ OK</v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3235</v>
      </c>
      <c r="C960" s="44" t="s">
        <v>3236</v>
      </c>
      <c r="D960" s="42" t="s">
        <v>2294</v>
      </c>
      <c r="E960" s="45">
        <v>46132</v>
      </c>
      <c r="F960" s="26" t="s">
        <v>55</v>
      </c>
      <c r="G960" s="26" t="s">
        <v>56</v>
      </c>
      <c r="H960" s="26" t="s">
        <v>57</v>
      </c>
      <c r="I960" s="26" t="s">
        <v>58</v>
      </c>
      <c r="J960" s="26" t="s">
        <v>56</v>
      </c>
      <c r="K960" s="27"/>
      <c r="L960" s="28" t="s">
        <v>57</v>
      </c>
      <c r="M960" s="29" t="str">
        <f t="shared" si="70"/>
        <v>✓ OK</v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3237</v>
      </c>
      <c r="C961" s="25" t="s">
        <v>3238</v>
      </c>
      <c r="D961" s="23" t="s">
        <v>2294</v>
      </c>
      <c r="E961" s="45">
        <v>46129</v>
      </c>
      <c r="F961" s="26" t="s">
        <v>55</v>
      </c>
      <c r="G961" s="26" t="s">
        <v>56</v>
      </c>
      <c r="H961" s="26" t="s">
        <v>57</v>
      </c>
      <c r="I961" s="26" t="s">
        <v>58</v>
      </c>
      <c r="J961" s="26" t="s">
        <v>56</v>
      </c>
      <c r="K961" s="27"/>
      <c r="L961" s="28" t="s">
        <v>57</v>
      </c>
      <c r="M961" s="29" t="str">
        <f t="shared" si="70"/>
        <v>✓ OK</v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3239</v>
      </c>
      <c r="C962" s="44" t="s">
        <v>3240</v>
      </c>
      <c r="D962" s="42" t="s">
        <v>2294</v>
      </c>
      <c r="E962" s="45">
        <v>46129</v>
      </c>
      <c r="F962" s="26" t="s">
        <v>55</v>
      </c>
      <c r="G962" s="26" t="s">
        <v>56</v>
      </c>
      <c r="H962" s="26" t="s">
        <v>57</v>
      </c>
      <c r="I962" s="26" t="s">
        <v>58</v>
      </c>
      <c r="J962" s="26" t="s">
        <v>56</v>
      </c>
      <c r="K962" s="27"/>
      <c r="L962" s="28" t="s">
        <v>57</v>
      </c>
      <c r="M962" s="29" t="str">
        <f t="shared" si="70"/>
        <v>✓ OK</v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3241</v>
      </c>
      <c r="C963" s="25" t="s">
        <v>3242</v>
      </c>
      <c r="D963" s="23" t="s">
        <v>2294</v>
      </c>
      <c r="E963" s="45">
        <v>46129</v>
      </c>
      <c r="F963" s="26" t="s">
        <v>55</v>
      </c>
      <c r="G963" s="26" t="s">
        <v>56</v>
      </c>
      <c r="H963" s="26" t="s">
        <v>57</v>
      </c>
      <c r="I963" s="26" t="s">
        <v>58</v>
      </c>
      <c r="J963" s="26" t="s">
        <v>56</v>
      </c>
      <c r="K963" s="27"/>
      <c r="L963" s="28" t="s">
        <v>57</v>
      </c>
      <c r="M963" s="29" t="str">
        <f t="shared" si="70"/>
        <v>✓ OK</v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3243</v>
      </c>
      <c r="C964" s="44" t="s">
        <v>3244</v>
      </c>
      <c r="D964" s="42" t="s">
        <v>2294</v>
      </c>
      <c r="E964" s="45">
        <v>46129</v>
      </c>
      <c r="F964" s="26" t="s">
        <v>55</v>
      </c>
      <c r="G964" s="26" t="s">
        <v>56</v>
      </c>
      <c r="H964" s="26" t="s">
        <v>57</v>
      </c>
      <c r="I964" s="26" t="s">
        <v>58</v>
      </c>
      <c r="J964" s="26" t="s">
        <v>56</v>
      </c>
      <c r="K964" s="27"/>
      <c r="L964" s="28" t="s">
        <v>57</v>
      </c>
      <c r="M964" s="29" t="str">
        <f t="shared" si="70"/>
        <v>✓ OK</v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3245</v>
      </c>
      <c r="C965" s="25" t="s">
        <v>3246</v>
      </c>
      <c r="D965" s="23" t="s">
        <v>2294</v>
      </c>
      <c r="E965" s="45">
        <v>46128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 t="shared" ref="M965:M1028" si="75">IF(E965="","",IF(H965="Yes","❌ Disc",IF(G965="No","⚠ Missing",IF(J965="Yes","✓ OK","⚠ Check"))))</f>
        <v>✓ OK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3247</v>
      </c>
      <c r="C966" s="44" t="s">
        <v>3248</v>
      </c>
      <c r="D966" s="42" t="s">
        <v>2294</v>
      </c>
      <c r="E966" s="45">
        <v>46128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 t="shared" si="75"/>
        <v>✓ OK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3249</v>
      </c>
      <c r="C967" s="25" t="s">
        <v>3250</v>
      </c>
      <c r="D967" s="23" t="s">
        <v>2294</v>
      </c>
      <c r="E967" s="45">
        <v>46132</v>
      </c>
      <c r="F967" s="26" t="s">
        <v>55</v>
      </c>
      <c r="G967" s="26" t="s">
        <v>56</v>
      </c>
      <c r="H967" s="26" t="s">
        <v>57</v>
      </c>
      <c r="I967" s="26" t="s">
        <v>58</v>
      </c>
      <c r="J967" s="26" t="s">
        <v>56</v>
      </c>
      <c r="K967" s="27"/>
      <c r="L967" s="28" t="s">
        <v>57</v>
      </c>
      <c r="M967" s="29" t="str">
        <f t="shared" si="75"/>
        <v>✓ OK</v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3251</v>
      </c>
      <c r="C968" s="44" t="s">
        <v>3252</v>
      </c>
      <c r="D968" s="42" t="s">
        <v>2294</v>
      </c>
      <c r="E968" s="45">
        <v>46128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 t="shared" si="75"/>
        <v>✓ OK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3253</v>
      </c>
      <c r="C969" s="25" t="s">
        <v>3254</v>
      </c>
      <c r="D969" s="23" t="s">
        <v>2294</v>
      </c>
      <c r="E969" s="45">
        <v>46132</v>
      </c>
      <c r="F969" s="26" t="s">
        <v>55</v>
      </c>
      <c r="G969" s="26" t="s">
        <v>56</v>
      </c>
      <c r="H969" s="26" t="s">
        <v>57</v>
      </c>
      <c r="I969" s="26" t="s">
        <v>58</v>
      </c>
      <c r="J969" s="26" t="s">
        <v>56</v>
      </c>
      <c r="K969" s="27"/>
      <c r="L969" s="28" t="s">
        <v>57</v>
      </c>
      <c r="M969" s="29" t="str">
        <f t="shared" si="75"/>
        <v>✓ OK</v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3255</v>
      </c>
      <c r="C970" s="44" t="s">
        <v>3256</v>
      </c>
      <c r="D970" s="42" t="s">
        <v>2294</v>
      </c>
      <c r="E970" s="45">
        <v>46132</v>
      </c>
      <c r="F970" s="26" t="s">
        <v>55</v>
      </c>
      <c r="G970" s="26" t="s">
        <v>56</v>
      </c>
      <c r="H970" s="26" t="s">
        <v>57</v>
      </c>
      <c r="I970" s="26" t="s">
        <v>58</v>
      </c>
      <c r="J970" s="26" t="s">
        <v>56</v>
      </c>
      <c r="K970" s="27"/>
      <c r="L970" s="28" t="s">
        <v>57</v>
      </c>
      <c r="M970" s="29" t="str">
        <f t="shared" si="75"/>
        <v>✓ OK</v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3257</v>
      </c>
      <c r="C971" s="25" t="s">
        <v>3258</v>
      </c>
      <c r="D971" s="23" t="s">
        <v>2294</v>
      </c>
      <c r="E971" s="45">
        <v>46128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 t="shared" si="75"/>
        <v>✓ OK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3259</v>
      </c>
      <c r="C972" s="44" t="s">
        <v>3260</v>
      </c>
      <c r="D972" s="42" t="s">
        <v>2294</v>
      </c>
      <c r="E972" s="45">
        <v>46128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 t="shared" si="75"/>
        <v>✓ OK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3261</v>
      </c>
      <c r="C973" s="25" t="s">
        <v>3262</v>
      </c>
      <c r="D973" s="23" t="s">
        <v>2294</v>
      </c>
      <c r="E973" s="45">
        <v>46128</v>
      </c>
      <c r="F973" s="26" t="s">
        <v>55</v>
      </c>
      <c r="G973" s="26" t="s">
        <v>56</v>
      </c>
      <c r="H973" s="26" t="s">
        <v>57</v>
      </c>
      <c r="I973" s="26" t="s">
        <v>58</v>
      </c>
      <c r="J973" s="26" t="s">
        <v>56</v>
      </c>
      <c r="K973" s="27"/>
      <c r="L973" s="28" t="s">
        <v>57</v>
      </c>
      <c r="M973" s="29" t="str">
        <f t="shared" si="75"/>
        <v>✓ OK</v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3263</v>
      </c>
      <c r="C974" s="44" t="s">
        <v>3264</v>
      </c>
      <c r="D974" s="42" t="s">
        <v>2294</v>
      </c>
      <c r="E974" s="45">
        <v>46128</v>
      </c>
      <c r="F974" s="26" t="s">
        <v>55</v>
      </c>
      <c r="G974" s="26" t="s">
        <v>56</v>
      </c>
      <c r="H974" s="26" t="s">
        <v>57</v>
      </c>
      <c r="I974" s="26" t="s">
        <v>58</v>
      </c>
      <c r="J974" s="26" t="s">
        <v>56</v>
      </c>
      <c r="K974" s="27"/>
      <c r="L974" s="28" t="s">
        <v>57</v>
      </c>
      <c r="M974" s="29" t="str">
        <f t="shared" si="75"/>
        <v>✓ OK</v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3265</v>
      </c>
      <c r="C975" s="25" t="s">
        <v>3266</v>
      </c>
      <c r="D975" s="23" t="s">
        <v>2294</v>
      </c>
      <c r="E975" s="45">
        <v>46129</v>
      </c>
      <c r="F975" s="26" t="s">
        <v>55</v>
      </c>
      <c r="G975" s="26" t="s">
        <v>56</v>
      </c>
      <c r="H975" s="26" t="s">
        <v>57</v>
      </c>
      <c r="I975" s="26" t="s">
        <v>58</v>
      </c>
      <c r="J975" s="26" t="s">
        <v>56</v>
      </c>
      <c r="K975" s="27"/>
      <c r="L975" s="28" t="s">
        <v>57</v>
      </c>
      <c r="M975" s="29" t="str">
        <f t="shared" si="75"/>
        <v>✓ OK</v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3267</v>
      </c>
      <c r="C976" s="44" t="s">
        <v>3268</v>
      </c>
      <c r="D976" s="42" t="s">
        <v>2294</v>
      </c>
      <c r="E976" s="45">
        <v>46129</v>
      </c>
      <c r="F976" s="26" t="s">
        <v>55</v>
      </c>
      <c r="G976" s="26" t="s">
        <v>56</v>
      </c>
      <c r="H976" s="26" t="s">
        <v>57</v>
      </c>
      <c r="I976" s="26" t="s">
        <v>58</v>
      </c>
      <c r="J976" s="26" t="s">
        <v>56</v>
      </c>
      <c r="K976" s="27"/>
      <c r="L976" s="28" t="s">
        <v>57</v>
      </c>
      <c r="M976" s="29" t="str">
        <f t="shared" si="75"/>
        <v>✓ OK</v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3269</v>
      </c>
      <c r="C977" s="25" t="s">
        <v>3270</v>
      </c>
      <c r="D977" s="23" t="s">
        <v>2294</v>
      </c>
      <c r="E977" s="45">
        <v>46128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 t="shared" si="75"/>
        <v>✓ OK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3271</v>
      </c>
      <c r="C978" s="44" t="s">
        <v>3272</v>
      </c>
      <c r="D978" s="42" t="s">
        <v>2294</v>
      </c>
      <c r="E978" s="45">
        <v>46132</v>
      </c>
      <c r="F978" s="26" t="s">
        <v>55</v>
      </c>
      <c r="G978" s="26" t="s">
        <v>56</v>
      </c>
      <c r="H978" s="26" t="s">
        <v>57</v>
      </c>
      <c r="I978" s="26" t="s">
        <v>58</v>
      </c>
      <c r="J978" s="26" t="s">
        <v>56</v>
      </c>
      <c r="K978" s="27"/>
      <c r="L978" s="28" t="s">
        <v>57</v>
      </c>
      <c r="M978" s="29" t="str">
        <f t="shared" si="75"/>
        <v>✓ OK</v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3273</v>
      </c>
      <c r="C979" s="25" t="s">
        <v>3274</v>
      </c>
      <c r="D979" s="23" t="s">
        <v>2294</v>
      </c>
      <c r="E979" s="45">
        <v>46132</v>
      </c>
      <c r="F979" s="26" t="s">
        <v>55</v>
      </c>
      <c r="G979" s="26" t="s">
        <v>56</v>
      </c>
      <c r="H979" s="26" t="s">
        <v>57</v>
      </c>
      <c r="I979" s="26" t="s">
        <v>58</v>
      </c>
      <c r="J979" s="26" t="s">
        <v>56</v>
      </c>
      <c r="K979" s="27"/>
      <c r="L979" s="28" t="s">
        <v>57</v>
      </c>
      <c r="M979" s="29" t="str">
        <f t="shared" si="75"/>
        <v>✓ OK</v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3275</v>
      </c>
      <c r="C980" s="44" t="s">
        <v>3276</v>
      </c>
      <c r="D980" s="42" t="s">
        <v>2294</v>
      </c>
      <c r="E980" s="45">
        <v>46128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 t="shared" si="75"/>
        <v>✓ OK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3277</v>
      </c>
      <c r="C981" s="25" t="s">
        <v>3278</v>
      </c>
      <c r="D981" s="23" t="s">
        <v>2294</v>
      </c>
      <c r="E981" s="45">
        <v>46128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 t="shared" si="75"/>
        <v>✓ OK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3279</v>
      </c>
      <c r="C982" s="44" t="s">
        <v>3280</v>
      </c>
      <c r="D982" s="42" t="s">
        <v>2294</v>
      </c>
      <c r="E982" s="45">
        <v>46128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 t="shared" si="75"/>
        <v>✓ OK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3281</v>
      </c>
      <c r="C983" s="25" t="s">
        <v>3282</v>
      </c>
      <c r="D983" s="23" t="s">
        <v>2294</v>
      </c>
      <c r="E983" s="45">
        <v>46132</v>
      </c>
      <c r="F983" s="26" t="s">
        <v>55</v>
      </c>
      <c r="G983" s="26" t="s">
        <v>56</v>
      </c>
      <c r="H983" s="26" t="s">
        <v>57</v>
      </c>
      <c r="I983" s="26" t="s">
        <v>58</v>
      </c>
      <c r="J983" s="26" t="s">
        <v>56</v>
      </c>
      <c r="K983" s="27"/>
      <c r="L983" s="28" t="s">
        <v>57</v>
      </c>
      <c r="M983" s="29" t="str">
        <f t="shared" si="75"/>
        <v>✓ OK</v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3283</v>
      </c>
      <c r="C984" s="44" t="s">
        <v>3284</v>
      </c>
      <c r="D984" s="42" t="s">
        <v>2294</v>
      </c>
      <c r="E984" s="45">
        <v>46132</v>
      </c>
      <c r="F984" s="26" t="s">
        <v>55</v>
      </c>
      <c r="G984" s="26" t="s">
        <v>56</v>
      </c>
      <c r="H984" s="26" t="s">
        <v>57</v>
      </c>
      <c r="I984" s="26" t="s">
        <v>58</v>
      </c>
      <c r="J984" s="26" t="s">
        <v>56</v>
      </c>
      <c r="K984" s="27"/>
      <c r="L984" s="28" t="s">
        <v>57</v>
      </c>
      <c r="M984" s="29" t="str">
        <f t="shared" si="75"/>
        <v>✓ OK</v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3285</v>
      </c>
      <c r="C985" s="25" t="s">
        <v>3286</v>
      </c>
      <c r="D985" s="23" t="s">
        <v>2294</v>
      </c>
      <c r="E985" s="45">
        <v>46129</v>
      </c>
      <c r="F985" s="26" t="s">
        <v>55</v>
      </c>
      <c r="G985" s="26" t="s">
        <v>56</v>
      </c>
      <c r="H985" s="26" t="s">
        <v>57</v>
      </c>
      <c r="I985" s="26" t="s">
        <v>58</v>
      </c>
      <c r="J985" s="26" t="s">
        <v>56</v>
      </c>
      <c r="K985" s="27"/>
      <c r="L985" s="28" t="s">
        <v>57</v>
      </c>
      <c r="M985" s="29" t="str">
        <f t="shared" si="75"/>
        <v>✓ OK</v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3287</v>
      </c>
      <c r="C986" s="44" t="s">
        <v>3288</v>
      </c>
      <c r="D986" s="42" t="s">
        <v>2294</v>
      </c>
      <c r="E986" s="45">
        <v>46129</v>
      </c>
      <c r="F986" s="26" t="s">
        <v>55</v>
      </c>
      <c r="G986" s="26" t="s">
        <v>56</v>
      </c>
      <c r="H986" s="26" t="s">
        <v>57</v>
      </c>
      <c r="I986" s="26" t="s">
        <v>58</v>
      </c>
      <c r="J986" s="26" t="s">
        <v>56</v>
      </c>
      <c r="K986" s="27"/>
      <c r="L986" s="28" t="s">
        <v>57</v>
      </c>
      <c r="M986" s="29" t="str">
        <f t="shared" si="75"/>
        <v>✓ OK</v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3289</v>
      </c>
      <c r="C987" s="25" t="s">
        <v>3290</v>
      </c>
      <c r="D987" s="23" t="s">
        <v>2294</v>
      </c>
      <c r="E987" s="45">
        <v>46128</v>
      </c>
      <c r="F987" s="26" t="s">
        <v>55</v>
      </c>
      <c r="G987" s="26" t="s">
        <v>56</v>
      </c>
      <c r="H987" s="26" t="s">
        <v>57</v>
      </c>
      <c r="I987" s="26" t="s">
        <v>58</v>
      </c>
      <c r="J987" s="26" t="s">
        <v>56</v>
      </c>
      <c r="K987" s="27"/>
      <c r="L987" s="28" t="s">
        <v>57</v>
      </c>
      <c r="M987" s="29" t="str">
        <f t="shared" si="75"/>
        <v>✓ OK</v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3291</v>
      </c>
      <c r="C988" s="44" t="s">
        <v>3292</v>
      </c>
      <c r="D988" s="42" t="s">
        <v>2294</v>
      </c>
      <c r="E988" s="45">
        <v>46128</v>
      </c>
      <c r="F988" s="26" t="s">
        <v>55</v>
      </c>
      <c r="G988" s="26" t="s">
        <v>56</v>
      </c>
      <c r="H988" s="26" t="s">
        <v>57</v>
      </c>
      <c r="I988" s="26" t="s">
        <v>58</v>
      </c>
      <c r="J988" s="26" t="s">
        <v>56</v>
      </c>
      <c r="K988" s="27"/>
      <c r="L988" s="28" t="s">
        <v>57</v>
      </c>
      <c r="M988" s="29" t="str">
        <f t="shared" si="75"/>
        <v>✓ OK</v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3293</v>
      </c>
      <c r="C989" s="25" t="s">
        <v>3294</v>
      </c>
      <c r="D989" s="23" t="s">
        <v>2294</v>
      </c>
      <c r="E989" s="45">
        <v>46132</v>
      </c>
      <c r="F989" s="26" t="s">
        <v>55</v>
      </c>
      <c r="G989" s="26" t="s">
        <v>56</v>
      </c>
      <c r="H989" s="26" t="s">
        <v>57</v>
      </c>
      <c r="I989" s="26" t="s">
        <v>58</v>
      </c>
      <c r="J989" s="26" t="s">
        <v>56</v>
      </c>
      <c r="K989" s="27"/>
      <c r="L989" s="28" t="s">
        <v>57</v>
      </c>
      <c r="M989" s="29" t="str">
        <f t="shared" si="75"/>
        <v>✓ OK</v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3295</v>
      </c>
      <c r="C990" s="44" t="s">
        <v>3296</v>
      </c>
      <c r="D990" s="42" t="s">
        <v>2294</v>
      </c>
      <c r="E990" s="45">
        <v>46132</v>
      </c>
      <c r="F990" s="26" t="s">
        <v>55</v>
      </c>
      <c r="G990" s="26" t="s">
        <v>56</v>
      </c>
      <c r="H990" s="26" t="s">
        <v>57</v>
      </c>
      <c r="I990" s="26" t="s">
        <v>58</v>
      </c>
      <c r="J990" s="26" t="s">
        <v>56</v>
      </c>
      <c r="K990" s="27"/>
      <c r="L990" s="28" t="s">
        <v>57</v>
      </c>
      <c r="M990" s="29" t="str">
        <f t="shared" si="75"/>
        <v>✓ OK</v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3297</v>
      </c>
      <c r="C991" s="25" t="s">
        <v>3298</v>
      </c>
      <c r="D991" s="23" t="s">
        <v>2294</v>
      </c>
      <c r="E991" s="45">
        <v>46132</v>
      </c>
      <c r="F991" s="26" t="s">
        <v>55</v>
      </c>
      <c r="G991" s="26" t="s">
        <v>56</v>
      </c>
      <c r="H991" s="26" t="s">
        <v>57</v>
      </c>
      <c r="I991" s="26" t="s">
        <v>58</v>
      </c>
      <c r="J991" s="26" t="s">
        <v>56</v>
      </c>
      <c r="K991" s="27"/>
      <c r="L991" s="28" t="s">
        <v>57</v>
      </c>
      <c r="M991" s="29" t="str">
        <f t="shared" si="75"/>
        <v>✓ OK</v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3299</v>
      </c>
      <c r="C992" s="44" t="s">
        <v>3300</v>
      </c>
      <c r="D992" s="42" t="s">
        <v>2294</v>
      </c>
      <c r="E992" s="45">
        <v>46132</v>
      </c>
      <c r="F992" s="26" t="s">
        <v>55</v>
      </c>
      <c r="G992" s="26" t="s">
        <v>56</v>
      </c>
      <c r="H992" s="26" t="s">
        <v>57</v>
      </c>
      <c r="I992" s="26" t="s">
        <v>58</v>
      </c>
      <c r="J992" s="26" t="s">
        <v>56</v>
      </c>
      <c r="K992" s="27"/>
      <c r="L992" s="28" t="s">
        <v>57</v>
      </c>
      <c r="M992" s="29" t="str">
        <f t="shared" si="75"/>
        <v>✓ OK</v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3301</v>
      </c>
      <c r="C993" s="25" t="s">
        <v>3302</v>
      </c>
      <c r="D993" s="23" t="s">
        <v>2294</v>
      </c>
      <c r="E993" s="45">
        <v>46128</v>
      </c>
      <c r="F993" s="26" t="s">
        <v>55</v>
      </c>
      <c r="G993" s="26" t="s">
        <v>56</v>
      </c>
      <c r="H993" s="26" t="s">
        <v>57</v>
      </c>
      <c r="I993" s="26" t="s">
        <v>58</v>
      </c>
      <c r="J993" s="26" t="s">
        <v>56</v>
      </c>
      <c r="K993" s="27"/>
      <c r="L993" s="28" t="s">
        <v>57</v>
      </c>
      <c r="M993" s="29" t="str">
        <f t="shared" si="75"/>
        <v>✓ OK</v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3303</v>
      </c>
      <c r="C994" s="44" t="s">
        <v>3304</v>
      </c>
      <c r="D994" s="42" t="s">
        <v>2294</v>
      </c>
      <c r="E994" s="45">
        <v>46128</v>
      </c>
      <c r="F994" s="26" t="s">
        <v>55</v>
      </c>
      <c r="G994" s="26" t="s">
        <v>56</v>
      </c>
      <c r="H994" s="26" t="s">
        <v>57</v>
      </c>
      <c r="I994" s="26" t="s">
        <v>58</v>
      </c>
      <c r="J994" s="26" t="s">
        <v>56</v>
      </c>
      <c r="K994" s="27"/>
      <c r="L994" s="28" t="s">
        <v>57</v>
      </c>
      <c r="M994" s="29" t="str">
        <f t="shared" si="75"/>
        <v>✓ OK</v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3305</v>
      </c>
      <c r="C995" s="25" t="s">
        <v>3306</v>
      </c>
      <c r="D995" s="23" t="s">
        <v>2294</v>
      </c>
      <c r="E995" s="45">
        <v>46132</v>
      </c>
      <c r="F995" s="26" t="s">
        <v>55</v>
      </c>
      <c r="G995" s="26" t="s">
        <v>56</v>
      </c>
      <c r="H995" s="26" t="s">
        <v>57</v>
      </c>
      <c r="I995" s="26" t="s">
        <v>58</v>
      </c>
      <c r="J995" s="26" t="s">
        <v>56</v>
      </c>
      <c r="K995" s="27"/>
      <c r="L995" s="28" t="s">
        <v>57</v>
      </c>
      <c r="M995" s="29" t="str">
        <f t="shared" si="75"/>
        <v>✓ OK</v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3307</v>
      </c>
      <c r="C996" s="44" t="s">
        <v>3308</v>
      </c>
      <c r="D996" s="42" t="s">
        <v>2294</v>
      </c>
      <c r="E996" s="45">
        <v>46132</v>
      </c>
      <c r="F996" s="26" t="s">
        <v>55</v>
      </c>
      <c r="G996" s="26" t="s">
        <v>56</v>
      </c>
      <c r="H996" s="26" t="s">
        <v>57</v>
      </c>
      <c r="I996" s="26" t="s">
        <v>58</v>
      </c>
      <c r="J996" s="26" t="s">
        <v>56</v>
      </c>
      <c r="K996" s="27"/>
      <c r="L996" s="28" t="s">
        <v>57</v>
      </c>
      <c r="M996" s="29" t="str">
        <f t="shared" si="75"/>
        <v>✓ OK</v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3309</v>
      </c>
      <c r="C997" s="25" t="s">
        <v>3310</v>
      </c>
      <c r="D997" s="23" t="s">
        <v>2294</v>
      </c>
      <c r="E997" s="45">
        <v>46129</v>
      </c>
      <c r="F997" s="26" t="s">
        <v>55</v>
      </c>
      <c r="G997" s="26" t="s">
        <v>56</v>
      </c>
      <c r="H997" s="26" t="s">
        <v>57</v>
      </c>
      <c r="I997" s="26" t="s">
        <v>58</v>
      </c>
      <c r="J997" s="26" t="s">
        <v>56</v>
      </c>
      <c r="K997" s="27"/>
      <c r="L997" s="28" t="s">
        <v>57</v>
      </c>
      <c r="M997" s="29" t="str">
        <f t="shared" si="75"/>
        <v>✓ OK</v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3311</v>
      </c>
      <c r="C998" s="44" t="s">
        <v>3312</v>
      </c>
      <c r="D998" s="42" t="s">
        <v>2294</v>
      </c>
      <c r="E998" s="45">
        <v>46129</v>
      </c>
      <c r="F998" s="26" t="s">
        <v>55</v>
      </c>
      <c r="G998" s="26" t="s">
        <v>56</v>
      </c>
      <c r="H998" s="26" t="s">
        <v>57</v>
      </c>
      <c r="I998" s="26" t="s">
        <v>58</v>
      </c>
      <c r="J998" s="26" t="s">
        <v>56</v>
      </c>
      <c r="K998" s="27"/>
      <c r="L998" s="28" t="s">
        <v>57</v>
      </c>
      <c r="M998" s="29" t="str">
        <f t="shared" si="75"/>
        <v>✓ OK</v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3313</v>
      </c>
      <c r="C999" s="25" t="s">
        <v>3314</v>
      </c>
      <c r="D999" s="23" t="s">
        <v>2294</v>
      </c>
      <c r="E999" s="45">
        <v>46129</v>
      </c>
      <c r="F999" s="26" t="s">
        <v>55</v>
      </c>
      <c r="G999" s="26" t="s">
        <v>56</v>
      </c>
      <c r="H999" s="26" t="s">
        <v>57</v>
      </c>
      <c r="I999" s="26" t="s">
        <v>58</v>
      </c>
      <c r="J999" s="26" t="s">
        <v>56</v>
      </c>
      <c r="K999" s="27"/>
      <c r="L999" s="28" t="s">
        <v>57</v>
      </c>
      <c r="M999" s="29" t="str">
        <f t="shared" si="75"/>
        <v>✓ OK</v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3315</v>
      </c>
      <c r="C1000" s="44" t="s">
        <v>3316</v>
      </c>
      <c r="D1000" s="42" t="s">
        <v>2294</v>
      </c>
      <c r="E1000" s="45">
        <v>46129</v>
      </c>
      <c r="F1000" s="26" t="s">
        <v>55</v>
      </c>
      <c r="G1000" s="26" t="s">
        <v>56</v>
      </c>
      <c r="H1000" s="26" t="s">
        <v>57</v>
      </c>
      <c r="I1000" s="26" t="s">
        <v>58</v>
      </c>
      <c r="J1000" s="26" t="s">
        <v>56</v>
      </c>
      <c r="K1000" s="27"/>
      <c r="L1000" s="28" t="s">
        <v>57</v>
      </c>
      <c r="M1000" s="29" t="str">
        <f t="shared" si="75"/>
        <v>✓ OK</v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3317</v>
      </c>
      <c r="C1001" s="25" t="s">
        <v>3318</v>
      </c>
      <c r="D1001" s="23" t="s">
        <v>2294</v>
      </c>
      <c r="E1001" s="45">
        <v>46129</v>
      </c>
      <c r="F1001" s="26" t="s">
        <v>55</v>
      </c>
      <c r="G1001" s="26" t="s">
        <v>56</v>
      </c>
      <c r="H1001" s="26" t="s">
        <v>57</v>
      </c>
      <c r="I1001" s="26" t="s">
        <v>58</v>
      </c>
      <c r="J1001" s="26" t="s">
        <v>56</v>
      </c>
      <c r="K1001" s="27"/>
      <c r="L1001" s="28" t="s">
        <v>57</v>
      </c>
      <c r="M1001" s="29" t="str">
        <f t="shared" si="75"/>
        <v>✓ OK</v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3319</v>
      </c>
      <c r="C1002" s="44" t="s">
        <v>3320</v>
      </c>
      <c r="D1002" s="42" t="s">
        <v>2294</v>
      </c>
      <c r="E1002" s="45">
        <v>46129</v>
      </c>
      <c r="F1002" s="26" t="s">
        <v>55</v>
      </c>
      <c r="G1002" s="26" t="s">
        <v>56</v>
      </c>
      <c r="H1002" s="26" t="s">
        <v>57</v>
      </c>
      <c r="I1002" s="26" t="s">
        <v>58</v>
      </c>
      <c r="J1002" s="26" t="s">
        <v>56</v>
      </c>
      <c r="K1002" s="27"/>
      <c r="L1002" s="28" t="s">
        <v>57</v>
      </c>
      <c r="M1002" s="29" t="str">
        <f t="shared" si="75"/>
        <v>✓ OK</v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3321</v>
      </c>
      <c r="C1003" s="25" t="s">
        <v>3322</v>
      </c>
      <c r="D1003" s="23" t="s">
        <v>2294</v>
      </c>
      <c r="E1003" s="45">
        <v>46129</v>
      </c>
      <c r="F1003" s="26" t="s">
        <v>55</v>
      </c>
      <c r="G1003" s="26" t="s">
        <v>56</v>
      </c>
      <c r="H1003" s="26" t="s">
        <v>57</v>
      </c>
      <c r="I1003" s="26" t="s">
        <v>58</v>
      </c>
      <c r="J1003" s="26" t="s">
        <v>56</v>
      </c>
      <c r="K1003" s="27"/>
      <c r="L1003" s="28" t="s">
        <v>57</v>
      </c>
      <c r="M1003" s="29" t="str">
        <f t="shared" si="75"/>
        <v>✓ OK</v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3323</v>
      </c>
      <c r="C1004" s="44" t="s">
        <v>3324</v>
      </c>
      <c r="D1004" s="42" t="s">
        <v>2294</v>
      </c>
      <c r="E1004" s="45">
        <v>46129</v>
      </c>
      <c r="F1004" s="26" t="s">
        <v>55</v>
      </c>
      <c r="G1004" s="26" t="s">
        <v>56</v>
      </c>
      <c r="H1004" s="26" t="s">
        <v>57</v>
      </c>
      <c r="I1004" s="26" t="s">
        <v>58</v>
      </c>
      <c r="J1004" s="26" t="s">
        <v>56</v>
      </c>
      <c r="K1004" s="27"/>
      <c r="L1004" s="28" t="s">
        <v>57</v>
      </c>
      <c r="M1004" s="29" t="str">
        <f t="shared" si="75"/>
        <v>✓ OK</v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3325</v>
      </c>
      <c r="C1005" s="25" t="s">
        <v>3326</v>
      </c>
      <c r="D1005" s="23" t="s">
        <v>2294</v>
      </c>
      <c r="E1005" s="45">
        <v>46128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 t="shared" si="75"/>
        <v>✓ OK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3327</v>
      </c>
      <c r="C1006" s="44" t="s">
        <v>3328</v>
      </c>
      <c r="D1006" s="42" t="s">
        <v>2294</v>
      </c>
      <c r="E1006" s="45">
        <v>46128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 t="shared" si="75"/>
        <v>✓ OK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3329</v>
      </c>
      <c r="C1007" s="25" t="s">
        <v>3330</v>
      </c>
      <c r="D1007" s="23" t="s">
        <v>2294</v>
      </c>
      <c r="E1007" s="45">
        <v>46128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 t="shared" si="75"/>
        <v>✓ OK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3331</v>
      </c>
      <c r="C1008" s="44" t="s">
        <v>3332</v>
      </c>
      <c r="D1008" s="42" t="s">
        <v>2294</v>
      </c>
      <c r="E1008" s="45">
        <v>46128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 t="shared" si="75"/>
        <v>✓ OK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3333</v>
      </c>
      <c r="C1009" s="25" t="s">
        <v>3334</v>
      </c>
      <c r="D1009" s="23" t="s">
        <v>2294</v>
      </c>
      <c r="E1009" s="45">
        <v>46132</v>
      </c>
      <c r="F1009" s="26" t="s">
        <v>55</v>
      </c>
      <c r="G1009" s="26" t="s">
        <v>56</v>
      </c>
      <c r="H1009" s="26" t="s">
        <v>57</v>
      </c>
      <c r="I1009" s="26" t="s">
        <v>58</v>
      </c>
      <c r="J1009" s="26" t="s">
        <v>56</v>
      </c>
      <c r="K1009" s="27"/>
      <c r="L1009" s="28" t="s">
        <v>57</v>
      </c>
      <c r="M1009" s="29" t="str">
        <f t="shared" si="75"/>
        <v>✓ OK</v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3335</v>
      </c>
      <c r="C1010" s="44" t="s">
        <v>3336</v>
      </c>
      <c r="D1010" s="42" t="s">
        <v>2294</v>
      </c>
      <c r="E1010" s="45">
        <v>46132</v>
      </c>
      <c r="F1010" s="26" t="s">
        <v>55</v>
      </c>
      <c r="G1010" s="26" t="s">
        <v>56</v>
      </c>
      <c r="H1010" s="26" t="s">
        <v>57</v>
      </c>
      <c r="I1010" s="26" t="s">
        <v>58</v>
      </c>
      <c r="J1010" s="26" t="s">
        <v>56</v>
      </c>
      <c r="K1010" s="27"/>
      <c r="L1010" s="28" t="s">
        <v>57</v>
      </c>
      <c r="M1010" s="29" t="str">
        <f t="shared" si="75"/>
        <v>✓ OK</v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3337</v>
      </c>
      <c r="C1011" s="25" t="s">
        <v>3338</v>
      </c>
      <c r="D1011" s="23" t="s">
        <v>2294</v>
      </c>
      <c r="E1011" s="45">
        <v>46128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 t="shared" si="75"/>
        <v>✓ OK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3339</v>
      </c>
      <c r="C1012" s="44" t="s">
        <v>3340</v>
      </c>
      <c r="D1012" s="42" t="s">
        <v>2294</v>
      </c>
      <c r="E1012" s="45">
        <v>46128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 t="shared" si="75"/>
        <v>✓ OK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3341</v>
      </c>
      <c r="C1013" s="25" t="s">
        <v>3342</v>
      </c>
      <c r="D1013" s="23" t="s">
        <v>2294</v>
      </c>
      <c r="E1013" s="45">
        <v>46132</v>
      </c>
      <c r="F1013" s="26" t="s">
        <v>55</v>
      </c>
      <c r="G1013" s="26" t="s">
        <v>56</v>
      </c>
      <c r="H1013" s="26" t="s">
        <v>57</v>
      </c>
      <c r="I1013" s="26" t="s">
        <v>58</v>
      </c>
      <c r="J1013" s="26" t="s">
        <v>56</v>
      </c>
      <c r="K1013" s="27"/>
      <c r="L1013" s="28" t="s">
        <v>57</v>
      </c>
      <c r="M1013" s="29" t="str">
        <f t="shared" si="75"/>
        <v>✓ OK</v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3343</v>
      </c>
      <c r="C1014" s="44" t="s">
        <v>3344</v>
      </c>
      <c r="D1014" s="42" t="s">
        <v>2294</v>
      </c>
      <c r="E1014" s="45">
        <v>46132</v>
      </c>
      <c r="F1014" s="26" t="s">
        <v>55</v>
      </c>
      <c r="G1014" s="26" t="s">
        <v>56</v>
      </c>
      <c r="H1014" s="26" t="s">
        <v>57</v>
      </c>
      <c r="I1014" s="26" t="s">
        <v>58</v>
      </c>
      <c r="J1014" s="26" t="s">
        <v>56</v>
      </c>
      <c r="K1014" s="27"/>
      <c r="L1014" s="28" t="s">
        <v>57</v>
      </c>
      <c r="M1014" s="29" t="str">
        <f t="shared" si="75"/>
        <v>✓ OK</v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3345</v>
      </c>
      <c r="C1015" s="25" t="s">
        <v>3346</v>
      </c>
      <c r="D1015" s="23" t="s">
        <v>2294</v>
      </c>
      <c r="E1015" s="45">
        <v>46129</v>
      </c>
      <c r="F1015" s="26" t="s">
        <v>55</v>
      </c>
      <c r="G1015" s="26" t="s">
        <v>56</v>
      </c>
      <c r="H1015" s="26" t="s">
        <v>57</v>
      </c>
      <c r="I1015" s="26" t="s">
        <v>58</v>
      </c>
      <c r="J1015" s="26" t="s">
        <v>56</v>
      </c>
      <c r="K1015" s="27"/>
      <c r="L1015" s="28" t="s">
        <v>57</v>
      </c>
      <c r="M1015" s="29" t="str">
        <f t="shared" si="75"/>
        <v>✓ OK</v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3347</v>
      </c>
      <c r="C1016" s="44" t="s">
        <v>3348</v>
      </c>
      <c r="D1016" s="42" t="s">
        <v>2294</v>
      </c>
      <c r="E1016" s="45">
        <v>46129</v>
      </c>
      <c r="F1016" s="26" t="s">
        <v>55</v>
      </c>
      <c r="G1016" s="26" t="s">
        <v>56</v>
      </c>
      <c r="H1016" s="26" t="s">
        <v>57</v>
      </c>
      <c r="I1016" s="26" t="s">
        <v>58</v>
      </c>
      <c r="J1016" s="26" t="s">
        <v>56</v>
      </c>
      <c r="K1016" s="27"/>
      <c r="L1016" s="28" t="s">
        <v>57</v>
      </c>
      <c r="M1016" s="29" t="str">
        <f t="shared" si="75"/>
        <v>✓ OK</v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3349</v>
      </c>
      <c r="C1017" s="25" t="s">
        <v>3350</v>
      </c>
      <c r="D1017" s="23" t="s">
        <v>2294</v>
      </c>
      <c r="E1017" s="45">
        <v>46129</v>
      </c>
      <c r="F1017" s="26" t="s">
        <v>55</v>
      </c>
      <c r="G1017" s="26" t="s">
        <v>56</v>
      </c>
      <c r="H1017" s="26" t="s">
        <v>57</v>
      </c>
      <c r="I1017" s="26" t="s">
        <v>58</v>
      </c>
      <c r="J1017" s="26" t="s">
        <v>56</v>
      </c>
      <c r="K1017" s="27"/>
      <c r="L1017" s="28" t="s">
        <v>57</v>
      </c>
      <c r="M1017" s="29" t="str">
        <f t="shared" si="75"/>
        <v>✓ OK</v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3351</v>
      </c>
      <c r="C1018" s="44" t="s">
        <v>3352</v>
      </c>
      <c r="D1018" s="42" t="s">
        <v>2294</v>
      </c>
      <c r="E1018" s="45">
        <v>46129</v>
      </c>
      <c r="F1018" s="26" t="s">
        <v>55</v>
      </c>
      <c r="G1018" s="26" t="s">
        <v>56</v>
      </c>
      <c r="H1018" s="26" t="s">
        <v>57</v>
      </c>
      <c r="I1018" s="26" t="s">
        <v>58</v>
      </c>
      <c r="J1018" s="26" t="s">
        <v>56</v>
      </c>
      <c r="K1018" s="27"/>
      <c r="L1018" s="28" t="s">
        <v>57</v>
      </c>
      <c r="M1018" s="29" t="str">
        <f t="shared" si="75"/>
        <v>✓ OK</v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3353</v>
      </c>
      <c r="C1019" s="25" t="s">
        <v>3354</v>
      </c>
      <c r="D1019" s="23" t="s">
        <v>2294</v>
      </c>
      <c r="E1019" s="45">
        <v>46129</v>
      </c>
      <c r="F1019" s="26" t="s">
        <v>55</v>
      </c>
      <c r="G1019" s="26" t="s">
        <v>56</v>
      </c>
      <c r="H1019" s="26" t="s">
        <v>57</v>
      </c>
      <c r="I1019" s="26" t="s">
        <v>58</v>
      </c>
      <c r="J1019" s="26" t="s">
        <v>56</v>
      </c>
      <c r="K1019" s="27"/>
      <c r="L1019" s="28" t="s">
        <v>57</v>
      </c>
      <c r="M1019" s="29" t="str">
        <f t="shared" si="75"/>
        <v>✓ OK</v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3355</v>
      </c>
      <c r="C1020" s="44" t="s">
        <v>3356</v>
      </c>
      <c r="D1020" s="42" t="s">
        <v>2294</v>
      </c>
      <c r="E1020" s="45">
        <v>46129</v>
      </c>
      <c r="F1020" s="26" t="s">
        <v>55</v>
      </c>
      <c r="G1020" s="26" t="s">
        <v>56</v>
      </c>
      <c r="H1020" s="26" t="s">
        <v>57</v>
      </c>
      <c r="I1020" s="26" t="s">
        <v>58</v>
      </c>
      <c r="J1020" s="26" t="s">
        <v>56</v>
      </c>
      <c r="K1020" s="27"/>
      <c r="L1020" s="28" t="s">
        <v>57</v>
      </c>
      <c r="M1020" s="29" t="str">
        <f t="shared" si="75"/>
        <v>✓ OK</v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3357</v>
      </c>
      <c r="C1021" s="25" t="s">
        <v>3358</v>
      </c>
      <c r="D1021" s="23" t="s">
        <v>2294</v>
      </c>
      <c r="E1021" s="45">
        <v>46129</v>
      </c>
      <c r="F1021" s="26" t="s">
        <v>55</v>
      </c>
      <c r="G1021" s="26" t="s">
        <v>56</v>
      </c>
      <c r="H1021" s="26" t="s">
        <v>57</v>
      </c>
      <c r="I1021" s="26" t="s">
        <v>58</v>
      </c>
      <c r="J1021" s="26" t="s">
        <v>56</v>
      </c>
      <c r="K1021" s="27"/>
      <c r="L1021" s="28" t="s">
        <v>57</v>
      </c>
      <c r="M1021" s="29" t="str">
        <f t="shared" si="75"/>
        <v>✓ OK</v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3359</v>
      </c>
      <c r="C1022" s="44" t="s">
        <v>3360</v>
      </c>
      <c r="D1022" s="42" t="s">
        <v>2294</v>
      </c>
      <c r="E1022" s="45">
        <v>46129</v>
      </c>
      <c r="F1022" s="26" t="s">
        <v>55</v>
      </c>
      <c r="G1022" s="26" t="s">
        <v>56</v>
      </c>
      <c r="H1022" s="26" t="s">
        <v>57</v>
      </c>
      <c r="I1022" s="26" t="s">
        <v>58</v>
      </c>
      <c r="J1022" s="26" t="s">
        <v>56</v>
      </c>
      <c r="K1022" s="27"/>
      <c r="L1022" s="28" t="s">
        <v>57</v>
      </c>
      <c r="M1022" s="29" t="str">
        <f t="shared" si="75"/>
        <v>✓ OK</v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3361</v>
      </c>
      <c r="C1023" s="25" t="s">
        <v>3362</v>
      </c>
      <c r="D1023" s="23" t="s">
        <v>2294</v>
      </c>
      <c r="E1023" s="45">
        <v>46129</v>
      </c>
      <c r="F1023" s="26" t="s">
        <v>55</v>
      </c>
      <c r="G1023" s="26" t="s">
        <v>56</v>
      </c>
      <c r="H1023" s="26" t="s">
        <v>57</v>
      </c>
      <c r="I1023" s="26" t="s">
        <v>58</v>
      </c>
      <c r="J1023" s="26" t="s">
        <v>56</v>
      </c>
      <c r="K1023" s="27"/>
      <c r="L1023" s="28" t="s">
        <v>57</v>
      </c>
      <c r="M1023" s="29" t="str">
        <f t="shared" si="75"/>
        <v>✓ OK</v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3363</v>
      </c>
      <c r="C1024" s="44" t="s">
        <v>3364</v>
      </c>
      <c r="D1024" s="42" t="s">
        <v>2294</v>
      </c>
      <c r="E1024" s="45">
        <v>46129</v>
      </c>
      <c r="F1024" s="26" t="s">
        <v>55</v>
      </c>
      <c r="G1024" s="26" t="s">
        <v>56</v>
      </c>
      <c r="H1024" s="26" t="s">
        <v>57</v>
      </c>
      <c r="I1024" s="26" t="s">
        <v>58</v>
      </c>
      <c r="J1024" s="26" t="s">
        <v>56</v>
      </c>
      <c r="K1024" s="27"/>
      <c r="L1024" s="28" t="s">
        <v>57</v>
      </c>
      <c r="M1024" s="29" t="str">
        <f t="shared" si="75"/>
        <v>✓ OK</v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3365</v>
      </c>
      <c r="C1025" s="25" t="s">
        <v>3366</v>
      </c>
      <c r="D1025" s="23" t="s">
        <v>2294</v>
      </c>
      <c r="E1025" s="45">
        <v>46129</v>
      </c>
      <c r="F1025" s="26" t="s">
        <v>55</v>
      </c>
      <c r="G1025" s="26" t="s">
        <v>56</v>
      </c>
      <c r="H1025" s="26" t="s">
        <v>57</v>
      </c>
      <c r="I1025" s="26" t="s">
        <v>58</v>
      </c>
      <c r="J1025" s="26" t="s">
        <v>56</v>
      </c>
      <c r="K1025" s="27"/>
      <c r="L1025" s="28" t="s">
        <v>57</v>
      </c>
      <c r="M1025" s="29" t="str">
        <f t="shared" si="75"/>
        <v>✓ OK</v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3367</v>
      </c>
      <c r="C1026" s="44" t="s">
        <v>3368</v>
      </c>
      <c r="D1026" s="42" t="s">
        <v>2294</v>
      </c>
      <c r="E1026" s="45">
        <v>46129</v>
      </c>
      <c r="F1026" s="26" t="s">
        <v>55</v>
      </c>
      <c r="G1026" s="26" t="s">
        <v>56</v>
      </c>
      <c r="H1026" s="26" t="s">
        <v>57</v>
      </c>
      <c r="I1026" s="26" t="s">
        <v>58</v>
      </c>
      <c r="J1026" s="26" t="s">
        <v>56</v>
      </c>
      <c r="K1026" s="27"/>
      <c r="L1026" s="28" t="s">
        <v>57</v>
      </c>
      <c r="M1026" s="29" t="str">
        <f t="shared" si="75"/>
        <v>✓ OK</v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3369</v>
      </c>
      <c r="C1027" s="25" t="s">
        <v>3370</v>
      </c>
      <c r="D1027" s="23" t="s">
        <v>2294</v>
      </c>
      <c r="E1027" s="45">
        <v>46129</v>
      </c>
      <c r="F1027" s="26" t="s">
        <v>55</v>
      </c>
      <c r="G1027" s="26" t="s">
        <v>56</v>
      </c>
      <c r="H1027" s="26" t="s">
        <v>57</v>
      </c>
      <c r="I1027" s="26" t="s">
        <v>58</v>
      </c>
      <c r="J1027" s="26" t="s">
        <v>56</v>
      </c>
      <c r="K1027" s="27"/>
      <c r="L1027" s="28" t="s">
        <v>57</v>
      </c>
      <c r="M1027" s="29" t="str">
        <f t="shared" si="75"/>
        <v>✓ OK</v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3371</v>
      </c>
      <c r="C1028" s="44" t="s">
        <v>3372</v>
      </c>
      <c r="D1028" s="42" t="s">
        <v>2294</v>
      </c>
      <c r="E1028" s="45">
        <v>46129</v>
      </c>
      <c r="F1028" s="26" t="s">
        <v>55</v>
      </c>
      <c r="G1028" s="26" t="s">
        <v>56</v>
      </c>
      <c r="H1028" s="26" t="s">
        <v>57</v>
      </c>
      <c r="I1028" s="26" t="s">
        <v>58</v>
      </c>
      <c r="J1028" s="26" t="s">
        <v>56</v>
      </c>
      <c r="K1028" s="27"/>
      <c r="L1028" s="28" t="s">
        <v>57</v>
      </c>
      <c r="M1028" s="29" t="str">
        <f t="shared" si="75"/>
        <v>✓ OK</v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3373</v>
      </c>
      <c r="C1029" s="25" t="s">
        <v>3374</v>
      </c>
      <c r="D1029" s="23" t="s">
        <v>2294</v>
      </c>
      <c r="E1029" s="45">
        <v>46129</v>
      </c>
      <c r="F1029" s="26" t="s">
        <v>55</v>
      </c>
      <c r="G1029" s="26" t="s">
        <v>56</v>
      </c>
      <c r="H1029" s="26" t="s">
        <v>57</v>
      </c>
      <c r="I1029" s="26" t="s">
        <v>58</v>
      </c>
      <c r="J1029" s="26" t="s">
        <v>56</v>
      </c>
      <c r="K1029" s="27"/>
      <c r="L1029" s="28" t="s">
        <v>57</v>
      </c>
      <c r="M1029" s="29" t="str">
        <f t="shared" ref="M1029:M1092" si="80">IF(E1029="","",IF(H1029="Yes","❌ Disc",IF(G1029="No","⚠ Missing",IF(J1029="Yes","✓ OK","⚠ Check"))))</f>
        <v>✓ OK</v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3375</v>
      </c>
      <c r="C1030" s="44" t="s">
        <v>3376</v>
      </c>
      <c r="D1030" s="42" t="s">
        <v>2294</v>
      </c>
      <c r="E1030" s="45">
        <v>46129</v>
      </c>
      <c r="F1030" s="26" t="s">
        <v>55</v>
      </c>
      <c r="G1030" s="26" t="s">
        <v>56</v>
      </c>
      <c r="H1030" s="26" t="s">
        <v>57</v>
      </c>
      <c r="I1030" s="26" t="s">
        <v>58</v>
      </c>
      <c r="J1030" s="26" t="s">
        <v>56</v>
      </c>
      <c r="K1030" s="27"/>
      <c r="L1030" s="28" t="s">
        <v>57</v>
      </c>
      <c r="M1030" s="29" t="str">
        <f t="shared" si="80"/>
        <v>✓ OK</v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3377</v>
      </c>
      <c r="C1031" s="25" t="s">
        <v>3378</v>
      </c>
      <c r="D1031" s="23" t="s">
        <v>2294</v>
      </c>
      <c r="E1031" s="45">
        <v>46129</v>
      </c>
      <c r="F1031" s="26" t="s">
        <v>55</v>
      </c>
      <c r="G1031" s="26" t="s">
        <v>56</v>
      </c>
      <c r="H1031" s="26" t="s">
        <v>57</v>
      </c>
      <c r="I1031" s="26" t="s">
        <v>58</v>
      </c>
      <c r="J1031" s="26" t="s">
        <v>56</v>
      </c>
      <c r="K1031" s="27"/>
      <c r="L1031" s="28" t="s">
        <v>57</v>
      </c>
      <c r="M1031" s="29" t="str">
        <f t="shared" si="80"/>
        <v>✓ OK</v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3379</v>
      </c>
      <c r="C1032" s="44" t="s">
        <v>3380</v>
      </c>
      <c r="D1032" s="42" t="s">
        <v>2294</v>
      </c>
      <c r="E1032" s="45">
        <v>46129</v>
      </c>
      <c r="F1032" s="26" t="s">
        <v>55</v>
      </c>
      <c r="G1032" s="26" t="s">
        <v>56</v>
      </c>
      <c r="H1032" s="26" t="s">
        <v>57</v>
      </c>
      <c r="I1032" s="26" t="s">
        <v>58</v>
      </c>
      <c r="J1032" s="26" t="s">
        <v>56</v>
      </c>
      <c r="K1032" s="27"/>
      <c r="L1032" s="28" t="s">
        <v>57</v>
      </c>
      <c r="M1032" s="29" t="str">
        <f t="shared" si="80"/>
        <v>✓ OK</v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3381</v>
      </c>
      <c r="C1033" s="25" t="s">
        <v>3382</v>
      </c>
      <c r="D1033" s="23" t="s">
        <v>2294</v>
      </c>
      <c r="E1033" s="45">
        <v>46129</v>
      </c>
      <c r="F1033" s="26" t="s">
        <v>55</v>
      </c>
      <c r="G1033" s="26" t="s">
        <v>56</v>
      </c>
      <c r="H1033" s="26" t="s">
        <v>57</v>
      </c>
      <c r="I1033" s="26" t="s">
        <v>58</v>
      </c>
      <c r="J1033" s="26" t="s">
        <v>56</v>
      </c>
      <c r="K1033" s="27"/>
      <c r="L1033" s="28" t="s">
        <v>57</v>
      </c>
      <c r="M1033" s="29" t="str">
        <f t="shared" si="80"/>
        <v>✓ OK</v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3383</v>
      </c>
      <c r="C1034" s="44" t="s">
        <v>3384</v>
      </c>
      <c r="D1034" s="42" t="s">
        <v>2294</v>
      </c>
      <c r="E1034" s="45">
        <v>46129</v>
      </c>
      <c r="F1034" s="26" t="s">
        <v>55</v>
      </c>
      <c r="G1034" s="26" t="s">
        <v>56</v>
      </c>
      <c r="H1034" s="26" t="s">
        <v>57</v>
      </c>
      <c r="I1034" s="26" t="s">
        <v>58</v>
      </c>
      <c r="J1034" s="26" t="s">
        <v>56</v>
      </c>
      <c r="K1034" s="27"/>
      <c r="L1034" s="28" t="s">
        <v>57</v>
      </c>
      <c r="M1034" s="29" t="str">
        <f t="shared" si="80"/>
        <v>✓ OK</v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3385</v>
      </c>
      <c r="C1035" s="25" t="s">
        <v>3386</v>
      </c>
      <c r="D1035" s="23" t="s">
        <v>2294</v>
      </c>
      <c r="E1035" s="45">
        <v>46129</v>
      </c>
      <c r="F1035" s="26" t="s">
        <v>55</v>
      </c>
      <c r="G1035" s="26" t="s">
        <v>56</v>
      </c>
      <c r="H1035" s="26" t="s">
        <v>57</v>
      </c>
      <c r="I1035" s="26" t="s">
        <v>58</v>
      </c>
      <c r="J1035" s="26" t="s">
        <v>56</v>
      </c>
      <c r="K1035" s="27"/>
      <c r="L1035" s="28" t="s">
        <v>57</v>
      </c>
      <c r="M1035" s="29" t="str">
        <f t="shared" si="80"/>
        <v>✓ OK</v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3387</v>
      </c>
      <c r="C1036" s="44" t="s">
        <v>3388</v>
      </c>
      <c r="D1036" s="42" t="s">
        <v>2294</v>
      </c>
      <c r="E1036" s="45">
        <v>46129</v>
      </c>
      <c r="F1036" s="26" t="s">
        <v>55</v>
      </c>
      <c r="G1036" s="26" t="s">
        <v>56</v>
      </c>
      <c r="H1036" s="26" t="s">
        <v>57</v>
      </c>
      <c r="I1036" s="26" t="s">
        <v>58</v>
      </c>
      <c r="J1036" s="26" t="s">
        <v>56</v>
      </c>
      <c r="K1036" s="27"/>
      <c r="L1036" s="28" t="s">
        <v>57</v>
      </c>
      <c r="M1036" s="29" t="str">
        <f t="shared" si="80"/>
        <v>✓ OK</v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3389</v>
      </c>
      <c r="C1037" s="25" t="s">
        <v>3390</v>
      </c>
      <c r="D1037" s="23" t="s">
        <v>2294</v>
      </c>
      <c r="E1037" s="45">
        <v>46129</v>
      </c>
      <c r="F1037" s="26" t="s">
        <v>55</v>
      </c>
      <c r="G1037" s="26" t="s">
        <v>56</v>
      </c>
      <c r="H1037" s="26" t="s">
        <v>57</v>
      </c>
      <c r="I1037" s="26" t="s">
        <v>58</v>
      </c>
      <c r="J1037" s="26" t="s">
        <v>56</v>
      </c>
      <c r="K1037" s="27"/>
      <c r="L1037" s="28" t="s">
        <v>57</v>
      </c>
      <c r="M1037" s="29" t="str">
        <f t="shared" si="80"/>
        <v>✓ OK</v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3391</v>
      </c>
      <c r="C1038" s="44" t="s">
        <v>3392</v>
      </c>
      <c r="D1038" s="42" t="s">
        <v>2294</v>
      </c>
      <c r="E1038" s="45">
        <v>46129</v>
      </c>
      <c r="F1038" s="26" t="s">
        <v>55</v>
      </c>
      <c r="G1038" s="26" t="s">
        <v>56</v>
      </c>
      <c r="H1038" s="26" t="s">
        <v>57</v>
      </c>
      <c r="I1038" s="26" t="s">
        <v>58</v>
      </c>
      <c r="J1038" s="26" t="s">
        <v>56</v>
      </c>
      <c r="K1038" s="27"/>
      <c r="L1038" s="28" t="s">
        <v>57</v>
      </c>
      <c r="M1038" s="29" t="str">
        <f t="shared" si="80"/>
        <v>✓ OK</v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3393</v>
      </c>
      <c r="C1039" s="25" t="s">
        <v>3394</v>
      </c>
      <c r="D1039" s="23" t="s">
        <v>2294</v>
      </c>
      <c r="E1039" s="45">
        <v>46129</v>
      </c>
      <c r="F1039" s="26" t="s">
        <v>55</v>
      </c>
      <c r="G1039" s="26" t="s">
        <v>56</v>
      </c>
      <c r="H1039" s="26" t="s">
        <v>57</v>
      </c>
      <c r="I1039" s="26" t="s">
        <v>58</v>
      </c>
      <c r="J1039" s="26" t="s">
        <v>56</v>
      </c>
      <c r="K1039" s="27"/>
      <c r="L1039" s="28" t="s">
        <v>57</v>
      </c>
      <c r="M1039" s="29" t="str">
        <f t="shared" si="80"/>
        <v>✓ OK</v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3395</v>
      </c>
      <c r="C1040" s="44" t="s">
        <v>3396</v>
      </c>
      <c r="D1040" s="42" t="s">
        <v>2294</v>
      </c>
      <c r="E1040" s="45">
        <v>46129</v>
      </c>
      <c r="F1040" s="26" t="s">
        <v>55</v>
      </c>
      <c r="G1040" s="26" t="s">
        <v>56</v>
      </c>
      <c r="H1040" s="26" t="s">
        <v>57</v>
      </c>
      <c r="I1040" s="26" t="s">
        <v>58</v>
      </c>
      <c r="J1040" s="26" t="s">
        <v>56</v>
      </c>
      <c r="K1040" s="27"/>
      <c r="L1040" s="28" t="s">
        <v>57</v>
      </c>
      <c r="M1040" s="29" t="str">
        <f t="shared" si="80"/>
        <v>✓ OK</v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3397</v>
      </c>
      <c r="C1041" s="25" t="s">
        <v>3398</v>
      </c>
      <c r="D1041" s="23" t="s">
        <v>2294</v>
      </c>
      <c r="E1041" s="45">
        <v>46129</v>
      </c>
      <c r="F1041" s="26" t="s">
        <v>55</v>
      </c>
      <c r="G1041" s="26" t="s">
        <v>56</v>
      </c>
      <c r="H1041" s="26" t="s">
        <v>57</v>
      </c>
      <c r="I1041" s="26" t="s">
        <v>58</v>
      </c>
      <c r="J1041" s="26" t="s">
        <v>56</v>
      </c>
      <c r="K1041" s="27"/>
      <c r="L1041" s="28" t="s">
        <v>57</v>
      </c>
      <c r="M1041" s="29" t="str">
        <f t="shared" si="80"/>
        <v>✓ OK</v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3399</v>
      </c>
      <c r="C1042" s="44" t="s">
        <v>3400</v>
      </c>
      <c r="D1042" s="42" t="s">
        <v>2294</v>
      </c>
      <c r="E1042" s="45">
        <v>46129</v>
      </c>
      <c r="F1042" s="26" t="s">
        <v>55</v>
      </c>
      <c r="G1042" s="26" t="s">
        <v>56</v>
      </c>
      <c r="H1042" s="26" t="s">
        <v>57</v>
      </c>
      <c r="I1042" s="26" t="s">
        <v>58</v>
      </c>
      <c r="J1042" s="26" t="s">
        <v>56</v>
      </c>
      <c r="K1042" s="27"/>
      <c r="L1042" s="28" t="s">
        <v>57</v>
      </c>
      <c r="M1042" s="29" t="str">
        <f t="shared" si="80"/>
        <v>✓ OK</v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3401</v>
      </c>
      <c r="C1043" s="25" t="s">
        <v>3402</v>
      </c>
      <c r="D1043" s="23" t="s">
        <v>2294</v>
      </c>
      <c r="E1043" s="45">
        <v>46129</v>
      </c>
      <c r="F1043" s="26" t="s">
        <v>55</v>
      </c>
      <c r="G1043" s="26" t="s">
        <v>56</v>
      </c>
      <c r="H1043" s="26" t="s">
        <v>57</v>
      </c>
      <c r="I1043" s="26" t="s">
        <v>58</v>
      </c>
      <c r="J1043" s="26" t="s">
        <v>56</v>
      </c>
      <c r="K1043" s="27"/>
      <c r="L1043" s="28" t="s">
        <v>57</v>
      </c>
      <c r="M1043" s="29" t="str">
        <f t="shared" si="80"/>
        <v>✓ OK</v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3403</v>
      </c>
      <c r="C1044" s="44" t="s">
        <v>3404</v>
      </c>
      <c r="D1044" s="42" t="s">
        <v>2294</v>
      </c>
      <c r="E1044" s="45">
        <v>46129</v>
      </c>
      <c r="F1044" s="26" t="s">
        <v>55</v>
      </c>
      <c r="G1044" s="26" t="s">
        <v>56</v>
      </c>
      <c r="H1044" s="26" t="s">
        <v>57</v>
      </c>
      <c r="I1044" s="26" t="s">
        <v>58</v>
      </c>
      <c r="J1044" s="26" t="s">
        <v>56</v>
      </c>
      <c r="K1044" s="27"/>
      <c r="L1044" s="28" t="s">
        <v>57</v>
      </c>
      <c r="M1044" s="29" t="str">
        <f t="shared" si="80"/>
        <v>✓ OK</v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3405</v>
      </c>
      <c r="C1045" s="25" t="s">
        <v>3406</v>
      </c>
      <c r="D1045" s="23" t="s">
        <v>2294</v>
      </c>
      <c r="E1045" s="45">
        <v>46129</v>
      </c>
      <c r="F1045" s="26" t="s">
        <v>55</v>
      </c>
      <c r="G1045" s="26" t="s">
        <v>56</v>
      </c>
      <c r="H1045" s="26" t="s">
        <v>57</v>
      </c>
      <c r="I1045" s="26" t="s">
        <v>58</v>
      </c>
      <c r="J1045" s="26" t="s">
        <v>56</v>
      </c>
      <c r="K1045" s="27"/>
      <c r="L1045" s="28" t="s">
        <v>57</v>
      </c>
      <c r="M1045" s="29" t="str">
        <f t="shared" si="80"/>
        <v>✓ OK</v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3407</v>
      </c>
      <c r="C1046" s="44" t="s">
        <v>3408</v>
      </c>
      <c r="D1046" s="42" t="s">
        <v>2294</v>
      </c>
      <c r="E1046" s="45">
        <v>46129</v>
      </c>
      <c r="F1046" s="26" t="s">
        <v>55</v>
      </c>
      <c r="G1046" s="26" t="s">
        <v>56</v>
      </c>
      <c r="H1046" s="26" t="s">
        <v>57</v>
      </c>
      <c r="I1046" s="26" t="s">
        <v>58</v>
      </c>
      <c r="J1046" s="26" t="s">
        <v>56</v>
      </c>
      <c r="K1046" s="27"/>
      <c r="L1046" s="28" t="s">
        <v>57</v>
      </c>
      <c r="M1046" s="29" t="str">
        <f t="shared" si="80"/>
        <v>✓ OK</v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3409</v>
      </c>
      <c r="C1047" s="25" t="s">
        <v>3410</v>
      </c>
      <c r="D1047" s="23" t="s">
        <v>2294</v>
      </c>
      <c r="E1047" s="45">
        <v>46129</v>
      </c>
      <c r="F1047" s="26" t="s">
        <v>55</v>
      </c>
      <c r="G1047" s="26" t="s">
        <v>56</v>
      </c>
      <c r="H1047" s="26" t="s">
        <v>57</v>
      </c>
      <c r="I1047" s="26" t="s">
        <v>58</v>
      </c>
      <c r="J1047" s="26" t="s">
        <v>56</v>
      </c>
      <c r="K1047" s="27"/>
      <c r="L1047" s="28" t="s">
        <v>57</v>
      </c>
      <c r="M1047" s="29" t="str">
        <f t="shared" si="80"/>
        <v>✓ OK</v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3411</v>
      </c>
      <c r="C1048" s="44" t="s">
        <v>3412</v>
      </c>
      <c r="D1048" s="42" t="s">
        <v>2294</v>
      </c>
      <c r="E1048" s="45">
        <v>46129</v>
      </c>
      <c r="F1048" s="26" t="s">
        <v>55</v>
      </c>
      <c r="G1048" s="26" t="s">
        <v>56</v>
      </c>
      <c r="H1048" s="26" t="s">
        <v>57</v>
      </c>
      <c r="I1048" s="26" t="s">
        <v>58</v>
      </c>
      <c r="J1048" s="26" t="s">
        <v>56</v>
      </c>
      <c r="K1048" s="27"/>
      <c r="L1048" s="28" t="s">
        <v>57</v>
      </c>
      <c r="M1048" s="29" t="str">
        <f t="shared" si="80"/>
        <v>✓ OK</v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3413</v>
      </c>
      <c r="C1049" s="25" t="s">
        <v>3414</v>
      </c>
      <c r="D1049" s="23" t="s">
        <v>2294</v>
      </c>
      <c r="E1049" s="45">
        <v>46129</v>
      </c>
      <c r="F1049" s="26" t="s">
        <v>55</v>
      </c>
      <c r="G1049" s="26" t="s">
        <v>56</v>
      </c>
      <c r="H1049" s="26" t="s">
        <v>57</v>
      </c>
      <c r="I1049" s="26" t="s">
        <v>58</v>
      </c>
      <c r="J1049" s="26" t="s">
        <v>56</v>
      </c>
      <c r="K1049" s="27"/>
      <c r="L1049" s="28" t="s">
        <v>57</v>
      </c>
      <c r="M1049" s="29" t="str">
        <f t="shared" si="80"/>
        <v>✓ OK</v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3415</v>
      </c>
      <c r="C1050" s="44" t="s">
        <v>3416</v>
      </c>
      <c r="D1050" s="42" t="s">
        <v>2294</v>
      </c>
      <c r="E1050" s="45">
        <v>46129</v>
      </c>
      <c r="F1050" s="26" t="s">
        <v>55</v>
      </c>
      <c r="G1050" s="26" t="s">
        <v>56</v>
      </c>
      <c r="H1050" s="26" t="s">
        <v>57</v>
      </c>
      <c r="I1050" s="26" t="s">
        <v>58</v>
      </c>
      <c r="J1050" s="26" t="s">
        <v>56</v>
      </c>
      <c r="K1050" s="27"/>
      <c r="L1050" s="28" t="s">
        <v>57</v>
      </c>
      <c r="M1050" s="29" t="str">
        <f t="shared" si="80"/>
        <v>✓ OK</v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3417</v>
      </c>
      <c r="C1051" s="25" t="s">
        <v>3418</v>
      </c>
      <c r="D1051" s="23" t="s">
        <v>2294</v>
      </c>
      <c r="E1051" s="45">
        <v>46129</v>
      </c>
      <c r="F1051" s="26" t="s">
        <v>55</v>
      </c>
      <c r="G1051" s="26" t="s">
        <v>56</v>
      </c>
      <c r="H1051" s="26" t="s">
        <v>57</v>
      </c>
      <c r="I1051" s="26" t="s">
        <v>58</v>
      </c>
      <c r="J1051" s="26" t="s">
        <v>56</v>
      </c>
      <c r="K1051" s="27"/>
      <c r="L1051" s="28" t="s">
        <v>57</v>
      </c>
      <c r="M1051" s="29" t="str">
        <f t="shared" si="80"/>
        <v>✓ OK</v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3419</v>
      </c>
      <c r="C1052" s="44" t="s">
        <v>3420</v>
      </c>
      <c r="D1052" s="42" t="s">
        <v>2294</v>
      </c>
      <c r="E1052" s="45">
        <v>46129</v>
      </c>
      <c r="F1052" s="26" t="s">
        <v>55</v>
      </c>
      <c r="G1052" s="26" t="s">
        <v>56</v>
      </c>
      <c r="H1052" s="26" t="s">
        <v>57</v>
      </c>
      <c r="I1052" s="26" t="s">
        <v>58</v>
      </c>
      <c r="J1052" s="26" t="s">
        <v>56</v>
      </c>
      <c r="K1052" s="27"/>
      <c r="L1052" s="28" t="s">
        <v>57</v>
      </c>
      <c r="M1052" s="29" t="str">
        <f t="shared" si="80"/>
        <v>✓ OK</v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3421</v>
      </c>
      <c r="C1053" s="25" t="s">
        <v>3422</v>
      </c>
      <c r="D1053" s="23" t="s">
        <v>2294</v>
      </c>
      <c r="E1053" s="45">
        <v>46129</v>
      </c>
      <c r="F1053" s="26" t="s">
        <v>55</v>
      </c>
      <c r="G1053" s="26" t="s">
        <v>56</v>
      </c>
      <c r="H1053" s="26" t="s">
        <v>57</v>
      </c>
      <c r="I1053" s="26" t="s">
        <v>58</v>
      </c>
      <c r="J1053" s="26" t="s">
        <v>56</v>
      </c>
      <c r="K1053" s="27"/>
      <c r="L1053" s="28" t="s">
        <v>57</v>
      </c>
      <c r="M1053" s="29" t="str">
        <f t="shared" si="80"/>
        <v>✓ OK</v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3423</v>
      </c>
      <c r="C1054" s="44" t="s">
        <v>3424</v>
      </c>
      <c r="D1054" s="42" t="s">
        <v>2294</v>
      </c>
      <c r="E1054" s="45">
        <v>46129</v>
      </c>
      <c r="F1054" s="26" t="s">
        <v>55</v>
      </c>
      <c r="G1054" s="26" t="s">
        <v>56</v>
      </c>
      <c r="H1054" s="26" t="s">
        <v>57</v>
      </c>
      <c r="I1054" s="26" t="s">
        <v>58</v>
      </c>
      <c r="J1054" s="26" t="s">
        <v>56</v>
      </c>
      <c r="K1054" s="27"/>
      <c r="L1054" s="28" t="s">
        <v>57</v>
      </c>
      <c r="M1054" s="29" t="str">
        <f t="shared" si="80"/>
        <v>✓ OK</v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3425</v>
      </c>
      <c r="C1055" s="25" t="s">
        <v>3426</v>
      </c>
      <c r="D1055" s="23" t="s">
        <v>2294</v>
      </c>
      <c r="E1055" s="45">
        <v>46129</v>
      </c>
      <c r="F1055" s="26" t="s">
        <v>55</v>
      </c>
      <c r="G1055" s="26" t="s">
        <v>56</v>
      </c>
      <c r="H1055" s="26" t="s">
        <v>57</v>
      </c>
      <c r="I1055" s="26" t="s">
        <v>58</v>
      </c>
      <c r="J1055" s="26" t="s">
        <v>56</v>
      </c>
      <c r="K1055" s="27"/>
      <c r="L1055" s="28" t="s">
        <v>57</v>
      </c>
      <c r="M1055" s="29" t="str">
        <f t="shared" si="80"/>
        <v>✓ OK</v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3427</v>
      </c>
      <c r="C1056" s="44" t="s">
        <v>3428</v>
      </c>
      <c r="D1056" s="42" t="s">
        <v>2294</v>
      </c>
      <c r="E1056" s="45">
        <v>46129</v>
      </c>
      <c r="F1056" s="26" t="s">
        <v>55</v>
      </c>
      <c r="G1056" s="26" t="s">
        <v>56</v>
      </c>
      <c r="H1056" s="26" t="s">
        <v>57</v>
      </c>
      <c r="I1056" s="26" t="s">
        <v>58</v>
      </c>
      <c r="J1056" s="26" t="s">
        <v>56</v>
      </c>
      <c r="K1056" s="27"/>
      <c r="L1056" s="28" t="s">
        <v>57</v>
      </c>
      <c r="M1056" s="29" t="str">
        <f t="shared" si="80"/>
        <v>✓ OK</v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3429</v>
      </c>
      <c r="C1057" s="25" t="s">
        <v>3430</v>
      </c>
      <c r="D1057" s="23" t="s">
        <v>2294</v>
      </c>
      <c r="E1057" s="45">
        <v>46129</v>
      </c>
      <c r="F1057" s="26" t="s">
        <v>55</v>
      </c>
      <c r="G1057" s="26" t="s">
        <v>56</v>
      </c>
      <c r="H1057" s="26" t="s">
        <v>57</v>
      </c>
      <c r="I1057" s="26" t="s">
        <v>58</v>
      </c>
      <c r="J1057" s="26" t="s">
        <v>56</v>
      </c>
      <c r="K1057" s="27"/>
      <c r="L1057" s="28" t="s">
        <v>57</v>
      </c>
      <c r="M1057" s="29" t="str">
        <f t="shared" si="80"/>
        <v>✓ OK</v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3431</v>
      </c>
      <c r="C1058" s="44" t="s">
        <v>3432</v>
      </c>
      <c r="D1058" s="42" t="s">
        <v>2294</v>
      </c>
      <c r="E1058" s="45">
        <v>46129</v>
      </c>
      <c r="F1058" s="26" t="s">
        <v>55</v>
      </c>
      <c r="G1058" s="26" t="s">
        <v>56</v>
      </c>
      <c r="H1058" s="26" t="s">
        <v>57</v>
      </c>
      <c r="I1058" s="26" t="s">
        <v>58</v>
      </c>
      <c r="J1058" s="26" t="s">
        <v>56</v>
      </c>
      <c r="K1058" s="27"/>
      <c r="L1058" s="28" t="s">
        <v>57</v>
      </c>
      <c r="M1058" s="29" t="str">
        <f t="shared" si="80"/>
        <v>✓ OK</v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3433</v>
      </c>
      <c r="C1059" s="25" t="s">
        <v>3434</v>
      </c>
      <c r="D1059" s="23" t="s">
        <v>2294</v>
      </c>
      <c r="E1059" s="45">
        <v>46129</v>
      </c>
      <c r="F1059" s="26" t="s">
        <v>55</v>
      </c>
      <c r="G1059" s="26" t="s">
        <v>56</v>
      </c>
      <c r="H1059" s="26" t="s">
        <v>57</v>
      </c>
      <c r="I1059" s="26" t="s">
        <v>58</v>
      </c>
      <c r="J1059" s="26" t="s">
        <v>56</v>
      </c>
      <c r="K1059" s="27"/>
      <c r="L1059" s="28" t="s">
        <v>57</v>
      </c>
      <c r="M1059" s="29" t="str">
        <f t="shared" si="80"/>
        <v>✓ OK</v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3435</v>
      </c>
      <c r="C1060" s="44" t="s">
        <v>3436</v>
      </c>
      <c r="D1060" s="42" t="s">
        <v>2294</v>
      </c>
      <c r="E1060" s="45">
        <v>46129</v>
      </c>
      <c r="F1060" s="26" t="s">
        <v>55</v>
      </c>
      <c r="G1060" s="26" t="s">
        <v>56</v>
      </c>
      <c r="H1060" s="26" t="s">
        <v>57</v>
      </c>
      <c r="I1060" s="26" t="s">
        <v>58</v>
      </c>
      <c r="J1060" s="26" t="s">
        <v>56</v>
      </c>
      <c r="K1060" s="27"/>
      <c r="L1060" s="28" t="s">
        <v>57</v>
      </c>
      <c r="M1060" s="29" t="str">
        <f t="shared" si="80"/>
        <v>✓ OK</v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3437</v>
      </c>
      <c r="C1061" s="25" t="s">
        <v>3438</v>
      </c>
      <c r="D1061" s="23" t="s">
        <v>2294</v>
      </c>
      <c r="E1061" s="45">
        <v>46129</v>
      </c>
      <c r="F1061" s="26" t="s">
        <v>55</v>
      </c>
      <c r="G1061" s="26" t="s">
        <v>56</v>
      </c>
      <c r="H1061" s="26" t="s">
        <v>57</v>
      </c>
      <c r="I1061" s="26" t="s">
        <v>58</v>
      </c>
      <c r="J1061" s="26" t="s">
        <v>56</v>
      </c>
      <c r="K1061" s="27"/>
      <c r="L1061" s="28" t="s">
        <v>57</v>
      </c>
      <c r="M1061" s="29" t="str">
        <f t="shared" si="80"/>
        <v>✓ OK</v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3439</v>
      </c>
      <c r="C1062" s="44" t="s">
        <v>3440</v>
      </c>
      <c r="D1062" s="42" t="s">
        <v>2294</v>
      </c>
      <c r="E1062" s="45">
        <v>46129</v>
      </c>
      <c r="F1062" s="26" t="s">
        <v>55</v>
      </c>
      <c r="G1062" s="26" t="s">
        <v>56</v>
      </c>
      <c r="H1062" s="26" t="s">
        <v>57</v>
      </c>
      <c r="I1062" s="26" t="s">
        <v>58</v>
      </c>
      <c r="J1062" s="26" t="s">
        <v>56</v>
      </c>
      <c r="K1062" s="27"/>
      <c r="L1062" s="28" t="s">
        <v>57</v>
      </c>
      <c r="M1062" s="29" t="str">
        <f t="shared" si="80"/>
        <v>✓ OK</v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3441</v>
      </c>
      <c r="C1063" s="25" t="s">
        <v>3442</v>
      </c>
      <c r="D1063" s="23" t="s">
        <v>2294</v>
      </c>
      <c r="E1063" s="45">
        <v>46129</v>
      </c>
      <c r="F1063" s="26" t="s">
        <v>55</v>
      </c>
      <c r="G1063" s="26" t="s">
        <v>56</v>
      </c>
      <c r="H1063" s="26" t="s">
        <v>57</v>
      </c>
      <c r="I1063" s="26" t="s">
        <v>58</v>
      </c>
      <c r="J1063" s="26" t="s">
        <v>56</v>
      </c>
      <c r="K1063" s="27"/>
      <c r="L1063" s="28" t="s">
        <v>57</v>
      </c>
      <c r="M1063" s="29" t="str">
        <f t="shared" si="80"/>
        <v>✓ OK</v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3443</v>
      </c>
      <c r="C1064" s="44" t="s">
        <v>3444</v>
      </c>
      <c r="D1064" s="42" t="s">
        <v>2294</v>
      </c>
      <c r="E1064" s="45">
        <v>46129</v>
      </c>
      <c r="F1064" s="26" t="s">
        <v>55</v>
      </c>
      <c r="G1064" s="26" t="s">
        <v>56</v>
      </c>
      <c r="H1064" s="26" t="s">
        <v>57</v>
      </c>
      <c r="I1064" s="26" t="s">
        <v>58</v>
      </c>
      <c r="J1064" s="26" t="s">
        <v>56</v>
      </c>
      <c r="K1064" s="27"/>
      <c r="L1064" s="28" t="s">
        <v>57</v>
      </c>
      <c r="M1064" s="29" t="str">
        <f t="shared" si="80"/>
        <v>✓ OK</v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3445</v>
      </c>
      <c r="C1065" s="25" t="s">
        <v>3446</v>
      </c>
      <c r="D1065" s="23" t="s">
        <v>2294</v>
      </c>
      <c r="E1065" s="45">
        <v>46129</v>
      </c>
      <c r="F1065" s="26" t="s">
        <v>55</v>
      </c>
      <c r="G1065" s="26" t="s">
        <v>56</v>
      </c>
      <c r="H1065" s="26" t="s">
        <v>57</v>
      </c>
      <c r="I1065" s="26" t="s">
        <v>58</v>
      </c>
      <c r="J1065" s="26" t="s">
        <v>56</v>
      </c>
      <c r="K1065" s="27"/>
      <c r="L1065" s="28" t="s">
        <v>57</v>
      </c>
      <c r="M1065" s="29" t="str">
        <f t="shared" si="80"/>
        <v>✓ OK</v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3447</v>
      </c>
      <c r="C1066" s="44" t="s">
        <v>3448</v>
      </c>
      <c r="D1066" s="42" t="s">
        <v>2294</v>
      </c>
      <c r="E1066" s="45">
        <v>46129</v>
      </c>
      <c r="F1066" s="26" t="s">
        <v>55</v>
      </c>
      <c r="G1066" s="26" t="s">
        <v>56</v>
      </c>
      <c r="H1066" s="26" t="s">
        <v>57</v>
      </c>
      <c r="I1066" s="26" t="s">
        <v>58</v>
      </c>
      <c r="J1066" s="26" t="s">
        <v>56</v>
      </c>
      <c r="K1066" s="27"/>
      <c r="L1066" s="28" t="s">
        <v>57</v>
      </c>
      <c r="M1066" s="29" t="str">
        <f t="shared" si="80"/>
        <v>✓ OK</v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3449</v>
      </c>
      <c r="C1067" s="25" t="s">
        <v>3450</v>
      </c>
      <c r="D1067" s="23" t="s">
        <v>2294</v>
      </c>
      <c r="E1067" s="45">
        <v>46129</v>
      </c>
      <c r="F1067" s="26" t="s">
        <v>55</v>
      </c>
      <c r="G1067" s="26" t="s">
        <v>56</v>
      </c>
      <c r="H1067" s="26" t="s">
        <v>57</v>
      </c>
      <c r="I1067" s="26" t="s">
        <v>58</v>
      </c>
      <c r="J1067" s="26" t="s">
        <v>56</v>
      </c>
      <c r="K1067" s="27"/>
      <c r="L1067" s="28" t="s">
        <v>57</v>
      </c>
      <c r="M1067" s="29" t="str">
        <f t="shared" si="80"/>
        <v>✓ OK</v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3451</v>
      </c>
      <c r="C1068" s="44" t="s">
        <v>3452</v>
      </c>
      <c r="D1068" s="42" t="s">
        <v>2294</v>
      </c>
      <c r="E1068" s="45">
        <v>46129</v>
      </c>
      <c r="F1068" s="26" t="s">
        <v>55</v>
      </c>
      <c r="G1068" s="26" t="s">
        <v>56</v>
      </c>
      <c r="H1068" s="26" t="s">
        <v>57</v>
      </c>
      <c r="I1068" s="26" t="s">
        <v>58</v>
      </c>
      <c r="J1068" s="26" t="s">
        <v>56</v>
      </c>
      <c r="K1068" s="27"/>
      <c r="L1068" s="28" t="s">
        <v>57</v>
      </c>
      <c r="M1068" s="29" t="str">
        <f t="shared" si="80"/>
        <v>✓ OK</v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3453</v>
      </c>
      <c r="C1069" s="25" t="s">
        <v>3454</v>
      </c>
      <c r="D1069" s="23" t="s">
        <v>2294</v>
      </c>
      <c r="E1069" s="45">
        <v>46129</v>
      </c>
      <c r="F1069" s="26" t="s">
        <v>55</v>
      </c>
      <c r="G1069" s="26" t="s">
        <v>56</v>
      </c>
      <c r="H1069" s="26" t="s">
        <v>57</v>
      </c>
      <c r="I1069" s="26" t="s">
        <v>58</v>
      </c>
      <c r="J1069" s="26" t="s">
        <v>56</v>
      </c>
      <c r="K1069" s="27"/>
      <c r="L1069" s="28" t="s">
        <v>57</v>
      </c>
      <c r="M1069" s="29" t="str">
        <f t="shared" si="80"/>
        <v>✓ OK</v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3455</v>
      </c>
      <c r="C1070" s="44" t="s">
        <v>3456</v>
      </c>
      <c r="D1070" s="42" t="s">
        <v>2294</v>
      </c>
      <c r="E1070" s="45">
        <v>46129</v>
      </c>
      <c r="F1070" s="26" t="s">
        <v>55</v>
      </c>
      <c r="G1070" s="26" t="s">
        <v>56</v>
      </c>
      <c r="H1070" s="26" t="s">
        <v>57</v>
      </c>
      <c r="I1070" s="26" t="s">
        <v>58</v>
      </c>
      <c r="J1070" s="26" t="s">
        <v>56</v>
      </c>
      <c r="K1070" s="27"/>
      <c r="L1070" s="28" t="s">
        <v>57</v>
      </c>
      <c r="M1070" s="29" t="str">
        <f t="shared" si="80"/>
        <v>✓ OK</v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3457</v>
      </c>
      <c r="C1071" s="25" t="s">
        <v>3458</v>
      </c>
      <c r="D1071" s="23" t="s">
        <v>2294</v>
      </c>
      <c r="E1071" s="45">
        <v>46129</v>
      </c>
      <c r="F1071" s="26" t="s">
        <v>55</v>
      </c>
      <c r="G1071" s="26" t="s">
        <v>56</v>
      </c>
      <c r="H1071" s="26" t="s">
        <v>57</v>
      </c>
      <c r="I1071" s="26" t="s">
        <v>58</v>
      </c>
      <c r="J1071" s="26" t="s">
        <v>56</v>
      </c>
      <c r="K1071" s="27"/>
      <c r="L1071" s="28" t="s">
        <v>57</v>
      </c>
      <c r="M1071" s="29" t="str">
        <f t="shared" si="80"/>
        <v>✓ OK</v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3459</v>
      </c>
      <c r="C1072" s="44" t="s">
        <v>3460</v>
      </c>
      <c r="D1072" s="42" t="s">
        <v>2294</v>
      </c>
      <c r="E1072" s="45">
        <v>46129</v>
      </c>
      <c r="F1072" s="26" t="s">
        <v>55</v>
      </c>
      <c r="G1072" s="26" t="s">
        <v>56</v>
      </c>
      <c r="H1072" s="26" t="s">
        <v>57</v>
      </c>
      <c r="I1072" s="26" t="s">
        <v>58</v>
      </c>
      <c r="J1072" s="26" t="s">
        <v>56</v>
      </c>
      <c r="K1072" s="27"/>
      <c r="L1072" s="28" t="s">
        <v>57</v>
      </c>
      <c r="M1072" s="29" t="str">
        <f t="shared" si="80"/>
        <v>✓ OK</v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3461</v>
      </c>
      <c r="C1073" s="25" t="s">
        <v>3462</v>
      </c>
      <c r="D1073" s="23" t="s">
        <v>2294</v>
      </c>
      <c r="E1073" s="45">
        <v>46129</v>
      </c>
      <c r="F1073" s="26" t="s">
        <v>55</v>
      </c>
      <c r="G1073" s="26" t="s">
        <v>56</v>
      </c>
      <c r="H1073" s="26" t="s">
        <v>57</v>
      </c>
      <c r="I1073" s="26" t="s">
        <v>58</v>
      </c>
      <c r="J1073" s="26" t="s">
        <v>56</v>
      </c>
      <c r="K1073" s="27"/>
      <c r="L1073" s="28" t="s">
        <v>57</v>
      </c>
      <c r="M1073" s="29" t="str">
        <f t="shared" si="80"/>
        <v>✓ OK</v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3463</v>
      </c>
      <c r="C1074" s="44" t="s">
        <v>3464</v>
      </c>
      <c r="D1074" s="42" t="s">
        <v>2294</v>
      </c>
      <c r="E1074" s="45">
        <v>46129</v>
      </c>
      <c r="F1074" s="26" t="s">
        <v>55</v>
      </c>
      <c r="G1074" s="26" t="s">
        <v>56</v>
      </c>
      <c r="H1074" s="26" t="s">
        <v>57</v>
      </c>
      <c r="I1074" s="26" t="s">
        <v>58</v>
      </c>
      <c r="J1074" s="26" t="s">
        <v>56</v>
      </c>
      <c r="K1074" s="27"/>
      <c r="L1074" s="28" t="s">
        <v>57</v>
      </c>
      <c r="M1074" s="29" t="str">
        <f t="shared" si="80"/>
        <v>✓ OK</v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3465</v>
      </c>
      <c r="C1075" s="25" t="s">
        <v>3466</v>
      </c>
      <c r="D1075" s="23" t="s">
        <v>2294</v>
      </c>
      <c r="E1075" s="45">
        <v>46129</v>
      </c>
      <c r="F1075" s="26" t="s">
        <v>55</v>
      </c>
      <c r="G1075" s="26" t="s">
        <v>56</v>
      </c>
      <c r="H1075" s="26" t="s">
        <v>57</v>
      </c>
      <c r="I1075" s="26" t="s">
        <v>58</v>
      </c>
      <c r="J1075" s="26" t="s">
        <v>56</v>
      </c>
      <c r="K1075" s="27"/>
      <c r="L1075" s="28" t="s">
        <v>57</v>
      </c>
      <c r="M1075" s="29" t="str">
        <f t="shared" si="80"/>
        <v>✓ OK</v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3467</v>
      </c>
      <c r="C1076" s="44" t="s">
        <v>3468</v>
      </c>
      <c r="D1076" s="42" t="s">
        <v>2294</v>
      </c>
      <c r="E1076" s="45">
        <v>46129</v>
      </c>
      <c r="F1076" s="26" t="s">
        <v>55</v>
      </c>
      <c r="G1076" s="26" t="s">
        <v>56</v>
      </c>
      <c r="H1076" s="26" t="s">
        <v>57</v>
      </c>
      <c r="I1076" s="26" t="s">
        <v>58</v>
      </c>
      <c r="J1076" s="26" t="s">
        <v>56</v>
      </c>
      <c r="K1076" s="27"/>
      <c r="L1076" s="28" t="s">
        <v>57</v>
      </c>
      <c r="M1076" s="29" t="str">
        <f t="shared" si="80"/>
        <v>✓ OK</v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3469</v>
      </c>
      <c r="C1077" s="25" t="s">
        <v>3470</v>
      </c>
      <c r="D1077" s="23" t="s">
        <v>2294</v>
      </c>
      <c r="E1077" s="45">
        <v>46129</v>
      </c>
      <c r="F1077" s="26" t="s">
        <v>55</v>
      </c>
      <c r="G1077" s="26" t="s">
        <v>56</v>
      </c>
      <c r="H1077" s="26" t="s">
        <v>57</v>
      </c>
      <c r="I1077" s="26" t="s">
        <v>58</v>
      </c>
      <c r="J1077" s="26" t="s">
        <v>56</v>
      </c>
      <c r="K1077" s="27"/>
      <c r="L1077" s="28" t="s">
        <v>57</v>
      </c>
      <c r="M1077" s="29" t="str">
        <f t="shared" si="80"/>
        <v>✓ OK</v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3471</v>
      </c>
      <c r="C1078" s="44" t="s">
        <v>3472</v>
      </c>
      <c r="D1078" s="42" t="s">
        <v>2294</v>
      </c>
      <c r="E1078" s="45">
        <v>46129</v>
      </c>
      <c r="F1078" s="26" t="s">
        <v>55</v>
      </c>
      <c r="G1078" s="26" t="s">
        <v>56</v>
      </c>
      <c r="H1078" s="26" t="s">
        <v>57</v>
      </c>
      <c r="I1078" s="26" t="s">
        <v>58</v>
      </c>
      <c r="J1078" s="26" t="s">
        <v>56</v>
      </c>
      <c r="K1078" s="27"/>
      <c r="L1078" s="28" t="s">
        <v>57</v>
      </c>
      <c r="M1078" s="29" t="str">
        <f t="shared" si="80"/>
        <v>✓ OK</v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3473</v>
      </c>
      <c r="C1079" s="25" t="s">
        <v>3474</v>
      </c>
      <c r="D1079" s="23" t="s">
        <v>3475</v>
      </c>
      <c r="E1079" s="45">
        <v>46129</v>
      </c>
      <c r="F1079" s="26" t="s">
        <v>55</v>
      </c>
      <c r="G1079" s="26" t="s">
        <v>56</v>
      </c>
      <c r="H1079" s="26" t="s">
        <v>57</v>
      </c>
      <c r="I1079" s="26" t="s">
        <v>58</v>
      </c>
      <c r="J1079" s="26" t="s">
        <v>56</v>
      </c>
      <c r="K1079" s="27"/>
      <c r="L1079" s="28" t="s">
        <v>57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3476</v>
      </c>
      <c r="C1080" s="44" t="s">
        <v>3477</v>
      </c>
      <c r="D1080" s="42" t="s">
        <v>3475</v>
      </c>
      <c r="E1080" s="45">
        <v>46129</v>
      </c>
      <c r="F1080" s="26" t="s">
        <v>55</v>
      </c>
      <c r="G1080" s="26" t="s">
        <v>56</v>
      </c>
      <c r="H1080" s="26" t="s">
        <v>57</v>
      </c>
      <c r="I1080" s="26" t="s">
        <v>58</v>
      </c>
      <c r="J1080" s="26" t="s">
        <v>56</v>
      </c>
      <c r="K1080" s="27"/>
      <c r="L1080" s="28" t="s">
        <v>57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3478</v>
      </c>
      <c r="C1081" s="25" t="s">
        <v>3479</v>
      </c>
      <c r="D1081" s="23" t="s">
        <v>3475</v>
      </c>
      <c r="E1081" s="45">
        <v>46129</v>
      </c>
      <c r="F1081" s="26" t="s">
        <v>55</v>
      </c>
      <c r="G1081" s="26" t="s">
        <v>56</v>
      </c>
      <c r="H1081" s="26" t="s">
        <v>57</v>
      </c>
      <c r="I1081" s="26" t="s">
        <v>58</v>
      </c>
      <c r="J1081" s="26" t="s">
        <v>56</v>
      </c>
      <c r="K1081" s="27"/>
      <c r="L1081" s="28" t="s">
        <v>57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3480</v>
      </c>
      <c r="C1082" s="44" t="s">
        <v>3481</v>
      </c>
      <c r="D1082" s="42" t="s">
        <v>3475</v>
      </c>
      <c r="E1082" s="45">
        <v>46129</v>
      </c>
      <c r="F1082" s="26" t="s">
        <v>55</v>
      </c>
      <c r="G1082" s="26" t="s">
        <v>56</v>
      </c>
      <c r="H1082" s="26" t="s">
        <v>57</v>
      </c>
      <c r="I1082" s="26" t="s">
        <v>58</v>
      </c>
      <c r="J1082" s="26" t="s">
        <v>56</v>
      </c>
      <c r="K1082" s="27"/>
      <c r="L1082" s="28" t="s">
        <v>57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3482</v>
      </c>
      <c r="C1083" s="25" t="s">
        <v>3483</v>
      </c>
      <c r="D1083" s="23" t="s">
        <v>3475</v>
      </c>
      <c r="E1083" s="45">
        <v>46129</v>
      </c>
      <c r="F1083" s="26" t="s">
        <v>55</v>
      </c>
      <c r="G1083" s="26" t="s">
        <v>56</v>
      </c>
      <c r="H1083" s="26" t="s">
        <v>57</v>
      </c>
      <c r="I1083" s="26" t="s">
        <v>58</v>
      </c>
      <c r="J1083" s="26" t="s">
        <v>56</v>
      </c>
      <c r="K1083" s="27"/>
      <c r="L1083" s="28" t="s">
        <v>57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3484</v>
      </c>
      <c r="C1084" s="44" t="s">
        <v>3485</v>
      </c>
      <c r="D1084" s="42" t="s">
        <v>3475</v>
      </c>
      <c r="E1084" s="45">
        <v>46129</v>
      </c>
      <c r="F1084" s="26" t="s">
        <v>55</v>
      </c>
      <c r="G1084" s="26" t="s">
        <v>56</v>
      </c>
      <c r="H1084" s="26" t="s">
        <v>57</v>
      </c>
      <c r="I1084" s="26" t="s">
        <v>58</v>
      </c>
      <c r="J1084" s="26" t="s">
        <v>56</v>
      </c>
      <c r="K1084" s="27"/>
      <c r="L1084" s="28" t="s">
        <v>57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3486</v>
      </c>
      <c r="C1085" s="25" t="s">
        <v>3487</v>
      </c>
      <c r="D1085" s="23" t="s">
        <v>3475</v>
      </c>
      <c r="E1085" s="45">
        <v>46129</v>
      </c>
      <c r="F1085" s="26" t="s">
        <v>55</v>
      </c>
      <c r="G1085" s="26" t="s">
        <v>56</v>
      </c>
      <c r="H1085" s="26" t="s">
        <v>57</v>
      </c>
      <c r="I1085" s="26" t="s">
        <v>58</v>
      </c>
      <c r="J1085" s="26" t="s">
        <v>56</v>
      </c>
      <c r="K1085" s="27"/>
      <c r="L1085" s="28" t="s">
        <v>57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3488</v>
      </c>
      <c r="C1086" s="44" t="s">
        <v>3489</v>
      </c>
      <c r="D1086" s="42" t="s">
        <v>3475</v>
      </c>
      <c r="E1086" s="45">
        <v>46129</v>
      </c>
      <c r="F1086" s="26" t="s">
        <v>55</v>
      </c>
      <c r="G1086" s="26" t="s">
        <v>56</v>
      </c>
      <c r="H1086" s="26" t="s">
        <v>57</v>
      </c>
      <c r="I1086" s="26" t="s">
        <v>58</v>
      </c>
      <c r="J1086" s="26" t="s">
        <v>56</v>
      </c>
      <c r="K1086" s="27"/>
      <c r="L1086" s="28" t="s">
        <v>57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3490</v>
      </c>
      <c r="C1087" s="25" t="s">
        <v>3491</v>
      </c>
      <c r="D1087" s="23" t="s">
        <v>3475</v>
      </c>
      <c r="E1087" s="45">
        <v>46129</v>
      </c>
      <c r="F1087" s="26" t="s">
        <v>55</v>
      </c>
      <c r="G1087" s="26" t="s">
        <v>56</v>
      </c>
      <c r="H1087" s="26" t="s">
        <v>57</v>
      </c>
      <c r="I1087" s="26" t="s">
        <v>58</v>
      </c>
      <c r="J1087" s="26" t="s">
        <v>56</v>
      </c>
      <c r="K1087" s="27"/>
      <c r="L1087" s="28" t="s">
        <v>57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3492</v>
      </c>
      <c r="C1088" s="44" t="s">
        <v>3493</v>
      </c>
      <c r="D1088" s="42" t="s">
        <v>3475</v>
      </c>
      <c r="E1088" s="45">
        <v>46129</v>
      </c>
      <c r="F1088" s="26" t="s">
        <v>55</v>
      </c>
      <c r="G1088" s="26" t="s">
        <v>56</v>
      </c>
      <c r="H1088" s="26" t="s">
        <v>57</v>
      </c>
      <c r="I1088" s="26" t="s">
        <v>58</v>
      </c>
      <c r="J1088" s="26" t="s">
        <v>56</v>
      </c>
      <c r="K1088" s="27"/>
      <c r="L1088" s="28" t="s">
        <v>57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3494</v>
      </c>
      <c r="C1089" s="25" t="s">
        <v>3495</v>
      </c>
      <c r="D1089" s="23" t="s">
        <v>3475</v>
      </c>
      <c r="E1089" s="45">
        <v>46129</v>
      </c>
      <c r="F1089" s="26" t="s">
        <v>55</v>
      </c>
      <c r="G1089" s="26" t="s">
        <v>56</v>
      </c>
      <c r="H1089" s="26" t="s">
        <v>57</v>
      </c>
      <c r="I1089" s="26" t="s">
        <v>58</v>
      </c>
      <c r="J1089" s="26" t="s">
        <v>56</v>
      </c>
      <c r="K1089" s="27"/>
      <c r="L1089" s="28" t="s">
        <v>57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3496</v>
      </c>
      <c r="C1090" s="44" t="s">
        <v>3497</v>
      </c>
      <c r="D1090" s="42" t="s">
        <v>3475</v>
      </c>
      <c r="E1090" s="45">
        <v>46129</v>
      </c>
      <c r="F1090" s="26" t="s">
        <v>55</v>
      </c>
      <c r="G1090" s="26" t="s">
        <v>56</v>
      </c>
      <c r="H1090" s="26" t="s">
        <v>57</v>
      </c>
      <c r="I1090" s="26" t="s">
        <v>58</v>
      </c>
      <c r="J1090" s="26" t="s">
        <v>56</v>
      </c>
      <c r="K1090" s="27"/>
      <c r="L1090" s="28" t="s">
        <v>57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3498</v>
      </c>
      <c r="C1091" s="25" t="s">
        <v>3499</v>
      </c>
      <c r="D1091" s="23" t="s">
        <v>3475</v>
      </c>
      <c r="E1091" s="45">
        <v>46129</v>
      </c>
      <c r="F1091" s="26" t="s">
        <v>55</v>
      </c>
      <c r="G1091" s="26" t="s">
        <v>56</v>
      </c>
      <c r="H1091" s="26" t="s">
        <v>57</v>
      </c>
      <c r="I1091" s="26" t="s">
        <v>58</v>
      </c>
      <c r="J1091" s="26" t="s">
        <v>56</v>
      </c>
      <c r="K1091" s="27"/>
      <c r="L1091" s="28" t="s">
        <v>57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3500</v>
      </c>
      <c r="C1092" s="44" t="s">
        <v>3501</v>
      </c>
      <c r="D1092" s="42" t="s">
        <v>3475</v>
      </c>
      <c r="E1092" s="45">
        <v>46129</v>
      </c>
      <c r="F1092" s="26" t="s">
        <v>55</v>
      </c>
      <c r="G1092" s="26" t="s">
        <v>56</v>
      </c>
      <c r="H1092" s="26" t="s">
        <v>57</v>
      </c>
      <c r="I1092" s="26" t="s">
        <v>58</v>
      </c>
      <c r="J1092" s="26" t="s">
        <v>56</v>
      </c>
      <c r="K1092" s="27"/>
      <c r="L1092" s="28" t="s">
        <v>57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3502</v>
      </c>
      <c r="C1093" s="25" t="s">
        <v>3503</v>
      </c>
      <c r="D1093" s="23" t="s">
        <v>3475</v>
      </c>
      <c r="E1093" s="45">
        <v>46129</v>
      </c>
      <c r="F1093" s="26" t="s">
        <v>55</v>
      </c>
      <c r="G1093" s="26" t="s">
        <v>56</v>
      </c>
      <c r="H1093" s="26" t="s">
        <v>57</v>
      </c>
      <c r="I1093" s="26" t="s">
        <v>58</v>
      </c>
      <c r="J1093" s="26" t="s">
        <v>56</v>
      </c>
      <c r="K1093" s="27"/>
      <c r="L1093" s="28" t="s">
        <v>57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3504</v>
      </c>
      <c r="C1094" s="44" t="s">
        <v>3505</v>
      </c>
      <c r="D1094" s="42" t="s">
        <v>3475</v>
      </c>
      <c r="E1094" s="45">
        <v>46129</v>
      </c>
      <c r="F1094" s="26" t="s">
        <v>55</v>
      </c>
      <c r="G1094" s="26" t="s">
        <v>56</v>
      </c>
      <c r="H1094" s="26" t="s">
        <v>57</v>
      </c>
      <c r="I1094" s="26" t="s">
        <v>58</v>
      </c>
      <c r="J1094" s="26" t="s">
        <v>56</v>
      </c>
      <c r="K1094" s="27"/>
      <c r="L1094" s="28" t="s">
        <v>57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3506</v>
      </c>
      <c r="C1095" s="25" t="s">
        <v>3507</v>
      </c>
      <c r="D1095" s="23" t="s">
        <v>3475</v>
      </c>
      <c r="E1095" s="45">
        <v>46129</v>
      </c>
      <c r="F1095" s="26" t="s">
        <v>55</v>
      </c>
      <c r="G1095" s="26" t="s">
        <v>56</v>
      </c>
      <c r="H1095" s="26" t="s">
        <v>57</v>
      </c>
      <c r="I1095" s="26" t="s">
        <v>58</v>
      </c>
      <c r="J1095" s="26" t="s">
        <v>56</v>
      </c>
      <c r="K1095" s="27"/>
      <c r="L1095" s="28" t="s">
        <v>57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3508</v>
      </c>
      <c r="C1096" s="44" t="s">
        <v>3509</v>
      </c>
      <c r="D1096" s="42" t="s">
        <v>3475</v>
      </c>
      <c r="E1096" s="45">
        <v>46129</v>
      </c>
      <c r="F1096" s="26" t="s">
        <v>55</v>
      </c>
      <c r="G1096" s="26" t="s">
        <v>56</v>
      </c>
      <c r="H1096" s="26" t="s">
        <v>57</v>
      </c>
      <c r="I1096" s="26" t="s">
        <v>58</v>
      </c>
      <c r="J1096" s="26" t="s">
        <v>56</v>
      </c>
      <c r="K1096" s="27"/>
      <c r="L1096" s="28" t="s">
        <v>57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3510</v>
      </c>
      <c r="C1097" s="25" t="s">
        <v>3511</v>
      </c>
      <c r="D1097" s="23" t="s">
        <v>3475</v>
      </c>
      <c r="E1097" s="45">
        <v>46129</v>
      </c>
      <c r="F1097" s="26" t="s">
        <v>55</v>
      </c>
      <c r="G1097" s="26" t="s">
        <v>56</v>
      </c>
      <c r="H1097" s="26" t="s">
        <v>57</v>
      </c>
      <c r="I1097" s="26" t="s">
        <v>58</v>
      </c>
      <c r="J1097" s="26" t="s">
        <v>56</v>
      </c>
      <c r="K1097" s="27"/>
      <c r="L1097" s="28" t="s">
        <v>57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3512</v>
      </c>
      <c r="C1098" s="44" t="s">
        <v>3513</v>
      </c>
      <c r="D1098" s="42" t="s">
        <v>3475</v>
      </c>
      <c r="E1098" s="45">
        <v>46129</v>
      </c>
      <c r="F1098" s="26" t="s">
        <v>55</v>
      </c>
      <c r="G1098" s="26" t="s">
        <v>56</v>
      </c>
      <c r="H1098" s="26" t="s">
        <v>57</v>
      </c>
      <c r="I1098" s="26" t="s">
        <v>58</v>
      </c>
      <c r="J1098" s="26" t="s">
        <v>56</v>
      </c>
      <c r="K1098" s="27"/>
      <c r="L1098" s="28" t="s">
        <v>57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3514</v>
      </c>
      <c r="C1099" s="25" t="s">
        <v>3515</v>
      </c>
      <c r="D1099" s="23" t="s">
        <v>3475</v>
      </c>
      <c r="E1099" s="45">
        <v>46129</v>
      </c>
      <c r="F1099" s="26" t="s">
        <v>55</v>
      </c>
      <c r="G1099" s="26" t="s">
        <v>56</v>
      </c>
      <c r="H1099" s="26" t="s">
        <v>57</v>
      </c>
      <c r="I1099" s="26" t="s">
        <v>58</v>
      </c>
      <c r="J1099" s="26" t="s">
        <v>56</v>
      </c>
      <c r="K1099" s="27"/>
      <c r="L1099" s="28" t="s">
        <v>57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3516</v>
      </c>
      <c r="C1100" s="44" t="s">
        <v>3517</v>
      </c>
      <c r="D1100" s="42" t="s">
        <v>3475</v>
      </c>
      <c r="E1100" s="45">
        <v>46129</v>
      </c>
      <c r="F1100" s="26" t="s">
        <v>55</v>
      </c>
      <c r="G1100" s="26" t="s">
        <v>56</v>
      </c>
      <c r="H1100" s="26" t="s">
        <v>57</v>
      </c>
      <c r="I1100" s="26" t="s">
        <v>58</v>
      </c>
      <c r="J1100" s="26" t="s">
        <v>56</v>
      </c>
      <c r="K1100" s="27"/>
      <c r="L1100" s="28" t="s">
        <v>57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3518</v>
      </c>
      <c r="C1101" s="25" t="s">
        <v>3519</v>
      </c>
      <c r="D1101" s="23" t="s">
        <v>3475</v>
      </c>
      <c r="E1101" s="45">
        <v>46129</v>
      </c>
      <c r="F1101" s="26" t="s">
        <v>55</v>
      </c>
      <c r="G1101" s="26" t="s">
        <v>56</v>
      </c>
      <c r="H1101" s="26" t="s">
        <v>57</v>
      </c>
      <c r="I1101" s="26" t="s">
        <v>58</v>
      </c>
      <c r="J1101" s="26" t="s">
        <v>56</v>
      </c>
      <c r="K1101" s="27"/>
      <c r="L1101" s="28" t="s">
        <v>57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3520</v>
      </c>
      <c r="C1102" s="44" t="s">
        <v>3521</v>
      </c>
      <c r="D1102" s="42" t="s">
        <v>3475</v>
      </c>
      <c r="E1102" s="45">
        <v>46129</v>
      </c>
      <c r="F1102" s="26" t="s">
        <v>55</v>
      </c>
      <c r="G1102" s="26" t="s">
        <v>56</v>
      </c>
      <c r="H1102" s="26" t="s">
        <v>57</v>
      </c>
      <c r="I1102" s="26" t="s">
        <v>58</v>
      </c>
      <c r="J1102" s="26" t="s">
        <v>56</v>
      </c>
      <c r="K1102" s="27"/>
      <c r="L1102" s="28" t="s">
        <v>57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3522</v>
      </c>
      <c r="C1103" s="25" t="s">
        <v>3523</v>
      </c>
      <c r="D1103" s="23" t="s">
        <v>3475</v>
      </c>
      <c r="E1103" s="45">
        <v>46129</v>
      </c>
      <c r="F1103" s="26" t="s">
        <v>55</v>
      </c>
      <c r="G1103" s="26" t="s">
        <v>56</v>
      </c>
      <c r="H1103" s="26" t="s">
        <v>57</v>
      </c>
      <c r="I1103" s="26" t="s">
        <v>58</v>
      </c>
      <c r="J1103" s="26" t="s">
        <v>56</v>
      </c>
      <c r="K1103" s="27"/>
      <c r="L1103" s="28" t="s">
        <v>57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3524</v>
      </c>
      <c r="C1104" s="44" t="s">
        <v>3525</v>
      </c>
      <c r="D1104" s="42" t="s">
        <v>3475</v>
      </c>
      <c r="E1104" s="45">
        <v>46129</v>
      </c>
      <c r="F1104" s="26" t="s">
        <v>55</v>
      </c>
      <c r="G1104" s="26" t="s">
        <v>56</v>
      </c>
      <c r="H1104" s="26" t="s">
        <v>57</v>
      </c>
      <c r="I1104" s="26" t="s">
        <v>58</v>
      </c>
      <c r="J1104" s="26" t="s">
        <v>56</v>
      </c>
      <c r="K1104" s="27"/>
      <c r="L1104" s="28" t="s">
        <v>57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3526</v>
      </c>
      <c r="C1105" s="25" t="s">
        <v>3527</v>
      </c>
      <c r="D1105" s="23" t="s">
        <v>3475</v>
      </c>
      <c r="E1105" s="45">
        <v>46129</v>
      </c>
      <c r="F1105" s="26" t="s">
        <v>55</v>
      </c>
      <c r="G1105" s="26" t="s">
        <v>56</v>
      </c>
      <c r="H1105" s="26" t="s">
        <v>57</v>
      </c>
      <c r="I1105" s="26" t="s">
        <v>58</v>
      </c>
      <c r="J1105" s="26" t="s">
        <v>56</v>
      </c>
      <c r="K1105" s="27"/>
      <c r="L1105" s="28" t="s">
        <v>57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3528</v>
      </c>
      <c r="C1106" s="44" t="s">
        <v>3529</v>
      </c>
      <c r="D1106" s="42" t="s">
        <v>3475</v>
      </c>
      <c r="E1106" s="45">
        <v>46129</v>
      </c>
      <c r="F1106" s="26" t="s">
        <v>55</v>
      </c>
      <c r="G1106" s="26" t="s">
        <v>56</v>
      </c>
      <c r="H1106" s="26" t="s">
        <v>57</v>
      </c>
      <c r="I1106" s="26" t="s">
        <v>58</v>
      </c>
      <c r="J1106" s="26" t="s">
        <v>56</v>
      </c>
      <c r="K1106" s="27"/>
      <c r="L1106" s="28" t="s">
        <v>57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3530</v>
      </c>
      <c r="C1107" s="25" t="s">
        <v>3531</v>
      </c>
      <c r="D1107" s="23" t="s">
        <v>3475</v>
      </c>
      <c r="E1107" s="45">
        <v>46129</v>
      </c>
      <c r="F1107" s="26" t="s">
        <v>55</v>
      </c>
      <c r="G1107" s="26" t="s">
        <v>56</v>
      </c>
      <c r="H1107" s="26" t="s">
        <v>57</v>
      </c>
      <c r="I1107" s="26" t="s">
        <v>58</v>
      </c>
      <c r="J1107" s="26" t="s">
        <v>56</v>
      </c>
      <c r="K1107" s="27"/>
      <c r="L1107" s="28" t="s">
        <v>57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3532</v>
      </c>
      <c r="C1108" s="44" t="s">
        <v>3533</v>
      </c>
      <c r="D1108" s="42" t="s">
        <v>3475</v>
      </c>
      <c r="E1108" s="45">
        <v>46129</v>
      </c>
      <c r="F1108" s="26" t="s">
        <v>55</v>
      </c>
      <c r="G1108" s="26" t="s">
        <v>56</v>
      </c>
      <c r="H1108" s="26" t="s">
        <v>57</v>
      </c>
      <c r="I1108" s="26" t="s">
        <v>58</v>
      </c>
      <c r="J1108" s="26" t="s">
        <v>56</v>
      </c>
      <c r="K1108" s="27"/>
      <c r="L1108" s="28" t="s">
        <v>57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3534</v>
      </c>
      <c r="C1109" s="25" t="s">
        <v>3535</v>
      </c>
      <c r="D1109" s="23" t="s">
        <v>3475</v>
      </c>
      <c r="E1109" s="45">
        <v>46129</v>
      </c>
      <c r="F1109" s="26" t="s">
        <v>55</v>
      </c>
      <c r="G1109" s="26" t="s">
        <v>56</v>
      </c>
      <c r="H1109" s="26" t="s">
        <v>57</v>
      </c>
      <c r="I1109" s="26" t="s">
        <v>58</v>
      </c>
      <c r="J1109" s="26" t="s">
        <v>56</v>
      </c>
      <c r="K1109" s="27"/>
      <c r="L1109" s="28" t="s">
        <v>57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3536</v>
      </c>
      <c r="C1110" s="44" t="s">
        <v>3537</v>
      </c>
      <c r="D1110" s="42" t="s">
        <v>3475</v>
      </c>
      <c r="E1110" s="45">
        <v>46129</v>
      </c>
      <c r="F1110" s="26" t="s">
        <v>55</v>
      </c>
      <c r="G1110" s="26" t="s">
        <v>56</v>
      </c>
      <c r="H1110" s="26" t="s">
        <v>57</v>
      </c>
      <c r="I1110" s="26" t="s">
        <v>58</v>
      </c>
      <c r="J1110" s="26" t="s">
        <v>56</v>
      </c>
      <c r="K1110" s="27"/>
      <c r="L1110" s="28" t="s">
        <v>57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3538</v>
      </c>
      <c r="C1111" s="25" t="s">
        <v>3539</v>
      </c>
      <c r="D1111" s="23" t="s">
        <v>3475</v>
      </c>
      <c r="E1111" s="45">
        <v>46129</v>
      </c>
      <c r="F1111" s="26" t="s">
        <v>55</v>
      </c>
      <c r="G1111" s="26" t="s">
        <v>56</v>
      </c>
      <c r="H1111" s="26" t="s">
        <v>57</v>
      </c>
      <c r="I1111" s="26" t="s">
        <v>58</v>
      </c>
      <c r="J1111" s="26" t="s">
        <v>56</v>
      </c>
      <c r="K1111" s="27"/>
      <c r="L1111" s="28" t="s">
        <v>57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3540</v>
      </c>
      <c r="C1112" s="44" t="s">
        <v>3541</v>
      </c>
      <c r="D1112" s="42" t="s">
        <v>3475</v>
      </c>
      <c r="E1112" s="45">
        <v>46129</v>
      </c>
      <c r="F1112" s="26" t="s">
        <v>55</v>
      </c>
      <c r="G1112" s="26" t="s">
        <v>56</v>
      </c>
      <c r="H1112" s="26" t="s">
        <v>57</v>
      </c>
      <c r="I1112" s="26" t="s">
        <v>58</v>
      </c>
      <c r="J1112" s="26" t="s">
        <v>56</v>
      </c>
      <c r="K1112" s="27"/>
      <c r="L1112" s="28" t="s">
        <v>57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3542</v>
      </c>
      <c r="C1113" s="25" t="s">
        <v>3543</v>
      </c>
      <c r="D1113" s="23" t="s">
        <v>3475</v>
      </c>
      <c r="E1113" s="45">
        <v>46129</v>
      </c>
      <c r="F1113" s="26" t="s">
        <v>55</v>
      </c>
      <c r="G1113" s="26" t="s">
        <v>56</v>
      </c>
      <c r="H1113" s="26" t="s">
        <v>57</v>
      </c>
      <c r="I1113" s="26" t="s">
        <v>58</v>
      </c>
      <c r="J1113" s="26" t="s">
        <v>56</v>
      </c>
      <c r="K1113" s="27"/>
      <c r="L1113" s="28" t="s">
        <v>57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3544</v>
      </c>
      <c r="C1114" s="44" t="s">
        <v>3545</v>
      </c>
      <c r="D1114" s="42" t="s">
        <v>3475</v>
      </c>
      <c r="E1114" s="45">
        <v>46129</v>
      </c>
      <c r="F1114" s="26" t="s">
        <v>55</v>
      </c>
      <c r="G1114" s="26" t="s">
        <v>56</v>
      </c>
      <c r="H1114" s="26" t="s">
        <v>57</v>
      </c>
      <c r="I1114" s="26" t="s">
        <v>58</v>
      </c>
      <c r="J1114" s="26" t="s">
        <v>56</v>
      </c>
      <c r="K1114" s="27"/>
      <c r="L1114" s="28" t="s">
        <v>57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3546</v>
      </c>
      <c r="C1115" s="25" t="s">
        <v>3547</v>
      </c>
      <c r="D1115" s="23" t="s">
        <v>3475</v>
      </c>
      <c r="E1115" s="45">
        <v>46129</v>
      </c>
      <c r="F1115" s="26" t="s">
        <v>55</v>
      </c>
      <c r="G1115" s="26" t="s">
        <v>56</v>
      </c>
      <c r="H1115" s="26" t="s">
        <v>57</v>
      </c>
      <c r="I1115" s="26" t="s">
        <v>58</v>
      </c>
      <c r="J1115" s="26" t="s">
        <v>56</v>
      </c>
      <c r="K1115" s="27"/>
      <c r="L1115" s="28" t="s">
        <v>57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3548</v>
      </c>
      <c r="C1116" s="44" t="s">
        <v>3549</v>
      </c>
      <c r="D1116" s="42" t="s">
        <v>3475</v>
      </c>
      <c r="E1116" s="45">
        <v>46129</v>
      </c>
      <c r="F1116" s="26" t="s">
        <v>55</v>
      </c>
      <c r="G1116" s="26" t="s">
        <v>56</v>
      </c>
      <c r="H1116" s="26" t="s">
        <v>57</v>
      </c>
      <c r="I1116" s="26" t="s">
        <v>58</v>
      </c>
      <c r="J1116" s="26" t="s">
        <v>56</v>
      </c>
      <c r="K1116" s="27"/>
      <c r="L1116" s="28" t="s">
        <v>57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3550</v>
      </c>
      <c r="C1117" s="25" t="s">
        <v>3551</v>
      </c>
      <c r="D1117" s="23" t="s">
        <v>3475</v>
      </c>
      <c r="E1117" s="45">
        <v>46129</v>
      </c>
      <c r="F1117" s="26" t="s">
        <v>55</v>
      </c>
      <c r="G1117" s="26" t="s">
        <v>56</v>
      </c>
      <c r="H1117" s="26" t="s">
        <v>57</v>
      </c>
      <c r="I1117" s="26" t="s">
        <v>58</v>
      </c>
      <c r="J1117" s="26" t="s">
        <v>56</v>
      </c>
      <c r="K1117" s="27"/>
      <c r="L1117" s="28" t="s">
        <v>57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3552</v>
      </c>
      <c r="C1118" s="44" t="s">
        <v>3553</v>
      </c>
      <c r="D1118" s="42" t="s">
        <v>3475</v>
      </c>
      <c r="E1118" s="45">
        <v>46129</v>
      </c>
      <c r="F1118" s="26" t="s">
        <v>55</v>
      </c>
      <c r="G1118" s="26" t="s">
        <v>56</v>
      </c>
      <c r="H1118" s="26" t="s">
        <v>57</v>
      </c>
      <c r="I1118" s="26" t="s">
        <v>58</v>
      </c>
      <c r="J1118" s="26" t="s">
        <v>56</v>
      </c>
      <c r="K1118" s="27"/>
      <c r="L1118" s="28" t="s">
        <v>57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3554</v>
      </c>
      <c r="C1119" s="25" t="s">
        <v>3555</v>
      </c>
      <c r="D1119" s="23" t="s">
        <v>3475</v>
      </c>
      <c r="E1119" s="45">
        <v>46129</v>
      </c>
      <c r="F1119" s="26" t="s">
        <v>55</v>
      </c>
      <c r="G1119" s="26" t="s">
        <v>56</v>
      </c>
      <c r="H1119" s="26" t="s">
        <v>57</v>
      </c>
      <c r="I1119" s="26" t="s">
        <v>58</v>
      </c>
      <c r="J1119" s="26" t="s">
        <v>56</v>
      </c>
      <c r="K1119" s="27"/>
      <c r="L1119" s="28" t="s">
        <v>57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3556</v>
      </c>
      <c r="C1120" s="44" t="s">
        <v>3557</v>
      </c>
      <c r="D1120" s="42" t="s">
        <v>3475</v>
      </c>
      <c r="E1120" s="45">
        <v>46129</v>
      </c>
      <c r="F1120" s="26" t="s">
        <v>55</v>
      </c>
      <c r="G1120" s="26" t="s">
        <v>56</v>
      </c>
      <c r="H1120" s="26" t="s">
        <v>57</v>
      </c>
      <c r="I1120" s="26" t="s">
        <v>58</v>
      </c>
      <c r="J1120" s="26" t="s">
        <v>56</v>
      </c>
      <c r="K1120" s="27"/>
      <c r="L1120" s="28" t="s">
        <v>57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3558</v>
      </c>
      <c r="C1121" s="25" t="s">
        <v>3559</v>
      </c>
      <c r="D1121" s="23" t="s">
        <v>3475</v>
      </c>
      <c r="E1121" s="45">
        <v>46129</v>
      </c>
      <c r="F1121" s="26" t="s">
        <v>55</v>
      </c>
      <c r="G1121" s="26" t="s">
        <v>56</v>
      </c>
      <c r="H1121" s="26" t="s">
        <v>57</v>
      </c>
      <c r="I1121" s="26" t="s">
        <v>58</v>
      </c>
      <c r="J1121" s="26" t="s">
        <v>56</v>
      </c>
      <c r="K1121" s="27"/>
      <c r="L1121" s="28" t="s">
        <v>57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3560</v>
      </c>
      <c r="C1122" s="44" t="s">
        <v>3561</v>
      </c>
      <c r="D1122" s="42" t="s">
        <v>3475</v>
      </c>
      <c r="E1122" s="45">
        <v>46129</v>
      </c>
      <c r="F1122" s="26" t="s">
        <v>55</v>
      </c>
      <c r="G1122" s="26" t="s">
        <v>56</v>
      </c>
      <c r="H1122" s="26" t="s">
        <v>57</v>
      </c>
      <c r="I1122" s="26" t="s">
        <v>58</v>
      </c>
      <c r="J1122" s="26" t="s">
        <v>56</v>
      </c>
      <c r="K1122" s="27"/>
      <c r="L1122" s="28" t="s">
        <v>57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3562</v>
      </c>
      <c r="C1123" s="25" t="s">
        <v>3563</v>
      </c>
      <c r="D1123" s="23" t="s">
        <v>3475</v>
      </c>
      <c r="E1123" s="45">
        <v>46129</v>
      </c>
      <c r="F1123" s="26" t="s">
        <v>55</v>
      </c>
      <c r="G1123" s="26" t="s">
        <v>56</v>
      </c>
      <c r="H1123" s="26" t="s">
        <v>57</v>
      </c>
      <c r="I1123" s="26" t="s">
        <v>58</v>
      </c>
      <c r="J1123" s="26" t="s">
        <v>56</v>
      </c>
      <c r="K1123" s="27"/>
      <c r="L1123" s="28" t="s">
        <v>57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3564</v>
      </c>
      <c r="C1124" s="44" t="s">
        <v>3565</v>
      </c>
      <c r="D1124" s="42" t="s">
        <v>3475</v>
      </c>
      <c r="E1124" s="45">
        <v>46129</v>
      </c>
      <c r="F1124" s="26" t="s">
        <v>55</v>
      </c>
      <c r="G1124" s="26" t="s">
        <v>56</v>
      </c>
      <c r="H1124" s="26" t="s">
        <v>57</v>
      </c>
      <c r="I1124" s="26" t="s">
        <v>58</v>
      </c>
      <c r="J1124" s="26" t="s">
        <v>56</v>
      </c>
      <c r="K1124" s="27"/>
      <c r="L1124" s="28" t="s">
        <v>57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3566</v>
      </c>
      <c r="C1125" s="25" t="s">
        <v>3567</v>
      </c>
      <c r="D1125" s="23" t="s">
        <v>3475</v>
      </c>
      <c r="E1125" s="45">
        <v>46129</v>
      </c>
      <c r="F1125" s="26" t="s">
        <v>55</v>
      </c>
      <c r="G1125" s="26" t="s">
        <v>56</v>
      </c>
      <c r="H1125" s="26" t="s">
        <v>57</v>
      </c>
      <c r="I1125" s="26" t="s">
        <v>58</v>
      </c>
      <c r="J1125" s="26" t="s">
        <v>56</v>
      </c>
      <c r="K1125" s="27"/>
      <c r="L1125" s="28" t="s">
        <v>57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3568</v>
      </c>
      <c r="C1126" s="44" t="s">
        <v>3569</v>
      </c>
      <c r="D1126" s="42" t="s">
        <v>3475</v>
      </c>
      <c r="E1126" s="45">
        <v>46129</v>
      </c>
      <c r="F1126" s="26" t="s">
        <v>55</v>
      </c>
      <c r="G1126" s="26" t="s">
        <v>56</v>
      </c>
      <c r="H1126" s="26" t="s">
        <v>57</v>
      </c>
      <c r="I1126" s="26" t="s">
        <v>58</v>
      </c>
      <c r="J1126" s="26" t="s">
        <v>56</v>
      </c>
      <c r="K1126" s="27"/>
      <c r="L1126" s="28" t="s">
        <v>57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3570</v>
      </c>
      <c r="C1127" s="25" t="s">
        <v>3571</v>
      </c>
      <c r="D1127" s="23" t="s">
        <v>3475</v>
      </c>
      <c r="E1127" s="45">
        <v>46129</v>
      </c>
      <c r="F1127" s="26" t="s">
        <v>55</v>
      </c>
      <c r="G1127" s="26" t="s">
        <v>56</v>
      </c>
      <c r="H1127" s="26" t="s">
        <v>57</v>
      </c>
      <c r="I1127" s="26" t="s">
        <v>58</v>
      </c>
      <c r="J1127" s="26" t="s">
        <v>56</v>
      </c>
      <c r="K1127" s="27"/>
      <c r="L1127" s="28" t="s">
        <v>57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3572</v>
      </c>
      <c r="C1128" s="44" t="s">
        <v>3573</v>
      </c>
      <c r="D1128" s="42" t="s">
        <v>3475</v>
      </c>
      <c r="E1128" s="45">
        <v>46129</v>
      </c>
      <c r="F1128" s="26" t="s">
        <v>55</v>
      </c>
      <c r="G1128" s="26" t="s">
        <v>56</v>
      </c>
      <c r="H1128" s="26" t="s">
        <v>57</v>
      </c>
      <c r="I1128" s="26" t="s">
        <v>58</v>
      </c>
      <c r="J1128" s="26" t="s">
        <v>56</v>
      </c>
      <c r="K1128" s="27"/>
      <c r="L1128" s="28" t="s">
        <v>57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3574</v>
      </c>
      <c r="C1129" s="25" t="s">
        <v>3575</v>
      </c>
      <c r="D1129" s="23" t="s">
        <v>3475</v>
      </c>
      <c r="E1129" s="45">
        <v>46129</v>
      </c>
      <c r="F1129" s="26" t="s">
        <v>55</v>
      </c>
      <c r="G1129" s="26" t="s">
        <v>56</v>
      </c>
      <c r="H1129" s="26" t="s">
        <v>57</v>
      </c>
      <c r="I1129" s="26" t="s">
        <v>58</v>
      </c>
      <c r="J1129" s="26" t="s">
        <v>56</v>
      </c>
      <c r="K1129" s="27"/>
      <c r="L1129" s="28" t="s">
        <v>57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3576</v>
      </c>
      <c r="C1130" s="44" t="s">
        <v>3577</v>
      </c>
      <c r="D1130" s="42" t="s">
        <v>3475</v>
      </c>
      <c r="E1130" s="45">
        <v>46129</v>
      </c>
      <c r="F1130" s="26" t="s">
        <v>55</v>
      </c>
      <c r="G1130" s="26" t="s">
        <v>56</v>
      </c>
      <c r="H1130" s="26" t="s">
        <v>57</v>
      </c>
      <c r="I1130" s="26" t="s">
        <v>58</v>
      </c>
      <c r="J1130" s="26" t="s">
        <v>56</v>
      </c>
      <c r="K1130" s="27"/>
      <c r="L1130" s="28" t="s">
        <v>57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3578</v>
      </c>
      <c r="C1131" s="25" t="s">
        <v>3579</v>
      </c>
      <c r="D1131" s="23" t="s">
        <v>3475</v>
      </c>
      <c r="E1131" s="45">
        <v>46129</v>
      </c>
      <c r="F1131" s="26" t="s">
        <v>55</v>
      </c>
      <c r="G1131" s="26" t="s">
        <v>56</v>
      </c>
      <c r="H1131" s="26" t="s">
        <v>57</v>
      </c>
      <c r="I1131" s="26" t="s">
        <v>58</v>
      </c>
      <c r="J1131" s="26" t="s">
        <v>56</v>
      </c>
      <c r="K1131" s="27"/>
      <c r="L1131" s="28" t="s">
        <v>57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3580</v>
      </c>
      <c r="C1132" s="44" t="s">
        <v>3581</v>
      </c>
      <c r="D1132" s="42" t="s">
        <v>3475</v>
      </c>
      <c r="E1132" s="45">
        <v>46129</v>
      </c>
      <c r="F1132" s="26" t="s">
        <v>55</v>
      </c>
      <c r="G1132" s="26" t="s">
        <v>56</v>
      </c>
      <c r="H1132" s="26" t="s">
        <v>57</v>
      </c>
      <c r="I1132" s="26" t="s">
        <v>58</v>
      </c>
      <c r="J1132" s="26" t="s">
        <v>56</v>
      </c>
      <c r="K1132" s="27"/>
      <c r="L1132" s="28" t="s">
        <v>57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3582</v>
      </c>
      <c r="C1133" s="25" t="s">
        <v>3583</v>
      </c>
      <c r="D1133" s="23" t="s">
        <v>3475</v>
      </c>
      <c r="E1133" s="45">
        <v>46129</v>
      </c>
      <c r="F1133" s="26" t="s">
        <v>55</v>
      </c>
      <c r="G1133" s="26" t="s">
        <v>56</v>
      </c>
      <c r="H1133" s="26" t="s">
        <v>57</v>
      </c>
      <c r="I1133" s="26" t="s">
        <v>58</v>
      </c>
      <c r="J1133" s="26" t="s">
        <v>56</v>
      </c>
      <c r="K1133" s="27"/>
      <c r="L1133" s="28" t="s">
        <v>57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3584</v>
      </c>
      <c r="C1134" s="44" t="s">
        <v>3585</v>
      </c>
      <c r="D1134" s="42" t="s">
        <v>3475</v>
      </c>
      <c r="E1134" s="45">
        <v>46129</v>
      </c>
      <c r="F1134" s="26" t="s">
        <v>55</v>
      </c>
      <c r="G1134" s="26" t="s">
        <v>56</v>
      </c>
      <c r="H1134" s="26" t="s">
        <v>57</v>
      </c>
      <c r="I1134" s="26" t="s">
        <v>58</v>
      </c>
      <c r="J1134" s="26" t="s">
        <v>56</v>
      </c>
      <c r="K1134" s="27"/>
      <c r="L1134" s="28" t="s">
        <v>57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3586</v>
      </c>
      <c r="C1135" s="25" t="s">
        <v>3587</v>
      </c>
      <c r="D1135" s="23" t="s">
        <v>3475</v>
      </c>
      <c r="E1135" s="45">
        <v>46129</v>
      </c>
      <c r="F1135" s="26" t="s">
        <v>55</v>
      </c>
      <c r="G1135" s="26" t="s">
        <v>56</v>
      </c>
      <c r="H1135" s="26" t="s">
        <v>57</v>
      </c>
      <c r="I1135" s="26" t="s">
        <v>58</v>
      </c>
      <c r="J1135" s="26" t="s">
        <v>56</v>
      </c>
      <c r="K1135" s="27"/>
      <c r="L1135" s="28" t="s">
        <v>57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3588</v>
      </c>
      <c r="C1136" s="44" t="s">
        <v>3589</v>
      </c>
      <c r="D1136" s="42" t="s">
        <v>3475</v>
      </c>
      <c r="E1136" s="45">
        <v>46129</v>
      </c>
      <c r="F1136" s="26" t="s">
        <v>55</v>
      </c>
      <c r="G1136" s="26" t="s">
        <v>56</v>
      </c>
      <c r="H1136" s="26" t="s">
        <v>57</v>
      </c>
      <c r="I1136" s="26" t="s">
        <v>58</v>
      </c>
      <c r="J1136" s="26" t="s">
        <v>56</v>
      </c>
      <c r="K1136" s="27"/>
      <c r="L1136" s="28" t="s">
        <v>57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3590</v>
      </c>
      <c r="C1137" s="25" t="s">
        <v>3591</v>
      </c>
      <c r="D1137" s="23" t="s">
        <v>3475</v>
      </c>
      <c r="E1137" s="45">
        <v>46129</v>
      </c>
      <c r="F1137" s="26" t="s">
        <v>55</v>
      </c>
      <c r="G1137" s="26" t="s">
        <v>56</v>
      </c>
      <c r="H1137" s="26" t="s">
        <v>57</v>
      </c>
      <c r="I1137" s="26" t="s">
        <v>58</v>
      </c>
      <c r="J1137" s="26" t="s">
        <v>56</v>
      </c>
      <c r="K1137" s="27"/>
      <c r="L1137" s="28" t="s">
        <v>57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3592</v>
      </c>
      <c r="C1138" s="44" t="s">
        <v>3593</v>
      </c>
      <c r="D1138" s="42" t="s">
        <v>3475</v>
      </c>
      <c r="E1138" s="45">
        <v>46129</v>
      </c>
      <c r="F1138" s="26" t="s">
        <v>55</v>
      </c>
      <c r="G1138" s="26" t="s">
        <v>56</v>
      </c>
      <c r="H1138" s="26" t="s">
        <v>57</v>
      </c>
      <c r="I1138" s="26" t="s">
        <v>58</v>
      </c>
      <c r="J1138" s="26" t="s">
        <v>56</v>
      </c>
      <c r="K1138" s="27"/>
      <c r="L1138" s="28" t="s">
        <v>57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3594</v>
      </c>
      <c r="C1139" s="25" t="s">
        <v>3595</v>
      </c>
      <c r="D1139" s="23" t="s">
        <v>3475</v>
      </c>
      <c r="E1139" s="45">
        <v>46129</v>
      </c>
      <c r="F1139" s="26" t="s">
        <v>55</v>
      </c>
      <c r="G1139" s="26" t="s">
        <v>56</v>
      </c>
      <c r="H1139" s="26" t="s">
        <v>57</v>
      </c>
      <c r="I1139" s="26" t="s">
        <v>58</v>
      </c>
      <c r="J1139" s="26" t="s">
        <v>56</v>
      </c>
      <c r="K1139" s="27"/>
      <c r="L1139" s="28" t="s">
        <v>57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3596</v>
      </c>
      <c r="C1140" s="44" t="s">
        <v>3597</v>
      </c>
      <c r="D1140" s="42" t="s">
        <v>3475</v>
      </c>
      <c r="E1140" s="45">
        <v>46129</v>
      </c>
      <c r="F1140" s="26" t="s">
        <v>55</v>
      </c>
      <c r="G1140" s="26" t="s">
        <v>56</v>
      </c>
      <c r="H1140" s="26" t="s">
        <v>57</v>
      </c>
      <c r="I1140" s="26" t="s">
        <v>58</v>
      </c>
      <c r="J1140" s="26" t="s">
        <v>56</v>
      </c>
      <c r="K1140" s="27"/>
      <c r="L1140" s="28" t="s">
        <v>57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3598</v>
      </c>
      <c r="C1141" s="25" t="s">
        <v>3599</v>
      </c>
      <c r="D1141" s="23" t="s">
        <v>3475</v>
      </c>
      <c r="E1141" s="45">
        <v>46129</v>
      </c>
      <c r="F1141" s="26" t="s">
        <v>55</v>
      </c>
      <c r="G1141" s="26" t="s">
        <v>56</v>
      </c>
      <c r="H1141" s="26" t="s">
        <v>57</v>
      </c>
      <c r="I1141" s="26" t="s">
        <v>58</v>
      </c>
      <c r="J1141" s="26" t="s">
        <v>56</v>
      </c>
      <c r="K1141" s="27"/>
      <c r="L1141" s="28" t="s">
        <v>57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3600</v>
      </c>
      <c r="C1142" s="44" t="s">
        <v>3601</v>
      </c>
      <c r="D1142" s="42" t="s">
        <v>3475</v>
      </c>
      <c r="E1142" s="45">
        <v>46129</v>
      </c>
      <c r="F1142" s="26" t="s">
        <v>55</v>
      </c>
      <c r="G1142" s="26" t="s">
        <v>56</v>
      </c>
      <c r="H1142" s="26" t="s">
        <v>57</v>
      </c>
      <c r="I1142" s="26" t="s">
        <v>58</v>
      </c>
      <c r="J1142" s="26" t="s">
        <v>56</v>
      </c>
      <c r="K1142" s="27"/>
      <c r="L1142" s="28" t="s">
        <v>57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3602</v>
      </c>
      <c r="C1143" s="25" t="s">
        <v>3603</v>
      </c>
      <c r="D1143" s="23" t="s">
        <v>3475</v>
      </c>
      <c r="E1143" s="45">
        <v>46129</v>
      </c>
      <c r="F1143" s="26" t="s">
        <v>55</v>
      </c>
      <c r="G1143" s="26" t="s">
        <v>56</v>
      </c>
      <c r="H1143" s="26" t="s">
        <v>57</v>
      </c>
      <c r="I1143" s="26" t="s">
        <v>58</v>
      </c>
      <c r="J1143" s="26" t="s">
        <v>56</v>
      </c>
      <c r="K1143" s="27"/>
      <c r="L1143" s="28" t="s">
        <v>57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3604</v>
      </c>
      <c r="C1144" s="44" t="s">
        <v>3605</v>
      </c>
      <c r="D1144" s="42" t="s">
        <v>3475</v>
      </c>
      <c r="E1144" s="45">
        <v>46129</v>
      </c>
      <c r="F1144" s="26" t="s">
        <v>55</v>
      </c>
      <c r="G1144" s="26" t="s">
        <v>56</v>
      </c>
      <c r="H1144" s="26" t="s">
        <v>57</v>
      </c>
      <c r="I1144" s="26" t="s">
        <v>58</v>
      </c>
      <c r="J1144" s="26" t="s">
        <v>56</v>
      </c>
      <c r="K1144" s="27"/>
      <c r="L1144" s="28" t="s">
        <v>57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3606</v>
      </c>
      <c r="C1145" s="25" t="s">
        <v>3607</v>
      </c>
      <c r="D1145" s="23" t="s">
        <v>3475</v>
      </c>
      <c r="E1145" s="45">
        <v>46129</v>
      </c>
      <c r="F1145" s="26" t="s">
        <v>55</v>
      </c>
      <c r="G1145" s="26" t="s">
        <v>56</v>
      </c>
      <c r="H1145" s="26" t="s">
        <v>57</v>
      </c>
      <c r="I1145" s="26" t="s">
        <v>58</v>
      </c>
      <c r="J1145" s="26" t="s">
        <v>56</v>
      </c>
      <c r="K1145" s="27"/>
      <c r="L1145" s="28" t="s">
        <v>57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3608</v>
      </c>
      <c r="C1146" s="44" t="s">
        <v>3609</v>
      </c>
      <c r="D1146" s="42" t="s">
        <v>3475</v>
      </c>
      <c r="E1146" s="45">
        <v>46129</v>
      </c>
      <c r="F1146" s="26" t="s">
        <v>55</v>
      </c>
      <c r="G1146" s="26" t="s">
        <v>56</v>
      </c>
      <c r="H1146" s="26" t="s">
        <v>57</v>
      </c>
      <c r="I1146" s="26" t="s">
        <v>58</v>
      </c>
      <c r="J1146" s="26" t="s">
        <v>56</v>
      </c>
      <c r="K1146" s="27"/>
      <c r="L1146" s="28" t="s">
        <v>57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3610</v>
      </c>
      <c r="C1147" s="25" t="s">
        <v>3611</v>
      </c>
      <c r="D1147" s="23" t="s">
        <v>3475</v>
      </c>
      <c r="E1147" s="45">
        <v>46129</v>
      </c>
      <c r="F1147" s="26" t="s">
        <v>55</v>
      </c>
      <c r="G1147" s="26" t="s">
        <v>56</v>
      </c>
      <c r="H1147" s="26" t="s">
        <v>57</v>
      </c>
      <c r="I1147" s="26" t="s">
        <v>58</v>
      </c>
      <c r="J1147" s="26" t="s">
        <v>56</v>
      </c>
      <c r="K1147" s="27"/>
      <c r="L1147" s="28" t="s">
        <v>57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3612</v>
      </c>
      <c r="C1148" s="44" t="s">
        <v>3613</v>
      </c>
      <c r="D1148" s="42" t="s">
        <v>3475</v>
      </c>
      <c r="E1148" s="45">
        <v>46129</v>
      </c>
      <c r="F1148" s="26" t="s">
        <v>55</v>
      </c>
      <c r="G1148" s="26" t="s">
        <v>56</v>
      </c>
      <c r="H1148" s="26" t="s">
        <v>57</v>
      </c>
      <c r="I1148" s="26" t="s">
        <v>58</v>
      </c>
      <c r="J1148" s="26" t="s">
        <v>56</v>
      </c>
      <c r="K1148" s="27"/>
      <c r="L1148" s="28" t="s">
        <v>57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3614</v>
      </c>
      <c r="C1149" s="25" t="s">
        <v>3615</v>
      </c>
      <c r="D1149" s="23" t="s">
        <v>3475</v>
      </c>
      <c r="E1149" s="45">
        <v>46129</v>
      </c>
      <c r="F1149" s="26" t="s">
        <v>55</v>
      </c>
      <c r="G1149" s="26" t="s">
        <v>56</v>
      </c>
      <c r="H1149" s="26" t="s">
        <v>57</v>
      </c>
      <c r="I1149" s="26" t="s">
        <v>58</v>
      </c>
      <c r="J1149" s="26" t="s">
        <v>56</v>
      </c>
      <c r="K1149" s="27"/>
      <c r="L1149" s="28" t="s">
        <v>57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3616</v>
      </c>
      <c r="C1150" s="44" t="s">
        <v>3617</v>
      </c>
      <c r="D1150" s="42" t="s">
        <v>3475</v>
      </c>
      <c r="E1150" s="45">
        <v>46129</v>
      </c>
      <c r="F1150" s="26" t="s">
        <v>55</v>
      </c>
      <c r="G1150" s="26" t="s">
        <v>56</v>
      </c>
      <c r="H1150" s="26" t="s">
        <v>57</v>
      </c>
      <c r="I1150" s="26" t="s">
        <v>58</v>
      </c>
      <c r="J1150" s="26" t="s">
        <v>56</v>
      </c>
      <c r="K1150" s="27"/>
      <c r="L1150" s="28" t="s">
        <v>57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3618</v>
      </c>
      <c r="C1151" s="25" t="s">
        <v>3619</v>
      </c>
      <c r="D1151" s="23" t="s">
        <v>3475</v>
      </c>
      <c r="E1151" s="45">
        <v>46129</v>
      </c>
      <c r="F1151" s="26" t="s">
        <v>55</v>
      </c>
      <c r="G1151" s="26" t="s">
        <v>56</v>
      </c>
      <c r="H1151" s="26" t="s">
        <v>57</v>
      </c>
      <c r="I1151" s="26" t="s">
        <v>58</v>
      </c>
      <c r="J1151" s="26" t="s">
        <v>56</v>
      </c>
      <c r="K1151" s="27"/>
      <c r="L1151" s="28" t="s">
        <v>57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3620</v>
      </c>
      <c r="C1152" s="44" t="s">
        <v>3621</v>
      </c>
      <c r="D1152" s="42" t="s">
        <v>3475</v>
      </c>
      <c r="E1152" s="45">
        <v>46129</v>
      </c>
      <c r="F1152" s="26" t="s">
        <v>55</v>
      </c>
      <c r="G1152" s="26" t="s">
        <v>56</v>
      </c>
      <c r="H1152" s="26" t="s">
        <v>57</v>
      </c>
      <c r="I1152" s="26" t="s">
        <v>58</v>
      </c>
      <c r="J1152" s="26" t="s">
        <v>56</v>
      </c>
      <c r="K1152" s="27"/>
      <c r="L1152" s="28" t="s">
        <v>57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3622</v>
      </c>
      <c r="C1153" s="25" t="s">
        <v>3623</v>
      </c>
      <c r="D1153" s="23" t="s">
        <v>3475</v>
      </c>
      <c r="E1153" s="45">
        <v>46129</v>
      </c>
      <c r="F1153" s="26" t="s">
        <v>55</v>
      </c>
      <c r="G1153" s="26" t="s">
        <v>56</v>
      </c>
      <c r="H1153" s="26" t="s">
        <v>57</v>
      </c>
      <c r="I1153" s="26" t="s">
        <v>58</v>
      </c>
      <c r="J1153" s="26" t="s">
        <v>56</v>
      </c>
      <c r="K1153" s="27"/>
      <c r="L1153" s="28" t="s">
        <v>57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3624</v>
      </c>
      <c r="C1154" s="44" t="s">
        <v>3625</v>
      </c>
      <c r="D1154" s="42" t="s">
        <v>3475</v>
      </c>
      <c r="E1154" s="45">
        <v>46129</v>
      </c>
      <c r="F1154" s="26" t="s">
        <v>55</v>
      </c>
      <c r="G1154" s="26" t="s">
        <v>56</v>
      </c>
      <c r="H1154" s="26" t="s">
        <v>57</v>
      </c>
      <c r="I1154" s="26" t="s">
        <v>58</v>
      </c>
      <c r="J1154" s="26" t="s">
        <v>56</v>
      </c>
      <c r="K1154" s="27"/>
      <c r="L1154" s="28" t="s">
        <v>57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3626</v>
      </c>
      <c r="C1155" s="25" t="s">
        <v>3627</v>
      </c>
      <c r="D1155" s="23" t="s">
        <v>3475</v>
      </c>
      <c r="E1155" s="45">
        <v>46129</v>
      </c>
      <c r="F1155" s="26" t="s">
        <v>55</v>
      </c>
      <c r="G1155" s="26" t="s">
        <v>56</v>
      </c>
      <c r="H1155" s="26" t="s">
        <v>57</v>
      </c>
      <c r="I1155" s="26" t="s">
        <v>58</v>
      </c>
      <c r="J1155" s="26" t="s">
        <v>56</v>
      </c>
      <c r="K1155" s="27"/>
      <c r="L1155" s="28" t="s">
        <v>57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3628</v>
      </c>
      <c r="C1156" s="44" t="s">
        <v>3629</v>
      </c>
      <c r="D1156" s="42" t="s">
        <v>3475</v>
      </c>
      <c r="E1156" s="45">
        <v>46129</v>
      </c>
      <c r="F1156" s="26" t="s">
        <v>55</v>
      </c>
      <c r="G1156" s="26" t="s">
        <v>56</v>
      </c>
      <c r="H1156" s="26" t="s">
        <v>57</v>
      </c>
      <c r="I1156" s="26" t="s">
        <v>58</v>
      </c>
      <c r="J1156" s="26" t="s">
        <v>56</v>
      </c>
      <c r="K1156" s="27"/>
      <c r="L1156" s="28" t="s">
        <v>57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3630</v>
      </c>
      <c r="C1157" s="25" t="s">
        <v>3631</v>
      </c>
      <c r="D1157" s="23" t="s">
        <v>3475</v>
      </c>
      <c r="E1157" s="45">
        <v>46129</v>
      </c>
      <c r="F1157" s="26" t="s">
        <v>55</v>
      </c>
      <c r="G1157" s="26" t="s">
        <v>56</v>
      </c>
      <c r="H1157" s="26" t="s">
        <v>57</v>
      </c>
      <c r="I1157" s="26" t="s">
        <v>58</v>
      </c>
      <c r="J1157" s="26" t="s">
        <v>56</v>
      </c>
      <c r="K1157" s="27"/>
      <c r="L1157" s="28" t="s">
        <v>57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3632</v>
      </c>
      <c r="C1158" s="44" t="s">
        <v>3633</v>
      </c>
      <c r="D1158" s="42" t="s">
        <v>3475</v>
      </c>
      <c r="E1158" s="45">
        <v>46129</v>
      </c>
      <c r="F1158" s="26" t="s">
        <v>55</v>
      </c>
      <c r="G1158" s="26" t="s">
        <v>56</v>
      </c>
      <c r="H1158" s="26" t="s">
        <v>57</v>
      </c>
      <c r="I1158" s="26" t="s">
        <v>58</v>
      </c>
      <c r="J1158" s="26" t="s">
        <v>56</v>
      </c>
      <c r="K1158" s="27"/>
      <c r="L1158" s="28" t="s">
        <v>57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3634</v>
      </c>
      <c r="C1159" s="25" t="s">
        <v>3635</v>
      </c>
      <c r="D1159" s="23" t="s">
        <v>3475</v>
      </c>
      <c r="E1159" s="45">
        <v>46129</v>
      </c>
      <c r="F1159" s="26" t="s">
        <v>55</v>
      </c>
      <c r="G1159" s="26" t="s">
        <v>56</v>
      </c>
      <c r="H1159" s="26" t="s">
        <v>57</v>
      </c>
      <c r="I1159" s="26" t="s">
        <v>58</v>
      </c>
      <c r="J1159" s="26" t="s">
        <v>56</v>
      </c>
      <c r="K1159" s="27"/>
      <c r="L1159" s="28" t="s">
        <v>57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3636</v>
      </c>
      <c r="C1160" s="44" t="s">
        <v>3637</v>
      </c>
      <c r="D1160" s="42" t="s">
        <v>3475</v>
      </c>
      <c r="E1160" s="45">
        <v>46129</v>
      </c>
      <c r="F1160" s="26" t="s">
        <v>55</v>
      </c>
      <c r="G1160" s="26" t="s">
        <v>56</v>
      </c>
      <c r="H1160" s="26" t="s">
        <v>57</v>
      </c>
      <c r="I1160" s="26" t="s">
        <v>58</v>
      </c>
      <c r="J1160" s="26" t="s">
        <v>56</v>
      </c>
      <c r="K1160" s="27"/>
      <c r="L1160" s="28" t="s">
        <v>57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3638</v>
      </c>
      <c r="C1161" s="25" t="s">
        <v>3639</v>
      </c>
      <c r="D1161" s="23" t="s">
        <v>3475</v>
      </c>
      <c r="E1161" s="45">
        <v>46129</v>
      </c>
      <c r="F1161" s="26" t="s">
        <v>55</v>
      </c>
      <c r="G1161" s="26" t="s">
        <v>56</v>
      </c>
      <c r="H1161" s="26" t="s">
        <v>57</v>
      </c>
      <c r="I1161" s="26" t="s">
        <v>58</v>
      </c>
      <c r="J1161" s="26" t="s">
        <v>56</v>
      </c>
      <c r="K1161" s="27"/>
      <c r="L1161" s="28" t="s">
        <v>57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3640</v>
      </c>
      <c r="C1162" s="44" t="s">
        <v>3641</v>
      </c>
      <c r="D1162" s="42" t="s">
        <v>3475</v>
      </c>
      <c r="E1162" s="45">
        <v>46129</v>
      </c>
      <c r="F1162" s="26" t="s">
        <v>55</v>
      </c>
      <c r="G1162" s="26" t="s">
        <v>56</v>
      </c>
      <c r="H1162" s="26" t="s">
        <v>57</v>
      </c>
      <c r="I1162" s="26" t="s">
        <v>58</v>
      </c>
      <c r="J1162" s="26" t="s">
        <v>56</v>
      </c>
      <c r="K1162" s="27"/>
      <c r="L1162" s="28" t="s">
        <v>57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3642</v>
      </c>
      <c r="C1163" s="25" t="s">
        <v>3643</v>
      </c>
      <c r="D1163" s="23" t="s">
        <v>3475</v>
      </c>
      <c r="E1163" s="45">
        <v>46129</v>
      </c>
      <c r="F1163" s="26" t="s">
        <v>55</v>
      </c>
      <c r="G1163" s="26" t="s">
        <v>56</v>
      </c>
      <c r="H1163" s="26" t="s">
        <v>57</v>
      </c>
      <c r="I1163" s="26" t="s">
        <v>58</v>
      </c>
      <c r="J1163" s="26" t="s">
        <v>56</v>
      </c>
      <c r="K1163" s="27"/>
      <c r="L1163" s="28" t="s">
        <v>57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3644</v>
      </c>
      <c r="C1164" s="44" t="s">
        <v>3645</v>
      </c>
      <c r="D1164" s="42" t="s">
        <v>3475</v>
      </c>
      <c r="E1164" s="45">
        <v>46129</v>
      </c>
      <c r="F1164" s="26" t="s">
        <v>55</v>
      </c>
      <c r="G1164" s="26" t="s">
        <v>56</v>
      </c>
      <c r="H1164" s="26" t="s">
        <v>57</v>
      </c>
      <c r="I1164" s="26" t="s">
        <v>58</v>
      </c>
      <c r="J1164" s="26" t="s">
        <v>56</v>
      </c>
      <c r="K1164" s="27"/>
      <c r="L1164" s="28" t="s">
        <v>57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3646</v>
      </c>
      <c r="C1165" s="25" t="s">
        <v>3647</v>
      </c>
      <c r="D1165" s="23" t="s">
        <v>3475</v>
      </c>
      <c r="E1165" s="45">
        <v>46129</v>
      </c>
      <c r="F1165" s="26" t="s">
        <v>55</v>
      </c>
      <c r="G1165" s="26" t="s">
        <v>56</v>
      </c>
      <c r="H1165" s="26" t="s">
        <v>57</v>
      </c>
      <c r="I1165" s="26" t="s">
        <v>58</v>
      </c>
      <c r="J1165" s="26" t="s">
        <v>56</v>
      </c>
      <c r="K1165" s="27"/>
      <c r="L1165" s="28" t="s">
        <v>57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3648</v>
      </c>
      <c r="C1166" s="44" t="s">
        <v>3649</v>
      </c>
      <c r="D1166" s="42" t="s">
        <v>3475</v>
      </c>
      <c r="E1166" s="45">
        <v>46129</v>
      </c>
      <c r="F1166" s="26" t="s">
        <v>55</v>
      </c>
      <c r="G1166" s="26" t="s">
        <v>56</v>
      </c>
      <c r="H1166" s="26" t="s">
        <v>57</v>
      </c>
      <c r="I1166" s="26" t="s">
        <v>58</v>
      </c>
      <c r="J1166" s="26" t="s">
        <v>56</v>
      </c>
      <c r="K1166" s="27"/>
      <c r="L1166" s="28" t="s">
        <v>57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3650</v>
      </c>
      <c r="C1167" s="25" t="s">
        <v>3651</v>
      </c>
      <c r="D1167" s="23" t="s">
        <v>3475</v>
      </c>
      <c r="E1167" s="45">
        <v>46129</v>
      </c>
      <c r="F1167" s="26" t="s">
        <v>55</v>
      </c>
      <c r="G1167" s="26" t="s">
        <v>56</v>
      </c>
      <c r="H1167" s="26" t="s">
        <v>57</v>
      </c>
      <c r="I1167" s="26" t="s">
        <v>58</v>
      </c>
      <c r="J1167" s="26" t="s">
        <v>56</v>
      </c>
      <c r="K1167" s="27"/>
      <c r="L1167" s="28" t="s">
        <v>57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3652</v>
      </c>
      <c r="C1168" s="44" t="s">
        <v>3653</v>
      </c>
      <c r="D1168" s="42" t="s">
        <v>3475</v>
      </c>
      <c r="E1168" s="45">
        <v>46129</v>
      </c>
      <c r="F1168" s="26" t="s">
        <v>55</v>
      </c>
      <c r="G1168" s="26" t="s">
        <v>56</v>
      </c>
      <c r="H1168" s="26" t="s">
        <v>57</v>
      </c>
      <c r="I1168" s="26" t="s">
        <v>58</v>
      </c>
      <c r="J1168" s="26" t="s">
        <v>56</v>
      </c>
      <c r="K1168" s="27"/>
      <c r="L1168" s="28" t="s">
        <v>57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3654</v>
      </c>
      <c r="C1169" s="25" t="s">
        <v>3655</v>
      </c>
      <c r="D1169" s="23" t="s">
        <v>3475</v>
      </c>
      <c r="E1169" s="45">
        <v>46129</v>
      </c>
      <c r="F1169" s="26" t="s">
        <v>55</v>
      </c>
      <c r="G1169" s="26" t="s">
        <v>56</v>
      </c>
      <c r="H1169" s="26" t="s">
        <v>57</v>
      </c>
      <c r="I1169" s="26" t="s">
        <v>58</v>
      </c>
      <c r="J1169" s="26" t="s">
        <v>56</v>
      </c>
      <c r="K1169" s="27"/>
      <c r="L1169" s="28" t="s">
        <v>57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3656</v>
      </c>
      <c r="C1170" s="44" t="s">
        <v>3657</v>
      </c>
      <c r="D1170" s="42" t="s">
        <v>3475</v>
      </c>
      <c r="E1170" s="45">
        <v>46129</v>
      </c>
      <c r="F1170" s="26" t="s">
        <v>55</v>
      </c>
      <c r="G1170" s="26" t="s">
        <v>56</v>
      </c>
      <c r="H1170" s="26" t="s">
        <v>57</v>
      </c>
      <c r="I1170" s="26" t="s">
        <v>58</v>
      </c>
      <c r="J1170" s="26" t="s">
        <v>56</v>
      </c>
      <c r="K1170" s="27"/>
      <c r="L1170" s="28" t="s">
        <v>57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3658</v>
      </c>
      <c r="C1171" s="25" t="s">
        <v>3659</v>
      </c>
      <c r="D1171" s="23" t="s">
        <v>3475</v>
      </c>
      <c r="E1171" s="45">
        <v>46129</v>
      </c>
      <c r="F1171" s="26" t="s">
        <v>55</v>
      </c>
      <c r="G1171" s="26" t="s">
        <v>56</v>
      </c>
      <c r="H1171" s="26" t="s">
        <v>57</v>
      </c>
      <c r="I1171" s="26" t="s">
        <v>58</v>
      </c>
      <c r="J1171" s="26" t="s">
        <v>56</v>
      </c>
      <c r="K1171" s="27"/>
      <c r="L1171" s="28" t="s">
        <v>57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3660</v>
      </c>
      <c r="C1172" s="44" t="s">
        <v>3661</v>
      </c>
      <c r="D1172" s="42" t="s">
        <v>3475</v>
      </c>
      <c r="E1172" s="45">
        <v>46129</v>
      </c>
      <c r="F1172" s="26" t="s">
        <v>55</v>
      </c>
      <c r="G1172" s="26" t="s">
        <v>56</v>
      </c>
      <c r="H1172" s="26" t="s">
        <v>57</v>
      </c>
      <c r="I1172" s="26" t="s">
        <v>58</v>
      </c>
      <c r="J1172" s="26" t="s">
        <v>56</v>
      </c>
      <c r="K1172" s="27"/>
      <c r="L1172" s="28" t="s">
        <v>57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3662</v>
      </c>
      <c r="C1173" s="25" t="s">
        <v>3663</v>
      </c>
      <c r="D1173" s="23" t="s">
        <v>3475</v>
      </c>
      <c r="E1173" s="45">
        <v>46129</v>
      </c>
      <c r="F1173" s="26" t="s">
        <v>55</v>
      </c>
      <c r="G1173" s="26" t="s">
        <v>56</v>
      </c>
      <c r="H1173" s="26" t="s">
        <v>57</v>
      </c>
      <c r="I1173" s="26" t="s">
        <v>58</v>
      </c>
      <c r="J1173" s="26" t="s">
        <v>56</v>
      </c>
      <c r="K1173" s="27"/>
      <c r="L1173" s="28" t="s">
        <v>57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3664</v>
      </c>
      <c r="C1174" s="44" t="s">
        <v>3665</v>
      </c>
      <c r="D1174" s="42" t="s">
        <v>3475</v>
      </c>
      <c r="E1174" s="45">
        <v>46129</v>
      </c>
      <c r="F1174" s="26" t="s">
        <v>55</v>
      </c>
      <c r="G1174" s="26" t="s">
        <v>56</v>
      </c>
      <c r="H1174" s="26" t="s">
        <v>57</v>
      </c>
      <c r="I1174" s="26" t="s">
        <v>58</v>
      </c>
      <c r="J1174" s="26" t="s">
        <v>56</v>
      </c>
      <c r="K1174" s="27"/>
      <c r="L1174" s="28" t="s">
        <v>57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3666</v>
      </c>
      <c r="C1175" s="25" t="s">
        <v>3667</v>
      </c>
      <c r="D1175" s="23" t="s">
        <v>3475</v>
      </c>
      <c r="E1175" s="45">
        <v>46129</v>
      </c>
      <c r="F1175" s="26" t="s">
        <v>55</v>
      </c>
      <c r="G1175" s="26" t="s">
        <v>56</v>
      </c>
      <c r="H1175" s="26" t="s">
        <v>57</v>
      </c>
      <c r="I1175" s="26" t="s">
        <v>58</v>
      </c>
      <c r="J1175" s="26" t="s">
        <v>56</v>
      </c>
      <c r="K1175" s="27"/>
      <c r="L1175" s="28" t="s">
        <v>57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3668</v>
      </c>
      <c r="C1176" s="44" t="s">
        <v>3669</v>
      </c>
      <c r="D1176" s="42" t="s">
        <v>3475</v>
      </c>
      <c r="E1176" s="45">
        <v>46129</v>
      </c>
      <c r="F1176" s="26" t="s">
        <v>55</v>
      </c>
      <c r="G1176" s="26" t="s">
        <v>56</v>
      </c>
      <c r="H1176" s="26" t="s">
        <v>57</v>
      </c>
      <c r="I1176" s="26" t="s">
        <v>58</v>
      </c>
      <c r="J1176" s="26" t="s">
        <v>56</v>
      </c>
      <c r="K1176" s="27"/>
      <c r="L1176" s="28" t="s">
        <v>57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3670</v>
      </c>
      <c r="C1177" s="25" t="s">
        <v>3671</v>
      </c>
      <c r="D1177" s="23" t="s">
        <v>3475</v>
      </c>
      <c r="E1177" s="45">
        <v>46129</v>
      </c>
      <c r="F1177" s="26" t="s">
        <v>55</v>
      </c>
      <c r="G1177" s="26" t="s">
        <v>56</v>
      </c>
      <c r="H1177" s="26" t="s">
        <v>57</v>
      </c>
      <c r="I1177" s="26" t="s">
        <v>58</v>
      </c>
      <c r="J1177" s="26" t="s">
        <v>56</v>
      </c>
      <c r="K1177" s="27"/>
      <c r="L1177" s="28" t="s">
        <v>57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3672</v>
      </c>
      <c r="C1178" s="44" t="s">
        <v>3673</v>
      </c>
      <c r="D1178" s="42" t="s">
        <v>3475</v>
      </c>
      <c r="E1178" s="45">
        <v>46129</v>
      </c>
      <c r="F1178" s="26" t="s">
        <v>55</v>
      </c>
      <c r="G1178" s="26" t="s">
        <v>56</v>
      </c>
      <c r="H1178" s="26" t="s">
        <v>57</v>
      </c>
      <c r="I1178" s="26" t="s">
        <v>58</v>
      </c>
      <c r="J1178" s="26" t="s">
        <v>56</v>
      </c>
      <c r="K1178" s="27"/>
      <c r="L1178" s="28" t="s">
        <v>57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3674</v>
      </c>
      <c r="C1179" s="25" t="s">
        <v>3675</v>
      </c>
      <c r="D1179" s="23" t="s">
        <v>3475</v>
      </c>
      <c r="E1179" s="45">
        <v>46129</v>
      </c>
      <c r="F1179" s="26" t="s">
        <v>55</v>
      </c>
      <c r="G1179" s="26" t="s">
        <v>56</v>
      </c>
      <c r="H1179" s="26" t="s">
        <v>57</v>
      </c>
      <c r="I1179" s="26" t="s">
        <v>58</v>
      </c>
      <c r="J1179" s="26" t="s">
        <v>56</v>
      </c>
      <c r="K1179" s="27"/>
      <c r="L1179" s="28" t="s">
        <v>57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3676</v>
      </c>
      <c r="C1180" s="44" t="s">
        <v>3677</v>
      </c>
      <c r="D1180" s="42" t="s">
        <v>3475</v>
      </c>
      <c r="E1180" s="45">
        <v>46129</v>
      </c>
      <c r="F1180" s="26" t="s">
        <v>55</v>
      </c>
      <c r="G1180" s="26" t="s">
        <v>56</v>
      </c>
      <c r="H1180" s="26" t="s">
        <v>57</v>
      </c>
      <c r="I1180" s="26" t="s">
        <v>58</v>
      </c>
      <c r="J1180" s="26" t="s">
        <v>56</v>
      </c>
      <c r="K1180" s="27"/>
      <c r="L1180" s="28" t="s">
        <v>57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3678</v>
      </c>
      <c r="C1181" s="25" t="s">
        <v>3679</v>
      </c>
      <c r="D1181" s="23" t="s">
        <v>3475</v>
      </c>
      <c r="E1181" s="45">
        <v>46129</v>
      </c>
      <c r="F1181" s="26" t="s">
        <v>55</v>
      </c>
      <c r="G1181" s="26" t="s">
        <v>56</v>
      </c>
      <c r="H1181" s="26" t="s">
        <v>57</v>
      </c>
      <c r="I1181" s="26" t="s">
        <v>58</v>
      </c>
      <c r="J1181" s="26" t="s">
        <v>56</v>
      </c>
      <c r="K1181" s="27"/>
      <c r="L1181" s="28" t="s">
        <v>57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3680</v>
      </c>
      <c r="C1182" s="44" t="s">
        <v>3681</v>
      </c>
      <c r="D1182" s="42" t="s">
        <v>3475</v>
      </c>
      <c r="E1182" s="45">
        <v>46129</v>
      </c>
      <c r="F1182" s="26" t="s">
        <v>55</v>
      </c>
      <c r="G1182" s="26" t="s">
        <v>56</v>
      </c>
      <c r="H1182" s="26" t="s">
        <v>57</v>
      </c>
      <c r="I1182" s="26" t="s">
        <v>58</v>
      </c>
      <c r="J1182" s="26" t="s">
        <v>56</v>
      </c>
      <c r="K1182" s="27"/>
      <c r="L1182" s="28" t="s">
        <v>57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3682</v>
      </c>
      <c r="C1183" s="25" t="s">
        <v>3683</v>
      </c>
      <c r="D1183" s="23" t="s">
        <v>3475</v>
      </c>
      <c r="E1183" s="45">
        <v>46129</v>
      </c>
      <c r="F1183" s="26" t="s">
        <v>55</v>
      </c>
      <c r="G1183" s="26" t="s">
        <v>56</v>
      </c>
      <c r="H1183" s="26" t="s">
        <v>57</v>
      </c>
      <c r="I1183" s="26" t="s">
        <v>58</v>
      </c>
      <c r="J1183" s="26" t="s">
        <v>56</v>
      </c>
      <c r="K1183" s="27"/>
      <c r="L1183" s="28" t="s">
        <v>57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3684</v>
      </c>
      <c r="C1184" s="44" t="s">
        <v>3685</v>
      </c>
      <c r="D1184" s="42" t="s">
        <v>3475</v>
      </c>
      <c r="E1184" s="45">
        <v>46129</v>
      </c>
      <c r="F1184" s="26" t="s">
        <v>55</v>
      </c>
      <c r="G1184" s="26" t="s">
        <v>56</v>
      </c>
      <c r="H1184" s="26" t="s">
        <v>57</v>
      </c>
      <c r="I1184" s="26" t="s">
        <v>58</v>
      </c>
      <c r="J1184" s="26" t="s">
        <v>56</v>
      </c>
      <c r="K1184" s="27"/>
      <c r="L1184" s="28" t="s">
        <v>57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3686</v>
      </c>
      <c r="C1185" s="25" t="s">
        <v>3687</v>
      </c>
      <c r="D1185" s="23" t="s">
        <v>3475</v>
      </c>
      <c r="E1185" s="45">
        <v>46129</v>
      </c>
      <c r="F1185" s="26" t="s">
        <v>55</v>
      </c>
      <c r="G1185" s="26" t="s">
        <v>56</v>
      </c>
      <c r="H1185" s="26" t="s">
        <v>57</v>
      </c>
      <c r="I1185" s="26" t="s">
        <v>58</v>
      </c>
      <c r="J1185" s="26" t="s">
        <v>56</v>
      </c>
      <c r="K1185" s="27"/>
      <c r="L1185" s="28" t="s">
        <v>57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3688</v>
      </c>
      <c r="C1186" s="44" t="s">
        <v>3689</v>
      </c>
      <c r="D1186" s="42" t="s">
        <v>3475</v>
      </c>
      <c r="E1186" s="45">
        <v>46129</v>
      </c>
      <c r="F1186" s="26" t="s">
        <v>55</v>
      </c>
      <c r="G1186" s="26" t="s">
        <v>56</v>
      </c>
      <c r="H1186" s="26" t="s">
        <v>57</v>
      </c>
      <c r="I1186" s="26" t="s">
        <v>58</v>
      </c>
      <c r="J1186" s="26" t="s">
        <v>56</v>
      </c>
      <c r="K1186" s="27"/>
      <c r="L1186" s="28" t="s">
        <v>57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3690</v>
      </c>
      <c r="C1187" s="25" t="s">
        <v>3691</v>
      </c>
      <c r="D1187" s="23" t="s">
        <v>3475</v>
      </c>
      <c r="E1187" s="45">
        <v>46129</v>
      </c>
      <c r="F1187" s="26" t="s">
        <v>55</v>
      </c>
      <c r="G1187" s="26" t="s">
        <v>56</v>
      </c>
      <c r="H1187" s="26" t="s">
        <v>57</v>
      </c>
      <c r="I1187" s="26" t="s">
        <v>58</v>
      </c>
      <c r="J1187" s="26" t="s">
        <v>56</v>
      </c>
      <c r="K1187" s="27"/>
      <c r="L1187" s="28" t="s">
        <v>57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3692</v>
      </c>
      <c r="C1188" s="44" t="s">
        <v>3693</v>
      </c>
      <c r="D1188" s="42" t="s">
        <v>3475</v>
      </c>
      <c r="E1188" s="45">
        <v>46129</v>
      </c>
      <c r="F1188" s="26" t="s">
        <v>55</v>
      </c>
      <c r="G1188" s="26" t="s">
        <v>56</v>
      </c>
      <c r="H1188" s="26" t="s">
        <v>57</v>
      </c>
      <c r="I1188" s="26" t="s">
        <v>58</v>
      </c>
      <c r="J1188" s="26" t="s">
        <v>56</v>
      </c>
      <c r="K1188" s="27"/>
      <c r="L1188" s="28" t="s">
        <v>57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3694</v>
      </c>
      <c r="C1189" s="25" t="s">
        <v>3695</v>
      </c>
      <c r="D1189" s="23" t="s">
        <v>3475</v>
      </c>
      <c r="E1189" s="45">
        <v>46129</v>
      </c>
      <c r="F1189" s="26" t="s">
        <v>55</v>
      </c>
      <c r="G1189" s="26" t="s">
        <v>56</v>
      </c>
      <c r="H1189" s="26" t="s">
        <v>57</v>
      </c>
      <c r="I1189" s="26" t="s">
        <v>58</v>
      </c>
      <c r="J1189" s="26" t="s">
        <v>56</v>
      </c>
      <c r="K1189" s="27"/>
      <c r="L1189" s="28" t="s">
        <v>57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3696</v>
      </c>
      <c r="C1190" s="44" t="s">
        <v>3697</v>
      </c>
      <c r="D1190" s="42" t="s">
        <v>3475</v>
      </c>
      <c r="E1190" s="45">
        <v>46129</v>
      </c>
      <c r="F1190" s="26" t="s">
        <v>55</v>
      </c>
      <c r="G1190" s="26" t="s">
        <v>56</v>
      </c>
      <c r="H1190" s="26" t="s">
        <v>57</v>
      </c>
      <c r="I1190" s="26" t="s">
        <v>58</v>
      </c>
      <c r="J1190" s="26" t="s">
        <v>56</v>
      </c>
      <c r="K1190" s="27"/>
      <c r="L1190" s="28" t="s">
        <v>57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3698</v>
      </c>
      <c r="C1191" s="25" t="s">
        <v>3699</v>
      </c>
      <c r="D1191" s="23" t="s">
        <v>3475</v>
      </c>
      <c r="E1191" s="45">
        <v>46129</v>
      </c>
      <c r="F1191" s="26" t="s">
        <v>55</v>
      </c>
      <c r="G1191" s="26" t="s">
        <v>56</v>
      </c>
      <c r="H1191" s="26" t="s">
        <v>57</v>
      </c>
      <c r="I1191" s="26" t="s">
        <v>58</v>
      </c>
      <c r="J1191" s="26" t="s">
        <v>56</v>
      </c>
      <c r="K1191" s="27"/>
      <c r="L1191" s="28" t="s">
        <v>57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3700</v>
      </c>
      <c r="C1192" s="44" t="s">
        <v>3701</v>
      </c>
      <c r="D1192" s="42" t="s">
        <v>3475</v>
      </c>
      <c r="E1192" s="45">
        <v>46129</v>
      </c>
      <c r="F1192" s="26" t="s">
        <v>55</v>
      </c>
      <c r="G1192" s="26" t="s">
        <v>56</v>
      </c>
      <c r="H1192" s="26" t="s">
        <v>57</v>
      </c>
      <c r="I1192" s="26" t="s">
        <v>58</v>
      </c>
      <c r="J1192" s="26" t="s">
        <v>56</v>
      </c>
      <c r="K1192" s="27"/>
      <c r="L1192" s="28" t="s">
        <v>57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3702</v>
      </c>
      <c r="C1193" s="25" t="s">
        <v>3703</v>
      </c>
      <c r="D1193" s="23" t="s">
        <v>3475</v>
      </c>
      <c r="E1193" s="45">
        <v>46129</v>
      </c>
      <c r="F1193" s="26" t="s">
        <v>55</v>
      </c>
      <c r="G1193" s="26" t="s">
        <v>56</v>
      </c>
      <c r="H1193" s="26" t="s">
        <v>57</v>
      </c>
      <c r="I1193" s="26" t="s">
        <v>58</v>
      </c>
      <c r="J1193" s="26" t="s">
        <v>56</v>
      </c>
      <c r="K1193" s="27"/>
      <c r="L1193" s="28" t="s">
        <v>57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3704</v>
      </c>
      <c r="C1194" s="44" t="s">
        <v>3705</v>
      </c>
      <c r="D1194" s="42" t="s">
        <v>3475</v>
      </c>
      <c r="E1194" s="45">
        <v>46129</v>
      </c>
      <c r="F1194" s="26" t="s">
        <v>55</v>
      </c>
      <c r="G1194" s="26" t="s">
        <v>56</v>
      </c>
      <c r="H1194" s="26" t="s">
        <v>57</v>
      </c>
      <c r="I1194" s="26" t="s">
        <v>58</v>
      </c>
      <c r="J1194" s="26" t="s">
        <v>56</v>
      </c>
      <c r="K1194" s="27"/>
      <c r="L1194" s="28" t="s">
        <v>57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3706</v>
      </c>
      <c r="C1195" s="25" t="s">
        <v>3707</v>
      </c>
      <c r="D1195" s="23" t="s">
        <v>3475</v>
      </c>
      <c r="E1195" s="45">
        <v>46129</v>
      </c>
      <c r="F1195" s="26" t="s">
        <v>55</v>
      </c>
      <c r="G1195" s="26" t="s">
        <v>56</v>
      </c>
      <c r="H1195" s="26" t="s">
        <v>57</v>
      </c>
      <c r="I1195" s="26" t="s">
        <v>58</v>
      </c>
      <c r="J1195" s="26" t="s">
        <v>56</v>
      </c>
      <c r="K1195" s="27"/>
      <c r="L1195" s="28" t="s">
        <v>57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3708</v>
      </c>
      <c r="C1196" s="44" t="s">
        <v>3709</v>
      </c>
      <c r="D1196" s="42" t="s">
        <v>3475</v>
      </c>
      <c r="E1196" s="45">
        <v>46129</v>
      </c>
      <c r="F1196" s="26" t="s">
        <v>55</v>
      </c>
      <c r="G1196" s="26" t="s">
        <v>56</v>
      </c>
      <c r="H1196" s="26" t="s">
        <v>57</v>
      </c>
      <c r="I1196" s="26" t="s">
        <v>58</v>
      </c>
      <c r="J1196" s="26" t="s">
        <v>56</v>
      </c>
      <c r="K1196" s="27"/>
      <c r="L1196" s="28" t="s">
        <v>57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3710</v>
      </c>
      <c r="C1197" s="25" t="s">
        <v>3711</v>
      </c>
      <c r="D1197" s="23" t="s">
        <v>3475</v>
      </c>
      <c r="E1197" s="45">
        <v>46129</v>
      </c>
      <c r="F1197" s="26" t="s">
        <v>55</v>
      </c>
      <c r="G1197" s="26" t="s">
        <v>56</v>
      </c>
      <c r="H1197" s="26" t="s">
        <v>57</v>
      </c>
      <c r="I1197" s="26" t="s">
        <v>58</v>
      </c>
      <c r="J1197" s="26" t="s">
        <v>56</v>
      </c>
      <c r="K1197" s="27"/>
      <c r="L1197" s="28" t="s">
        <v>57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3712</v>
      </c>
      <c r="C1198" s="44" t="s">
        <v>3713</v>
      </c>
      <c r="D1198" s="42" t="s">
        <v>3475</v>
      </c>
      <c r="E1198" s="45">
        <v>46129</v>
      </c>
      <c r="F1198" s="26" t="s">
        <v>55</v>
      </c>
      <c r="G1198" s="26" t="s">
        <v>56</v>
      </c>
      <c r="H1198" s="26" t="s">
        <v>57</v>
      </c>
      <c r="I1198" s="26" t="s">
        <v>58</v>
      </c>
      <c r="J1198" s="26" t="s">
        <v>56</v>
      </c>
      <c r="K1198" s="27"/>
      <c r="L1198" s="28" t="s">
        <v>57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3714</v>
      </c>
      <c r="C1199" s="25" t="s">
        <v>3715</v>
      </c>
      <c r="D1199" s="23" t="s">
        <v>3475</v>
      </c>
      <c r="E1199" s="45">
        <v>46129</v>
      </c>
      <c r="F1199" s="26" t="s">
        <v>55</v>
      </c>
      <c r="G1199" s="26" t="s">
        <v>56</v>
      </c>
      <c r="H1199" s="26" t="s">
        <v>57</v>
      </c>
      <c r="I1199" s="26" t="s">
        <v>58</v>
      </c>
      <c r="J1199" s="26" t="s">
        <v>56</v>
      </c>
      <c r="K1199" s="27"/>
      <c r="L1199" s="28" t="s">
        <v>57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3716</v>
      </c>
      <c r="C1200" s="44" t="s">
        <v>3717</v>
      </c>
      <c r="D1200" s="42" t="s">
        <v>3475</v>
      </c>
      <c r="E1200" s="45">
        <v>46129</v>
      </c>
      <c r="F1200" s="26" t="s">
        <v>55</v>
      </c>
      <c r="G1200" s="26" t="s">
        <v>56</v>
      </c>
      <c r="H1200" s="26" t="s">
        <v>57</v>
      </c>
      <c r="I1200" s="26" t="s">
        <v>58</v>
      </c>
      <c r="J1200" s="26" t="s">
        <v>56</v>
      </c>
      <c r="K1200" s="27"/>
      <c r="L1200" s="28" t="s">
        <v>57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3718</v>
      </c>
      <c r="C1201" s="25" t="s">
        <v>3719</v>
      </c>
      <c r="D1201" s="23" t="s">
        <v>3475</v>
      </c>
      <c r="E1201" s="45">
        <v>46129</v>
      </c>
      <c r="F1201" s="26" t="s">
        <v>55</v>
      </c>
      <c r="G1201" s="26" t="s">
        <v>56</v>
      </c>
      <c r="H1201" s="26" t="s">
        <v>57</v>
      </c>
      <c r="I1201" s="26" t="s">
        <v>58</v>
      </c>
      <c r="J1201" s="26" t="s">
        <v>56</v>
      </c>
      <c r="K1201" s="27"/>
      <c r="L1201" s="28" t="s">
        <v>57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3720</v>
      </c>
      <c r="C1202" s="44" t="s">
        <v>3721</v>
      </c>
      <c r="D1202" s="42" t="s">
        <v>3475</v>
      </c>
      <c r="E1202" s="45">
        <v>46129</v>
      </c>
      <c r="F1202" s="26" t="s">
        <v>55</v>
      </c>
      <c r="G1202" s="26" t="s">
        <v>56</v>
      </c>
      <c r="H1202" s="26" t="s">
        <v>57</v>
      </c>
      <c r="I1202" s="26" t="s">
        <v>58</v>
      </c>
      <c r="J1202" s="26" t="s">
        <v>56</v>
      </c>
      <c r="K1202" s="27"/>
      <c r="L1202" s="28" t="s">
        <v>57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3722</v>
      </c>
      <c r="C1203" s="25" t="s">
        <v>3723</v>
      </c>
      <c r="D1203" s="23" t="s">
        <v>3475</v>
      </c>
      <c r="E1203" s="45">
        <v>46129</v>
      </c>
      <c r="F1203" s="26" t="s">
        <v>55</v>
      </c>
      <c r="G1203" s="26" t="s">
        <v>56</v>
      </c>
      <c r="H1203" s="26" t="s">
        <v>57</v>
      </c>
      <c r="I1203" s="26" t="s">
        <v>58</v>
      </c>
      <c r="J1203" s="26" t="s">
        <v>56</v>
      </c>
      <c r="K1203" s="27"/>
      <c r="L1203" s="28" t="s">
        <v>57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3724</v>
      </c>
      <c r="C1204" s="44" t="s">
        <v>3725</v>
      </c>
      <c r="D1204" s="42" t="s">
        <v>3475</v>
      </c>
      <c r="E1204" s="45">
        <v>46129</v>
      </c>
      <c r="F1204" s="26" t="s">
        <v>55</v>
      </c>
      <c r="G1204" s="26" t="s">
        <v>56</v>
      </c>
      <c r="H1204" s="26" t="s">
        <v>57</v>
      </c>
      <c r="I1204" s="26" t="s">
        <v>58</v>
      </c>
      <c r="J1204" s="26" t="s">
        <v>56</v>
      </c>
      <c r="K1204" s="27"/>
      <c r="L1204" s="28" t="s">
        <v>57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3726</v>
      </c>
      <c r="C1205" s="25" t="s">
        <v>3727</v>
      </c>
      <c r="D1205" s="23" t="s">
        <v>3475</v>
      </c>
      <c r="E1205" s="45">
        <v>46129</v>
      </c>
      <c r="F1205" s="26" t="s">
        <v>55</v>
      </c>
      <c r="G1205" s="26" t="s">
        <v>56</v>
      </c>
      <c r="H1205" s="26" t="s">
        <v>57</v>
      </c>
      <c r="I1205" s="26" t="s">
        <v>58</v>
      </c>
      <c r="J1205" s="26" t="s">
        <v>56</v>
      </c>
      <c r="K1205" s="27"/>
      <c r="L1205" s="28" t="s">
        <v>57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3728</v>
      </c>
      <c r="C1206" s="44" t="s">
        <v>3729</v>
      </c>
      <c r="D1206" s="42" t="s">
        <v>3475</v>
      </c>
      <c r="E1206" s="45">
        <v>46129</v>
      </c>
      <c r="F1206" s="26" t="s">
        <v>55</v>
      </c>
      <c r="G1206" s="26" t="s">
        <v>56</v>
      </c>
      <c r="H1206" s="26" t="s">
        <v>57</v>
      </c>
      <c r="I1206" s="26" t="s">
        <v>58</v>
      </c>
      <c r="J1206" s="26" t="s">
        <v>56</v>
      </c>
      <c r="K1206" s="27"/>
      <c r="L1206" s="28" t="s">
        <v>57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3730</v>
      </c>
      <c r="C1207" s="25" t="s">
        <v>3731</v>
      </c>
      <c r="D1207" s="23" t="s">
        <v>3475</v>
      </c>
      <c r="E1207" s="45">
        <v>46129</v>
      </c>
      <c r="F1207" s="26" t="s">
        <v>55</v>
      </c>
      <c r="G1207" s="26" t="s">
        <v>56</v>
      </c>
      <c r="H1207" s="26" t="s">
        <v>57</v>
      </c>
      <c r="I1207" s="26" t="s">
        <v>58</v>
      </c>
      <c r="J1207" s="26" t="s">
        <v>56</v>
      </c>
      <c r="K1207" s="27"/>
      <c r="L1207" s="28" t="s">
        <v>57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3732</v>
      </c>
      <c r="C1208" s="44" t="s">
        <v>3733</v>
      </c>
      <c r="D1208" s="42" t="s">
        <v>3475</v>
      </c>
      <c r="E1208" s="45">
        <v>46129</v>
      </c>
      <c r="F1208" s="26" t="s">
        <v>55</v>
      </c>
      <c r="G1208" s="26" t="s">
        <v>56</v>
      </c>
      <c r="H1208" s="26" t="s">
        <v>57</v>
      </c>
      <c r="I1208" s="26" t="s">
        <v>58</v>
      </c>
      <c r="J1208" s="26" t="s">
        <v>56</v>
      </c>
      <c r="K1208" s="27"/>
      <c r="L1208" s="28" t="s">
        <v>57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3734</v>
      </c>
      <c r="C1209" s="25" t="s">
        <v>3735</v>
      </c>
      <c r="D1209" s="23" t="s">
        <v>3475</v>
      </c>
      <c r="E1209" s="45">
        <v>46129</v>
      </c>
      <c r="F1209" s="26" t="s">
        <v>55</v>
      </c>
      <c r="G1209" s="26" t="s">
        <v>56</v>
      </c>
      <c r="H1209" s="26" t="s">
        <v>57</v>
      </c>
      <c r="I1209" s="26" t="s">
        <v>58</v>
      </c>
      <c r="J1209" s="26" t="s">
        <v>56</v>
      </c>
      <c r="K1209" s="27"/>
      <c r="L1209" s="28" t="s">
        <v>57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3736</v>
      </c>
      <c r="C1210" s="44" t="s">
        <v>3737</v>
      </c>
      <c r="D1210" s="42" t="s">
        <v>3475</v>
      </c>
      <c r="E1210" s="45">
        <v>46129</v>
      </c>
      <c r="F1210" s="26" t="s">
        <v>55</v>
      </c>
      <c r="G1210" s="26" t="s">
        <v>56</v>
      </c>
      <c r="H1210" s="26" t="s">
        <v>57</v>
      </c>
      <c r="I1210" s="26" t="s">
        <v>58</v>
      </c>
      <c r="J1210" s="26" t="s">
        <v>56</v>
      </c>
      <c r="K1210" s="27"/>
      <c r="L1210" s="28" t="s">
        <v>57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3738</v>
      </c>
      <c r="C1211" s="25" t="s">
        <v>3739</v>
      </c>
      <c r="D1211" s="23" t="s">
        <v>3475</v>
      </c>
      <c r="E1211" s="45">
        <v>46129</v>
      </c>
      <c r="F1211" s="26" t="s">
        <v>55</v>
      </c>
      <c r="G1211" s="26" t="s">
        <v>56</v>
      </c>
      <c r="H1211" s="26" t="s">
        <v>57</v>
      </c>
      <c r="I1211" s="26" t="s">
        <v>58</v>
      </c>
      <c r="J1211" s="26" t="s">
        <v>56</v>
      </c>
      <c r="K1211" s="27"/>
      <c r="L1211" s="28" t="s">
        <v>57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3740</v>
      </c>
      <c r="C1212" s="44" t="s">
        <v>3741</v>
      </c>
      <c r="D1212" s="42" t="s">
        <v>3475</v>
      </c>
      <c r="E1212" s="45">
        <v>46129</v>
      </c>
      <c r="F1212" s="26" t="s">
        <v>55</v>
      </c>
      <c r="G1212" s="26" t="s">
        <v>56</v>
      </c>
      <c r="H1212" s="26" t="s">
        <v>57</v>
      </c>
      <c r="I1212" s="26" t="s">
        <v>58</v>
      </c>
      <c r="J1212" s="26" t="s">
        <v>56</v>
      </c>
      <c r="K1212" s="27"/>
      <c r="L1212" s="28" t="s">
        <v>57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3742</v>
      </c>
      <c r="C1213" s="25" t="s">
        <v>3743</v>
      </c>
      <c r="D1213" s="23" t="s">
        <v>3475</v>
      </c>
      <c r="E1213" s="45">
        <v>46129</v>
      </c>
      <c r="F1213" s="26" t="s">
        <v>55</v>
      </c>
      <c r="G1213" s="26" t="s">
        <v>56</v>
      </c>
      <c r="H1213" s="26" t="s">
        <v>57</v>
      </c>
      <c r="I1213" s="26" t="s">
        <v>58</v>
      </c>
      <c r="J1213" s="26" t="s">
        <v>56</v>
      </c>
      <c r="K1213" s="27"/>
      <c r="L1213" s="28" t="s">
        <v>57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3744</v>
      </c>
      <c r="C1214" s="44" t="s">
        <v>3745</v>
      </c>
      <c r="D1214" s="42" t="s">
        <v>3475</v>
      </c>
      <c r="E1214" s="45">
        <v>46129</v>
      </c>
      <c r="F1214" s="26" t="s">
        <v>55</v>
      </c>
      <c r="G1214" s="26" t="s">
        <v>56</v>
      </c>
      <c r="H1214" s="26" t="s">
        <v>57</v>
      </c>
      <c r="I1214" s="26" t="s">
        <v>58</v>
      </c>
      <c r="J1214" s="26" t="s">
        <v>56</v>
      </c>
      <c r="K1214" s="27"/>
      <c r="L1214" s="28" t="s">
        <v>57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3746</v>
      </c>
      <c r="C1215" s="25" t="s">
        <v>3747</v>
      </c>
      <c r="D1215" s="23" t="s">
        <v>3475</v>
      </c>
      <c r="E1215" s="45">
        <v>46129</v>
      </c>
      <c r="F1215" s="26" t="s">
        <v>55</v>
      </c>
      <c r="G1215" s="26" t="s">
        <v>56</v>
      </c>
      <c r="H1215" s="26" t="s">
        <v>57</v>
      </c>
      <c r="I1215" s="26" t="s">
        <v>58</v>
      </c>
      <c r="J1215" s="26" t="s">
        <v>56</v>
      </c>
      <c r="K1215" s="27"/>
      <c r="L1215" s="28" t="s">
        <v>57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3748</v>
      </c>
      <c r="C1216" s="44" t="s">
        <v>3749</v>
      </c>
      <c r="D1216" s="42" t="s">
        <v>3475</v>
      </c>
      <c r="E1216" s="45">
        <v>46129</v>
      </c>
      <c r="F1216" s="26" t="s">
        <v>55</v>
      </c>
      <c r="G1216" s="26" t="s">
        <v>56</v>
      </c>
      <c r="H1216" s="26" t="s">
        <v>57</v>
      </c>
      <c r="I1216" s="26" t="s">
        <v>58</v>
      </c>
      <c r="J1216" s="26" t="s">
        <v>56</v>
      </c>
      <c r="K1216" s="27"/>
      <c r="L1216" s="28" t="s">
        <v>57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3750</v>
      </c>
      <c r="C1217" s="25" t="s">
        <v>3751</v>
      </c>
      <c r="D1217" s="23" t="s">
        <v>3475</v>
      </c>
      <c r="E1217" s="45">
        <v>46129</v>
      </c>
      <c r="F1217" s="26" t="s">
        <v>55</v>
      </c>
      <c r="G1217" s="26" t="s">
        <v>56</v>
      </c>
      <c r="H1217" s="26" t="s">
        <v>57</v>
      </c>
      <c r="I1217" s="26" t="s">
        <v>58</v>
      </c>
      <c r="J1217" s="26" t="s">
        <v>56</v>
      </c>
      <c r="K1217" s="27"/>
      <c r="L1217" s="28" t="s">
        <v>57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3752</v>
      </c>
      <c r="C1218" s="44" t="s">
        <v>3753</v>
      </c>
      <c r="D1218" s="42" t="s">
        <v>3475</v>
      </c>
      <c r="E1218" s="45">
        <v>46129</v>
      </c>
      <c r="F1218" s="26" t="s">
        <v>55</v>
      </c>
      <c r="G1218" s="26" t="s">
        <v>56</v>
      </c>
      <c r="H1218" s="26" t="s">
        <v>57</v>
      </c>
      <c r="I1218" s="26" t="s">
        <v>58</v>
      </c>
      <c r="J1218" s="26" t="s">
        <v>56</v>
      </c>
      <c r="K1218" s="27"/>
      <c r="L1218" s="28" t="s">
        <v>57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3754</v>
      </c>
      <c r="C1219" s="25" t="s">
        <v>3755</v>
      </c>
      <c r="D1219" s="23" t="s">
        <v>3475</v>
      </c>
      <c r="E1219" s="45">
        <v>46129</v>
      </c>
      <c r="F1219" s="26" t="s">
        <v>55</v>
      </c>
      <c r="G1219" s="26" t="s">
        <v>56</v>
      </c>
      <c r="H1219" s="26" t="s">
        <v>57</v>
      </c>
      <c r="I1219" s="26" t="s">
        <v>58</v>
      </c>
      <c r="J1219" s="26" t="s">
        <v>56</v>
      </c>
      <c r="K1219" s="27"/>
      <c r="L1219" s="28" t="s">
        <v>57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3756</v>
      </c>
      <c r="C1220" s="44" t="s">
        <v>3757</v>
      </c>
      <c r="D1220" s="42" t="s">
        <v>3475</v>
      </c>
      <c r="E1220" s="45">
        <v>46129</v>
      </c>
      <c r="F1220" s="26" t="s">
        <v>55</v>
      </c>
      <c r="G1220" s="26" t="s">
        <v>56</v>
      </c>
      <c r="H1220" s="26" t="s">
        <v>57</v>
      </c>
      <c r="I1220" s="26" t="s">
        <v>58</v>
      </c>
      <c r="J1220" s="26" t="s">
        <v>56</v>
      </c>
      <c r="K1220" s="27"/>
      <c r="L1220" s="28" t="s">
        <v>57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3758</v>
      </c>
      <c r="C1221" s="25" t="s">
        <v>3759</v>
      </c>
      <c r="D1221" s="23" t="s">
        <v>3475</v>
      </c>
      <c r="E1221" s="45">
        <v>46129</v>
      </c>
      <c r="F1221" s="26" t="s">
        <v>55</v>
      </c>
      <c r="G1221" s="26" t="s">
        <v>56</v>
      </c>
      <c r="H1221" s="26" t="s">
        <v>57</v>
      </c>
      <c r="I1221" s="26" t="s">
        <v>58</v>
      </c>
      <c r="J1221" s="26" t="s">
        <v>56</v>
      </c>
      <c r="K1221" s="27"/>
      <c r="L1221" s="28" t="s">
        <v>57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3760</v>
      </c>
      <c r="C1222" s="44" t="s">
        <v>3761</v>
      </c>
      <c r="D1222" s="42" t="s">
        <v>3475</v>
      </c>
      <c r="E1222" s="45">
        <v>46129</v>
      </c>
      <c r="F1222" s="26" t="s">
        <v>55</v>
      </c>
      <c r="G1222" s="26" t="s">
        <v>56</v>
      </c>
      <c r="H1222" s="26" t="s">
        <v>57</v>
      </c>
      <c r="I1222" s="26" t="s">
        <v>58</v>
      </c>
      <c r="J1222" s="26" t="s">
        <v>56</v>
      </c>
      <c r="K1222" s="27"/>
      <c r="L1222" s="28" t="s">
        <v>57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3762</v>
      </c>
      <c r="C1223" s="25" t="s">
        <v>3763</v>
      </c>
      <c r="D1223" s="23" t="s">
        <v>3475</v>
      </c>
      <c r="E1223" s="45">
        <v>46129</v>
      </c>
      <c r="F1223" s="26" t="s">
        <v>55</v>
      </c>
      <c r="G1223" s="26" t="s">
        <v>56</v>
      </c>
      <c r="H1223" s="26" t="s">
        <v>57</v>
      </c>
      <c r="I1223" s="26" t="s">
        <v>58</v>
      </c>
      <c r="J1223" s="26" t="s">
        <v>56</v>
      </c>
      <c r="K1223" s="27"/>
      <c r="L1223" s="28" t="s">
        <v>57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3764</v>
      </c>
      <c r="C1224" s="44" t="s">
        <v>3765</v>
      </c>
      <c r="D1224" s="42" t="s">
        <v>3475</v>
      </c>
      <c r="E1224" s="45">
        <v>46129</v>
      </c>
      <c r="F1224" s="26" t="s">
        <v>55</v>
      </c>
      <c r="G1224" s="26" t="s">
        <v>56</v>
      </c>
      <c r="H1224" s="26" t="s">
        <v>57</v>
      </c>
      <c r="I1224" s="26" t="s">
        <v>58</v>
      </c>
      <c r="J1224" s="26" t="s">
        <v>56</v>
      </c>
      <c r="K1224" s="27"/>
      <c r="L1224" s="28" t="s">
        <v>57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3766</v>
      </c>
      <c r="C1225" s="25" t="s">
        <v>3767</v>
      </c>
      <c r="D1225" s="23" t="s">
        <v>3475</v>
      </c>
      <c r="E1225" s="45">
        <v>46129</v>
      </c>
      <c r="F1225" s="26" t="s">
        <v>55</v>
      </c>
      <c r="G1225" s="26" t="s">
        <v>56</v>
      </c>
      <c r="H1225" s="26" t="s">
        <v>57</v>
      </c>
      <c r="I1225" s="26" t="s">
        <v>58</v>
      </c>
      <c r="J1225" s="26" t="s">
        <v>56</v>
      </c>
      <c r="K1225" s="27"/>
      <c r="L1225" s="28" t="s">
        <v>57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3768</v>
      </c>
      <c r="C1226" s="44" t="s">
        <v>3769</v>
      </c>
      <c r="D1226" s="42" t="s">
        <v>3475</v>
      </c>
      <c r="E1226" s="45">
        <v>46129</v>
      </c>
      <c r="F1226" s="26" t="s">
        <v>55</v>
      </c>
      <c r="G1226" s="26" t="s">
        <v>56</v>
      </c>
      <c r="H1226" s="26" t="s">
        <v>57</v>
      </c>
      <c r="I1226" s="26" t="s">
        <v>58</v>
      </c>
      <c r="J1226" s="26" t="s">
        <v>56</v>
      </c>
      <c r="K1226" s="27"/>
      <c r="L1226" s="28" t="s">
        <v>57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3770</v>
      </c>
      <c r="C1227" s="25" t="s">
        <v>3771</v>
      </c>
      <c r="D1227" s="23" t="s">
        <v>3475</v>
      </c>
      <c r="E1227" s="45">
        <v>46129</v>
      </c>
      <c r="F1227" s="26" t="s">
        <v>55</v>
      </c>
      <c r="G1227" s="26" t="s">
        <v>56</v>
      </c>
      <c r="H1227" s="26" t="s">
        <v>57</v>
      </c>
      <c r="I1227" s="26" t="s">
        <v>58</v>
      </c>
      <c r="J1227" s="26" t="s">
        <v>56</v>
      </c>
      <c r="K1227" s="27"/>
      <c r="L1227" s="28" t="s">
        <v>57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3772</v>
      </c>
      <c r="C1228" s="44" t="s">
        <v>3773</v>
      </c>
      <c r="D1228" s="42" t="s">
        <v>3475</v>
      </c>
      <c r="E1228" s="45">
        <v>46129</v>
      </c>
      <c r="F1228" s="26" t="s">
        <v>55</v>
      </c>
      <c r="G1228" s="26" t="s">
        <v>56</v>
      </c>
      <c r="H1228" s="26" t="s">
        <v>57</v>
      </c>
      <c r="I1228" s="26" t="s">
        <v>58</v>
      </c>
      <c r="J1228" s="26" t="s">
        <v>56</v>
      </c>
      <c r="K1228" s="27"/>
      <c r="L1228" s="28" t="s">
        <v>57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3774</v>
      </c>
      <c r="C1229" s="25" t="s">
        <v>3775</v>
      </c>
      <c r="D1229" s="23" t="s">
        <v>3475</v>
      </c>
      <c r="E1229" s="45">
        <v>46129</v>
      </c>
      <c r="F1229" s="26" t="s">
        <v>55</v>
      </c>
      <c r="G1229" s="26" t="s">
        <v>56</v>
      </c>
      <c r="H1229" s="26" t="s">
        <v>57</v>
      </c>
      <c r="I1229" s="26" t="s">
        <v>58</v>
      </c>
      <c r="J1229" s="26" t="s">
        <v>56</v>
      </c>
      <c r="K1229" s="27"/>
      <c r="L1229" s="28" t="s">
        <v>57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3776</v>
      </c>
      <c r="C1230" s="44" t="s">
        <v>3777</v>
      </c>
      <c r="D1230" s="42" t="s">
        <v>3475</v>
      </c>
      <c r="E1230" s="45">
        <v>46129</v>
      </c>
      <c r="F1230" s="26" t="s">
        <v>55</v>
      </c>
      <c r="G1230" s="26" t="s">
        <v>56</v>
      </c>
      <c r="H1230" s="26" t="s">
        <v>57</v>
      </c>
      <c r="I1230" s="26" t="s">
        <v>58</v>
      </c>
      <c r="J1230" s="26" t="s">
        <v>56</v>
      </c>
      <c r="K1230" s="27"/>
      <c r="L1230" s="28" t="s">
        <v>57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3778</v>
      </c>
      <c r="C1231" s="25" t="s">
        <v>3779</v>
      </c>
      <c r="D1231" s="23" t="s">
        <v>3475</v>
      </c>
      <c r="E1231" s="45">
        <v>46129</v>
      </c>
      <c r="F1231" s="26" t="s">
        <v>55</v>
      </c>
      <c r="G1231" s="26" t="s">
        <v>56</v>
      </c>
      <c r="H1231" s="26" t="s">
        <v>57</v>
      </c>
      <c r="I1231" s="26" t="s">
        <v>58</v>
      </c>
      <c r="J1231" s="26" t="s">
        <v>56</v>
      </c>
      <c r="K1231" s="27"/>
      <c r="L1231" s="28" t="s">
        <v>57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3780</v>
      </c>
      <c r="C1232" s="44" t="s">
        <v>3781</v>
      </c>
      <c r="D1232" s="42" t="s">
        <v>3475</v>
      </c>
      <c r="E1232" s="45">
        <v>46129</v>
      </c>
      <c r="F1232" s="26" t="s">
        <v>55</v>
      </c>
      <c r="G1232" s="26" t="s">
        <v>56</v>
      </c>
      <c r="H1232" s="26" t="s">
        <v>57</v>
      </c>
      <c r="I1232" s="26" t="s">
        <v>58</v>
      </c>
      <c r="J1232" s="26" t="s">
        <v>56</v>
      </c>
      <c r="K1232" s="27"/>
      <c r="L1232" s="28" t="s">
        <v>57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3782</v>
      </c>
      <c r="C1233" s="25" t="s">
        <v>3783</v>
      </c>
      <c r="D1233" s="23" t="s">
        <v>3475</v>
      </c>
      <c r="E1233" s="45">
        <v>46129</v>
      </c>
      <c r="F1233" s="26" t="s">
        <v>55</v>
      </c>
      <c r="G1233" s="26" t="s">
        <v>56</v>
      </c>
      <c r="H1233" s="26" t="s">
        <v>57</v>
      </c>
      <c r="I1233" s="26" t="s">
        <v>58</v>
      </c>
      <c r="J1233" s="26" t="s">
        <v>56</v>
      </c>
      <c r="K1233" s="27"/>
      <c r="L1233" s="28" t="s">
        <v>57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3784</v>
      </c>
      <c r="C1234" s="44" t="s">
        <v>3785</v>
      </c>
      <c r="D1234" s="42" t="s">
        <v>3475</v>
      </c>
      <c r="E1234" s="45">
        <v>46129</v>
      </c>
      <c r="F1234" s="26" t="s">
        <v>55</v>
      </c>
      <c r="G1234" s="26" t="s">
        <v>56</v>
      </c>
      <c r="H1234" s="26" t="s">
        <v>57</v>
      </c>
      <c r="I1234" s="26" t="s">
        <v>58</v>
      </c>
      <c r="J1234" s="26" t="s">
        <v>56</v>
      </c>
      <c r="K1234" s="27"/>
      <c r="L1234" s="28" t="s">
        <v>57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3786</v>
      </c>
      <c r="C1235" s="25" t="s">
        <v>3787</v>
      </c>
      <c r="D1235" s="23" t="s">
        <v>3475</v>
      </c>
      <c r="E1235" s="45">
        <v>46129</v>
      </c>
      <c r="F1235" s="26" t="s">
        <v>55</v>
      </c>
      <c r="G1235" s="26" t="s">
        <v>56</v>
      </c>
      <c r="H1235" s="26" t="s">
        <v>57</v>
      </c>
      <c r="I1235" s="26" t="s">
        <v>58</v>
      </c>
      <c r="J1235" s="26" t="s">
        <v>56</v>
      </c>
      <c r="K1235" s="27"/>
      <c r="L1235" s="28" t="s">
        <v>57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3788</v>
      </c>
      <c r="C1236" s="44" t="s">
        <v>3789</v>
      </c>
      <c r="D1236" s="42" t="s">
        <v>3475</v>
      </c>
      <c r="E1236" s="45">
        <v>46129</v>
      </c>
      <c r="F1236" s="26" t="s">
        <v>55</v>
      </c>
      <c r="G1236" s="26" t="s">
        <v>56</v>
      </c>
      <c r="H1236" s="26" t="s">
        <v>57</v>
      </c>
      <c r="I1236" s="26" t="s">
        <v>58</v>
      </c>
      <c r="J1236" s="26" t="s">
        <v>56</v>
      </c>
      <c r="K1236" s="27"/>
      <c r="L1236" s="28" t="s">
        <v>57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3790</v>
      </c>
      <c r="C1237" s="25" t="s">
        <v>3791</v>
      </c>
      <c r="D1237" s="23" t="s">
        <v>3475</v>
      </c>
      <c r="E1237" s="45">
        <v>46129</v>
      </c>
      <c r="F1237" s="26" t="s">
        <v>55</v>
      </c>
      <c r="G1237" s="26" t="s">
        <v>56</v>
      </c>
      <c r="H1237" s="26" t="s">
        <v>57</v>
      </c>
      <c r="I1237" s="26" t="s">
        <v>58</v>
      </c>
      <c r="J1237" s="26" t="s">
        <v>56</v>
      </c>
      <c r="K1237" s="27"/>
      <c r="L1237" s="28" t="s">
        <v>57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3792</v>
      </c>
      <c r="C1238" s="44" t="s">
        <v>3793</v>
      </c>
      <c r="D1238" s="42" t="s">
        <v>3475</v>
      </c>
      <c r="E1238" s="45">
        <v>46129</v>
      </c>
      <c r="F1238" s="26" t="s">
        <v>55</v>
      </c>
      <c r="G1238" s="26" t="s">
        <v>56</v>
      </c>
      <c r="H1238" s="26" t="s">
        <v>57</v>
      </c>
      <c r="I1238" s="26" t="s">
        <v>58</v>
      </c>
      <c r="J1238" s="26" t="s">
        <v>56</v>
      </c>
      <c r="K1238" s="27"/>
      <c r="L1238" s="28" t="s">
        <v>57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3794</v>
      </c>
      <c r="C1239" s="25" t="s">
        <v>3795</v>
      </c>
      <c r="D1239" s="23" t="s">
        <v>3475</v>
      </c>
      <c r="E1239" s="45">
        <v>46129</v>
      </c>
      <c r="F1239" s="26" t="s">
        <v>55</v>
      </c>
      <c r="G1239" s="26" t="s">
        <v>56</v>
      </c>
      <c r="H1239" s="26" t="s">
        <v>57</v>
      </c>
      <c r="I1239" s="26" t="s">
        <v>58</v>
      </c>
      <c r="J1239" s="26" t="s">
        <v>56</v>
      </c>
      <c r="K1239" s="27"/>
      <c r="L1239" s="28" t="s">
        <v>57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3796</v>
      </c>
      <c r="C1240" s="44" t="s">
        <v>3797</v>
      </c>
      <c r="D1240" s="42" t="s">
        <v>3475</v>
      </c>
      <c r="E1240" s="45">
        <v>46129</v>
      </c>
      <c r="F1240" s="26" t="s">
        <v>55</v>
      </c>
      <c r="G1240" s="26" t="s">
        <v>56</v>
      </c>
      <c r="H1240" s="26" t="s">
        <v>57</v>
      </c>
      <c r="I1240" s="26" t="s">
        <v>58</v>
      </c>
      <c r="J1240" s="26" t="s">
        <v>56</v>
      </c>
      <c r="K1240" s="27"/>
      <c r="L1240" s="28" t="s">
        <v>57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3798</v>
      </c>
      <c r="C1241" s="25" t="s">
        <v>3799</v>
      </c>
      <c r="D1241" s="23" t="s">
        <v>3475</v>
      </c>
      <c r="E1241" s="45">
        <v>46129</v>
      </c>
      <c r="F1241" s="26" t="s">
        <v>55</v>
      </c>
      <c r="G1241" s="26" t="s">
        <v>56</v>
      </c>
      <c r="H1241" s="26" t="s">
        <v>57</v>
      </c>
      <c r="I1241" s="26" t="s">
        <v>58</v>
      </c>
      <c r="J1241" s="26" t="s">
        <v>56</v>
      </c>
      <c r="K1241" s="27"/>
      <c r="L1241" s="28" t="s">
        <v>57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3800</v>
      </c>
      <c r="C1242" s="44" t="s">
        <v>3801</v>
      </c>
      <c r="D1242" s="42" t="s">
        <v>3475</v>
      </c>
      <c r="E1242" s="45">
        <v>46129</v>
      </c>
      <c r="F1242" s="26" t="s">
        <v>55</v>
      </c>
      <c r="G1242" s="26" t="s">
        <v>56</v>
      </c>
      <c r="H1242" s="26" t="s">
        <v>57</v>
      </c>
      <c r="I1242" s="26" t="s">
        <v>58</v>
      </c>
      <c r="J1242" s="26" t="s">
        <v>56</v>
      </c>
      <c r="K1242" s="27"/>
      <c r="L1242" s="28" t="s">
        <v>57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3802</v>
      </c>
      <c r="C1243" s="25" t="s">
        <v>3803</v>
      </c>
      <c r="D1243" s="23" t="s">
        <v>3475</v>
      </c>
      <c r="E1243" s="45">
        <v>46129</v>
      </c>
      <c r="F1243" s="26" t="s">
        <v>55</v>
      </c>
      <c r="G1243" s="26" t="s">
        <v>56</v>
      </c>
      <c r="H1243" s="26" t="s">
        <v>57</v>
      </c>
      <c r="I1243" s="26" t="s">
        <v>58</v>
      </c>
      <c r="J1243" s="26" t="s">
        <v>56</v>
      </c>
      <c r="K1243" s="27"/>
      <c r="L1243" s="28" t="s">
        <v>57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3804</v>
      </c>
      <c r="C1244" s="44" t="s">
        <v>3805</v>
      </c>
      <c r="D1244" s="42" t="s">
        <v>3475</v>
      </c>
      <c r="E1244" s="45">
        <v>46129</v>
      </c>
      <c r="F1244" s="26" t="s">
        <v>55</v>
      </c>
      <c r="G1244" s="26" t="s">
        <v>56</v>
      </c>
      <c r="H1244" s="26" t="s">
        <v>57</v>
      </c>
      <c r="I1244" s="26" t="s">
        <v>58</v>
      </c>
      <c r="J1244" s="26" t="s">
        <v>56</v>
      </c>
      <c r="K1244" s="27"/>
      <c r="L1244" s="28" t="s">
        <v>57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3806</v>
      </c>
      <c r="C1245" s="25" t="s">
        <v>3807</v>
      </c>
      <c r="D1245" s="23" t="s">
        <v>3475</v>
      </c>
      <c r="E1245" s="45">
        <v>46129</v>
      </c>
      <c r="F1245" s="26" t="s">
        <v>55</v>
      </c>
      <c r="G1245" s="26" t="s">
        <v>56</v>
      </c>
      <c r="H1245" s="26" t="s">
        <v>57</v>
      </c>
      <c r="I1245" s="26" t="s">
        <v>58</v>
      </c>
      <c r="J1245" s="26" t="s">
        <v>56</v>
      </c>
      <c r="K1245" s="27"/>
      <c r="L1245" s="28" t="s">
        <v>57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3808</v>
      </c>
      <c r="C1246" s="44" t="s">
        <v>3809</v>
      </c>
      <c r="D1246" s="42" t="s">
        <v>3475</v>
      </c>
      <c r="E1246" s="45">
        <v>46129</v>
      </c>
      <c r="F1246" s="26" t="s">
        <v>55</v>
      </c>
      <c r="G1246" s="26" t="s">
        <v>56</v>
      </c>
      <c r="H1246" s="26" t="s">
        <v>57</v>
      </c>
      <c r="I1246" s="26" t="s">
        <v>58</v>
      </c>
      <c r="J1246" s="26" t="s">
        <v>56</v>
      </c>
      <c r="K1246" s="27"/>
      <c r="L1246" s="28" t="s">
        <v>57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3810</v>
      </c>
      <c r="C1247" s="25" t="s">
        <v>3811</v>
      </c>
      <c r="D1247" s="23" t="s">
        <v>3475</v>
      </c>
      <c r="E1247" s="45">
        <v>46129</v>
      </c>
      <c r="F1247" s="26" t="s">
        <v>55</v>
      </c>
      <c r="G1247" s="26" t="s">
        <v>56</v>
      </c>
      <c r="H1247" s="26" t="s">
        <v>57</v>
      </c>
      <c r="I1247" s="26" t="s">
        <v>58</v>
      </c>
      <c r="J1247" s="26" t="s">
        <v>56</v>
      </c>
      <c r="K1247" s="27"/>
      <c r="L1247" s="28" t="s">
        <v>57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3812</v>
      </c>
      <c r="C1248" s="44" t="s">
        <v>3813</v>
      </c>
      <c r="D1248" s="42" t="s">
        <v>3475</v>
      </c>
      <c r="E1248" s="45">
        <v>46129</v>
      </c>
      <c r="F1248" s="26" t="s">
        <v>55</v>
      </c>
      <c r="G1248" s="26" t="s">
        <v>56</v>
      </c>
      <c r="H1248" s="26" t="s">
        <v>57</v>
      </c>
      <c r="I1248" s="26" t="s">
        <v>58</v>
      </c>
      <c r="J1248" s="26" t="s">
        <v>56</v>
      </c>
      <c r="K1248" s="27"/>
      <c r="L1248" s="28" t="s">
        <v>57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3814</v>
      </c>
      <c r="C1249" s="25" t="s">
        <v>3815</v>
      </c>
      <c r="D1249" s="23" t="s">
        <v>3475</v>
      </c>
      <c r="E1249" s="45">
        <v>46129</v>
      </c>
      <c r="F1249" s="26" t="s">
        <v>55</v>
      </c>
      <c r="G1249" s="26" t="s">
        <v>56</v>
      </c>
      <c r="H1249" s="26" t="s">
        <v>57</v>
      </c>
      <c r="I1249" s="26" t="s">
        <v>58</v>
      </c>
      <c r="J1249" s="26" t="s">
        <v>56</v>
      </c>
      <c r="K1249" s="27"/>
      <c r="L1249" s="28" t="s">
        <v>57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3816</v>
      </c>
      <c r="C1250" s="44" t="s">
        <v>3817</v>
      </c>
      <c r="D1250" s="42" t="s">
        <v>3475</v>
      </c>
      <c r="E1250" s="45">
        <v>46129</v>
      </c>
      <c r="F1250" s="26" t="s">
        <v>55</v>
      </c>
      <c r="G1250" s="26" t="s">
        <v>56</v>
      </c>
      <c r="H1250" s="26" t="s">
        <v>57</v>
      </c>
      <c r="I1250" s="26" t="s">
        <v>58</v>
      </c>
      <c r="J1250" s="26" t="s">
        <v>56</v>
      </c>
      <c r="K1250" s="27"/>
      <c r="L1250" s="28" t="s">
        <v>57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3818</v>
      </c>
      <c r="C1251" s="25" t="s">
        <v>3819</v>
      </c>
      <c r="D1251" s="23" t="s">
        <v>3475</v>
      </c>
      <c r="E1251" s="45">
        <v>46129</v>
      </c>
      <c r="F1251" s="26" t="s">
        <v>55</v>
      </c>
      <c r="G1251" s="26" t="s">
        <v>56</v>
      </c>
      <c r="H1251" s="26" t="s">
        <v>57</v>
      </c>
      <c r="I1251" s="26" t="s">
        <v>58</v>
      </c>
      <c r="J1251" s="26" t="s">
        <v>56</v>
      </c>
      <c r="K1251" s="27"/>
      <c r="L1251" s="28" t="s">
        <v>57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3820</v>
      </c>
      <c r="C1252" s="44" t="s">
        <v>3821</v>
      </c>
      <c r="D1252" s="42" t="s">
        <v>3475</v>
      </c>
      <c r="E1252" s="45">
        <v>46129</v>
      </c>
      <c r="F1252" s="26" t="s">
        <v>55</v>
      </c>
      <c r="G1252" s="26" t="s">
        <v>56</v>
      </c>
      <c r="H1252" s="26" t="s">
        <v>57</v>
      </c>
      <c r="I1252" s="26" t="s">
        <v>58</v>
      </c>
      <c r="J1252" s="26" t="s">
        <v>56</v>
      </c>
      <c r="K1252" s="27"/>
      <c r="L1252" s="28" t="s">
        <v>57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3822</v>
      </c>
      <c r="C1253" s="25" t="s">
        <v>3823</v>
      </c>
      <c r="D1253" s="23" t="s">
        <v>3475</v>
      </c>
      <c r="E1253" s="45">
        <v>46129</v>
      </c>
      <c r="F1253" s="26" t="s">
        <v>55</v>
      </c>
      <c r="G1253" s="26" t="s">
        <v>56</v>
      </c>
      <c r="H1253" s="26" t="s">
        <v>57</v>
      </c>
      <c r="I1253" s="26" t="s">
        <v>58</v>
      </c>
      <c r="J1253" s="26" t="s">
        <v>56</v>
      </c>
      <c r="K1253" s="27"/>
      <c r="L1253" s="28" t="s">
        <v>57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3824</v>
      </c>
      <c r="C1254" s="44" t="s">
        <v>3825</v>
      </c>
      <c r="D1254" s="42" t="s">
        <v>3475</v>
      </c>
      <c r="E1254" s="45">
        <v>46129</v>
      </c>
      <c r="F1254" s="26" t="s">
        <v>55</v>
      </c>
      <c r="G1254" s="26" t="s">
        <v>56</v>
      </c>
      <c r="H1254" s="26" t="s">
        <v>57</v>
      </c>
      <c r="I1254" s="26" t="s">
        <v>276</v>
      </c>
      <c r="J1254" s="26" t="s">
        <v>57</v>
      </c>
      <c r="K1254" s="27" t="s">
        <v>3826</v>
      </c>
      <c r="L1254" s="28" t="s">
        <v>56</v>
      </c>
      <c r="M1254" s="29" t="str">
        <f t="shared" si="95"/>
        <v>⚠ Check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3827</v>
      </c>
      <c r="C1255" s="25" t="s">
        <v>3828</v>
      </c>
      <c r="D1255" s="23" t="s">
        <v>3475</v>
      </c>
      <c r="E1255" s="45">
        <v>46129</v>
      </c>
      <c r="F1255" s="26" t="s">
        <v>55</v>
      </c>
      <c r="G1255" s="26" t="s">
        <v>56</v>
      </c>
      <c r="H1255" s="26" t="s">
        <v>57</v>
      </c>
      <c r="I1255" s="26" t="s">
        <v>58</v>
      </c>
      <c r="J1255" s="26" t="s">
        <v>56</v>
      </c>
      <c r="K1255" s="27"/>
      <c r="L1255" s="28" t="s">
        <v>57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3829</v>
      </c>
      <c r="C1256" s="44" t="s">
        <v>3830</v>
      </c>
      <c r="D1256" s="42" t="s">
        <v>3475</v>
      </c>
      <c r="E1256" s="45">
        <v>46129</v>
      </c>
      <c r="F1256" s="26" t="s">
        <v>55</v>
      </c>
      <c r="G1256" s="26" t="s">
        <v>56</v>
      </c>
      <c r="H1256" s="26" t="s">
        <v>57</v>
      </c>
      <c r="I1256" s="26" t="s">
        <v>58</v>
      </c>
      <c r="J1256" s="26" t="s">
        <v>56</v>
      </c>
      <c r="K1256" s="27"/>
      <c r="L1256" s="28" t="s">
        <v>57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3831</v>
      </c>
      <c r="C1257" s="25" t="s">
        <v>3832</v>
      </c>
      <c r="D1257" s="23" t="s">
        <v>3475</v>
      </c>
      <c r="E1257" s="45">
        <v>46129</v>
      </c>
      <c r="F1257" s="26" t="s">
        <v>55</v>
      </c>
      <c r="G1257" s="26" t="s">
        <v>56</v>
      </c>
      <c r="H1257" s="26" t="s">
        <v>57</v>
      </c>
      <c r="I1257" s="26" t="s">
        <v>58</v>
      </c>
      <c r="J1257" s="26" t="s">
        <v>56</v>
      </c>
      <c r="K1257" s="27"/>
      <c r="L1257" s="28" t="s">
        <v>57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3833</v>
      </c>
      <c r="C1258" s="44" t="s">
        <v>3834</v>
      </c>
      <c r="D1258" s="42" t="s">
        <v>3475</v>
      </c>
      <c r="E1258" s="45">
        <v>46129</v>
      </c>
      <c r="F1258" s="26" t="s">
        <v>55</v>
      </c>
      <c r="G1258" s="26" t="s">
        <v>56</v>
      </c>
      <c r="H1258" s="26" t="s">
        <v>57</v>
      </c>
      <c r="I1258" s="26" t="s">
        <v>58</v>
      </c>
      <c r="J1258" s="26" t="s">
        <v>56</v>
      </c>
      <c r="K1258" s="27"/>
      <c r="L1258" s="28" t="s">
        <v>57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3835</v>
      </c>
      <c r="C1259" s="25" t="s">
        <v>3836</v>
      </c>
      <c r="D1259" s="23" t="s">
        <v>3475</v>
      </c>
      <c r="E1259" s="45">
        <v>46129</v>
      </c>
      <c r="F1259" s="26" t="s">
        <v>55</v>
      </c>
      <c r="G1259" s="26" t="s">
        <v>56</v>
      </c>
      <c r="H1259" s="26" t="s">
        <v>57</v>
      </c>
      <c r="I1259" s="26" t="s">
        <v>58</v>
      </c>
      <c r="J1259" s="26" t="s">
        <v>56</v>
      </c>
      <c r="K1259" s="27"/>
      <c r="L1259" s="28" t="s">
        <v>57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3837</v>
      </c>
      <c r="C1260" s="44" t="s">
        <v>3838</v>
      </c>
      <c r="D1260" s="42" t="s">
        <v>3475</v>
      </c>
      <c r="E1260" s="45">
        <v>46129</v>
      </c>
      <c r="F1260" s="26" t="s">
        <v>55</v>
      </c>
      <c r="G1260" s="26" t="s">
        <v>56</v>
      </c>
      <c r="H1260" s="26" t="s">
        <v>57</v>
      </c>
      <c r="I1260" s="26" t="s">
        <v>58</v>
      </c>
      <c r="J1260" s="26" t="s">
        <v>56</v>
      </c>
      <c r="K1260" s="27"/>
      <c r="L1260" s="28" t="s">
        <v>57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3839</v>
      </c>
      <c r="C1261" s="25" t="s">
        <v>3840</v>
      </c>
      <c r="D1261" s="23" t="s">
        <v>3475</v>
      </c>
      <c r="E1261" s="45">
        <v>46129</v>
      </c>
      <c r="F1261" s="26" t="s">
        <v>55</v>
      </c>
      <c r="G1261" s="26" t="s">
        <v>56</v>
      </c>
      <c r="H1261" s="26" t="s">
        <v>57</v>
      </c>
      <c r="I1261" s="26" t="s">
        <v>58</v>
      </c>
      <c r="J1261" s="26" t="s">
        <v>56</v>
      </c>
      <c r="K1261" s="27"/>
      <c r="L1261" s="28" t="s">
        <v>57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3841</v>
      </c>
      <c r="C1262" s="44" t="s">
        <v>3842</v>
      </c>
      <c r="D1262" s="42" t="s">
        <v>3475</v>
      </c>
      <c r="E1262" s="45">
        <v>46129</v>
      </c>
      <c r="F1262" s="26" t="s">
        <v>55</v>
      </c>
      <c r="G1262" s="26" t="s">
        <v>56</v>
      </c>
      <c r="H1262" s="26" t="s">
        <v>57</v>
      </c>
      <c r="I1262" s="26" t="s">
        <v>58</v>
      </c>
      <c r="J1262" s="26" t="s">
        <v>56</v>
      </c>
      <c r="K1262" s="27"/>
      <c r="L1262" s="28" t="s">
        <v>57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3843</v>
      </c>
      <c r="C1263" s="25" t="s">
        <v>3844</v>
      </c>
      <c r="D1263" s="23" t="s">
        <v>3475</v>
      </c>
      <c r="E1263" s="45">
        <v>46129</v>
      </c>
      <c r="F1263" s="26" t="s">
        <v>55</v>
      </c>
      <c r="G1263" s="26" t="s">
        <v>56</v>
      </c>
      <c r="H1263" s="26" t="s">
        <v>57</v>
      </c>
      <c r="I1263" s="26" t="s">
        <v>58</v>
      </c>
      <c r="J1263" s="26" t="s">
        <v>56</v>
      </c>
      <c r="K1263" s="27"/>
      <c r="L1263" s="28" t="s">
        <v>57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3845</v>
      </c>
      <c r="C1264" s="44" t="s">
        <v>3846</v>
      </c>
      <c r="D1264" s="42" t="s">
        <v>3475</v>
      </c>
      <c r="E1264" s="45">
        <v>46129</v>
      </c>
      <c r="F1264" s="26" t="s">
        <v>55</v>
      </c>
      <c r="G1264" s="26" t="s">
        <v>56</v>
      </c>
      <c r="H1264" s="26" t="s">
        <v>57</v>
      </c>
      <c r="I1264" s="26" t="s">
        <v>276</v>
      </c>
      <c r="J1264" s="26" t="s">
        <v>57</v>
      </c>
      <c r="K1264" s="27" t="s">
        <v>3826</v>
      </c>
      <c r="L1264" s="28" t="s">
        <v>56</v>
      </c>
      <c r="M1264" s="29" t="str">
        <f t="shared" si="95"/>
        <v>⚠ Check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3847</v>
      </c>
      <c r="C1265" s="25" t="s">
        <v>3848</v>
      </c>
      <c r="D1265" s="23" t="s">
        <v>3475</v>
      </c>
      <c r="E1265" s="45">
        <v>46129</v>
      </c>
      <c r="F1265" s="26" t="s">
        <v>55</v>
      </c>
      <c r="G1265" s="26" t="s">
        <v>56</v>
      </c>
      <c r="H1265" s="26" t="s">
        <v>57</v>
      </c>
      <c r="I1265" s="26" t="s">
        <v>58</v>
      </c>
      <c r="J1265" s="26" t="s">
        <v>56</v>
      </c>
      <c r="K1265" s="27"/>
      <c r="L1265" s="28" t="s">
        <v>57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3849</v>
      </c>
      <c r="C1266" s="44" t="s">
        <v>3850</v>
      </c>
      <c r="D1266" s="42" t="s">
        <v>3475</v>
      </c>
      <c r="E1266" s="45">
        <v>46129</v>
      </c>
      <c r="F1266" s="26" t="s">
        <v>55</v>
      </c>
      <c r="G1266" s="26" t="s">
        <v>56</v>
      </c>
      <c r="H1266" s="26" t="s">
        <v>57</v>
      </c>
      <c r="I1266" s="26" t="s">
        <v>58</v>
      </c>
      <c r="J1266" s="26" t="s">
        <v>56</v>
      </c>
      <c r="K1266" s="27"/>
      <c r="L1266" s="28" t="s">
        <v>57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3851</v>
      </c>
      <c r="C1267" s="25" t="s">
        <v>3852</v>
      </c>
      <c r="D1267" s="23" t="s">
        <v>3475</v>
      </c>
      <c r="E1267" s="45">
        <v>46129</v>
      </c>
      <c r="F1267" s="26" t="s">
        <v>55</v>
      </c>
      <c r="G1267" s="26" t="s">
        <v>56</v>
      </c>
      <c r="H1267" s="26" t="s">
        <v>57</v>
      </c>
      <c r="I1267" s="26" t="s">
        <v>276</v>
      </c>
      <c r="J1267" s="26" t="s">
        <v>57</v>
      </c>
      <c r="K1267" s="27" t="s">
        <v>3826</v>
      </c>
      <c r="L1267" s="28" t="s">
        <v>56</v>
      </c>
      <c r="M1267" s="29" t="str">
        <f t="shared" si="95"/>
        <v>⚠ Check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3853</v>
      </c>
      <c r="C1268" s="44" t="s">
        <v>3854</v>
      </c>
      <c r="D1268" s="42" t="s">
        <v>3475</v>
      </c>
      <c r="E1268" s="45">
        <v>46129</v>
      </c>
      <c r="F1268" s="26" t="s">
        <v>55</v>
      </c>
      <c r="G1268" s="26" t="s">
        <v>56</v>
      </c>
      <c r="H1268" s="26" t="s">
        <v>57</v>
      </c>
      <c r="I1268" s="26" t="s">
        <v>58</v>
      </c>
      <c r="J1268" s="26" t="s">
        <v>56</v>
      </c>
      <c r="K1268" s="27"/>
      <c r="L1268" s="28" t="s">
        <v>57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3855</v>
      </c>
      <c r="C1269" s="25" t="s">
        <v>3856</v>
      </c>
      <c r="D1269" s="23" t="s">
        <v>3475</v>
      </c>
      <c r="E1269" s="45">
        <v>46129</v>
      </c>
      <c r="F1269" s="26" t="s">
        <v>55</v>
      </c>
      <c r="G1269" s="26" t="s">
        <v>56</v>
      </c>
      <c r="H1269" s="26" t="s">
        <v>57</v>
      </c>
      <c r="I1269" s="26" t="s">
        <v>58</v>
      </c>
      <c r="J1269" s="26" t="s">
        <v>56</v>
      </c>
      <c r="K1269" s="27"/>
      <c r="L1269" s="28" t="s">
        <v>57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3857</v>
      </c>
      <c r="C1270" s="44" t="s">
        <v>3858</v>
      </c>
      <c r="D1270" s="42" t="s">
        <v>3475</v>
      </c>
      <c r="E1270" s="45">
        <v>46129</v>
      </c>
      <c r="F1270" s="26" t="s">
        <v>55</v>
      </c>
      <c r="G1270" s="26" t="s">
        <v>56</v>
      </c>
      <c r="H1270" s="26" t="s">
        <v>57</v>
      </c>
      <c r="I1270" s="26" t="s">
        <v>58</v>
      </c>
      <c r="J1270" s="26" t="s">
        <v>56</v>
      </c>
      <c r="K1270" s="27"/>
      <c r="L1270" s="28" t="s">
        <v>57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3859</v>
      </c>
      <c r="C1271" s="25" t="s">
        <v>3860</v>
      </c>
      <c r="D1271" s="23" t="s">
        <v>3475</v>
      </c>
      <c r="E1271" s="45">
        <v>46129</v>
      </c>
      <c r="F1271" s="26" t="s">
        <v>55</v>
      </c>
      <c r="G1271" s="26" t="s">
        <v>56</v>
      </c>
      <c r="H1271" s="26" t="s">
        <v>57</v>
      </c>
      <c r="I1271" s="26" t="s">
        <v>58</v>
      </c>
      <c r="J1271" s="26" t="s">
        <v>56</v>
      </c>
      <c r="K1271" s="27"/>
      <c r="L1271" s="28" t="s">
        <v>57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3861</v>
      </c>
      <c r="C1272" s="44" t="s">
        <v>3862</v>
      </c>
      <c r="D1272" s="42" t="s">
        <v>3475</v>
      </c>
      <c r="E1272" s="45">
        <v>46129</v>
      </c>
      <c r="F1272" s="26" t="s">
        <v>55</v>
      </c>
      <c r="G1272" s="26" t="s">
        <v>56</v>
      </c>
      <c r="H1272" s="26" t="s">
        <v>57</v>
      </c>
      <c r="I1272" s="26" t="s">
        <v>58</v>
      </c>
      <c r="J1272" s="26" t="s">
        <v>56</v>
      </c>
      <c r="K1272" s="27"/>
      <c r="L1272" s="28" t="s">
        <v>57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3863</v>
      </c>
      <c r="C1273" s="25" t="s">
        <v>3864</v>
      </c>
      <c r="D1273" s="23" t="s">
        <v>3475</v>
      </c>
      <c r="E1273" s="45">
        <v>46129</v>
      </c>
      <c r="F1273" s="26" t="s">
        <v>55</v>
      </c>
      <c r="G1273" s="26" t="s">
        <v>56</v>
      </c>
      <c r="H1273" s="26" t="s">
        <v>57</v>
      </c>
      <c r="I1273" s="26" t="s">
        <v>58</v>
      </c>
      <c r="J1273" s="26" t="s">
        <v>56</v>
      </c>
      <c r="K1273" s="27"/>
      <c r="L1273" s="28" t="s">
        <v>57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3865</v>
      </c>
      <c r="C1274" s="44" t="s">
        <v>3866</v>
      </c>
      <c r="D1274" s="42" t="s">
        <v>3475</v>
      </c>
      <c r="E1274" s="45">
        <v>46129</v>
      </c>
      <c r="F1274" s="26" t="s">
        <v>55</v>
      </c>
      <c r="G1274" s="26" t="s">
        <v>56</v>
      </c>
      <c r="H1274" s="26" t="s">
        <v>57</v>
      </c>
      <c r="I1274" s="26" t="s">
        <v>58</v>
      </c>
      <c r="J1274" s="26" t="s">
        <v>56</v>
      </c>
      <c r="K1274" s="27"/>
      <c r="L1274" s="28" t="s">
        <v>57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3867</v>
      </c>
      <c r="C1275" s="25" t="s">
        <v>3868</v>
      </c>
      <c r="D1275" s="23" t="s">
        <v>3475</v>
      </c>
      <c r="E1275" s="45">
        <v>46129</v>
      </c>
      <c r="F1275" s="26" t="s">
        <v>55</v>
      </c>
      <c r="G1275" s="26" t="s">
        <v>56</v>
      </c>
      <c r="H1275" s="26" t="s">
        <v>57</v>
      </c>
      <c r="I1275" s="26" t="s">
        <v>276</v>
      </c>
      <c r="J1275" s="26" t="s">
        <v>57</v>
      </c>
      <c r="K1275" s="27" t="s">
        <v>3826</v>
      </c>
      <c r="L1275" s="28" t="s">
        <v>56</v>
      </c>
      <c r="M1275" s="29" t="str">
        <f t="shared" si="95"/>
        <v>⚠ Check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3869</v>
      </c>
      <c r="C1276" s="44" t="s">
        <v>3870</v>
      </c>
      <c r="D1276" s="42" t="s">
        <v>3475</v>
      </c>
      <c r="E1276" s="45">
        <v>46129</v>
      </c>
      <c r="F1276" s="26" t="s">
        <v>55</v>
      </c>
      <c r="G1276" s="26" t="s">
        <v>56</v>
      </c>
      <c r="H1276" s="26" t="s">
        <v>57</v>
      </c>
      <c r="I1276" s="26" t="s">
        <v>58</v>
      </c>
      <c r="J1276" s="26" t="s">
        <v>56</v>
      </c>
      <c r="K1276" s="27"/>
      <c r="L1276" s="28" t="s">
        <v>57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3871</v>
      </c>
      <c r="C1277" s="25" t="s">
        <v>3872</v>
      </c>
      <c r="D1277" s="23" t="s">
        <v>3475</v>
      </c>
      <c r="E1277" s="45">
        <v>46129</v>
      </c>
      <c r="F1277" s="26" t="s">
        <v>55</v>
      </c>
      <c r="G1277" s="26" t="s">
        <v>56</v>
      </c>
      <c r="H1277" s="26" t="s">
        <v>57</v>
      </c>
      <c r="I1277" s="26" t="s">
        <v>58</v>
      </c>
      <c r="J1277" s="26" t="s">
        <v>56</v>
      </c>
      <c r="K1277" s="27"/>
      <c r="L1277" s="28" t="s">
        <v>57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3873</v>
      </c>
      <c r="C1278" s="44" t="s">
        <v>3874</v>
      </c>
      <c r="D1278" s="42" t="s">
        <v>3475</v>
      </c>
      <c r="E1278" s="45">
        <v>46129</v>
      </c>
      <c r="F1278" s="26" t="s">
        <v>55</v>
      </c>
      <c r="G1278" s="26" t="s">
        <v>56</v>
      </c>
      <c r="H1278" s="26" t="s">
        <v>57</v>
      </c>
      <c r="I1278" s="26" t="s">
        <v>58</v>
      </c>
      <c r="J1278" s="26" t="s">
        <v>56</v>
      </c>
      <c r="K1278" s="27"/>
      <c r="L1278" s="28" t="s">
        <v>57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3875</v>
      </c>
      <c r="C1279" s="25" t="s">
        <v>3876</v>
      </c>
      <c r="D1279" s="23" t="s">
        <v>3475</v>
      </c>
      <c r="E1279" s="45">
        <v>46129</v>
      </c>
      <c r="F1279" s="26" t="s">
        <v>55</v>
      </c>
      <c r="G1279" s="26" t="s">
        <v>56</v>
      </c>
      <c r="H1279" s="26" t="s">
        <v>57</v>
      </c>
      <c r="I1279" s="26" t="s">
        <v>58</v>
      </c>
      <c r="J1279" s="26" t="s">
        <v>56</v>
      </c>
      <c r="K1279" s="27"/>
      <c r="L1279" s="28" t="s">
        <v>57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3877</v>
      </c>
      <c r="C1280" s="44" t="s">
        <v>3878</v>
      </c>
      <c r="D1280" s="42" t="s">
        <v>3475</v>
      </c>
      <c r="E1280" s="45">
        <v>46129</v>
      </c>
      <c r="F1280" s="26" t="s">
        <v>55</v>
      </c>
      <c r="G1280" s="26" t="s">
        <v>56</v>
      </c>
      <c r="H1280" s="26" t="s">
        <v>57</v>
      </c>
      <c r="I1280" s="26" t="s">
        <v>58</v>
      </c>
      <c r="J1280" s="26" t="s">
        <v>56</v>
      </c>
      <c r="K1280" s="27"/>
      <c r="L1280" s="28" t="s">
        <v>57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3879</v>
      </c>
      <c r="C1281" s="25" t="s">
        <v>3880</v>
      </c>
      <c r="D1281" s="23" t="s">
        <v>3475</v>
      </c>
      <c r="E1281" s="45">
        <v>46129</v>
      </c>
      <c r="F1281" s="26" t="s">
        <v>55</v>
      </c>
      <c r="G1281" s="26" t="s">
        <v>56</v>
      </c>
      <c r="H1281" s="26" t="s">
        <v>57</v>
      </c>
      <c r="I1281" s="26" t="s">
        <v>58</v>
      </c>
      <c r="J1281" s="26" t="s">
        <v>56</v>
      </c>
      <c r="K1281" s="27"/>
      <c r="L1281" s="28" t="s">
        <v>57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3881</v>
      </c>
      <c r="C1282" s="44" t="s">
        <v>3882</v>
      </c>
      <c r="D1282" s="42" t="s">
        <v>3475</v>
      </c>
      <c r="E1282" s="45">
        <v>46129</v>
      </c>
      <c r="F1282" s="26" t="s">
        <v>55</v>
      </c>
      <c r="G1282" s="26" t="s">
        <v>56</v>
      </c>
      <c r="H1282" s="26" t="s">
        <v>57</v>
      </c>
      <c r="I1282" s="26" t="s">
        <v>58</v>
      </c>
      <c r="J1282" s="26" t="s">
        <v>56</v>
      </c>
      <c r="K1282" s="27"/>
      <c r="L1282" s="28" t="s">
        <v>57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3883</v>
      </c>
      <c r="C1283" s="25" t="s">
        <v>3884</v>
      </c>
      <c r="D1283" s="23" t="s">
        <v>3475</v>
      </c>
      <c r="E1283" s="45">
        <v>46129</v>
      </c>
      <c r="F1283" s="26" t="s">
        <v>55</v>
      </c>
      <c r="G1283" s="26" t="s">
        <v>56</v>
      </c>
      <c r="H1283" s="26" t="s">
        <v>57</v>
      </c>
      <c r="I1283" s="26" t="s">
        <v>58</v>
      </c>
      <c r="J1283" s="26" t="s">
        <v>56</v>
      </c>
      <c r="K1283" s="27"/>
      <c r="L1283" s="28" t="s">
        <v>57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3885</v>
      </c>
      <c r="C1284" s="44" t="s">
        <v>3886</v>
      </c>
      <c r="D1284" s="42" t="s">
        <v>3475</v>
      </c>
      <c r="E1284" s="45">
        <v>46129</v>
      </c>
      <c r="F1284" s="26" t="s">
        <v>55</v>
      </c>
      <c r="G1284" s="26" t="s">
        <v>56</v>
      </c>
      <c r="H1284" s="26" t="s">
        <v>57</v>
      </c>
      <c r="I1284" s="26" t="s">
        <v>58</v>
      </c>
      <c r="J1284" s="26" t="s">
        <v>56</v>
      </c>
      <c r="K1284" s="27"/>
      <c r="L1284" s="28" t="s">
        <v>57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3887</v>
      </c>
      <c r="C1285" s="25" t="s">
        <v>3888</v>
      </c>
      <c r="D1285" s="23" t="s">
        <v>3475</v>
      </c>
      <c r="E1285" s="45">
        <v>46129</v>
      </c>
      <c r="F1285" s="26" t="s">
        <v>55</v>
      </c>
      <c r="G1285" s="26" t="s">
        <v>56</v>
      </c>
      <c r="H1285" s="26" t="s">
        <v>57</v>
      </c>
      <c r="I1285" s="26" t="s">
        <v>58</v>
      </c>
      <c r="J1285" s="26" t="s">
        <v>56</v>
      </c>
      <c r="K1285" s="27"/>
      <c r="L1285" s="28" t="s">
        <v>57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3889</v>
      </c>
      <c r="C1286" s="44" t="s">
        <v>3890</v>
      </c>
      <c r="D1286" s="42" t="s">
        <v>3475</v>
      </c>
      <c r="E1286" s="45">
        <v>46129</v>
      </c>
      <c r="F1286" s="26" t="s">
        <v>55</v>
      </c>
      <c r="G1286" s="26" t="s">
        <v>56</v>
      </c>
      <c r="H1286" s="26" t="s">
        <v>57</v>
      </c>
      <c r="I1286" s="26" t="s">
        <v>58</v>
      </c>
      <c r="J1286" s="26" t="s">
        <v>56</v>
      </c>
      <c r="K1286" s="27"/>
      <c r="L1286" s="28" t="s">
        <v>57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3891</v>
      </c>
      <c r="C1287" s="25" t="s">
        <v>3892</v>
      </c>
      <c r="D1287" s="23" t="s">
        <v>3475</v>
      </c>
      <c r="E1287" s="45">
        <v>46129</v>
      </c>
      <c r="F1287" s="26" t="s">
        <v>55</v>
      </c>
      <c r="G1287" s="26" t="s">
        <v>56</v>
      </c>
      <c r="H1287" s="26" t="s">
        <v>57</v>
      </c>
      <c r="I1287" s="26" t="s">
        <v>58</v>
      </c>
      <c r="J1287" s="26" t="s">
        <v>56</v>
      </c>
      <c r="K1287" s="27"/>
      <c r="L1287" s="28" t="s">
        <v>57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3893</v>
      </c>
      <c r="C1288" s="44" t="s">
        <v>3894</v>
      </c>
      <c r="D1288" s="42" t="s">
        <v>3475</v>
      </c>
      <c r="E1288" s="45">
        <v>46129</v>
      </c>
      <c r="F1288" s="26" t="s">
        <v>55</v>
      </c>
      <c r="G1288" s="26" t="s">
        <v>56</v>
      </c>
      <c r="H1288" s="26" t="s">
        <v>57</v>
      </c>
      <c r="I1288" s="26" t="s">
        <v>58</v>
      </c>
      <c r="J1288" s="26" t="s">
        <v>56</v>
      </c>
      <c r="K1288" s="27"/>
      <c r="L1288" s="28" t="s">
        <v>57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3895</v>
      </c>
      <c r="C1289" s="25" t="s">
        <v>3896</v>
      </c>
      <c r="D1289" s="23" t="s">
        <v>3475</v>
      </c>
      <c r="E1289" s="45">
        <v>46129</v>
      </c>
      <c r="F1289" s="26" t="s">
        <v>55</v>
      </c>
      <c r="G1289" s="26" t="s">
        <v>56</v>
      </c>
      <c r="H1289" s="26" t="s">
        <v>57</v>
      </c>
      <c r="I1289" s="26" t="s">
        <v>58</v>
      </c>
      <c r="J1289" s="26" t="s">
        <v>56</v>
      </c>
      <c r="K1289" s="27"/>
      <c r="L1289" s="28" t="s">
        <v>57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3897</v>
      </c>
      <c r="C1290" s="44" t="s">
        <v>3898</v>
      </c>
      <c r="D1290" s="42" t="s">
        <v>3475</v>
      </c>
      <c r="E1290" s="45">
        <v>46129</v>
      </c>
      <c r="F1290" s="26" t="s">
        <v>55</v>
      </c>
      <c r="G1290" s="26" t="s">
        <v>56</v>
      </c>
      <c r="H1290" s="26" t="s">
        <v>57</v>
      </c>
      <c r="I1290" s="26" t="s">
        <v>58</v>
      </c>
      <c r="J1290" s="26" t="s">
        <v>56</v>
      </c>
      <c r="K1290" s="27"/>
      <c r="L1290" s="28" t="s">
        <v>57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3899</v>
      </c>
      <c r="C1291" s="25" t="s">
        <v>3900</v>
      </c>
      <c r="D1291" s="23" t="s">
        <v>3475</v>
      </c>
      <c r="E1291" s="45">
        <v>46129</v>
      </c>
      <c r="F1291" s="26" t="s">
        <v>55</v>
      </c>
      <c r="G1291" s="26" t="s">
        <v>56</v>
      </c>
      <c r="H1291" s="26" t="s">
        <v>57</v>
      </c>
      <c r="I1291" s="26" t="s">
        <v>58</v>
      </c>
      <c r="J1291" s="26" t="s">
        <v>56</v>
      </c>
      <c r="K1291" s="27"/>
      <c r="L1291" s="28" t="s">
        <v>57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3901</v>
      </c>
      <c r="C1292" s="44" t="s">
        <v>3902</v>
      </c>
      <c r="D1292" s="42" t="s">
        <v>3475</v>
      </c>
      <c r="E1292" s="45">
        <v>46129</v>
      </c>
      <c r="F1292" s="26" t="s">
        <v>55</v>
      </c>
      <c r="G1292" s="26" t="s">
        <v>56</v>
      </c>
      <c r="H1292" s="26" t="s">
        <v>57</v>
      </c>
      <c r="I1292" s="26" t="s">
        <v>58</v>
      </c>
      <c r="J1292" s="26" t="s">
        <v>56</v>
      </c>
      <c r="K1292" s="27"/>
      <c r="L1292" s="28" t="s">
        <v>57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3903</v>
      </c>
      <c r="C1293" s="25" t="s">
        <v>3904</v>
      </c>
      <c r="D1293" s="23" t="s">
        <v>3475</v>
      </c>
      <c r="E1293" s="45">
        <v>46129</v>
      </c>
      <c r="F1293" s="26" t="s">
        <v>55</v>
      </c>
      <c r="G1293" s="26" t="s">
        <v>56</v>
      </c>
      <c r="H1293" s="26" t="s">
        <v>57</v>
      </c>
      <c r="I1293" s="26" t="s">
        <v>58</v>
      </c>
      <c r="J1293" s="26" t="s">
        <v>56</v>
      </c>
      <c r="K1293" s="27"/>
      <c r="L1293" s="28" t="s">
        <v>57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3905</v>
      </c>
      <c r="C1294" s="44" t="s">
        <v>3906</v>
      </c>
      <c r="D1294" s="42" t="s">
        <v>3475</v>
      </c>
      <c r="E1294" s="45">
        <v>46129</v>
      </c>
      <c r="F1294" s="26" t="s">
        <v>55</v>
      </c>
      <c r="G1294" s="26" t="s">
        <v>56</v>
      </c>
      <c r="H1294" s="26" t="s">
        <v>57</v>
      </c>
      <c r="I1294" s="26" t="s">
        <v>58</v>
      </c>
      <c r="J1294" s="26" t="s">
        <v>56</v>
      </c>
      <c r="K1294" s="27"/>
      <c r="L1294" s="28" t="s">
        <v>57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3907</v>
      </c>
      <c r="C1295" s="25" t="s">
        <v>3908</v>
      </c>
      <c r="D1295" s="23" t="s">
        <v>3475</v>
      </c>
      <c r="E1295" s="45">
        <v>46129</v>
      </c>
      <c r="F1295" s="26" t="s">
        <v>55</v>
      </c>
      <c r="G1295" s="26" t="s">
        <v>56</v>
      </c>
      <c r="H1295" s="26" t="s">
        <v>57</v>
      </c>
      <c r="I1295" s="26" t="s">
        <v>58</v>
      </c>
      <c r="J1295" s="26" t="s">
        <v>56</v>
      </c>
      <c r="K1295" s="27"/>
      <c r="L1295" s="28" t="s">
        <v>57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3909</v>
      </c>
      <c r="C1296" s="44" t="s">
        <v>3910</v>
      </c>
      <c r="D1296" s="42" t="s">
        <v>3475</v>
      </c>
      <c r="E1296" s="45">
        <v>46129</v>
      </c>
      <c r="F1296" s="26" t="s">
        <v>55</v>
      </c>
      <c r="G1296" s="26" t="s">
        <v>56</v>
      </c>
      <c r="H1296" s="26" t="s">
        <v>57</v>
      </c>
      <c r="I1296" s="26" t="s">
        <v>58</v>
      </c>
      <c r="J1296" s="26" t="s">
        <v>56</v>
      </c>
      <c r="K1296" s="27"/>
      <c r="L1296" s="28" t="s">
        <v>57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3911</v>
      </c>
      <c r="C1297" s="25" t="s">
        <v>3912</v>
      </c>
      <c r="D1297" s="23" t="s">
        <v>3475</v>
      </c>
      <c r="E1297" s="45">
        <v>46129</v>
      </c>
      <c r="F1297" s="26" t="s">
        <v>55</v>
      </c>
      <c r="G1297" s="26" t="s">
        <v>56</v>
      </c>
      <c r="H1297" s="26" t="s">
        <v>57</v>
      </c>
      <c r="I1297" s="26" t="s">
        <v>58</v>
      </c>
      <c r="J1297" s="26" t="s">
        <v>56</v>
      </c>
      <c r="K1297" s="27"/>
      <c r="L1297" s="28" t="s">
        <v>57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3913</v>
      </c>
      <c r="C1298" s="44" t="s">
        <v>3914</v>
      </c>
      <c r="D1298" s="42" t="s">
        <v>3475</v>
      </c>
      <c r="E1298" s="45">
        <v>46129</v>
      </c>
      <c r="F1298" s="26" t="s">
        <v>55</v>
      </c>
      <c r="G1298" s="26" t="s">
        <v>56</v>
      </c>
      <c r="H1298" s="26" t="s">
        <v>57</v>
      </c>
      <c r="I1298" s="26" t="s">
        <v>58</v>
      </c>
      <c r="J1298" s="26" t="s">
        <v>56</v>
      </c>
      <c r="K1298" s="27"/>
      <c r="L1298" s="28" t="s">
        <v>57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3915</v>
      </c>
      <c r="C1299" s="25" t="s">
        <v>3916</v>
      </c>
      <c r="D1299" s="23" t="s">
        <v>3475</v>
      </c>
      <c r="E1299" s="45">
        <v>46129</v>
      </c>
      <c r="F1299" s="26" t="s">
        <v>55</v>
      </c>
      <c r="G1299" s="26" t="s">
        <v>56</v>
      </c>
      <c r="H1299" s="26" t="s">
        <v>57</v>
      </c>
      <c r="I1299" s="26" t="s">
        <v>58</v>
      </c>
      <c r="J1299" s="26" t="s">
        <v>56</v>
      </c>
      <c r="K1299" s="27"/>
      <c r="L1299" s="28" t="s">
        <v>57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3917</v>
      </c>
      <c r="C1300" s="44" t="s">
        <v>3918</v>
      </c>
      <c r="D1300" s="42" t="s">
        <v>3475</v>
      </c>
      <c r="E1300" s="45">
        <v>46129</v>
      </c>
      <c r="F1300" s="26" t="s">
        <v>55</v>
      </c>
      <c r="G1300" s="26" t="s">
        <v>56</v>
      </c>
      <c r="H1300" s="26" t="s">
        <v>57</v>
      </c>
      <c r="I1300" s="26" t="s">
        <v>58</v>
      </c>
      <c r="J1300" s="26" t="s">
        <v>56</v>
      </c>
      <c r="K1300" s="27"/>
      <c r="L1300" s="28" t="s">
        <v>57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3919</v>
      </c>
      <c r="C1301" s="25" t="s">
        <v>3920</v>
      </c>
      <c r="D1301" s="23" t="s">
        <v>3475</v>
      </c>
      <c r="E1301" s="45">
        <v>46129</v>
      </c>
      <c r="F1301" s="26" t="s">
        <v>55</v>
      </c>
      <c r="G1301" s="26" t="s">
        <v>56</v>
      </c>
      <c r="H1301" s="26" t="s">
        <v>57</v>
      </c>
      <c r="I1301" s="26" t="s">
        <v>58</v>
      </c>
      <c r="J1301" s="26" t="s">
        <v>56</v>
      </c>
      <c r="K1301" s="27"/>
      <c r="L1301" s="28" t="s">
        <v>57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3921</v>
      </c>
      <c r="C1302" s="44" t="s">
        <v>3922</v>
      </c>
      <c r="D1302" s="42" t="s">
        <v>3475</v>
      </c>
      <c r="E1302" s="45">
        <v>46129</v>
      </c>
      <c r="F1302" s="26" t="s">
        <v>55</v>
      </c>
      <c r="G1302" s="26" t="s">
        <v>56</v>
      </c>
      <c r="H1302" s="26" t="s">
        <v>57</v>
      </c>
      <c r="I1302" s="26" t="s">
        <v>58</v>
      </c>
      <c r="J1302" s="26" t="s">
        <v>56</v>
      </c>
      <c r="K1302" s="27"/>
      <c r="L1302" s="28" t="s">
        <v>57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3923</v>
      </c>
      <c r="C1303" s="25" t="s">
        <v>3924</v>
      </c>
      <c r="D1303" s="23" t="s">
        <v>3475</v>
      </c>
      <c r="E1303" s="45">
        <v>46129</v>
      </c>
      <c r="F1303" s="26" t="s">
        <v>55</v>
      </c>
      <c r="G1303" s="26" t="s">
        <v>56</v>
      </c>
      <c r="H1303" s="26" t="s">
        <v>57</v>
      </c>
      <c r="I1303" s="26" t="s">
        <v>58</v>
      </c>
      <c r="J1303" s="26" t="s">
        <v>56</v>
      </c>
      <c r="K1303" s="27"/>
      <c r="L1303" s="28" t="s">
        <v>57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3925</v>
      </c>
      <c r="C1304" s="44" t="s">
        <v>3926</v>
      </c>
      <c r="D1304" s="42" t="s">
        <v>3475</v>
      </c>
      <c r="E1304" s="45">
        <v>46129</v>
      </c>
      <c r="F1304" s="26" t="s">
        <v>55</v>
      </c>
      <c r="G1304" s="26" t="s">
        <v>56</v>
      </c>
      <c r="H1304" s="26" t="s">
        <v>57</v>
      </c>
      <c r="I1304" s="26" t="s">
        <v>58</v>
      </c>
      <c r="J1304" s="26" t="s">
        <v>56</v>
      </c>
      <c r="K1304" s="27"/>
      <c r="L1304" s="28" t="s">
        <v>57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3927</v>
      </c>
      <c r="C1305" s="25" t="s">
        <v>3928</v>
      </c>
      <c r="D1305" s="23" t="s">
        <v>3475</v>
      </c>
      <c r="E1305" s="45">
        <v>46129</v>
      </c>
      <c r="F1305" s="26" t="s">
        <v>55</v>
      </c>
      <c r="G1305" s="26" t="s">
        <v>56</v>
      </c>
      <c r="H1305" s="26" t="s">
        <v>57</v>
      </c>
      <c r="I1305" s="26" t="s">
        <v>58</v>
      </c>
      <c r="J1305" s="26" t="s">
        <v>56</v>
      </c>
      <c r="K1305" s="27"/>
      <c r="L1305" s="28" t="s">
        <v>57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3929</v>
      </c>
      <c r="C1306" s="44" t="s">
        <v>3930</v>
      </c>
      <c r="D1306" s="42" t="s">
        <v>3475</v>
      </c>
      <c r="E1306" s="45">
        <v>46129</v>
      </c>
      <c r="F1306" s="26" t="s">
        <v>55</v>
      </c>
      <c r="G1306" s="26" t="s">
        <v>56</v>
      </c>
      <c r="H1306" s="26" t="s">
        <v>57</v>
      </c>
      <c r="I1306" s="26" t="s">
        <v>58</v>
      </c>
      <c r="J1306" s="26" t="s">
        <v>56</v>
      </c>
      <c r="K1306" s="27"/>
      <c r="L1306" s="28" t="s">
        <v>57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3931</v>
      </c>
      <c r="C1307" s="25" t="s">
        <v>3932</v>
      </c>
      <c r="D1307" s="23" t="s">
        <v>3475</v>
      </c>
      <c r="E1307" s="45">
        <v>46129</v>
      </c>
      <c r="F1307" s="26" t="s">
        <v>55</v>
      </c>
      <c r="G1307" s="26" t="s">
        <v>56</v>
      </c>
      <c r="H1307" s="26" t="s">
        <v>57</v>
      </c>
      <c r="I1307" s="26" t="s">
        <v>58</v>
      </c>
      <c r="J1307" s="26" t="s">
        <v>56</v>
      </c>
      <c r="K1307" s="27"/>
      <c r="L1307" s="28" t="s">
        <v>57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3933</v>
      </c>
      <c r="C1308" s="44" t="s">
        <v>3934</v>
      </c>
      <c r="D1308" s="42" t="s">
        <v>3475</v>
      </c>
      <c r="E1308" s="45">
        <v>46129</v>
      </c>
      <c r="F1308" s="26" t="s">
        <v>55</v>
      </c>
      <c r="G1308" s="26" t="s">
        <v>56</v>
      </c>
      <c r="H1308" s="26" t="s">
        <v>57</v>
      </c>
      <c r="I1308" s="26" t="s">
        <v>58</v>
      </c>
      <c r="J1308" s="26" t="s">
        <v>56</v>
      </c>
      <c r="K1308" s="27"/>
      <c r="L1308" s="28" t="s">
        <v>57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3935</v>
      </c>
      <c r="C1309" s="25" t="s">
        <v>3936</v>
      </c>
      <c r="D1309" s="23" t="s">
        <v>3475</v>
      </c>
      <c r="E1309" s="45">
        <v>46129</v>
      </c>
      <c r="F1309" s="26" t="s">
        <v>55</v>
      </c>
      <c r="G1309" s="26" t="s">
        <v>56</v>
      </c>
      <c r="H1309" s="26" t="s">
        <v>57</v>
      </c>
      <c r="I1309" s="26" t="s">
        <v>58</v>
      </c>
      <c r="J1309" s="26" t="s">
        <v>56</v>
      </c>
      <c r="K1309" s="27"/>
      <c r="L1309" s="28" t="s">
        <v>57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3937</v>
      </c>
      <c r="C1310" s="44" t="s">
        <v>3938</v>
      </c>
      <c r="D1310" s="42" t="s">
        <v>3475</v>
      </c>
      <c r="E1310" s="45">
        <v>46129</v>
      </c>
      <c r="F1310" s="26" t="s">
        <v>55</v>
      </c>
      <c r="G1310" s="26" t="s">
        <v>56</v>
      </c>
      <c r="H1310" s="26" t="s">
        <v>57</v>
      </c>
      <c r="I1310" s="26" t="s">
        <v>58</v>
      </c>
      <c r="J1310" s="26" t="s">
        <v>56</v>
      </c>
      <c r="K1310" s="27"/>
      <c r="L1310" s="28" t="s">
        <v>57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3939</v>
      </c>
      <c r="C1311" s="25" t="s">
        <v>3940</v>
      </c>
      <c r="D1311" s="23" t="s">
        <v>3475</v>
      </c>
      <c r="E1311" s="45">
        <v>46129</v>
      </c>
      <c r="F1311" s="26" t="s">
        <v>55</v>
      </c>
      <c r="G1311" s="26" t="s">
        <v>56</v>
      </c>
      <c r="H1311" s="26" t="s">
        <v>57</v>
      </c>
      <c r="I1311" s="26" t="s">
        <v>58</v>
      </c>
      <c r="J1311" s="26" t="s">
        <v>56</v>
      </c>
      <c r="K1311" s="27"/>
      <c r="L1311" s="28" t="s">
        <v>57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3941</v>
      </c>
      <c r="C1312" s="44" t="s">
        <v>3942</v>
      </c>
      <c r="D1312" s="42" t="s">
        <v>3475</v>
      </c>
      <c r="E1312" s="45">
        <v>46129</v>
      </c>
      <c r="F1312" s="26" t="s">
        <v>55</v>
      </c>
      <c r="G1312" s="26" t="s">
        <v>56</v>
      </c>
      <c r="H1312" s="26" t="s">
        <v>57</v>
      </c>
      <c r="I1312" s="26" t="s">
        <v>58</v>
      </c>
      <c r="J1312" s="26" t="s">
        <v>56</v>
      </c>
      <c r="K1312" s="27"/>
      <c r="L1312" s="28" t="s">
        <v>57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3943</v>
      </c>
      <c r="C1313" s="25" t="s">
        <v>3944</v>
      </c>
      <c r="D1313" s="23" t="s">
        <v>3475</v>
      </c>
      <c r="E1313" s="45">
        <v>46129</v>
      </c>
      <c r="F1313" s="26" t="s">
        <v>55</v>
      </c>
      <c r="G1313" s="26" t="s">
        <v>56</v>
      </c>
      <c r="H1313" s="26" t="s">
        <v>57</v>
      </c>
      <c r="I1313" s="26" t="s">
        <v>58</v>
      </c>
      <c r="J1313" s="26" t="s">
        <v>56</v>
      </c>
      <c r="K1313" s="27"/>
      <c r="L1313" s="28" t="s">
        <v>57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3945</v>
      </c>
      <c r="C1314" s="44" t="s">
        <v>3946</v>
      </c>
      <c r="D1314" s="42" t="s">
        <v>3475</v>
      </c>
      <c r="E1314" s="45">
        <v>46129</v>
      </c>
      <c r="F1314" s="26" t="s">
        <v>55</v>
      </c>
      <c r="G1314" s="26" t="s">
        <v>56</v>
      </c>
      <c r="H1314" s="26" t="s">
        <v>57</v>
      </c>
      <c r="I1314" s="26" t="s">
        <v>58</v>
      </c>
      <c r="J1314" s="26" t="s">
        <v>56</v>
      </c>
      <c r="K1314" s="27"/>
      <c r="L1314" s="28" t="s">
        <v>57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3947</v>
      </c>
      <c r="C1315" s="25" t="s">
        <v>3948</v>
      </c>
      <c r="D1315" s="23" t="s">
        <v>3475</v>
      </c>
      <c r="E1315" s="45">
        <v>46129</v>
      </c>
      <c r="F1315" s="26" t="s">
        <v>55</v>
      </c>
      <c r="G1315" s="26" t="s">
        <v>56</v>
      </c>
      <c r="H1315" s="26" t="s">
        <v>57</v>
      </c>
      <c r="I1315" s="26" t="s">
        <v>58</v>
      </c>
      <c r="J1315" s="26" t="s">
        <v>56</v>
      </c>
      <c r="K1315" s="27"/>
      <c r="L1315" s="28" t="s">
        <v>57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3949</v>
      </c>
      <c r="C1316" s="44" t="s">
        <v>3950</v>
      </c>
      <c r="D1316" s="42" t="s">
        <v>3475</v>
      </c>
      <c r="E1316" s="45">
        <v>46129</v>
      </c>
      <c r="F1316" s="26" t="s">
        <v>55</v>
      </c>
      <c r="G1316" s="26" t="s">
        <v>56</v>
      </c>
      <c r="H1316" s="26" t="s">
        <v>57</v>
      </c>
      <c r="I1316" s="26" t="s">
        <v>58</v>
      </c>
      <c r="J1316" s="26" t="s">
        <v>56</v>
      </c>
      <c r="K1316" s="27"/>
      <c r="L1316" s="28" t="s">
        <v>57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3951</v>
      </c>
      <c r="C1317" s="25" t="s">
        <v>3952</v>
      </c>
      <c r="D1317" s="23" t="s">
        <v>3475</v>
      </c>
      <c r="E1317" s="45">
        <v>46129</v>
      </c>
      <c r="F1317" s="26" t="s">
        <v>55</v>
      </c>
      <c r="G1317" s="26" t="s">
        <v>56</v>
      </c>
      <c r="H1317" s="26" t="s">
        <v>57</v>
      </c>
      <c r="I1317" s="26" t="s">
        <v>58</v>
      </c>
      <c r="J1317" s="26" t="s">
        <v>56</v>
      </c>
      <c r="K1317" s="27"/>
      <c r="L1317" s="28" t="s">
        <v>57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3953</v>
      </c>
      <c r="C1318" s="44" t="s">
        <v>3954</v>
      </c>
      <c r="D1318" s="42" t="s">
        <v>3475</v>
      </c>
      <c r="E1318" s="45">
        <v>46129</v>
      </c>
      <c r="F1318" s="26" t="s">
        <v>55</v>
      </c>
      <c r="G1318" s="26" t="s">
        <v>56</v>
      </c>
      <c r="H1318" s="26" t="s">
        <v>57</v>
      </c>
      <c r="I1318" s="26" t="s">
        <v>58</v>
      </c>
      <c r="J1318" s="26" t="s">
        <v>56</v>
      </c>
      <c r="K1318" s="27"/>
      <c r="L1318" s="28" t="s">
        <v>57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3955</v>
      </c>
      <c r="C1319" s="25" t="s">
        <v>3956</v>
      </c>
      <c r="D1319" s="23" t="s">
        <v>3475</v>
      </c>
      <c r="E1319" s="45">
        <v>46129</v>
      </c>
      <c r="F1319" s="26" t="s">
        <v>55</v>
      </c>
      <c r="G1319" s="26" t="s">
        <v>56</v>
      </c>
      <c r="H1319" s="26" t="s">
        <v>57</v>
      </c>
      <c r="I1319" s="26" t="s">
        <v>58</v>
      </c>
      <c r="J1319" s="26" t="s">
        <v>56</v>
      </c>
      <c r="K1319" s="27"/>
      <c r="L1319" s="28" t="s">
        <v>57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3957</v>
      </c>
      <c r="C1320" s="44" t="s">
        <v>3958</v>
      </c>
      <c r="D1320" s="42" t="s">
        <v>3475</v>
      </c>
      <c r="E1320" s="45">
        <v>46129</v>
      </c>
      <c r="F1320" s="26" t="s">
        <v>55</v>
      </c>
      <c r="G1320" s="26" t="s">
        <v>56</v>
      </c>
      <c r="H1320" s="26" t="s">
        <v>57</v>
      </c>
      <c r="I1320" s="26" t="s">
        <v>58</v>
      </c>
      <c r="J1320" s="26" t="s">
        <v>56</v>
      </c>
      <c r="K1320" s="27"/>
      <c r="L1320" s="28" t="s">
        <v>57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3959</v>
      </c>
      <c r="C1321" s="25" t="s">
        <v>3960</v>
      </c>
      <c r="D1321" s="23" t="s">
        <v>3475</v>
      </c>
      <c r="E1321" s="45">
        <v>46129</v>
      </c>
      <c r="F1321" s="26" t="s">
        <v>55</v>
      </c>
      <c r="G1321" s="26" t="s">
        <v>56</v>
      </c>
      <c r="H1321" s="26" t="s">
        <v>57</v>
      </c>
      <c r="I1321" s="26" t="s">
        <v>58</v>
      </c>
      <c r="J1321" s="26" t="s">
        <v>56</v>
      </c>
      <c r="K1321" s="27"/>
      <c r="L1321" s="28" t="s">
        <v>57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3961</v>
      </c>
      <c r="C1322" s="44" t="s">
        <v>3962</v>
      </c>
      <c r="D1322" s="42" t="s">
        <v>3475</v>
      </c>
      <c r="E1322" s="45">
        <v>46129</v>
      </c>
      <c r="F1322" s="26" t="s">
        <v>55</v>
      </c>
      <c r="G1322" s="26" t="s">
        <v>56</v>
      </c>
      <c r="H1322" s="26" t="s">
        <v>57</v>
      </c>
      <c r="I1322" s="26" t="s">
        <v>58</v>
      </c>
      <c r="J1322" s="26" t="s">
        <v>56</v>
      </c>
      <c r="K1322" s="27"/>
      <c r="L1322" s="28" t="s">
        <v>57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3963</v>
      </c>
      <c r="C1323" s="25" t="s">
        <v>3964</v>
      </c>
      <c r="D1323" s="23" t="s">
        <v>3475</v>
      </c>
      <c r="E1323" s="45">
        <v>46129</v>
      </c>
      <c r="F1323" s="26" t="s">
        <v>55</v>
      </c>
      <c r="G1323" s="26" t="s">
        <v>56</v>
      </c>
      <c r="H1323" s="26" t="s">
        <v>57</v>
      </c>
      <c r="I1323" s="26" t="s">
        <v>58</v>
      </c>
      <c r="J1323" s="26" t="s">
        <v>56</v>
      </c>
      <c r="K1323" s="27"/>
      <c r="L1323" s="28" t="s">
        <v>57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3965</v>
      </c>
      <c r="C1324" s="44" t="s">
        <v>3966</v>
      </c>
      <c r="D1324" s="42" t="s">
        <v>3475</v>
      </c>
      <c r="E1324" s="45">
        <v>46129</v>
      </c>
      <c r="F1324" s="26" t="s">
        <v>55</v>
      </c>
      <c r="G1324" s="26" t="s">
        <v>56</v>
      </c>
      <c r="H1324" s="26" t="s">
        <v>57</v>
      </c>
      <c r="I1324" s="26" t="s">
        <v>58</v>
      </c>
      <c r="J1324" s="26" t="s">
        <v>56</v>
      </c>
      <c r="K1324" s="27"/>
      <c r="L1324" s="28" t="s">
        <v>57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3967</v>
      </c>
      <c r="C1325" s="25" t="s">
        <v>3968</v>
      </c>
      <c r="D1325" s="23" t="s">
        <v>3475</v>
      </c>
      <c r="E1325" s="45">
        <v>46129</v>
      </c>
      <c r="F1325" s="26" t="s">
        <v>55</v>
      </c>
      <c r="G1325" s="26" t="s">
        <v>56</v>
      </c>
      <c r="H1325" s="26" t="s">
        <v>57</v>
      </c>
      <c r="I1325" s="26" t="s">
        <v>58</v>
      </c>
      <c r="J1325" s="26" t="s">
        <v>56</v>
      </c>
      <c r="K1325" s="27"/>
      <c r="L1325" s="28" t="s">
        <v>57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3969</v>
      </c>
      <c r="C1326" s="44" t="s">
        <v>3970</v>
      </c>
      <c r="D1326" s="42" t="s">
        <v>3475</v>
      </c>
      <c r="E1326" s="45">
        <v>46129</v>
      </c>
      <c r="F1326" s="26" t="s">
        <v>55</v>
      </c>
      <c r="G1326" s="26" t="s">
        <v>56</v>
      </c>
      <c r="H1326" s="26" t="s">
        <v>57</v>
      </c>
      <c r="I1326" s="26" t="s">
        <v>58</v>
      </c>
      <c r="J1326" s="26" t="s">
        <v>56</v>
      </c>
      <c r="K1326" s="27"/>
      <c r="L1326" s="28" t="s">
        <v>57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3971</v>
      </c>
      <c r="C1327" s="25" t="s">
        <v>3972</v>
      </c>
      <c r="D1327" s="23" t="s">
        <v>3475</v>
      </c>
      <c r="E1327" s="45">
        <v>46129</v>
      </c>
      <c r="F1327" s="26" t="s">
        <v>55</v>
      </c>
      <c r="G1327" s="26" t="s">
        <v>56</v>
      </c>
      <c r="H1327" s="26" t="s">
        <v>57</v>
      </c>
      <c r="I1327" s="26" t="s">
        <v>58</v>
      </c>
      <c r="J1327" s="26" t="s">
        <v>56</v>
      </c>
      <c r="K1327" s="27"/>
      <c r="L1327" s="28" t="s">
        <v>57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3973</v>
      </c>
      <c r="C1328" s="44" t="s">
        <v>3974</v>
      </c>
      <c r="D1328" s="42" t="s">
        <v>3475</v>
      </c>
      <c r="E1328" s="45">
        <v>46129</v>
      </c>
      <c r="F1328" s="26" t="s">
        <v>55</v>
      </c>
      <c r="G1328" s="26" t="s">
        <v>56</v>
      </c>
      <c r="H1328" s="26" t="s">
        <v>57</v>
      </c>
      <c r="I1328" s="26" t="s">
        <v>58</v>
      </c>
      <c r="J1328" s="26" t="s">
        <v>56</v>
      </c>
      <c r="K1328" s="27"/>
      <c r="L1328" s="28" t="s">
        <v>57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3975</v>
      </c>
      <c r="C1329" s="25" t="s">
        <v>3976</v>
      </c>
      <c r="D1329" s="23" t="s">
        <v>3475</v>
      </c>
      <c r="E1329" s="45">
        <v>46129</v>
      </c>
      <c r="F1329" s="26" t="s">
        <v>55</v>
      </c>
      <c r="G1329" s="26" t="s">
        <v>56</v>
      </c>
      <c r="H1329" s="26" t="s">
        <v>57</v>
      </c>
      <c r="I1329" s="26" t="s">
        <v>58</v>
      </c>
      <c r="J1329" s="26" t="s">
        <v>56</v>
      </c>
      <c r="K1329" s="27"/>
      <c r="L1329" s="28" t="s">
        <v>57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3977</v>
      </c>
      <c r="C1330" s="44" t="s">
        <v>3978</v>
      </c>
      <c r="D1330" s="42" t="s">
        <v>3475</v>
      </c>
      <c r="E1330" s="45">
        <v>46129</v>
      </c>
      <c r="F1330" s="26" t="s">
        <v>55</v>
      </c>
      <c r="G1330" s="26" t="s">
        <v>56</v>
      </c>
      <c r="H1330" s="26" t="s">
        <v>57</v>
      </c>
      <c r="I1330" s="26" t="s">
        <v>58</v>
      </c>
      <c r="J1330" s="26" t="s">
        <v>56</v>
      </c>
      <c r="K1330" s="27"/>
      <c r="L1330" s="28" t="s">
        <v>57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3979</v>
      </c>
      <c r="C1331" s="25" t="s">
        <v>3980</v>
      </c>
      <c r="D1331" s="23" t="s">
        <v>3475</v>
      </c>
      <c r="E1331" s="45">
        <v>46129</v>
      </c>
      <c r="F1331" s="26" t="s">
        <v>55</v>
      </c>
      <c r="G1331" s="26" t="s">
        <v>56</v>
      </c>
      <c r="H1331" s="26" t="s">
        <v>57</v>
      </c>
      <c r="I1331" s="26" t="s">
        <v>58</v>
      </c>
      <c r="J1331" s="26" t="s">
        <v>56</v>
      </c>
      <c r="K1331" s="27"/>
      <c r="L1331" s="28" t="s">
        <v>57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3981</v>
      </c>
      <c r="C1332" s="44" t="s">
        <v>3982</v>
      </c>
      <c r="D1332" s="42" t="s">
        <v>3475</v>
      </c>
      <c r="E1332" s="45">
        <v>46129</v>
      </c>
      <c r="F1332" s="26" t="s">
        <v>55</v>
      </c>
      <c r="G1332" s="26" t="s">
        <v>56</v>
      </c>
      <c r="H1332" s="26" t="s">
        <v>57</v>
      </c>
      <c r="I1332" s="26" t="s">
        <v>58</v>
      </c>
      <c r="J1332" s="26" t="s">
        <v>56</v>
      </c>
      <c r="K1332" s="27"/>
      <c r="L1332" s="28" t="s">
        <v>57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3983</v>
      </c>
      <c r="C1333" s="25" t="s">
        <v>3984</v>
      </c>
      <c r="D1333" s="23" t="s">
        <v>3475</v>
      </c>
      <c r="E1333" s="45">
        <v>46129</v>
      </c>
      <c r="F1333" s="26" t="s">
        <v>55</v>
      </c>
      <c r="G1333" s="26" t="s">
        <v>56</v>
      </c>
      <c r="H1333" s="26" t="s">
        <v>57</v>
      </c>
      <c r="I1333" s="26" t="s">
        <v>58</v>
      </c>
      <c r="J1333" s="26" t="s">
        <v>56</v>
      </c>
      <c r="K1333" s="27"/>
      <c r="L1333" s="28" t="s">
        <v>57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3985</v>
      </c>
      <c r="C1334" s="44" t="s">
        <v>3986</v>
      </c>
      <c r="D1334" s="42" t="s">
        <v>3475</v>
      </c>
      <c r="E1334" s="45">
        <v>46129</v>
      </c>
      <c r="F1334" s="26" t="s">
        <v>55</v>
      </c>
      <c r="G1334" s="26" t="s">
        <v>56</v>
      </c>
      <c r="H1334" s="26" t="s">
        <v>57</v>
      </c>
      <c r="I1334" s="26" t="s">
        <v>58</v>
      </c>
      <c r="J1334" s="26" t="s">
        <v>56</v>
      </c>
      <c r="K1334" s="27"/>
      <c r="L1334" s="28" t="s">
        <v>57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3987</v>
      </c>
      <c r="C1335" s="25" t="s">
        <v>3988</v>
      </c>
      <c r="D1335" s="23" t="s">
        <v>3475</v>
      </c>
      <c r="E1335" s="45">
        <v>46129</v>
      </c>
      <c r="F1335" s="26" t="s">
        <v>55</v>
      </c>
      <c r="G1335" s="26" t="s">
        <v>56</v>
      </c>
      <c r="H1335" s="26" t="s">
        <v>57</v>
      </c>
      <c r="I1335" s="26" t="s">
        <v>58</v>
      </c>
      <c r="J1335" s="26" t="s">
        <v>56</v>
      </c>
      <c r="K1335" s="27"/>
      <c r="L1335" s="28" t="s">
        <v>57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3989</v>
      </c>
      <c r="C1336" s="44" t="s">
        <v>3990</v>
      </c>
      <c r="D1336" s="42" t="s">
        <v>3475</v>
      </c>
      <c r="E1336" s="45">
        <v>46129</v>
      </c>
      <c r="F1336" s="26" t="s">
        <v>55</v>
      </c>
      <c r="G1336" s="26" t="s">
        <v>56</v>
      </c>
      <c r="H1336" s="26" t="s">
        <v>57</v>
      </c>
      <c r="I1336" s="26" t="s">
        <v>58</v>
      </c>
      <c r="J1336" s="26" t="s">
        <v>56</v>
      </c>
      <c r="K1336" s="27"/>
      <c r="L1336" s="28" t="s">
        <v>57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3991</v>
      </c>
      <c r="C1337" s="25" t="s">
        <v>3992</v>
      </c>
      <c r="D1337" s="23" t="s">
        <v>3475</v>
      </c>
      <c r="E1337" s="45">
        <v>46129</v>
      </c>
      <c r="F1337" s="26" t="s">
        <v>55</v>
      </c>
      <c r="G1337" s="26" t="s">
        <v>56</v>
      </c>
      <c r="H1337" s="26" t="s">
        <v>57</v>
      </c>
      <c r="I1337" s="26" t="s">
        <v>58</v>
      </c>
      <c r="J1337" s="26" t="s">
        <v>56</v>
      </c>
      <c r="K1337" s="27"/>
      <c r="L1337" s="28" t="s">
        <v>57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3993</v>
      </c>
      <c r="C1338" s="44" t="s">
        <v>3994</v>
      </c>
      <c r="D1338" s="42" t="s">
        <v>3475</v>
      </c>
      <c r="E1338" s="45">
        <v>46129</v>
      </c>
      <c r="F1338" s="26" t="s">
        <v>55</v>
      </c>
      <c r="G1338" s="26" t="s">
        <v>56</v>
      </c>
      <c r="H1338" s="26" t="s">
        <v>57</v>
      </c>
      <c r="I1338" s="26" t="s">
        <v>58</v>
      </c>
      <c r="J1338" s="26" t="s">
        <v>56</v>
      </c>
      <c r="K1338" s="27"/>
      <c r="L1338" s="28" t="s">
        <v>57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3995</v>
      </c>
      <c r="C1339" s="25" t="s">
        <v>3996</v>
      </c>
      <c r="D1339" s="23" t="s">
        <v>3475</v>
      </c>
      <c r="E1339" s="45">
        <v>46129</v>
      </c>
      <c r="F1339" s="26" t="s">
        <v>55</v>
      </c>
      <c r="G1339" s="26" t="s">
        <v>56</v>
      </c>
      <c r="H1339" s="26" t="s">
        <v>57</v>
      </c>
      <c r="I1339" s="26" t="s">
        <v>58</v>
      </c>
      <c r="J1339" s="26" t="s">
        <v>56</v>
      </c>
      <c r="K1339" s="27"/>
      <c r="L1339" s="28" t="s">
        <v>57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3997</v>
      </c>
      <c r="C1340" s="44" t="s">
        <v>3998</v>
      </c>
      <c r="D1340" s="42" t="s">
        <v>3475</v>
      </c>
      <c r="E1340" s="45">
        <v>46129</v>
      </c>
      <c r="F1340" s="26" t="s">
        <v>55</v>
      </c>
      <c r="G1340" s="26" t="s">
        <v>56</v>
      </c>
      <c r="H1340" s="26" t="s">
        <v>57</v>
      </c>
      <c r="I1340" s="26" t="s">
        <v>58</v>
      </c>
      <c r="J1340" s="26" t="s">
        <v>56</v>
      </c>
      <c r="K1340" s="27"/>
      <c r="L1340" s="28" t="s">
        <v>57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3999</v>
      </c>
      <c r="C1341" s="25" t="s">
        <v>4000</v>
      </c>
      <c r="D1341" s="23" t="s">
        <v>3475</v>
      </c>
      <c r="E1341" s="45">
        <v>46129</v>
      </c>
      <c r="F1341" s="26" t="s">
        <v>55</v>
      </c>
      <c r="G1341" s="26" t="s">
        <v>56</v>
      </c>
      <c r="H1341" s="26" t="s">
        <v>57</v>
      </c>
      <c r="I1341" s="26" t="s">
        <v>58</v>
      </c>
      <c r="J1341" s="26" t="s">
        <v>56</v>
      </c>
      <c r="K1341" s="27"/>
      <c r="L1341" s="28" t="s">
        <v>57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4001</v>
      </c>
      <c r="C1342" s="44" t="s">
        <v>4002</v>
      </c>
      <c r="D1342" s="42" t="s">
        <v>3475</v>
      </c>
      <c r="E1342" s="45">
        <v>46129</v>
      </c>
      <c r="F1342" s="26" t="s">
        <v>55</v>
      </c>
      <c r="G1342" s="26" t="s">
        <v>56</v>
      </c>
      <c r="H1342" s="26" t="s">
        <v>57</v>
      </c>
      <c r="I1342" s="26" t="s">
        <v>58</v>
      </c>
      <c r="J1342" s="26" t="s">
        <v>56</v>
      </c>
      <c r="K1342" s="27"/>
      <c r="L1342" s="28" t="s">
        <v>57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4003</v>
      </c>
      <c r="C1343" s="25" t="s">
        <v>4004</v>
      </c>
      <c r="D1343" s="23" t="s">
        <v>3475</v>
      </c>
      <c r="E1343" s="45">
        <v>46129</v>
      </c>
      <c r="F1343" s="26" t="s">
        <v>55</v>
      </c>
      <c r="G1343" s="26" t="s">
        <v>56</v>
      </c>
      <c r="H1343" s="26" t="s">
        <v>57</v>
      </c>
      <c r="I1343" s="26" t="s">
        <v>58</v>
      </c>
      <c r="J1343" s="26" t="s">
        <v>56</v>
      </c>
      <c r="K1343" s="27"/>
      <c r="L1343" s="28" t="s">
        <v>57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4005</v>
      </c>
      <c r="C1344" s="44" t="s">
        <v>4006</v>
      </c>
      <c r="D1344" s="42" t="s">
        <v>3475</v>
      </c>
      <c r="E1344" s="45">
        <v>46129</v>
      </c>
      <c r="F1344" s="26" t="s">
        <v>55</v>
      </c>
      <c r="G1344" s="26" t="s">
        <v>56</v>
      </c>
      <c r="H1344" s="26" t="s">
        <v>57</v>
      </c>
      <c r="I1344" s="26" t="s">
        <v>58</v>
      </c>
      <c r="J1344" s="26" t="s">
        <v>56</v>
      </c>
      <c r="K1344" s="27"/>
      <c r="L1344" s="28" t="s">
        <v>57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4007</v>
      </c>
      <c r="C1345" s="25" t="s">
        <v>4008</v>
      </c>
      <c r="D1345" s="23" t="s">
        <v>3475</v>
      </c>
      <c r="E1345" s="45">
        <v>46129</v>
      </c>
      <c r="F1345" s="26" t="s">
        <v>55</v>
      </c>
      <c r="G1345" s="26" t="s">
        <v>56</v>
      </c>
      <c r="H1345" s="26" t="s">
        <v>57</v>
      </c>
      <c r="I1345" s="26" t="s">
        <v>58</v>
      </c>
      <c r="J1345" s="26" t="s">
        <v>56</v>
      </c>
      <c r="K1345" s="27"/>
      <c r="L1345" s="28" t="s">
        <v>57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4009</v>
      </c>
      <c r="C1346" s="44" t="s">
        <v>4010</v>
      </c>
      <c r="D1346" s="42" t="s">
        <v>3475</v>
      </c>
      <c r="E1346" s="45">
        <v>46129</v>
      </c>
      <c r="F1346" s="26" t="s">
        <v>55</v>
      </c>
      <c r="G1346" s="26" t="s">
        <v>56</v>
      </c>
      <c r="H1346" s="26" t="s">
        <v>57</v>
      </c>
      <c r="I1346" s="26" t="s">
        <v>58</v>
      </c>
      <c r="J1346" s="26" t="s">
        <v>56</v>
      </c>
      <c r="K1346" s="27"/>
      <c r="L1346" s="28" t="s">
        <v>57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4011</v>
      </c>
      <c r="C1347" s="25" t="s">
        <v>4012</v>
      </c>
      <c r="D1347" s="23" t="s">
        <v>3475</v>
      </c>
      <c r="E1347" s="45">
        <v>46129</v>
      </c>
      <c r="F1347" s="26" t="s">
        <v>55</v>
      </c>
      <c r="G1347" s="26" t="s">
        <v>56</v>
      </c>
      <c r="H1347" s="26" t="s">
        <v>57</v>
      </c>
      <c r="I1347" s="26" t="s">
        <v>58</v>
      </c>
      <c r="J1347" s="26" t="s">
        <v>57</v>
      </c>
      <c r="K1347" s="27" t="s">
        <v>4013</v>
      </c>
      <c r="L1347" s="28" t="s">
        <v>56</v>
      </c>
      <c r="M1347" s="29" t="str">
        <f t="shared" si="100"/>
        <v>⚠ Check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4014</v>
      </c>
      <c r="C1348" s="44" t="s">
        <v>4015</v>
      </c>
      <c r="D1348" s="42" t="s">
        <v>3475</v>
      </c>
      <c r="E1348" s="45">
        <v>46129</v>
      </c>
      <c r="F1348" s="26" t="s">
        <v>55</v>
      </c>
      <c r="G1348" s="26" t="s">
        <v>56</v>
      </c>
      <c r="H1348" s="26" t="s">
        <v>57</v>
      </c>
      <c r="I1348" s="26" t="s">
        <v>58</v>
      </c>
      <c r="J1348" s="26" t="s">
        <v>56</v>
      </c>
      <c r="K1348" s="27"/>
      <c r="L1348" s="28" t="s">
        <v>57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4016</v>
      </c>
      <c r="C1349" s="25" t="s">
        <v>4017</v>
      </c>
      <c r="D1349" s="23" t="s">
        <v>3475</v>
      </c>
      <c r="E1349" s="45">
        <v>46129</v>
      </c>
      <c r="F1349" s="26" t="s">
        <v>55</v>
      </c>
      <c r="G1349" s="26" t="s">
        <v>56</v>
      </c>
      <c r="H1349" s="26" t="s">
        <v>57</v>
      </c>
      <c r="I1349" s="26" t="s">
        <v>58</v>
      </c>
      <c r="J1349" s="26" t="s">
        <v>56</v>
      </c>
      <c r="K1349" s="27"/>
      <c r="L1349" s="28" t="s">
        <v>57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4018</v>
      </c>
      <c r="C1350" s="44" t="s">
        <v>4019</v>
      </c>
      <c r="D1350" s="42" t="s">
        <v>3475</v>
      </c>
      <c r="E1350" s="45">
        <v>46129</v>
      </c>
      <c r="F1350" s="26" t="s">
        <v>55</v>
      </c>
      <c r="G1350" s="26" t="s">
        <v>56</v>
      </c>
      <c r="H1350" s="26" t="s">
        <v>57</v>
      </c>
      <c r="I1350" s="26" t="s">
        <v>58</v>
      </c>
      <c r="J1350" s="26" t="s">
        <v>56</v>
      </c>
      <c r="K1350" s="27"/>
      <c r="L1350" s="28" t="s">
        <v>57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4020</v>
      </c>
      <c r="C1351" s="25" t="s">
        <v>4021</v>
      </c>
      <c r="D1351" s="23" t="s">
        <v>3475</v>
      </c>
      <c r="E1351" s="45">
        <v>46129</v>
      </c>
      <c r="F1351" s="26" t="s">
        <v>55</v>
      </c>
      <c r="G1351" s="26" t="s">
        <v>56</v>
      </c>
      <c r="H1351" s="26" t="s">
        <v>57</v>
      </c>
      <c r="I1351" s="26" t="s">
        <v>58</v>
      </c>
      <c r="J1351" s="26" t="s">
        <v>56</v>
      </c>
      <c r="K1351" s="27"/>
      <c r="L1351" s="28" t="s">
        <v>57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4022</v>
      </c>
      <c r="C1352" s="44" t="s">
        <v>4023</v>
      </c>
      <c r="D1352" s="42" t="s">
        <v>3475</v>
      </c>
      <c r="E1352" s="45">
        <v>46129</v>
      </c>
      <c r="F1352" s="26" t="s">
        <v>55</v>
      </c>
      <c r="G1352" s="26" t="s">
        <v>56</v>
      </c>
      <c r="H1352" s="26" t="s">
        <v>57</v>
      </c>
      <c r="I1352" s="26" t="s">
        <v>58</v>
      </c>
      <c r="J1352" s="26" t="s">
        <v>56</v>
      </c>
      <c r="K1352" s="27"/>
      <c r="L1352" s="28" t="s">
        <v>57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4024</v>
      </c>
      <c r="C1353" s="25" t="s">
        <v>4025</v>
      </c>
      <c r="D1353" s="23" t="s">
        <v>3475</v>
      </c>
      <c r="E1353" s="45">
        <v>46129</v>
      </c>
      <c r="F1353" s="26" t="s">
        <v>55</v>
      </c>
      <c r="G1353" s="26" t="s">
        <v>56</v>
      </c>
      <c r="H1353" s="26" t="s">
        <v>57</v>
      </c>
      <c r="I1353" s="26" t="s">
        <v>58</v>
      </c>
      <c r="J1353" s="26" t="s">
        <v>56</v>
      </c>
      <c r="K1353" s="27"/>
      <c r="L1353" s="28" t="s">
        <v>57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4026</v>
      </c>
      <c r="C1354" s="44" t="s">
        <v>4027</v>
      </c>
      <c r="D1354" s="42" t="s">
        <v>3475</v>
      </c>
      <c r="E1354" s="45">
        <v>46129</v>
      </c>
      <c r="F1354" s="26" t="s">
        <v>55</v>
      </c>
      <c r="G1354" s="26" t="s">
        <v>56</v>
      </c>
      <c r="H1354" s="26" t="s">
        <v>57</v>
      </c>
      <c r="I1354" s="26" t="s">
        <v>58</v>
      </c>
      <c r="J1354" s="26" t="s">
        <v>56</v>
      </c>
      <c r="K1354" s="27"/>
      <c r="L1354" s="28" t="s">
        <v>57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4028</v>
      </c>
      <c r="C1355" s="25" t="s">
        <v>4029</v>
      </c>
      <c r="D1355" s="23" t="s">
        <v>3475</v>
      </c>
      <c r="E1355" s="45">
        <v>46129</v>
      </c>
      <c r="F1355" s="26" t="s">
        <v>55</v>
      </c>
      <c r="G1355" s="26" t="s">
        <v>56</v>
      </c>
      <c r="H1355" s="26" t="s">
        <v>57</v>
      </c>
      <c r="I1355" s="26" t="s">
        <v>58</v>
      </c>
      <c r="J1355" s="26" t="s">
        <v>56</v>
      </c>
      <c r="K1355" s="27"/>
      <c r="L1355" s="28" t="s">
        <v>57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4030</v>
      </c>
      <c r="C1356" s="44" t="s">
        <v>4031</v>
      </c>
      <c r="D1356" s="42" t="s">
        <v>3475</v>
      </c>
      <c r="E1356" s="45">
        <v>46129</v>
      </c>
      <c r="F1356" s="26" t="s">
        <v>55</v>
      </c>
      <c r="G1356" s="26" t="s">
        <v>56</v>
      </c>
      <c r="H1356" s="26" t="s">
        <v>57</v>
      </c>
      <c r="I1356" s="26" t="s">
        <v>276</v>
      </c>
      <c r="J1356" s="26" t="s">
        <v>57</v>
      </c>
      <c r="K1356" s="27" t="s">
        <v>4013</v>
      </c>
      <c r="L1356" s="28" t="s">
        <v>56</v>
      </c>
      <c r="M1356" s="29" t="str">
        <f t="shared" si="105"/>
        <v>⚠ Check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4032</v>
      </c>
      <c r="C1357" s="25" t="s">
        <v>4033</v>
      </c>
      <c r="D1357" s="23" t="s">
        <v>3475</v>
      </c>
      <c r="E1357" s="45">
        <v>46129</v>
      </c>
      <c r="F1357" s="26" t="s">
        <v>55</v>
      </c>
      <c r="G1357" s="26" t="s">
        <v>56</v>
      </c>
      <c r="H1357" s="26" t="s">
        <v>57</v>
      </c>
      <c r="I1357" s="26" t="s">
        <v>58</v>
      </c>
      <c r="J1357" s="26" t="s">
        <v>56</v>
      </c>
      <c r="K1357" s="27"/>
      <c r="L1357" s="28" t="s">
        <v>57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4034</v>
      </c>
      <c r="C1358" s="44" t="s">
        <v>4035</v>
      </c>
      <c r="D1358" s="42" t="s">
        <v>3475</v>
      </c>
      <c r="E1358" s="45">
        <v>46129</v>
      </c>
      <c r="F1358" s="26" t="s">
        <v>55</v>
      </c>
      <c r="G1358" s="26" t="s">
        <v>56</v>
      </c>
      <c r="H1358" s="26" t="s">
        <v>57</v>
      </c>
      <c r="I1358" s="26" t="s">
        <v>58</v>
      </c>
      <c r="J1358" s="26" t="s">
        <v>56</v>
      </c>
      <c r="K1358" s="27"/>
      <c r="L1358" s="28" t="s">
        <v>57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4036</v>
      </c>
      <c r="C1359" s="25" t="s">
        <v>4037</v>
      </c>
      <c r="D1359" s="23" t="s">
        <v>3475</v>
      </c>
      <c r="E1359" s="45">
        <v>46129</v>
      </c>
      <c r="F1359" s="26" t="s">
        <v>55</v>
      </c>
      <c r="G1359" s="26" t="s">
        <v>56</v>
      </c>
      <c r="H1359" s="26" t="s">
        <v>57</v>
      </c>
      <c r="I1359" s="26" t="s">
        <v>58</v>
      </c>
      <c r="J1359" s="26" t="s">
        <v>56</v>
      </c>
      <c r="K1359" s="27"/>
      <c r="L1359" s="28" t="s">
        <v>57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4038</v>
      </c>
      <c r="C1360" s="44" t="s">
        <v>4039</v>
      </c>
      <c r="D1360" s="42" t="s">
        <v>3475</v>
      </c>
      <c r="E1360" s="45">
        <v>46129</v>
      </c>
      <c r="F1360" s="26" t="s">
        <v>55</v>
      </c>
      <c r="G1360" s="26" t="s">
        <v>56</v>
      </c>
      <c r="H1360" s="26" t="s">
        <v>57</v>
      </c>
      <c r="I1360" s="26" t="s">
        <v>58</v>
      </c>
      <c r="J1360" s="26" t="s">
        <v>56</v>
      </c>
      <c r="K1360" s="27"/>
      <c r="L1360" s="28" t="s">
        <v>57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4040</v>
      </c>
      <c r="C1361" s="25" t="s">
        <v>4041</v>
      </c>
      <c r="D1361" s="23" t="s">
        <v>3475</v>
      </c>
      <c r="E1361" s="45">
        <v>46129</v>
      </c>
      <c r="F1361" s="26" t="s">
        <v>55</v>
      </c>
      <c r="G1361" s="26" t="s">
        <v>56</v>
      </c>
      <c r="H1361" s="26" t="s">
        <v>57</v>
      </c>
      <c r="I1361" s="26" t="s">
        <v>276</v>
      </c>
      <c r="J1361" s="26" t="s">
        <v>57</v>
      </c>
      <c r="K1361" s="27" t="s">
        <v>4013</v>
      </c>
      <c r="L1361" s="28" t="s">
        <v>56</v>
      </c>
      <c r="M1361" s="29" t="str">
        <f t="shared" si="105"/>
        <v>⚠ Check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4042</v>
      </c>
      <c r="C1362" s="44" t="s">
        <v>4043</v>
      </c>
      <c r="D1362" s="42" t="s">
        <v>3475</v>
      </c>
      <c r="E1362" s="45">
        <v>46129</v>
      </c>
      <c r="F1362" s="26" t="s">
        <v>55</v>
      </c>
      <c r="G1362" s="26" t="s">
        <v>56</v>
      </c>
      <c r="H1362" s="26" t="s">
        <v>57</v>
      </c>
      <c r="I1362" s="26" t="s">
        <v>58</v>
      </c>
      <c r="J1362" s="26" t="s">
        <v>56</v>
      </c>
      <c r="K1362" s="27"/>
      <c r="L1362" s="28" t="s">
        <v>57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4044</v>
      </c>
      <c r="C1363" s="25" t="s">
        <v>4045</v>
      </c>
      <c r="D1363" s="23" t="s">
        <v>3475</v>
      </c>
      <c r="E1363" s="45">
        <v>46129</v>
      </c>
      <c r="F1363" s="26" t="s">
        <v>55</v>
      </c>
      <c r="G1363" s="26" t="s">
        <v>56</v>
      </c>
      <c r="H1363" s="26" t="s">
        <v>57</v>
      </c>
      <c r="I1363" s="26" t="s">
        <v>58</v>
      </c>
      <c r="J1363" s="26" t="s">
        <v>56</v>
      </c>
      <c r="K1363" s="27"/>
      <c r="L1363" s="28" t="s">
        <v>57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4046</v>
      </c>
      <c r="C1364" s="44" t="s">
        <v>4047</v>
      </c>
      <c r="D1364" s="42" t="s">
        <v>3475</v>
      </c>
      <c r="E1364" s="45">
        <v>46129</v>
      </c>
      <c r="F1364" s="26" t="s">
        <v>55</v>
      </c>
      <c r="G1364" s="26" t="s">
        <v>56</v>
      </c>
      <c r="H1364" s="26" t="s">
        <v>57</v>
      </c>
      <c r="I1364" s="26" t="s">
        <v>58</v>
      </c>
      <c r="J1364" s="26" t="s">
        <v>56</v>
      </c>
      <c r="K1364" s="27"/>
      <c r="L1364" s="28" t="s">
        <v>57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4048</v>
      </c>
      <c r="C1365" s="25" t="s">
        <v>4049</v>
      </c>
      <c r="D1365" s="23" t="s">
        <v>3475</v>
      </c>
      <c r="E1365" s="45">
        <v>46129</v>
      </c>
      <c r="F1365" s="26" t="s">
        <v>55</v>
      </c>
      <c r="G1365" s="26" t="s">
        <v>56</v>
      </c>
      <c r="H1365" s="26" t="s">
        <v>57</v>
      </c>
      <c r="I1365" s="26" t="s">
        <v>58</v>
      </c>
      <c r="J1365" s="26" t="s">
        <v>56</v>
      </c>
      <c r="K1365" s="27"/>
      <c r="L1365" s="28" t="s">
        <v>57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4050</v>
      </c>
      <c r="C1366" s="44" t="s">
        <v>4051</v>
      </c>
      <c r="D1366" s="42" t="s">
        <v>3475</v>
      </c>
      <c r="E1366" s="45">
        <v>46129</v>
      </c>
      <c r="F1366" s="26" t="s">
        <v>55</v>
      </c>
      <c r="G1366" s="26" t="s">
        <v>56</v>
      </c>
      <c r="H1366" s="26" t="s">
        <v>57</v>
      </c>
      <c r="I1366" s="26" t="s">
        <v>58</v>
      </c>
      <c r="J1366" s="26" t="s">
        <v>56</v>
      </c>
      <c r="K1366" s="27"/>
      <c r="L1366" s="28" t="s">
        <v>57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4052</v>
      </c>
      <c r="C1367" s="25" t="s">
        <v>4053</v>
      </c>
      <c r="D1367" s="23" t="s">
        <v>3475</v>
      </c>
      <c r="E1367" s="45">
        <v>46129</v>
      </c>
      <c r="F1367" s="26" t="s">
        <v>55</v>
      </c>
      <c r="G1367" s="26" t="s">
        <v>56</v>
      </c>
      <c r="H1367" s="26" t="s">
        <v>57</v>
      </c>
      <c r="I1367" s="26" t="s">
        <v>58</v>
      </c>
      <c r="J1367" s="26" t="s">
        <v>56</v>
      </c>
      <c r="K1367" s="27"/>
      <c r="L1367" s="28" t="s">
        <v>57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4054</v>
      </c>
      <c r="C1368" s="44" t="s">
        <v>4055</v>
      </c>
      <c r="D1368" s="42" t="s">
        <v>3475</v>
      </c>
      <c r="E1368" s="45">
        <v>46129</v>
      </c>
      <c r="F1368" s="26" t="s">
        <v>55</v>
      </c>
      <c r="G1368" s="26" t="s">
        <v>56</v>
      </c>
      <c r="H1368" s="26" t="s">
        <v>57</v>
      </c>
      <c r="I1368" s="26" t="s">
        <v>58</v>
      </c>
      <c r="J1368" s="26" t="s">
        <v>56</v>
      </c>
      <c r="K1368" s="27"/>
      <c r="L1368" s="28" t="s">
        <v>57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4056</v>
      </c>
      <c r="C1369" s="25" t="s">
        <v>4057</v>
      </c>
      <c r="D1369" s="23" t="s">
        <v>3475</v>
      </c>
      <c r="E1369" s="45">
        <v>46129</v>
      </c>
      <c r="F1369" s="26" t="s">
        <v>55</v>
      </c>
      <c r="G1369" s="26" t="s">
        <v>56</v>
      </c>
      <c r="H1369" s="26" t="s">
        <v>57</v>
      </c>
      <c r="I1369" s="26" t="s">
        <v>58</v>
      </c>
      <c r="J1369" s="26" t="s">
        <v>56</v>
      </c>
      <c r="K1369" s="27"/>
      <c r="L1369" s="28" t="s">
        <v>57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4058</v>
      </c>
      <c r="C1370" s="44" t="s">
        <v>4059</v>
      </c>
      <c r="D1370" s="42" t="s">
        <v>3475</v>
      </c>
      <c r="E1370" s="45">
        <v>46129</v>
      </c>
      <c r="F1370" s="26" t="s">
        <v>55</v>
      </c>
      <c r="G1370" s="26" t="s">
        <v>56</v>
      </c>
      <c r="H1370" s="26" t="s">
        <v>57</v>
      </c>
      <c r="I1370" s="26" t="s">
        <v>58</v>
      </c>
      <c r="J1370" s="26" t="s">
        <v>56</v>
      </c>
      <c r="K1370" s="27"/>
      <c r="L1370" s="28" t="s">
        <v>57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4060</v>
      </c>
      <c r="C1371" s="25" t="s">
        <v>4061</v>
      </c>
      <c r="D1371" s="23" t="s">
        <v>3475</v>
      </c>
      <c r="E1371" s="45">
        <v>46129</v>
      </c>
      <c r="F1371" s="26" t="s">
        <v>55</v>
      </c>
      <c r="G1371" s="26" t="s">
        <v>56</v>
      </c>
      <c r="H1371" s="26" t="s">
        <v>57</v>
      </c>
      <c r="I1371" s="26" t="s">
        <v>58</v>
      </c>
      <c r="J1371" s="26" t="s">
        <v>56</v>
      </c>
      <c r="K1371" s="27"/>
      <c r="L1371" s="28" t="s">
        <v>57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4062</v>
      </c>
      <c r="C1372" s="44" t="s">
        <v>4063</v>
      </c>
      <c r="D1372" s="42" t="s">
        <v>3475</v>
      </c>
      <c r="E1372" s="45">
        <v>46129</v>
      </c>
      <c r="F1372" s="26" t="s">
        <v>55</v>
      </c>
      <c r="G1372" s="26" t="s">
        <v>56</v>
      </c>
      <c r="H1372" s="26" t="s">
        <v>57</v>
      </c>
      <c r="I1372" s="26" t="s">
        <v>58</v>
      </c>
      <c r="J1372" s="26" t="s">
        <v>56</v>
      </c>
      <c r="K1372" s="27"/>
      <c r="L1372" s="28" t="s">
        <v>57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4064</v>
      </c>
      <c r="C1373" s="25" t="s">
        <v>4065</v>
      </c>
      <c r="D1373" s="23" t="s">
        <v>3475</v>
      </c>
      <c r="E1373" s="45">
        <v>46129</v>
      </c>
      <c r="F1373" s="26" t="s">
        <v>55</v>
      </c>
      <c r="G1373" s="26" t="s">
        <v>56</v>
      </c>
      <c r="H1373" s="26" t="s">
        <v>57</v>
      </c>
      <c r="I1373" s="26" t="s">
        <v>58</v>
      </c>
      <c r="J1373" s="26" t="s">
        <v>56</v>
      </c>
      <c r="K1373" s="27"/>
      <c r="L1373" s="28" t="s">
        <v>57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4066</v>
      </c>
      <c r="C1374" s="44" t="s">
        <v>4067</v>
      </c>
      <c r="D1374" s="42" t="s">
        <v>3475</v>
      </c>
      <c r="E1374" s="45">
        <v>46129</v>
      </c>
      <c r="F1374" s="26" t="s">
        <v>55</v>
      </c>
      <c r="G1374" s="26" t="s">
        <v>56</v>
      </c>
      <c r="H1374" s="26" t="s">
        <v>57</v>
      </c>
      <c r="I1374" s="26" t="s">
        <v>58</v>
      </c>
      <c r="J1374" s="26" t="s">
        <v>56</v>
      </c>
      <c r="K1374" s="27"/>
      <c r="L1374" s="28" t="s">
        <v>57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4068</v>
      </c>
      <c r="C1375" s="25" t="s">
        <v>4069</v>
      </c>
      <c r="D1375" s="23" t="s">
        <v>3475</v>
      </c>
      <c r="E1375" s="45">
        <v>46129</v>
      </c>
      <c r="F1375" s="26" t="s">
        <v>55</v>
      </c>
      <c r="G1375" s="26" t="s">
        <v>56</v>
      </c>
      <c r="H1375" s="26" t="s">
        <v>57</v>
      </c>
      <c r="I1375" s="26" t="s">
        <v>58</v>
      </c>
      <c r="J1375" s="26" t="s">
        <v>56</v>
      </c>
      <c r="K1375" s="27"/>
      <c r="L1375" s="28" t="s">
        <v>57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4070</v>
      </c>
      <c r="C1376" s="44" t="s">
        <v>4071</v>
      </c>
      <c r="D1376" s="42" t="s">
        <v>3475</v>
      </c>
      <c r="E1376" s="45">
        <v>46129</v>
      </c>
      <c r="F1376" s="26" t="s">
        <v>55</v>
      </c>
      <c r="G1376" s="26" t="s">
        <v>56</v>
      </c>
      <c r="H1376" s="26" t="s">
        <v>57</v>
      </c>
      <c r="I1376" s="26" t="s">
        <v>58</v>
      </c>
      <c r="J1376" s="26" t="s">
        <v>56</v>
      </c>
      <c r="K1376" s="27"/>
      <c r="L1376" s="28" t="s">
        <v>57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4072</v>
      </c>
      <c r="C1377" s="25" t="s">
        <v>4073</v>
      </c>
      <c r="D1377" s="23" t="s">
        <v>3475</v>
      </c>
      <c r="E1377" s="45">
        <v>46129</v>
      </c>
      <c r="F1377" s="26" t="s">
        <v>55</v>
      </c>
      <c r="G1377" s="26" t="s">
        <v>56</v>
      </c>
      <c r="H1377" s="26" t="s">
        <v>57</v>
      </c>
      <c r="I1377" s="26" t="s">
        <v>58</v>
      </c>
      <c r="J1377" s="26" t="s">
        <v>56</v>
      </c>
      <c r="K1377" s="27"/>
      <c r="L1377" s="28" t="s">
        <v>57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4074</v>
      </c>
      <c r="C1378" s="44" t="s">
        <v>4075</v>
      </c>
      <c r="D1378" s="42" t="s">
        <v>3475</v>
      </c>
      <c r="E1378" s="45">
        <v>46129</v>
      </c>
      <c r="F1378" s="26" t="s">
        <v>55</v>
      </c>
      <c r="G1378" s="26" t="s">
        <v>56</v>
      </c>
      <c r="H1378" s="26" t="s">
        <v>57</v>
      </c>
      <c r="I1378" s="26" t="s">
        <v>58</v>
      </c>
      <c r="J1378" s="26" t="s">
        <v>56</v>
      </c>
      <c r="K1378" s="27"/>
      <c r="L1378" s="28" t="s">
        <v>57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4076</v>
      </c>
      <c r="C1379" s="25" t="s">
        <v>4077</v>
      </c>
      <c r="D1379" s="23" t="s">
        <v>3475</v>
      </c>
      <c r="E1379" s="45">
        <v>46129</v>
      </c>
      <c r="F1379" s="26" t="s">
        <v>55</v>
      </c>
      <c r="G1379" s="26" t="s">
        <v>56</v>
      </c>
      <c r="H1379" s="26" t="s">
        <v>57</v>
      </c>
      <c r="I1379" s="26" t="s">
        <v>58</v>
      </c>
      <c r="J1379" s="26" t="s">
        <v>56</v>
      </c>
      <c r="K1379" s="27"/>
      <c r="L1379" s="28" t="s">
        <v>57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4078</v>
      </c>
      <c r="C1380" s="44" t="s">
        <v>4079</v>
      </c>
      <c r="D1380" s="42" t="s">
        <v>3475</v>
      </c>
      <c r="E1380" s="45">
        <v>46129</v>
      </c>
      <c r="F1380" s="26" t="s">
        <v>55</v>
      </c>
      <c r="G1380" s="26" t="s">
        <v>56</v>
      </c>
      <c r="H1380" s="26" t="s">
        <v>57</v>
      </c>
      <c r="I1380" s="26" t="s">
        <v>58</v>
      </c>
      <c r="J1380" s="26" t="s">
        <v>56</v>
      </c>
      <c r="K1380" s="27"/>
      <c r="L1380" s="28" t="s">
        <v>57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4080</v>
      </c>
      <c r="C1381" s="25" t="s">
        <v>4081</v>
      </c>
      <c r="D1381" s="23" t="s">
        <v>3475</v>
      </c>
      <c r="E1381" s="45">
        <v>46129</v>
      </c>
      <c r="F1381" s="26" t="s">
        <v>55</v>
      </c>
      <c r="G1381" s="26" t="s">
        <v>56</v>
      </c>
      <c r="H1381" s="26" t="s">
        <v>57</v>
      </c>
      <c r="I1381" s="26" t="s">
        <v>58</v>
      </c>
      <c r="J1381" s="26" t="s">
        <v>56</v>
      </c>
      <c r="K1381" s="27"/>
      <c r="L1381" s="28" t="s">
        <v>57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4082</v>
      </c>
      <c r="C1382" s="44" t="s">
        <v>4083</v>
      </c>
      <c r="D1382" s="42" t="s">
        <v>3475</v>
      </c>
      <c r="E1382" s="45">
        <v>46129</v>
      </c>
      <c r="F1382" s="26" t="s">
        <v>55</v>
      </c>
      <c r="G1382" s="26" t="s">
        <v>56</v>
      </c>
      <c r="H1382" s="26" t="s">
        <v>57</v>
      </c>
      <c r="I1382" s="26" t="s">
        <v>58</v>
      </c>
      <c r="J1382" s="26" t="s">
        <v>56</v>
      </c>
      <c r="K1382" s="27"/>
      <c r="L1382" s="28" t="s">
        <v>57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4084</v>
      </c>
      <c r="C1383" s="25" t="s">
        <v>4085</v>
      </c>
      <c r="D1383" s="23" t="s">
        <v>3475</v>
      </c>
      <c r="E1383" s="45">
        <v>46129</v>
      </c>
      <c r="F1383" s="26" t="s">
        <v>55</v>
      </c>
      <c r="G1383" s="26" t="s">
        <v>56</v>
      </c>
      <c r="H1383" s="26" t="s">
        <v>57</v>
      </c>
      <c r="I1383" s="26" t="s">
        <v>58</v>
      </c>
      <c r="J1383" s="26" t="s">
        <v>56</v>
      </c>
      <c r="K1383" s="27"/>
      <c r="L1383" s="28" t="s">
        <v>57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4086</v>
      </c>
      <c r="C1384" s="44" t="s">
        <v>4087</v>
      </c>
      <c r="D1384" s="42" t="s">
        <v>3475</v>
      </c>
      <c r="E1384" s="45">
        <v>46129</v>
      </c>
      <c r="F1384" s="26" t="s">
        <v>55</v>
      </c>
      <c r="G1384" s="26" t="s">
        <v>56</v>
      </c>
      <c r="H1384" s="26" t="s">
        <v>57</v>
      </c>
      <c r="I1384" s="26" t="s">
        <v>58</v>
      </c>
      <c r="J1384" s="26" t="s">
        <v>56</v>
      </c>
      <c r="K1384" s="27"/>
      <c r="L1384" s="28" t="s">
        <v>57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4088</v>
      </c>
      <c r="C1385" s="25" t="s">
        <v>4089</v>
      </c>
      <c r="D1385" s="23" t="s">
        <v>3475</v>
      </c>
      <c r="E1385" s="45">
        <v>46129</v>
      </c>
      <c r="F1385" s="26" t="s">
        <v>55</v>
      </c>
      <c r="G1385" s="26" t="s">
        <v>56</v>
      </c>
      <c r="H1385" s="26" t="s">
        <v>57</v>
      </c>
      <c r="I1385" s="26" t="s">
        <v>58</v>
      </c>
      <c r="J1385" s="26" t="s">
        <v>56</v>
      </c>
      <c r="K1385" s="27"/>
      <c r="L1385" s="28" t="s">
        <v>57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4090</v>
      </c>
      <c r="C1386" s="44" t="s">
        <v>4091</v>
      </c>
      <c r="D1386" s="42" t="s">
        <v>3475</v>
      </c>
      <c r="E1386" s="45">
        <v>46129</v>
      </c>
      <c r="F1386" s="26" t="s">
        <v>55</v>
      </c>
      <c r="G1386" s="26" t="s">
        <v>56</v>
      </c>
      <c r="H1386" s="26" t="s">
        <v>57</v>
      </c>
      <c r="I1386" s="26" t="s">
        <v>58</v>
      </c>
      <c r="J1386" s="26" t="s">
        <v>56</v>
      </c>
      <c r="K1386" s="27"/>
      <c r="L1386" s="28" t="s">
        <v>57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4092</v>
      </c>
      <c r="C1387" s="25" t="s">
        <v>4093</v>
      </c>
      <c r="D1387" s="23" t="s">
        <v>3475</v>
      </c>
      <c r="E1387" s="45">
        <v>46129</v>
      </c>
      <c r="F1387" s="26" t="s">
        <v>55</v>
      </c>
      <c r="G1387" s="26" t="s">
        <v>56</v>
      </c>
      <c r="H1387" s="26" t="s">
        <v>57</v>
      </c>
      <c r="I1387" s="26" t="s">
        <v>58</v>
      </c>
      <c r="J1387" s="26" t="s">
        <v>56</v>
      </c>
      <c r="K1387" s="27"/>
      <c r="L1387" s="28" t="s">
        <v>57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4094</v>
      </c>
      <c r="C1388" s="44" t="s">
        <v>4095</v>
      </c>
      <c r="D1388" s="42" t="s">
        <v>3475</v>
      </c>
      <c r="E1388" s="45">
        <v>46129</v>
      </c>
      <c r="F1388" s="26" t="s">
        <v>55</v>
      </c>
      <c r="G1388" s="26" t="s">
        <v>56</v>
      </c>
      <c r="H1388" s="26" t="s">
        <v>57</v>
      </c>
      <c r="I1388" s="26" t="s">
        <v>58</v>
      </c>
      <c r="J1388" s="26" t="s">
        <v>56</v>
      </c>
      <c r="K1388" s="27"/>
      <c r="L1388" s="28" t="s">
        <v>57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4096</v>
      </c>
      <c r="C1389" s="25" t="s">
        <v>4097</v>
      </c>
      <c r="D1389" s="23" t="s">
        <v>3475</v>
      </c>
      <c r="E1389" s="45">
        <v>46129</v>
      </c>
      <c r="F1389" s="26" t="s">
        <v>55</v>
      </c>
      <c r="G1389" s="26" t="s">
        <v>56</v>
      </c>
      <c r="H1389" s="26" t="s">
        <v>57</v>
      </c>
      <c r="I1389" s="26" t="s">
        <v>58</v>
      </c>
      <c r="J1389" s="26" t="s">
        <v>56</v>
      </c>
      <c r="K1389" s="27"/>
      <c r="L1389" s="28" t="s">
        <v>57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4098</v>
      </c>
      <c r="C1390" s="44" t="s">
        <v>4099</v>
      </c>
      <c r="D1390" s="42" t="s">
        <v>3475</v>
      </c>
      <c r="E1390" s="45">
        <v>46129</v>
      </c>
      <c r="F1390" s="26" t="s">
        <v>55</v>
      </c>
      <c r="G1390" s="26" t="s">
        <v>56</v>
      </c>
      <c r="H1390" s="26" t="s">
        <v>57</v>
      </c>
      <c r="I1390" s="26" t="s">
        <v>276</v>
      </c>
      <c r="J1390" s="26" t="s">
        <v>57</v>
      </c>
      <c r="K1390" s="27" t="s">
        <v>4100</v>
      </c>
      <c r="L1390" s="28" t="s">
        <v>56</v>
      </c>
      <c r="M1390" s="29" t="str">
        <f t="shared" si="105"/>
        <v>⚠ Check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4101</v>
      </c>
      <c r="C1391" s="25" t="s">
        <v>4102</v>
      </c>
      <c r="D1391" s="23" t="s">
        <v>3475</v>
      </c>
      <c r="E1391" s="45">
        <v>46129</v>
      </c>
      <c r="F1391" s="26" t="s">
        <v>55</v>
      </c>
      <c r="G1391" s="26" t="s">
        <v>56</v>
      </c>
      <c r="H1391" s="26" t="s">
        <v>57</v>
      </c>
      <c r="I1391" s="26" t="s">
        <v>58</v>
      </c>
      <c r="J1391" s="26" t="s">
        <v>56</v>
      </c>
      <c r="K1391" s="27"/>
      <c r="L1391" s="28" t="s">
        <v>57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4103</v>
      </c>
      <c r="C1392" s="44" t="s">
        <v>4104</v>
      </c>
      <c r="D1392" s="42" t="s">
        <v>3475</v>
      </c>
      <c r="E1392" s="45">
        <v>46129</v>
      </c>
      <c r="F1392" s="26" t="s">
        <v>55</v>
      </c>
      <c r="G1392" s="26" t="s">
        <v>56</v>
      </c>
      <c r="H1392" s="26" t="s">
        <v>57</v>
      </c>
      <c r="I1392" s="26" t="s">
        <v>58</v>
      </c>
      <c r="J1392" s="26" t="s">
        <v>56</v>
      </c>
      <c r="K1392" s="27"/>
      <c r="L1392" s="28" t="s">
        <v>57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4105</v>
      </c>
      <c r="C1393" s="25" t="s">
        <v>4106</v>
      </c>
      <c r="D1393" s="23" t="s">
        <v>3475</v>
      </c>
      <c r="E1393" s="45">
        <v>46129</v>
      </c>
      <c r="F1393" s="26" t="s">
        <v>55</v>
      </c>
      <c r="G1393" s="26" t="s">
        <v>56</v>
      </c>
      <c r="H1393" s="26" t="s">
        <v>57</v>
      </c>
      <c r="I1393" s="26" t="s">
        <v>58</v>
      </c>
      <c r="J1393" s="26" t="s">
        <v>56</v>
      </c>
      <c r="K1393" s="27"/>
      <c r="L1393" s="28" t="s">
        <v>57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4107</v>
      </c>
      <c r="C1394" s="44" t="s">
        <v>4108</v>
      </c>
      <c r="D1394" s="42" t="s">
        <v>3475</v>
      </c>
      <c r="E1394" s="45">
        <v>46129</v>
      </c>
      <c r="F1394" s="26" t="s">
        <v>55</v>
      </c>
      <c r="G1394" s="26" t="s">
        <v>56</v>
      </c>
      <c r="H1394" s="26" t="s">
        <v>57</v>
      </c>
      <c r="I1394" s="26" t="s">
        <v>58</v>
      </c>
      <c r="J1394" s="26" t="s">
        <v>56</v>
      </c>
      <c r="K1394" s="27"/>
      <c r="L1394" s="28" t="s">
        <v>57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4109</v>
      </c>
      <c r="C1395" s="25" t="s">
        <v>4110</v>
      </c>
      <c r="D1395" s="23" t="s">
        <v>3475</v>
      </c>
      <c r="E1395" s="45">
        <v>46129</v>
      </c>
      <c r="F1395" s="26" t="s">
        <v>55</v>
      </c>
      <c r="G1395" s="26" t="s">
        <v>56</v>
      </c>
      <c r="H1395" s="26" t="s">
        <v>57</v>
      </c>
      <c r="I1395" s="26" t="s">
        <v>58</v>
      </c>
      <c r="J1395" s="26" t="s">
        <v>56</v>
      </c>
      <c r="K1395" s="27"/>
      <c r="L1395" s="28" t="s">
        <v>57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4111</v>
      </c>
      <c r="C1396" s="44" t="s">
        <v>4112</v>
      </c>
      <c r="D1396" s="42" t="s">
        <v>3475</v>
      </c>
      <c r="E1396" s="45">
        <v>46129</v>
      </c>
      <c r="F1396" s="26" t="s">
        <v>55</v>
      </c>
      <c r="G1396" s="26" t="s">
        <v>56</v>
      </c>
      <c r="H1396" s="26" t="s">
        <v>57</v>
      </c>
      <c r="I1396" s="26" t="s">
        <v>58</v>
      </c>
      <c r="J1396" s="26" t="s">
        <v>56</v>
      </c>
      <c r="K1396" s="27"/>
      <c r="L1396" s="28" t="s">
        <v>57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4113</v>
      </c>
      <c r="C1397" s="25" t="s">
        <v>4114</v>
      </c>
      <c r="D1397" s="23" t="s">
        <v>3475</v>
      </c>
      <c r="E1397" s="45">
        <v>46129</v>
      </c>
      <c r="F1397" s="26" t="s">
        <v>55</v>
      </c>
      <c r="G1397" s="26" t="s">
        <v>56</v>
      </c>
      <c r="H1397" s="26" t="s">
        <v>57</v>
      </c>
      <c r="I1397" s="26" t="s">
        <v>58</v>
      </c>
      <c r="J1397" s="26" t="s">
        <v>56</v>
      </c>
      <c r="K1397" s="27"/>
      <c r="L1397" s="28" t="s">
        <v>57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4115</v>
      </c>
      <c r="C1398" s="44" t="s">
        <v>4116</v>
      </c>
      <c r="D1398" s="42" t="s">
        <v>3475</v>
      </c>
      <c r="E1398" s="45">
        <v>46129</v>
      </c>
      <c r="F1398" s="26" t="s">
        <v>55</v>
      </c>
      <c r="G1398" s="26" t="s">
        <v>56</v>
      </c>
      <c r="H1398" s="26" t="s">
        <v>57</v>
      </c>
      <c r="I1398" s="26" t="s">
        <v>58</v>
      </c>
      <c r="J1398" s="26" t="s">
        <v>56</v>
      </c>
      <c r="K1398" s="27"/>
      <c r="L1398" s="28" t="s">
        <v>57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4117</v>
      </c>
      <c r="C1399" s="25" t="s">
        <v>4118</v>
      </c>
      <c r="D1399" s="23" t="s">
        <v>3475</v>
      </c>
      <c r="E1399" s="45">
        <v>46129</v>
      </c>
      <c r="F1399" s="26" t="s">
        <v>55</v>
      </c>
      <c r="G1399" s="26" t="s">
        <v>56</v>
      </c>
      <c r="H1399" s="26" t="s">
        <v>57</v>
      </c>
      <c r="I1399" s="26" t="s">
        <v>58</v>
      </c>
      <c r="J1399" s="26" t="s">
        <v>56</v>
      </c>
      <c r="K1399" s="27"/>
      <c r="L1399" s="28" t="s">
        <v>57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4119</v>
      </c>
      <c r="C1400" s="44" t="s">
        <v>4120</v>
      </c>
      <c r="D1400" s="42" t="s">
        <v>3475</v>
      </c>
      <c r="E1400" s="45">
        <v>46129</v>
      </c>
      <c r="F1400" s="26" t="s">
        <v>55</v>
      </c>
      <c r="G1400" s="26" t="s">
        <v>56</v>
      </c>
      <c r="H1400" s="26" t="s">
        <v>57</v>
      </c>
      <c r="I1400" s="26" t="s">
        <v>58</v>
      </c>
      <c r="J1400" s="26" t="s">
        <v>56</v>
      </c>
      <c r="K1400" s="27"/>
      <c r="L1400" s="28" t="s">
        <v>57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4121</v>
      </c>
      <c r="C1401" s="25" t="s">
        <v>4122</v>
      </c>
      <c r="D1401" s="23" t="s">
        <v>3475</v>
      </c>
      <c r="E1401" s="45">
        <v>46129</v>
      </c>
      <c r="F1401" s="26" t="s">
        <v>55</v>
      </c>
      <c r="G1401" s="26" t="s">
        <v>56</v>
      </c>
      <c r="H1401" s="26" t="s">
        <v>57</v>
      </c>
      <c r="I1401" s="26" t="s">
        <v>58</v>
      </c>
      <c r="J1401" s="26" t="s">
        <v>56</v>
      </c>
      <c r="K1401" s="27"/>
      <c r="L1401" s="28" t="s">
        <v>57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4123</v>
      </c>
      <c r="C1402" s="44" t="s">
        <v>4124</v>
      </c>
      <c r="D1402" s="42" t="s">
        <v>3475</v>
      </c>
      <c r="E1402" s="45">
        <v>46129</v>
      </c>
      <c r="F1402" s="26" t="s">
        <v>55</v>
      </c>
      <c r="G1402" s="26" t="s">
        <v>56</v>
      </c>
      <c r="H1402" s="26" t="s">
        <v>57</v>
      </c>
      <c r="I1402" s="26" t="s">
        <v>58</v>
      </c>
      <c r="J1402" s="26" t="s">
        <v>56</v>
      </c>
      <c r="K1402" s="27"/>
      <c r="L1402" s="28" t="s">
        <v>57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4125</v>
      </c>
      <c r="C1403" s="25" t="s">
        <v>4126</v>
      </c>
      <c r="D1403" s="23" t="s">
        <v>3475</v>
      </c>
      <c r="E1403" s="45">
        <v>46129</v>
      </c>
      <c r="F1403" s="26" t="s">
        <v>55</v>
      </c>
      <c r="G1403" s="26" t="s">
        <v>56</v>
      </c>
      <c r="H1403" s="26" t="s">
        <v>57</v>
      </c>
      <c r="I1403" s="26" t="s">
        <v>58</v>
      </c>
      <c r="J1403" s="26" t="s">
        <v>56</v>
      </c>
      <c r="K1403" s="27"/>
      <c r="L1403" s="28" t="s">
        <v>57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4127</v>
      </c>
      <c r="C1404" s="44" t="s">
        <v>4128</v>
      </c>
      <c r="D1404" s="42" t="s">
        <v>3475</v>
      </c>
      <c r="E1404" s="45">
        <v>46129</v>
      </c>
      <c r="F1404" s="26" t="s">
        <v>55</v>
      </c>
      <c r="G1404" s="26" t="s">
        <v>56</v>
      </c>
      <c r="H1404" s="26" t="s">
        <v>57</v>
      </c>
      <c r="I1404" s="26" t="s">
        <v>58</v>
      </c>
      <c r="J1404" s="26" t="s">
        <v>56</v>
      </c>
      <c r="K1404" s="27"/>
      <c r="L1404" s="28" t="s">
        <v>57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4129</v>
      </c>
      <c r="C1405" s="25" t="s">
        <v>4130</v>
      </c>
      <c r="D1405" s="23" t="s">
        <v>3475</v>
      </c>
      <c r="E1405" s="45">
        <v>46129</v>
      </c>
      <c r="F1405" s="26" t="s">
        <v>55</v>
      </c>
      <c r="G1405" s="26" t="s">
        <v>56</v>
      </c>
      <c r="H1405" s="26" t="s">
        <v>57</v>
      </c>
      <c r="I1405" s="26" t="s">
        <v>58</v>
      </c>
      <c r="J1405" s="26" t="s">
        <v>56</v>
      </c>
      <c r="K1405" s="27"/>
      <c r="L1405" s="28" t="s">
        <v>57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4131</v>
      </c>
      <c r="C1406" s="44" t="s">
        <v>4132</v>
      </c>
      <c r="D1406" s="42" t="s">
        <v>3475</v>
      </c>
      <c r="E1406" s="45">
        <v>46129</v>
      </c>
      <c r="F1406" s="26" t="s">
        <v>55</v>
      </c>
      <c r="G1406" s="26" t="s">
        <v>56</v>
      </c>
      <c r="H1406" s="26" t="s">
        <v>57</v>
      </c>
      <c r="I1406" s="26" t="s">
        <v>58</v>
      </c>
      <c r="J1406" s="26" t="s">
        <v>56</v>
      </c>
      <c r="K1406" s="27"/>
      <c r="L1406" s="28" t="s">
        <v>57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4133</v>
      </c>
      <c r="C1407" s="25" t="s">
        <v>4134</v>
      </c>
      <c r="D1407" s="23" t="s">
        <v>3475</v>
      </c>
      <c r="E1407" s="45">
        <v>46129</v>
      </c>
      <c r="F1407" s="26" t="s">
        <v>55</v>
      </c>
      <c r="G1407" s="26" t="s">
        <v>56</v>
      </c>
      <c r="H1407" s="26" t="s">
        <v>57</v>
      </c>
      <c r="I1407" s="26" t="s">
        <v>58</v>
      </c>
      <c r="J1407" s="26" t="s">
        <v>56</v>
      </c>
      <c r="K1407" s="27"/>
      <c r="L1407" s="28" t="s">
        <v>57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4135</v>
      </c>
      <c r="C1408" s="44" t="s">
        <v>4136</v>
      </c>
      <c r="D1408" s="42" t="s">
        <v>3475</v>
      </c>
      <c r="E1408" s="45">
        <v>46129</v>
      </c>
      <c r="F1408" s="26" t="s">
        <v>55</v>
      </c>
      <c r="G1408" s="26" t="s">
        <v>56</v>
      </c>
      <c r="H1408" s="26" t="s">
        <v>57</v>
      </c>
      <c r="I1408" s="26" t="s">
        <v>58</v>
      </c>
      <c r="J1408" s="26" t="s">
        <v>56</v>
      </c>
      <c r="K1408" s="27"/>
      <c r="L1408" s="28" t="s">
        <v>57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4137</v>
      </c>
      <c r="C1409" s="25" t="s">
        <v>4138</v>
      </c>
      <c r="D1409" s="23" t="s">
        <v>3475</v>
      </c>
      <c r="E1409" s="45">
        <v>46129</v>
      </c>
      <c r="F1409" s="26" t="s">
        <v>55</v>
      </c>
      <c r="G1409" s="26" t="s">
        <v>56</v>
      </c>
      <c r="H1409" s="26" t="s">
        <v>57</v>
      </c>
      <c r="I1409" s="26" t="s">
        <v>58</v>
      </c>
      <c r="J1409" s="26" t="s">
        <v>56</v>
      </c>
      <c r="K1409" s="27"/>
      <c r="L1409" s="28" t="s">
        <v>57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4139</v>
      </c>
      <c r="C1410" s="44" t="s">
        <v>4140</v>
      </c>
      <c r="D1410" s="42" t="s">
        <v>3475</v>
      </c>
      <c r="E1410" s="45">
        <v>46129</v>
      </c>
      <c r="F1410" s="26" t="s">
        <v>55</v>
      </c>
      <c r="G1410" s="26" t="s">
        <v>56</v>
      </c>
      <c r="H1410" s="26" t="s">
        <v>57</v>
      </c>
      <c r="I1410" s="26" t="s">
        <v>58</v>
      </c>
      <c r="J1410" s="26" t="s">
        <v>56</v>
      </c>
      <c r="K1410" s="27"/>
      <c r="L1410" s="28" t="s">
        <v>57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4141</v>
      </c>
      <c r="C1411" s="25" t="s">
        <v>4142</v>
      </c>
      <c r="D1411" s="23" t="s">
        <v>3475</v>
      </c>
      <c r="E1411" s="45">
        <v>46129</v>
      </c>
      <c r="F1411" s="26" t="s">
        <v>55</v>
      </c>
      <c r="G1411" s="26" t="s">
        <v>56</v>
      </c>
      <c r="H1411" s="26" t="s">
        <v>57</v>
      </c>
      <c r="I1411" s="26" t="s">
        <v>58</v>
      </c>
      <c r="J1411" s="26" t="s">
        <v>56</v>
      </c>
      <c r="K1411" s="27"/>
      <c r="L1411" s="28" t="s">
        <v>57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4143</v>
      </c>
      <c r="C1412" s="44" t="s">
        <v>4144</v>
      </c>
      <c r="D1412" s="42" t="s">
        <v>3475</v>
      </c>
      <c r="E1412" s="45">
        <v>46129</v>
      </c>
      <c r="F1412" s="26" t="s">
        <v>55</v>
      </c>
      <c r="G1412" s="26" t="s">
        <v>56</v>
      </c>
      <c r="H1412" s="26" t="s">
        <v>57</v>
      </c>
      <c r="I1412" s="26" t="s">
        <v>58</v>
      </c>
      <c r="J1412" s="26" t="s">
        <v>56</v>
      </c>
      <c r="K1412" s="27"/>
      <c r="L1412" s="28" t="s">
        <v>57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4145</v>
      </c>
      <c r="C1413" s="25" t="s">
        <v>4146</v>
      </c>
      <c r="D1413" s="23" t="s">
        <v>3475</v>
      </c>
      <c r="E1413" s="45">
        <v>46129</v>
      </c>
      <c r="F1413" s="26" t="s">
        <v>55</v>
      </c>
      <c r="G1413" s="26" t="s">
        <v>56</v>
      </c>
      <c r="H1413" s="26" t="s">
        <v>57</v>
      </c>
      <c r="I1413" s="26" t="s">
        <v>58</v>
      </c>
      <c r="J1413" s="26" t="s">
        <v>56</v>
      </c>
      <c r="K1413" s="27"/>
      <c r="L1413" s="28" t="s">
        <v>57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1-0000-05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74" priority="46">
      <formula>MOD(ROW(),2)=0</formula>
    </cfRule>
  </conditionalFormatting>
  <conditionalFormatting sqref="G5:G1413">
    <cfRule type="expression" dxfId="373" priority="6">
      <formula>G5="No"</formula>
    </cfRule>
    <cfRule type="expression" dxfId="372" priority="5">
      <formula>G5="Yes"</formula>
    </cfRule>
  </conditionalFormatting>
  <conditionalFormatting sqref="H5:H1413">
    <cfRule type="expression" dxfId="371" priority="7">
      <formula>H5="Yes"</formula>
    </cfRule>
  </conditionalFormatting>
  <conditionalFormatting sqref="J5:J1413">
    <cfRule type="expression" dxfId="370" priority="8">
      <formula>J5="Yes"</formula>
    </cfRule>
    <cfRule type="expression" dxfId="369" priority="9">
      <formula>J5="No"</formula>
    </cfRule>
  </conditionalFormatting>
  <conditionalFormatting sqref="M5:M1413">
    <cfRule type="expression" dxfId="368" priority="2">
      <formula>M5="❌ Disc"</formula>
    </cfRule>
    <cfRule type="expression" dxfId="367" priority="3">
      <formula>M5="⚠ Missing"</formula>
    </cfRule>
    <cfRule type="expression" dxfId="366" priority="4">
      <formula>M5="⚠ Check"</formula>
    </cfRule>
    <cfRule type="expression" dxfId="365" priority="1">
      <formula>M5="✓ OK"</formula>
    </cfRule>
  </conditionalFormatting>
  <conditionalFormatting sqref="P5:P1413">
    <cfRule type="expression" dxfId="364" priority="14">
      <formula>P5="Yes"</formula>
    </cfRule>
    <cfRule type="expression" dxfId="363" priority="15">
      <formula>P5="No"</formula>
    </cfRule>
  </conditionalFormatting>
  <conditionalFormatting sqref="Q5:Q1413">
    <cfRule type="expression" dxfId="362" priority="16">
      <formula>Q5="Yes"</formula>
    </cfRule>
  </conditionalFormatting>
  <conditionalFormatting sqref="S5:S1413">
    <cfRule type="expression" dxfId="361" priority="17">
      <formula>S5="Yes"</formula>
    </cfRule>
    <cfRule type="expression" dxfId="360" priority="18">
      <formula>S5="No"</formula>
    </cfRule>
  </conditionalFormatting>
  <conditionalFormatting sqref="V5:V1413">
    <cfRule type="expression" dxfId="359" priority="10">
      <formula>V5="✓ OK"</formula>
    </cfRule>
    <cfRule type="expression" dxfId="358" priority="11">
      <formula>V5="❌ Disc"</formula>
    </cfRule>
    <cfRule type="expression" dxfId="357" priority="12">
      <formula>V5="⚠ Missing"</formula>
    </cfRule>
    <cfRule type="expression" dxfId="356" priority="13">
      <formula>V5="⚠ Check"</formula>
    </cfRule>
  </conditionalFormatting>
  <conditionalFormatting sqref="Y5:Y1413">
    <cfRule type="expression" dxfId="355" priority="24">
      <formula>Y5="No"</formula>
    </cfRule>
    <cfRule type="expression" dxfId="354" priority="23">
      <formula>Y5="Yes"</formula>
    </cfRule>
  </conditionalFormatting>
  <conditionalFormatting sqref="Z5:Z1413">
    <cfRule type="expression" dxfId="353" priority="25">
      <formula>Z5="Yes"</formula>
    </cfRule>
  </conditionalFormatting>
  <conditionalFormatting sqref="AB5:AB1413">
    <cfRule type="expression" dxfId="352" priority="26">
      <formula>AB5="Yes"</formula>
    </cfRule>
    <cfRule type="expression" dxfId="351" priority="27">
      <formula>AB5="No"</formula>
    </cfRule>
  </conditionalFormatting>
  <conditionalFormatting sqref="AE5:AE1413">
    <cfRule type="expression" dxfId="350" priority="20">
      <formula>AE5="❌ Disc"</formula>
    </cfRule>
    <cfRule type="expression" dxfId="349" priority="21">
      <formula>AE5="⚠ Missing"</formula>
    </cfRule>
    <cfRule type="expression" dxfId="348" priority="22">
      <formula>AE5="⚠ Check"</formula>
    </cfRule>
    <cfRule type="expression" dxfId="347" priority="19">
      <formula>AE5="✓ OK"</formula>
    </cfRule>
  </conditionalFormatting>
  <conditionalFormatting sqref="AH5:AH1413">
    <cfRule type="expression" dxfId="346" priority="32">
      <formula>AH5="Yes"</formula>
    </cfRule>
    <cfRule type="expression" dxfId="345" priority="33">
      <formula>AH5="No"</formula>
    </cfRule>
  </conditionalFormatting>
  <conditionalFormatting sqref="AI5:AI1413">
    <cfRule type="expression" dxfId="344" priority="34">
      <formula>AI5="Yes"</formula>
    </cfRule>
  </conditionalFormatting>
  <conditionalFormatting sqref="AK5:AK1413">
    <cfRule type="expression" dxfId="343" priority="35">
      <formula>AK5="Yes"</formula>
    </cfRule>
    <cfRule type="expression" dxfId="342" priority="36">
      <formula>AK5="No"</formula>
    </cfRule>
  </conditionalFormatting>
  <conditionalFormatting sqref="AN5:AN1413">
    <cfRule type="expression" dxfId="341" priority="29">
      <formula>AN5="❌ Disc"</formula>
    </cfRule>
    <cfRule type="expression" dxfId="340" priority="30">
      <formula>AN5="⚠ Missing"</formula>
    </cfRule>
    <cfRule type="expression" dxfId="339" priority="31">
      <formula>AN5="⚠ Check"</formula>
    </cfRule>
    <cfRule type="expression" dxfId="338" priority="28">
      <formula>AN5="✓ OK"</formula>
    </cfRule>
  </conditionalFormatting>
  <conditionalFormatting sqref="AQ5:AQ1413">
    <cfRule type="expression" dxfId="337" priority="42">
      <formula>AQ5="No"</formula>
    </cfRule>
    <cfRule type="expression" dxfId="336" priority="41">
      <formula>AQ5="Yes"</formula>
    </cfRule>
  </conditionalFormatting>
  <conditionalFormatting sqref="AR5:AR1413">
    <cfRule type="expression" dxfId="335" priority="43">
      <formula>AR5="Yes"</formula>
    </cfRule>
  </conditionalFormatting>
  <conditionalFormatting sqref="AT5:AT1413">
    <cfRule type="expression" dxfId="334" priority="44">
      <formula>AT5="Yes"</formula>
    </cfRule>
    <cfRule type="expression" dxfId="333" priority="45">
      <formula>AT5="No"</formula>
    </cfRule>
  </conditionalFormatting>
  <conditionalFormatting sqref="AW5:AW1413">
    <cfRule type="expression" dxfId="332" priority="37">
      <formula>AW5="✓ OK"</formula>
    </cfRule>
    <cfRule type="expression" dxfId="331" priority="38">
      <formula>AW5="❌ Disc"</formula>
    </cfRule>
    <cfRule type="expression" dxfId="330" priority="39">
      <formula>AW5="⚠ Missing"</formula>
    </cfRule>
    <cfRule type="expression" dxfId="329" priority="40">
      <formula>AW5="⚠ Check"</formula>
    </cfRule>
  </conditionalFormatting>
  <dataValidations count="2">
    <dataValidation type="list" allowBlank="1" sqref="AT5:AT1413 AQ5:AR1413 AK5:AK1413 AH5:AI1413 AB5:AB1413 Y5:Z1413 S5:S1413 P5:Q1413 G5:H1413 J5:J1413" xr:uid="{00000000-0002-0000-0500-000000000000}">
      <formula1>"Yes,No"</formula1>
    </dataValidation>
    <dataValidation type="list" allowBlank="1" sqref="R5:R1413 AS5:AS1413 AJ5:AJ1413 AA5:AA1413 I5:I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77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4147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4148</v>
      </c>
      <c r="C5" s="25" t="s">
        <v>4149</v>
      </c>
      <c r="D5" s="23" t="s">
        <v>4150</v>
      </c>
      <c r="E5" s="45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4151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4152</v>
      </c>
      <c r="C6" s="44" t="s">
        <v>4153</v>
      </c>
      <c r="D6" s="42" t="s">
        <v>4150</v>
      </c>
      <c r="E6" s="45">
        <v>46129</v>
      </c>
      <c r="F6" s="26" t="s">
        <v>55</v>
      </c>
      <c r="G6" s="26" t="s">
        <v>57</v>
      </c>
      <c r="H6" s="26" t="s">
        <v>57</v>
      </c>
      <c r="I6" s="26" t="s">
        <v>88</v>
      </c>
      <c r="J6" s="26" t="s">
        <v>57</v>
      </c>
      <c r="K6" s="27" t="s">
        <v>89</v>
      </c>
      <c r="L6" s="28" t="s">
        <v>56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4154</v>
      </c>
      <c r="C7" s="25" t="s">
        <v>4155</v>
      </c>
      <c r="D7" s="23" t="s">
        <v>4150</v>
      </c>
      <c r="E7" s="45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57</v>
      </c>
      <c r="K7" s="27" t="s">
        <v>4151</v>
      </c>
      <c r="L7" s="28" t="s">
        <v>56</v>
      </c>
      <c r="M7" s="29" t="str">
        <f t="shared" si="0"/>
        <v>⚠ Check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4156</v>
      </c>
      <c r="C8" s="44" t="s">
        <v>4157</v>
      </c>
      <c r="D8" s="42" t="s">
        <v>4150</v>
      </c>
      <c r="E8" s="45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57</v>
      </c>
      <c r="K8" s="27" t="s">
        <v>4151</v>
      </c>
      <c r="L8" s="28" t="s">
        <v>56</v>
      </c>
      <c r="M8" s="29" t="str">
        <f t="shared" si="0"/>
        <v>⚠ Check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4158</v>
      </c>
      <c r="C9" s="25" t="s">
        <v>4159</v>
      </c>
      <c r="D9" s="23" t="s">
        <v>4150</v>
      </c>
      <c r="E9" s="45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57</v>
      </c>
      <c r="K9" s="27" t="s">
        <v>4151</v>
      </c>
      <c r="L9" s="28" t="s">
        <v>56</v>
      </c>
      <c r="M9" s="29" t="str">
        <f t="shared" si="0"/>
        <v>⚠ Check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4160</v>
      </c>
      <c r="C10" s="44" t="s">
        <v>4161</v>
      </c>
      <c r="D10" s="42" t="s">
        <v>4150</v>
      </c>
      <c r="E10" s="45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4151</v>
      </c>
      <c r="L10" s="28" t="s">
        <v>56</v>
      </c>
      <c r="M10" s="29" t="str">
        <f t="shared" si="0"/>
        <v>⚠ Check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4162</v>
      </c>
      <c r="C11" s="25" t="s">
        <v>4163</v>
      </c>
      <c r="D11" s="23" t="s">
        <v>4150</v>
      </c>
      <c r="E11" s="45">
        <v>46129</v>
      </c>
      <c r="F11" s="26" t="s">
        <v>55</v>
      </c>
      <c r="G11" s="26" t="s">
        <v>57</v>
      </c>
      <c r="H11" s="26" t="s">
        <v>57</v>
      </c>
      <c r="I11" s="26" t="s">
        <v>88</v>
      </c>
      <c r="J11" s="26" t="s">
        <v>57</v>
      </c>
      <c r="K11" s="27" t="s">
        <v>89</v>
      </c>
      <c r="L11" s="28" t="s">
        <v>56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4164</v>
      </c>
      <c r="C12" s="44" t="s">
        <v>4165</v>
      </c>
      <c r="D12" s="42" t="s">
        <v>4150</v>
      </c>
      <c r="E12" s="45">
        <v>46129</v>
      </c>
      <c r="F12" s="26" t="s">
        <v>55</v>
      </c>
      <c r="G12" s="26" t="s">
        <v>57</v>
      </c>
      <c r="H12" s="26" t="s">
        <v>57</v>
      </c>
      <c r="I12" s="26" t="s">
        <v>88</v>
      </c>
      <c r="J12" s="26" t="s">
        <v>57</v>
      </c>
      <c r="K12" s="27" t="s">
        <v>89</v>
      </c>
      <c r="L12" s="28" t="s">
        <v>56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4166</v>
      </c>
      <c r="C13" s="25" t="s">
        <v>4167</v>
      </c>
      <c r="D13" s="23" t="s">
        <v>4150</v>
      </c>
      <c r="E13" s="45">
        <v>46129</v>
      </c>
      <c r="F13" s="26" t="s">
        <v>55</v>
      </c>
      <c r="G13" s="26" t="s">
        <v>57</v>
      </c>
      <c r="H13" s="26" t="s">
        <v>57</v>
      </c>
      <c r="I13" s="26" t="s">
        <v>88</v>
      </c>
      <c r="J13" s="26" t="s">
        <v>57</v>
      </c>
      <c r="K13" s="27" t="s">
        <v>89</v>
      </c>
      <c r="L13" s="28" t="s">
        <v>56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4168</v>
      </c>
      <c r="C14" s="44" t="s">
        <v>4169</v>
      </c>
      <c r="D14" s="42" t="s">
        <v>4150</v>
      </c>
      <c r="E14" s="45">
        <v>46129</v>
      </c>
      <c r="F14" s="26" t="s">
        <v>55</v>
      </c>
      <c r="G14" s="26" t="s">
        <v>57</v>
      </c>
      <c r="H14" s="26" t="s">
        <v>57</v>
      </c>
      <c r="I14" s="26" t="s">
        <v>88</v>
      </c>
      <c r="J14" s="26" t="s">
        <v>57</v>
      </c>
      <c r="K14" s="27" t="s">
        <v>89</v>
      </c>
      <c r="L14" s="28" t="s">
        <v>56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4170</v>
      </c>
      <c r="C15" s="25" t="s">
        <v>4171</v>
      </c>
      <c r="D15" s="23" t="s">
        <v>4150</v>
      </c>
      <c r="E15" s="45">
        <v>46129</v>
      </c>
      <c r="F15" s="26" t="s">
        <v>55</v>
      </c>
      <c r="G15" s="26" t="s">
        <v>57</v>
      </c>
      <c r="H15" s="26" t="s">
        <v>57</v>
      </c>
      <c r="I15" s="26" t="s">
        <v>88</v>
      </c>
      <c r="J15" s="26" t="s">
        <v>57</v>
      </c>
      <c r="K15" s="27" t="s">
        <v>89</v>
      </c>
      <c r="L15" s="28" t="s">
        <v>56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4172</v>
      </c>
      <c r="C16" s="44" t="s">
        <v>4173</v>
      </c>
      <c r="D16" s="42" t="s">
        <v>4150</v>
      </c>
      <c r="E16" s="45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4151</v>
      </c>
      <c r="L16" s="28" t="s">
        <v>56</v>
      </c>
      <c r="M16" s="29" t="str">
        <f t="shared" si="0"/>
        <v>⚠ Check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4174</v>
      </c>
      <c r="C17" s="25" t="s">
        <v>4175</v>
      </c>
      <c r="D17" s="23" t="s">
        <v>4150</v>
      </c>
      <c r="E17" s="45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57</v>
      </c>
      <c r="K17" s="27" t="s">
        <v>4151</v>
      </c>
      <c r="L17" s="28" t="s">
        <v>56</v>
      </c>
      <c r="M17" s="29" t="str">
        <f t="shared" si="0"/>
        <v>⚠ Check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4176</v>
      </c>
      <c r="C18" s="44" t="s">
        <v>4177</v>
      </c>
      <c r="D18" s="42" t="s">
        <v>4150</v>
      </c>
      <c r="E18" s="45">
        <v>46129</v>
      </c>
      <c r="F18" s="26" t="s">
        <v>55</v>
      </c>
      <c r="G18" s="26" t="s">
        <v>57</v>
      </c>
      <c r="H18" s="26" t="s">
        <v>57</v>
      </c>
      <c r="I18" s="26" t="s">
        <v>88</v>
      </c>
      <c r="J18" s="26" t="s">
        <v>57</v>
      </c>
      <c r="K18" s="27" t="s">
        <v>89</v>
      </c>
      <c r="L18" s="28" t="s">
        <v>56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4178</v>
      </c>
      <c r="C19" s="25" t="s">
        <v>4179</v>
      </c>
      <c r="D19" s="23" t="s">
        <v>4150</v>
      </c>
      <c r="E19" s="45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57</v>
      </c>
      <c r="K19" s="27" t="s">
        <v>4151</v>
      </c>
      <c r="L19" s="28" t="s">
        <v>56</v>
      </c>
      <c r="M19" s="29" t="str">
        <f t="shared" si="0"/>
        <v>⚠ Check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4180</v>
      </c>
      <c r="C20" s="44" t="s">
        <v>4181</v>
      </c>
      <c r="D20" s="42" t="s">
        <v>4150</v>
      </c>
      <c r="E20" s="45">
        <v>46129</v>
      </c>
      <c r="F20" s="26" t="s">
        <v>55</v>
      </c>
      <c r="G20" s="26" t="s">
        <v>57</v>
      </c>
      <c r="H20" s="26" t="s">
        <v>57</v>
      </c>
      <c r="I20" s="26" t="s">
        <v>88</v>
      </c>
      <c r="J20" s="26" t="s">
        <v>57</v>
      </c>
      <c r="K20" s="27" t="s">
        <v>89</v>
      </c>
      <c r="L20" s="28" t="s">
        <v>56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4182</v>
      </c>
      <c r="C21" s="25" t="s">
        <v>4183</v>
      </c>
      <c r="D21" s="23" t="s">
        <v>4150</v>
      </c>
      <c r="E21" s="45">
        <v>46129</v>
      </c>
      <c r="F21" s="26" t="s">
        <v>55</v>
      </c>
      <c r="G21" s="26" t="s">
        <v>57</v>
      </c>
      <c r="H21" s="26" t="s">
        <v>57</v>
      </c>
      <c r="I21" s="26" t="s">
        <v>88</v>
      </c>
      <c r="J21" s="26" t="s">
        <v>57</v>
      </c>
      <c r="K21" s="27" t="s">
        <v>89</v>
      </c>
      <c r="L21" s="28" t="s">
        <v>56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4184</v>
      </c>
      <c r="C22" s="44" t="s">
        <v>4185</v>
      </c>
      <c r="D22" s="42" t="s">
        <v>4150</v>
      </c>
      <c r="E22" s="45">
        <v>46129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57</v>
      </c>
      <c r="K22" s="27" t="s">
        <v>4151</v>
      </c>
      <c r="L22" s="28" t="s">
        <v>56</v>
      </c>
      <c r="M22" s="29" t="str">
        <f t="shared" si="0"/>
        <v>⚠ Check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4186</v>
      </c>
      <c r="C23" s="25" t="s">
        <v>4187</v>
      </c>
      <c r="D23" s="23" t="s">
        <v>4150</v>
      </c>
      <c r="E23" s="45">
        <v>46129</v>
      </c>
      <c r="F23" s="26" t="s">
        <v>55</v>
      </c>
      <c r="G23" s="26" t="s">
        <v>57</v>
      </c>
      <c r="H23" s="26" t="s">
        <v>57</v>
      </c>
      <c r="I23" s="26" t="s">
        <v>88</v>
      </c>
      <c r="J23" s="26" t="s">
        <v>57</v>
      </c>
      <c r="K23" s="27" t="s">
        <v>89</v>
      </c>
      <c r="L23" s="28" t="s">
        <v>56</v>
      </c>
      <c r="M23" s="29" t="str">
        <f t="shared" si="0"/>
        <v>⚠ Missing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4188</v>
      </c>
      <c r="C24" s="44" t="s">
        <v>4189</v>
      </c>
      <c r="D24" s="42" t="s">
        <v>4150</v>
      </c>
      <c r="E24" s="45">
        <v>46129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57</v>
      </c>
      <c r="K24" s="27" t="s">
        <v>4151</v>
      </c>
      <c r="L24" s="28" t="s">
        <v>56</v>
      </c>
      <c r="M24" s="29" t="str">
        <f t="shared" si="0"/>
        <v>⚠ Check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4190</v>
      </c>
      <c r="C25" s="25" t="s">
        <v>4191</v>
      </c>
      <c r="D25" s="23" t="s">
        <v>4150</v>
      </c>
      <c r="E25" s="45">
        <v>46129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57</v>
      </c>
      <c r="K25" s="27" t="s">
        <v>4151</v>
      </c>
      <c r="L25" s="28" t="s">
        <v>56</v>
      </c>
      <c r="M25" s="29" t="str">
        <f t="shared" si="0"/>
        <v>⚠ Check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4192</v>
      </c>
      <c r="C26" s="44" t="s">
        <v>4193</v>
      </c>
      <c r="D26" s="42" t="s">
        <v>4150</v>
      </c>
      <c r="E26" s="45">
        <v>46129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57</v>
      </c>
      <c r="K26" s="27" t="s">
        <v>4151</v>
      </c>
      <c r="L26" s="28" t="s">
        <v>56</v>
      </c>
      <c r="M26" s="29" t="str">
        <f t="shared" si="0"/>
        <v>⚠ Check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4194</v>
      </c>
      <c r="C27" s="25" t="s">
        <v>4195</v>
      </c>
      <c r="D27" s="23" t="s">
        <v>4150</v>
      </c>
      <c r="E27" s="45">
        <v>46129</v>
      </c>
      <c r="F27" s="26" t="s">
        <v>55</v>
      </c>
      <c r="G27" s="26" t="s">
        <v>57</v>
      </c>
      <c r="H27" s="26" t="s">
        <v>57</v>
      </c>
      <c r="I27" s="26" t="s">
        <v>88</v>
      </c>
      <c r="J27" s="26" t="s">
        <v>57</v>
      </c>
      <c r="K27" s="27" t="s">
        <v>89</v>
      </c>
      <c r="L27" s="28" t="s">
        <v>56</v>
      </c>
      <c r="M27" s="29" t="str">
        <f t="shared" si="0"/>
        <v>⚠ Missing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4196</v>
      </c>
      <c r="C28" s="44" t="s">
        <v>4197</v>
      </c>
      <c r="D28" s="42" t="s">
        <v>4150</v>
      </c>
      <c r="E28" s="45">
        <v>46129</v>
      </c>
      <c r="F28" s="26" t="s">
        <v>55</v>
      </c>
      <c r="G28" s="26" t="s">
        <v>57</v>
      </c>
      <c r="H28" s="26" t="s">
        <v>57</v>
      </c>
      <c r="I28" s="26" t="s">
        <v>88</v>
      </c>
      <c r="J28" s="26" t="s">
        <v>57</v>
      </c>
      <c r="K28" s="27" t="s">
        <v>89</v>
      </c>
      <c r="L28" s="28" t="s">
        <v>56</v>
      </c>
      <c r="M28" s="29" t="str">
        <f t="shared" si="0"/>
        <v>⚠ Missing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4198</v>
      </c>
      <c r="C29" s="25" t="s">
        <v>4199</v>
      </c>
      <c r="D29" s="23" t="s">
        <v>4150</v>
      </c>
      <c r="E29" s="45">
        <v>46129</v>
      </c>
      <c r="F29" s="26" t="s">
        <v>55</v>
      </c>
      <c r="G29" s="26" t="s">
        <v>57</v>
      </c>
      <c r="H29" s="26" t="s">
        <v>57</v>
      </c>
      <c r="I29" s="26" t="s">
        <v>88</v>
      </c>
      <c r="J29" s="26" t="s">
        <v>57</v>
      </c>
      <c r="K29" s="27" t="s">
        <v>89</v>
      </c>
      <c r="L29" s="28" t="s">
        <v>56</v>
      </c>
      <c r="M29" s="29" t="str">
        <f t="shared" si="0"/>
        <v>⚠ Missing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4200</v>
      </c>
      <c r="C30" s="44" t="s">
        <v>4201</v>
      </c>
      <c r="D30" s="42" t="s">
        <v>4150</v>
      </c>
      <c r="E30" s="45">
        <v>46129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57</v>
      </c>
      <c r="K30" s="27" t="s">
        <v>4151</v>
      </c>
      <c r="L30" s="28" t="s">
        <v>56</v>
      </c>
      <c r="M30" s="29" t="str">
        <f t="shared" si="0"/>
        <v>⚠ Check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4202</v>
      </c>
      <c r="C31" s="25" t="s">
        <v>4203</v>
      </c>
      <c r="D31" s="23" t="s">
        <v>4150</v>
      </c>
      <c r="E31" s="45">
        <v>46129</v>
      </c>
      <c r="F31" s="26" t="s">
        <v>55</v>
      </c>
      <c r="G31" s="26" t="s">
        <v>57</v>
      </c>
      <c r="H31" s="26" t="s">
        <v>57</v>
      </c>
      <c r="I31" s="26" t="s">
        <v>88</v>
      </c>
      <c r="J31" s="26" t="s">
        <v>57</v>
      </c>
      <c r="K31" s="27" t="s">
        <v>89</v>
      </c>
      <c r="L31" s="28" t="s">
        <v>56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4204</v>
      </c>
      <c r="C32" s="44" t="s">
        <v>4205</v>
      </c>
      <c r="D32" s="42" t="s">
        <v>4150</v>
      </c>
      <c r="E32" s="45">
        <v>46129</v>
      </c>
      <c r="F32" s="26" t="s">
        <v>55</v>
      </c>
      <c r="G32" s="26" t="s">
        <v>57</v>
      </c>
      <c r="H32" s="26" t="s">
        <v>57</v>
      </c>
      <c r="I32" s="26" t="s">
        <v>88</v>
      </c>
      <c r="J32" s="26" t="s">
        <v>57</v>
      </c>
      <c r="K32" s="27" t="s">
        <v>89</v>
      </c>
      <c r="L32" s="28" t="s">
        <v>56</v>
      </c>
      <c r="M32" s="29" t="str">
        <f t="shared" si="0"/>
        <v>⚠ Missing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4206</v>
      </c>
      <c r="C33" s="25" t="s">
        <v>4207</v>
      </c>
      <c r="D33" s="23" t="s">
        <v>4150</v>
      </c>
      <c r="E33" s="45">
        <v>46129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57</v>
      </c>
      <c r="K33" s="27" t="s">
        <v>4151</v>
      </c>
      <c r="L33" s="28" t="s">
        <v>56</v>
      </c>
      <c r="M33" s="29" t="str">
        <f t="shared" si="0"/>
        <v>⚠ Check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4208</v>
      </c>
      <c r="C34" s="44" t="s">
        <v>4209</v>
      </c>
      <c r="D34" s="42" t="s">
        <v>4150</v>
      </c>
      <c r="E34" s="45">
        <v>46129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57</v>
      </c>
      <c r="K34" s="27" t="s">
        <v>4151</v>
      </c>
      <c r="L34" s="28" t="s">
        <v>56</v>
      </c>
      <c r="M34" s="29" t="str">
        <f t="shared" si="0"/>
        <v>⚠ Check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4210</v>
      </c>
      <c r="C35" s="25" t="s">
        <v>4211</v>
      </c>
      <c r="D35" s="23" t="s">
        <v>4150</v>
      </c>
      <c r="E35" s="45">
        <v>46129</v>
      </c>
      <c r="F35" s="26" t="s">
        <v>55</v>
      </c>
      <c r="G35" s="26" t="s">
        <v>57</v>
      </c>
      <c r="H35" s="26" t="s">
        <v>57</v>
      </c>
      <c r="I35" s="26" t="s">
        <v>88</v>
      </c>
      <c r="J35" s="26" t="s">
        <v>57</v>
      </c>
      <c r="K35" s="27" t="s">
        <v>89</v>
      </c>
      <c r="L35" s="28" t="s">
        <v>56</v>
      </c>
      <c r="M35" s="29" t="str">
        <f t="shared" si="0"/>
        <v>⚠ Missing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4212</v>
      </c>
      <c r="C36" s="44" t="s">
        <v>4213</v>
      </c>
      <c r="D36" s="42" t="s">
        <v>4150</v>
      </c>
      <c r="E36" s="45">
        <v>46129</v>
      </c>
      <c r="F36" s="26" t="s">
        <v>55</v>
      </c>
      <c r="G36" s="26" t="s">
        <v>57</v>
      </c>
      <c r="H36" s="26" t="s">
        <v>57</v>
      </c>
      <c r="I36" s="26" t="s">
        <v>88</v>
      </c>
      <c r="J36" s="26" t="s">
        <v>57</v>
      </c>
      <c r="K36" s="27" t="s">
        <v>89</v>
      </c>
      <c r="L36" s="28" t="s">
        <v>56</v>
      </c>
      <c r="M36" s="29" t="str">
        <f t="shared" si="0"/>
        <v>⚠ Missing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4214</v>
      </c>
      <c r="C37" s="25" t="s">
        <v>4215</v>
      </c>
      <c r="D37" s="23" t="s">
        <v>4150</v>
      </c>
      <c r="E37" s="45">
        <v>46129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57</v>
      </c>
      <c r="K37" s="27" t="s">
        <v>4151</v>
      </c>
      <c r="L37" s="28" t="s">
        <v>56</v>
      </c>
      <c r="M37" s="29" t="str">
        <f t="shared" ref="M37:M68" si="5">IF(E37="","",IF(H37="Yes","❌ Disc",IF(G37="No","⚠ Missing",IF(J37="Yes","✓ OK","⚠ Check"))))</f>
        <v>⚠ Check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4216</v>
      </c>
      <c r="C38" s="44" t="s">
        <v>4217</v>
      </c>
      <c r="D38" s="42" t="s">
        <v>4150</v>
      </c>
      <c r="E38" s="45">
        <v>46129</v>
      </c>
      <c r="F38" s="26" t="s">
        <v>55</v>
      </c>
      <c r="G38" s="26" t="s">
        <v>57</v>
      </c>
      <c r="H38" s="26" t="s">
        <v>57</v>
      </c>
      <c r="I38" s="26" t="s">
        <v>88</v>
      </c>
      <c r="J38" s="26" t="s">
        <v>57</v>
      </c>
      <c r="K38" s="27" t="s">
        <v>89</v>
      </c>
      <c r="L38" s="28" t="s">
        <v>56</v>
      </c>
      <c r="M38" s="29" t="str">
        <f t="shared" si="5"/>
        <v>⚠ Missing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4218</v>
      </c>
      <c r="C39" s="25" t="s">
        <v>4219</v>
      </c>
      <c r="D39" s="23" t="s">
        <v>4150</v>
      </c>
      <c r="E39" s="45">
        <v>46129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4151</v>
      </c>
      <c r="L39" s="28" t="s">
        <v>56</v>
      </c>
      <c r="M39" s="29" t="str">
        <f t="shared" si="5"/>
        <v>⚠ Check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4220</v>
      </c>
      <c r="C40" s="44" t="s">
        <v>4221</v>
      </c>
      <c r="D40" s="42" t="s">
        <v>4150</v>
      </c>
      <c r="E40" s="45">
        <v>46129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4151</v>
      </c>
      <c r="L40" s="28" t="s">
        <v>56</v>
      </c>
      <c r="M40" s="29" t="str">
        <f t="shared" si="5"/>
        <v>⚠ Check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4222</v>
      </c>
      <c r="C41" s="25" t="s">
        <v>4223</v>
      </c>
      <c r="D41" s="23" t="s">
        <v>4150</v>
      </c>
      <c r="E41" s="45">
        <v>46129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4151</v>
      </c>
      <c r="L41" s="28" t="s">
        <v>56</v>
      </c>
      <c r="M41" s="29" t="str">
        <f t="shared" si="5"/>
        <v>⚠ Check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4224</v>
      </c>
      <c r="C42" s="44" t="s">
        <v>4225</v>
      </c>
      <c r="D42" s="42" t="s">
        <v>4150</v>
      </c>
      <c r="E42" s="45">
        <v>46129</v>
      </c>
      <c r="F42" s="26" t="s">
        <v>55</v>
      </c>
      <c r="G42" s="26" t="s">
        <v>57</v>
      </c>
      <c r="H42" s="26" t="s">
        <v>57</v>
      </c>
      <c r="I42" s="26" t="s">
        <v>88</v>
      </c>
      <c r="J42" s="26" t="s">
        <v>57</v>
      </c>
      <c r="K42" s="27" t="s">
        <v>89</v>
      </c>
      <c r="L42" s="28" t="s">
        <v>56</v>
      </c>
      <c r="M42" s="29" t="str">
        <f t="shared" si="5"/>
        <v>⚠ Missing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4226</v>
      </c>
      <c r="C43" s="25" t="s">
        <v>4227</v>
      </c>
      <c r="D43" s="23" t="s">
        <v>4150</v>
      </c>
      <c r="E43" s="45">
        <v>46129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57</v>
      </c>
      <c r="K43" s="27" t="s">
        <v>4151</v>
      </c>
      <c r="L43" s="28" t="s">
        <v>56</v>
      </c>
      <c r="M43" s="29" t="str">
        <f t="shared" si="5"/>
        <v>⚠ Check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4228</v>
      </c>
      <c r="C44" s="44" t="s">
        <v>4229</v>
      </c>
      <c r="D44" s="42" t="s">
        <v>4150</v>
      </c>
      <c r="E44" s="45">
        <v>46129</v>
      </c>
      <c r="F44" s="26" t="s">
        <v>55</v>
      </c>
      <c r="G44" s="26" t="s">
        <v>57</v>
      </c>
      <c r="H44" s="26" t="s">
        <v>57</v>
      </c>
      <c r="I44" s="26" t="s">
        <v>88</v>
      </c>
      <c r="J44" s="26" t="s">
        <v>57</v>
      </c>
      <c r="K44" s="27" t="s">
        <v>89</v>
      </c>
      <c r="L44" s="28" t="s">
        <v>56</v>
      </c>
      <c r="M44" s="29" t="str">
        <f t="shared" si="5"/>
        <v>⚠ Missing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4230</v>
      </c>
      <c r="C45" s="25" t="s">
        <v>4231</v>
      </c>
      <c r="D45" s="23" t="s">
        <v>4150</v>
      </c>
      <c r="E45" s="45">
        <v>46129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57</v>
      </c>
      <c r="K45" s="27" t="s">
        <v>4151</v>
      </c>
      <c r="L45" s="28" t="s">
        <v>56</v>
      </c>
      <c r="M45" s="29" t="str">
        <f t="shared" si="5"/>
        <v>⚠ Check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4232</v>
      </c>
      <c r="C46" s="44" t="s">
        <v>4233</v>
      </c>
      <c r="D46" s="42" t="s">
        <v>4150</v>
      </c>
      <c r="E46" s="45">
        <v>46129</v>
      </c>
      <c r="F46" s="26" t="s">
        <v>55</v>
      </c>
      <c r="G46" s="26" t="s">
        <v>57</v>
      </c>
      <c r="H46" s="26" t="s">
        <v>57</v>
      </c>
      <c r="I46" s="26" t="s">
        <v>88</v>
      </c>
      <c r="J46" s="26" t="s">
        <v>57</v>
      </c>
      <c r="K46" s="27" t="s">
        <v>89</v>
      </c>
      <c r="L46" s="28" t="s">
        <v>56</v>
      </c>
      <c r="M46" s="29" t="str">
        <f t="shared" si="5"/>
        <v>⚠ Missing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4234</v>
      </c>
      <c r="C47" s="25" t="s">
        <v>4235</v>
      </c>
      <c r="D47" s="23" t="s">
        <v>4150</v>
      </c>
      <c r="E47" s="45">
        <v>46129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4151</v>
      </c>
      <c r="L47" s="28" t="s">
        <v>56</v>
      </c>
      <c r="M47" s="29" t="str">
        <f t="shared" si="5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4236</v>
      </c>
      <c r="C48" s="44" t="s">
        <v>4237</v>
      </c>
      <c r="D48" s="42" t="s">
        <v>4238</v>
      </c>
      <c r="E48" s="45">
        <v>46132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4239</v>
      </c>
      <c r="C49" s="25" t="s">
        <v>4240</v>
      </c>
      <c r="D49" s="23" t="s">
        <v>4238</v>
      </c>
      <c r="E49" s="45">
        <v>46129</v>
      </c>
      <c r="F49" s="26" t="s">
        <v>55</v>
      </c>
      <c r="G49" s="26" t="s">
        <v>57</v>
      </c>
      <c r="H49" s="26" t="s">
        <v>57</v>
      </c>
      <c r="I49" s="26" t="s">
        <v>88</v>
      </c>
      <c r="J49" s="26" t="s">
        <v>57</v>
      </c>
      <c r="K49" s="27" t="s">
        <v>89</v>
      </c>
      <c r="L49" s="28" t="s">
        <v>56</v>
      </c>
      <c r="M49" s="29" t="str">
        <f t="shared" si="5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4241</v>
      </c>
      <c r="C50" s="44" t="s">
        <v>4242</v>
      </c>
      <c r="D50" s="42" t="s">
        <v>4238</v>
      </c>
      <c r="E50" s="45">
        <v>46129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57</v>
      </c>
      <c r="K50" s="27" t="s">
        <v>4151</v>
      </c>
      <c r="L50" s="28" t="s">
        <v>56</v>
      </c>
      <c r="M50" s="29" t="str">
        <f t="shared" si="5"/>
        <v>⚠ Check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4243</v>
      </c>
      <c r="C51" s="25" t="s">
        <v>4244</v>
      </c>
      <c r="D51" s="23" t="s">
        <v>4238</v>
      </c>
      <c r="E51" s="45">
        <v>46129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4245</v>
      </c>
      <c r="C52" s="44" t="s">
        <v>4246</v>
      </c>
      <c r="D52" s="42" t="s">
        <v>4238</v>
      </c>
      <c r="E52" s="45">
        <v>46129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4151</v>
      </c>
      <c r="L52" s="28" t="s">
        <v>56</v>
      </c>
      <c r="M52" s="29" t="str">
        <f t="shared" si="5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4247</v>
      </c>
      <c r="C53" s="25" t="s">
        <v>4248</v>
      </c>
      <c r="D53" s="23" t="s">
        <v>4238</v>
      </c>
      <c r="E53" s="45">
        <v>46129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4249</v>
      </c>
      <c r="C54" s="44" t="s">
        <v>4250</v>
      </c>
      <c r="D54" s="42" t="s">
        <v>4238</v>
      </c>
      <c r="E54" s="45">
        <v>46132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4251</v>
      </c>
      <c r="C55" s="25" t="s">
        <v>4252</v>
      </c>
      <c r="D55" s="23" t="s">
        <v>4238</v>
      </c>
      <c r="E55" s="45">
        <v>46129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57</v>
      </c>
      <c r="K55" s="27" t="s">
        <v>4151</v>
      </c>
      <c r="L55" s="28" t="s">
        <v>56</v>
      </c>
      <c r="M55" s="29" t="str">
        <f t="shared" si="5"/>
        <v>⚠ Check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4253</v>
      </c>
      <c r="C56" s="44" t="s">
        <v>4254</v>
      </c>
      <c r="D56" s="42" t="s">
        <v>4238</v>
      </c>
      <c r="E56" s="45">
        <v>46132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57</v>
      </c>
      <c r="K56" s="27" t="s">
        <v>4151</v>
      </c>
      <c r="L56" s="28" t="s">
        <v>56</v>
      </c>
      <c r="M56" s="29" t="str">
        <f t="shared" si="5"/>
        <v>⚠ Check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4255</v>
      </c>
      <c r="C57" s="25" t="s">
        <v>4256</v>
      </c>
      <c r="D57" s="23" t="s">
        <v>4238</v>
      </c>
      <c r="E57" s="45">
        <v>46129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4151</v>
      </c>
      <c r="L57" s="28" t="s">
        <v>56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4257</v>
      </c>
      <c r="C58" s="44" t="s">
        <v>4258</v>
      </c>
      <c r="D58" s="42" t="s">
        <v>4259</v>
      </c>
      <c r="E58" s="45">
        <v>46129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4260</v>
      </c>
      <c r="C59" s="25" t="s">
        <v>4261</v>
      </c>
      <c r="D59" s="23" t="s">
        <v>4259</v>
      </c>
      <c r="E59" s="45">
        <v>46132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 t="s">
        <v>4151</v>
      </c>
      <c r="L59" s="28" t="s">
        <v>56</v>
      </c>
      <c r="M59" s="29" t="str">
        <f t="shared" si="5"/>
        <v>⚠ Check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4262</v>
      </c>
      <c r="C60" s="44" t="s">
        <v>4263</v>
      </c>
      <c r="D60" s="42" t="s">
        <v>4259</v>
      </c>
      <c r="E60" s="45">
        <v>46132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4264</v>
      </c>
      <c r="C61" s="25" t="s">
        <v>4265</v>
      </c>
      <c r="D61" s="23" t="s">
        <v>4259</v>
      </c>
      <c r="E61" s="45">
        <v>46129</v>
      </c>
      <c r="F61" s="26" t="s">
        <v>55</v>
      </c>
      <c r="G61" s="26" t="s">
        <v>57</v>
      </c>
      <c r="H61" s="26" t="s">
        <v>57</v>
      </c>
      <c r="I61" s="26" t="s">
        <v>88</v>
      </c>
      <c r="J61" s="26" t="s">
        <v>57</v>
      </c>
      <c r="K61" s="27" t="s">
        <v>89</v>
      </c>
      <c r="L61" s="28" t="s">
        <v>56</v>
      </c>
      <c r="M61" s="29" t="str">
        <f t="shared" si="5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4266</v>
      </c>
      <c r="C62" s="44" t="s">
        <v>4267</v>
      </c>
      <c r="D62" s="42" t="s">
        <v>4259</v>
      </c>
      <c r="E62" s="45">
        <v>46129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4268</v>
      </c>
      <c r="C63" s="25" t="s">
        <v>4269</v>
      </c>
      <c r="D63" s="23" t="s">
        <v>4259</v>
      </c>
      <c r="E63" s="45">
        <v>46132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59</v>
      </c>
      <c r="L63" s="28" t="s">
        <v>56</v>
      </c>
      <c r="M63" s="29" t="str">
        <f t="shared" si="5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4270</v>
      </c>
      <c r="C64" s="44" t="s">
        <v>4271</v>
      </c>
      <c r="D64" s="42" t="s">
        <v>4259</v>
      </c>
      <c r="E64" s="45">
        <v>46132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59</v>
      </c>
      <c r="L64" s="28" t="s">
        <v>56</v>
      </c>
      <c r="M64" s="29" t="str">
        <f t="shared" si="5"/>
        <v>⚠ Check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4272</v>
      </c>
      <c r="C65" s="25" t="s">
        <v>4273</v>
      </c>
      <c r="D65" s="23" t="s">
        <v>4259</v>
      </c>
      <c r="E65" s="45">
        <v>46129</v>
      </c>
      <c r="F65" s="26" t="s">
        <v>55</v>
      </c>
      <c r="G65" s="26" t="s">
        <v>56</v>
      </c>
      <c r="H65" s="26" t="s">
        <v>57</v>
      </c>
      <c r="I65" s="26" t="s">
        <v>1125</v>
      </c>
      <c r="J65" s="26" t="s">
        <v>57</v>
      </c>
      <c r="K65" s="27" t="s">
        <v>1110</v>
      </c>
      <c r="L65" s="28" t="s">
        <v>56</v>
      </c>
      <c r="M65" s="29" t="str">
        <f t="shared" si="5"/>
        <v>⚠ Check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4274</v>
      </c>
      <c r="C66" s="44" t="s">
        <v>4275</v>
      </c>
      <c r="D66" s="42" t="s">
        <v>4259</v>
      </c>
      <c r="E66" s="45">
        <v>46129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4276</v>
      </c>
      <c r="C67" s="25" t="s">
        <v>4277</v>
      </c>
      <c r="D67" s="23" t="s">
        <v>4259</v>
      </c>
      <c r="E67" s="45">
        <v>46129</v>
      </c>
      <c r="F67" s="26" t="s">
        <v>55</v>
      </c>
      <c r="G67" s="26" t="s">
        <v>57</v>
      </c>
      <c r="H67" s="26" t="s">
        <v>57</v>
      </c>
      <c r="I67" s="26" t="s">
        <v>88</v>
      </c>
      <c r="J67" s="26" t="s">
        <v>57</v>
      </c>
      <c r="K67" s="27" t="s">
        <v>89</v>
      </c>
      <c r="L67" s="28" t="s">
        <v>56</v>
      </c>
      <c r="M67" s="29" t="str">
        <f t="shared" si="5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4278</v>
      </c>
      <c r="C68" s="44" t="s">
        <v>4279</v>
      </c>
      <c r="D68" s="42" t="s">
        <v>4259</v>
      </c>
      <c r="E68" s="45">
        <v>46132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4280</v>
      </c>
      <c r="C69" s="25" t="s">
        <v>4281</v>
      </c>
      <c r="D69" s="23" t="s">
        <v>4259</v>
      </c>
      <c r="E69" s="45">
        <v>46129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77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77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77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77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77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4282</v>
      </c>
      <c r="C70" s="44" t="s">
        <v>4283</v>
      </c>
      <c r="D70" s="42" t="s">
        <v>4259</v>
      </c>
      <c r="E70" s="45">
        <v>46129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4151</v>
      </c>
      <c r="L70" s="28" t="s">
        <v>56</v>
      </c>
      <c r="M70" s="29" t="str">
        <f t="shared" si="10"/>
        <v>⚠ Check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4284</v>
      </c>
      <c r="C71" s="25" t="s">
        <v>4285</v>
      </c>
      <c r="D71" s="23" t="s">
        <v>4259</v>
      </c>
      <c r="E71" s="45">
        <v>46129</v>
      </c>
      <c r="F71" s="26" t="s">
        <v>55</v>
      </c>
      <c r="G71" s="26" t="s">
        <v>57</v>
      </c>
      <c r="H71" s="26" t="s">
        <v>57</v>
      </c>
      <c r="I71" s="26" t="s">
        <v>88</v>
      </c>
      <c r="J71" s="26" t="s">
        <v>57</v>
      </c>
      <c r="K71" s="27" t="s">
        <v>89</v>
      </c>
      <c r="L71" s="28" t="s">
        <v>56</v>
      </c>
      <c r="M71" s="29" t="str">
        <f t="shared" si="10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4286</v>
      </c>
      <c r="C72" s="44" t="s">
        <v>4287</v>
      </c>
      <c r="D72" s="42" t="s">
        <v>4259</v>
      </c>
      <c r="E72" s="45">
        <v>46129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4288</v>
      </c>
      <c r="C73" s="25" t="s">
        <v>4289</v>
      </c>
      <c r="D73" s="23" t="s">
        <v>4259</v>
      </c>
      <c r="E73" s="45">
        <v>46129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57</v>
      </c>
      <c r="K73" s="27" t="s">
        <v>4151</v>
      </c>
      <c r="L73" s="28" t="s">
        <v>56</v>
      </c>
      <c r="M73" s="29" t="str">
        <f t="shared" si="10"/>
        <v>⚠ Check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4290</v>
      </c>
      <c r="C74" s="44" t="s">
        <v>4291</v>
      </c>
      <c r="D74" s="42" t="s">
        <v>4259</v>
      </c>
      <c r="E74" s="45">
        <v>46129</v>
      </c>
      <c r="F74" s="26" t="s">
        <v>55</v>
      </c>
      <c r="G74" s="26" t="s">
        <v>56</v>
      </c>
      <c r="H74" s="26" t="s">
        <v>57</v>
      </c>
      <c r="I74" s="26" t="s">
        <v>1125</v>
      </c>
      <c r="J74" s="26" t="s">
        <v>57</v>
      </c>
      <c r="K74" s="27" t="s">
        <v>1110</v>
      </c>
      <c r="L74" s="28" t="s">
        <v>56</v>
      </c>
      <c r="M74" s="29" t="str">
        <f t="shared" si="10"/>
        <v>⚠ Check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4292</v>
      </c>
      <c r="C75" s="25" t="s">
        <v>4293</v>
      </c>
      <c r="D75" s="23" t="s">
        <v>4259</v>
      </c>
      <c r="E75" s="45">
        <v>46129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4294</v>
      </c>
      <c r="C76" s="44" t="s">
        <v>4295</v>
      </c>
      <c r="D76" s="42" t="s">
        <v>4259</v>
      </c>
      <c r="E76" s="45">
        <v>46129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4296</v>
      </c>
      <c r="C77" s="25" t="s">
        <v>4297</v>
      </c>
      <c r="D77" s="23" t="s">
        <v>4259</v>
      </c>
      <c r="E77" s="45">
        <v>46129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dxfId="328" priority="46">
      <formula>MOD(ROW(),2)=0</formula>
    </cfRule>
  </conditionalFormatting>
  <conditionalFormatting sqref="G5:G77">
    <cfRule type="expression" dxfId="327" priority="6">
      <formula>G5="No"</formula>
    </cfRule>
    <cfRule type="expression" dxfId="326" priority="5">
      <formula>G5="Yes"</formula>
    </cfRule>
  </conditionalFormatting>
  <conditionalFormatting sqref="H5:H77">
    <cfRule type="expression" dxfId="325" priority="7">
      <formula>H5="Yes"</formula>
    </cfRule>
  </conditionalFormatting>
  <conditionalFormatting sqref="J5:J77">
    <cfRule type="expression" dxfId="324" priority="8">
      <formula>J5="Yes"</formula>
    </cfRule>
    <cfRule type="expression" dxfId="323" priority="9">
      <formula>J5="No"</formula>
    </cfRule>
  </conditionalFormatting>
  <conditionalFormatting sqref="M5:M77">
    <cfRule type="expression" dxfId="322" priority="2">
      <formula>M5="❌ Disc"</formula>
    </cfRule>
    <cfRule type="expression" dxfId="321" priority="3">
      <formula>M5="⚠ Missing"</formula>
    </cfRule>
    <cfRule type="expression" dxfId="320" priority="4">
      <formula>M5="⚠ Check"</formula>
    </cfRule>
    <cfRule type="expression" dxfId="319" priority="1">
      <formula>M5="✓ OK"</formula>
    </cfRule>
  </conditionalFormatting>
  <conditionalFormatting sqref="P5:P77">
    <cfRule type="expression" dxfId="318" priority="14">
      <formula>P5="Yes"</formula>
    </cfRule>
    <cfRule type="expression" dxfId="317" priority="15">
      <formula>P5="No"</formula>
    </cfRule>
  </conditionalFormatting>
  <conditionalFormatting sqref="Q5:Q77">
    <cfRule type="expression" dxfId="316" priority="16">
      <formula>Q5="Yes"</formula>
    </cfRule>
  </conditionalFormatting>
  <conditionalFormatting sqref="S5:S77">
    <cfRule type="expression" dxfId="315" priority="17">
      <formula>S5="Yes"</formula>
    </cfRule>
    <cfRule type="expression" dxfId="314" priority="18">
      <formula>S5="No"</formula>
    </cfRule>
  </conditionalFormatting>
  <conditionalFormatting sqref="V5:V77">
    <cfRule type="expression" dxfId="313" priority="10">
      <formula>V5="✓ OK"</formula>
    </cfRule>
    <cfRule type="expression" dxfId="312" priority="11">
      <formula>V5="❌ Disc"</formula>
    </cfRule>
    <cfRule type="expression" dxfId="311" priority="12">
      <formula>V5="⚠ Missing"</formula>
    </cfRule>
    <cfRule type="expression" dxfId="310" priority="13">
      <formula>V5="⚠ Check"</formula>
    </cfRule>
  </conditionalFormatting>
  <conditionalFormatting sqref="Y5:Y77">
    <cfRule type="expression" dxfId="309" priority="24">
      <formula>Y5="No"</formula>
    </cfRule>
    <cfRule type="expression" dxfId="308" priority="23">
      <formula>Y5="Yes"</formula>
    </cfRule>
  </conditionalFormatting>
  <conditionalFormatting sqref="Z5:Z77">
    <cfRule type="expression" dxfId="307" priority="25">
      <formula>Z5="Yes"</formula>
    </cfRule>
  </conditionalFormatting>
  <conditionalFormatting sqref="AB5:AB77">
    <cfRule type="expression" dxfId="306" priority="26">
      <formula>AB5="Yes"</formula>
    </cfRule>
    <cfRule type="expression" dxfId="305" priority="27">
      <formula>AB5="No"</formula>
    </cfRule>
  </conditionalFormatting>
  <conditionalFormatting sqref="AE5:AE77">
    <cfRule type="expression" dxfId="304" priority="20">
      <formula>AE5="❌ Disc"</formula>
    </cfRule>
    <cfRule type="expression" dxfId="303" priority="21">
      <formula>AE5="⚠ Missing"</formula>
    </cfRule>
    <cfRule type="expression" dxfId="302" priority="22">
      <formula>AE5="⚠ Check"</formula>
    </cfRule>
    <cfRule type="expression" dxfId="301" priority="19">
      <formula>AE5="✓ OK"</formula>
    </cfRule>
  </conditionalFormatting>
  <conditionalFormatting sqref="AH5:AH77">
    <cfRule type="expression" dxfId="300" priority="32">
      <formula>AH5="Yes"</formula>
    </cfRule>
    <cfRule type="expression" dxfId="299" priority="33">
      <formula>AH5="No"</formula>
    </cfRule>
  </conditionalFormatting>
  <conditionalFormatting sqref="AI5:AI77">
    <cfRule type="expression" dxfId="298" priority="34">
      <formula>AI5="Yes"</formula>
    </cfRule>
  </conditionalFormatting>
  <conditionalFormatting sqref="AK5:AK77">
    <cfRule type="expression" dxfId="297" priority="35">
      <formula>AK5="Yes"</formula>
    </cfRule>
    <cfRule type="expression" dxfId="296" priority="36">
      <formula>AK5="No"</formula>
    </cfRule>
  </conditionalFormatting>
  <conditionalFormatting sqref="AN5:AN77">
    <cfRule type="expression" dxfId="295" priority="29">
      <formula>AN5="❌ Disc"</formula>
    </cfRule>
    <cfRule type="expression" dxfId="294" priority="30">
      <formula>AN5="⚠ Missing"</formula>
    </cfRule>
    <cfRule type="expression" dxfId="293" priority="31">
      <formula>AN5="⚠ Check"</formula>
    </cfRule>
    <cfRule type="expression" dxfId="292" priority="28">
      <formula>AN5="✓ OK"</formula>
    </cfRule>
  </conditionalFormatting>
  <conditionalFormatting sqref="AQ5:AQ77">
    <cfRule type="expression" dxfId="291" priority="42">
      <formula>AQ5="No"</formula>
    </cfRule>
    <cfRule type="expression" dxfId="290" priority="41">
      <formula>AQ5="Yes"</formula>
    </cfRule>
  </conditionalFormatting>
  <conditionalFormatting sqref="AR5:AR77">
    <cfRule type="expression" dxfId="289" priority="43">
      <formula>AR5="Yes"</formula>
    </cfRule>
  </conditionalFormatting>
  <conditionalFormatting sqref="AT5:AT77">
    <cfRule type="expression" dxfId="288" priority="44">
      <formula>AT5="Yes"</formula>
    </cfRule>
    <cfRule type="expression" dxfId="287" priority="45">
      <formula>AT5="No"</formula>
    </cfRule>
  </conditionalFormatting>
  <conditionalFormatting sqref="AW5:AW77">
    <cfRule type="expression" dxfId="286" priority="37">
      <formula>AW5="✓ OK"</formula>
    </cfRule>
    <cfRule type="expression" dxfId="285" priority="38">
      <formula>AW5="❌ Disc"</formula>
    </cfRule>
    <cfRule type="expression" dxfId="284" priority="39">
      <formula>AW5="⚠ Missing"</formula>
    </cfRule>
    <cfRule type="expression" dxfId="283" priority="40">
      <formula>AW5="⚠ Check"</formula>
    </cfRule>
  </conditionalFormatting>
  <dataValidations count="2">
    <dataValidation type="list" allowBlank="1" sqref="AT5:AT77 AQ5:AR77 AK5:AK77 AH5:AI77 AB5:AB77 Y5:Z77 S5:S77 P5:Q77 J5:J77 G5:H77" xr:uid="{00000000-0002-0000-0600-000000000000}">
      <formula1>"Yes,No"</formula1>
    </dataValidation>
    <dataValidation type="list" allowBlank="1" sqref="R5:R77 AS5:AS77 AJ5:AJ77 AA5:AA77 I5:I7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5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5" sqref="H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4298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4299</v>
      </c>
      <c r="C5" s="25" t="s">
        <v>4300</v>
      </c>
      <c r="D5" s="23" t="s">
        <v>4301</v>
      </c>
      <c r="E5" s="45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15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4302</v>
      </c>
      <c r="C6" s="44" t="s">
        <v>4303</v>
      </c>
      <c r="D6" s="42" t="s">
        <v>4301</v>
      </c>
      <c r="E6" s="45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4304</v>
      </c>
      <c r="C7" s="25" t="s">
        <v>4305</v>
      </c>
      <c r="D7" s="23" t="s">
        <v>4301</v>
      </c>
      <c r="E7" s="45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4306</v>
      </c>
      <c r="C8" s="44" t="s">
        <v>4307</v>
      </c>
      <c r="D8" s="42" t="s">
        <v>4301</v>
      </c>
      <c r="E8" s="45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4308</v>
      </c>
      <c r="C9" s="25" t="s">
        <v>4309</v>
      </c>
      <c r="D9" s="23" t="s">
        <v>4301</v>
      </c>
      <c r="E9" s="45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4310</v>
      </c>
      <c r="C10" s="44" t="s">
        <v>4311</v>
      </c>
      <c r="D10" s="42" t="s">
        <v>4301</v>
      </c>
      <c r="E10" s="45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4312</v>
      </c>
      <c r="C11" s="25" t="s">
        <v>4313</v>
      </c>
      <c r="D11" s="23" t="s">
        <v>4301</v>
      </c>
      <c r="E11" s="45">
        <v>46129</v>
      </c>
      <c r="F11" s="26" t="s">
        <v>55</v>
      </c>
      <c r="G11" s="26" t="s">
        <v>57</v>
      </c>
      <c r="H11" s="26" t="s">
        <v>57</v>
      </c>
      <c r="I11" s="26" t="s">
        <v>88</v>
      </c>
      <c r="J11" s="26" t="s">
        <v>57</v>
      </c>
      <c r="K11" s="27" t="s">
        <v>89</v>
      </c>
      <c r="L11" s="28" t="s">
        <v>56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4314</v>
      </c>
      <c r="C12" s="44" t="s">
        <v>4315</v>
      </c>
      <c r="D12" s="42" t="s">
        <v>4301</v>
      </c>
      <c r="E12" s="45">
        <v>46129</v>
      </c>
      <c r="F12" s="26" t="s">
        <v>55</v>
      </c>
      <c r="G12" s="26" t="s">
        <v>57</v>
      </c>
      <c r="H12" s="26" t="s">
        <v>57</v>
      </c>
      <c r="I12" s="26" t="s">
        <v>88</v>
      </c>
      <c r="J12" s="26" t="s">
        <v>57</v>
      </c>
      <c r="K12" s="27" t="s">
        <v>89</v>
      </c>
      <c r="L12" s="28" t="s">
        <v>56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4316</v>
      </c>
      <c r="C13" s="25" t="s">
        <v>4317</v>
      </c>
      <c r="D13" s="23" t="s">
        <v>4301</v>
      </c>
      <c r="E13" s="45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4318</v>
      </c>
      <c r="C14" s="44" t="s">
        <v>4319</v>
      </c>
      <c r="D14" s="42" t="s">
        <v>4301</v>
      </c>
      <c r="E14" s="45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4320</v>
      </c>
      <c r="C15" s="25" t="s">
        <v>4321</v>
      </c>
      <c r="D15" s="23" t="s">
        <v>4301</v>
      </c>
      <c r="E15" s="45">
        <v>46132</v>
      </c>
      <c r="F15" s="26" t="s">
        <v>55</v>
      </c>
      <c r="G15" s="26" t="s">
        <v>57</v>
      </c>
      <c r="H15" s="26" t="s">
        <v>57</v>
      </c>
      <c r="I15" s="26" t="s">
        <v>88</v>
      </c>
      <c r="J15" s="26" t="s">
        <v>57</v>
      </c>
      <c r="K15" s="27" t="s">
        <v>89</v>
      </c>
      <c r="L15" s="28" t="s">
        <v>56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5">
    <cfRule type="expression" dxfId="282" priority="46">
      <formula>MOD(ROW(),2)=0</formula>
    </cfRule>
  </conditionalFormatting>
  <conditionalFormatting sqref="G5:G15">
    <cfRule type="expression" dxfId="281" priority="6">
      <formula>G5="No"</formula>
    </cfRule>
    <cfRule type="expression" dxfId="280" priority="5">
      <formula>G5="Yes"</formula>
    </cfRule>
  </conditionalFormatting>
  <conditionalFormatting sqref="H5:H15">
    <cfRule type="expression" dxfId="279" priority="7">
      <formula>H5="Yes"</formula>
    </cfRule>
  </conditionalFormatting>
  <conditionalFormatting sqref="J5:J15">
    <cfRule type="expression" dxfId="278" priority="8">
      <formula>J5="Yes"</formula>
    </cfRule>
    <cfRule type="expression" dxfId="277" priority="9">
      <formula>J5="No"</formula>
    </cfRule>
  </conditionalFormatting>
  <conditionalFormatting sqref="M5:M15">
    <cfRule type="expression" dxfId="276" priority="2">
      <formula>M5="❌ Disc"</formula>
    </cfRule>
    <cfRule type="expression" dxfId="275" priority="3">
      <formula>M5="⚠ Missing"</formula>
    </cfRule>
    <cfRule type="expression" dxfId="274" priority="4">
      <formula>M5="⚠ Check"</formula>
    </cfRule>
    <cfRule type="expression" dxfId="273" priority="1">
      <formula>M5="✓ OK"</formula>
    </cfRule>
  </conditionalFormatting>
  <conditionalFormatting sqref="P5:P15">
    <cfRule type="expression" dxfId="272" priority="14">
      <formula>P5="Yes"</formula>
    </cfRule>
    <cfRule type="expression" dxfId="271" priority="15">
      <formula>P5="No"</formula>
    </cfRule>
  </conditionalFormatting>
  <conditionalFormatting sqref="Q5:Q15">
    <cfRule type="expression" dxfId="270" priority="16">
      <formula>Q5="Yes"</formula>
    </cfRule>
  </conditionalFormatting>
  <conditionalFormatting sqref="S5:S15">
    <cfRule type="expression" dxfId="269" priority="17">
      <formula>S5="Yes"</formula>
    </cfRule>
    <cfRule type="expression" dxfId="268" priority="18">
      <formula>S5="No"</formula>
    </cfRule>
  </conditionalFormatting>
  <conditionalFormatting sqref="V5:V15">
    <cfRule type="expression" dxfId="267" priority="10">
      <formula>V5="✓ OK"</formula>
    </cfRule>
    <cfRule type="expression" dxfId="266" priority="11">
      <formula>V5="❌ Disc"</formula>
    </cfRule>
    <cfRule type="expression" dxfId="265" priority="12">
      <formula>V5="⚠ Missing"</formula>
    </cfRule>
    <cfRule type="expression" dxfId="264" priority="13">
      <formula>V5="⚠ Check"</formula>
    </cfRule>
  </conditionalFormatting>
  <conditionalFormatting sqref="Y5:Y15">
    <cfRule type="expression" dxfId="263" priority="24">
      <formula>Y5="No"</formula>
    </cfRule>
    <cfRule type="expression" dxfId="262" priority="23">
      <formula>Y5="Yes"</formula>
    </cfRule>
  </conditionalFormatting>
  <conditionalFormatting sqref="Z5:Z15">
    <cfRule type="expression" dxfId="261" priority="25">
      <formula>Z5="Yes"</formula>
    </cfRule>
  </conditionalFormatting>
  <conditionalFormatting sqref="AB5:AB15">
    <cfRule type="expression" dxfId="260" priority="26">
      <formula>AB5="Yes"</formula>
    </cfRule>
    <cfRule type="expression" dxfId="259" priority="27">
      <formula>AB5="No"</formula>
    </cfRule>
  </conditionalFormatting>
  <conditionalFormatting sqref="AE5:AE15">
    <cfRule type="expression" dxfId="258" priority="20">
      <formula>AE5="❌ Disc"</formula>
    </cfRule>
    <cfRule type="expression" dxfId="257" priority="21">
      <formula>AE5="⚠ Missing"</formula>
    </cfRule>
    <cfRule type="expression" dxfId="256" priority="22">
      <formula>AE5="⚠ Check"</formula>
    </cfRule>
    <cfRule type="expression" dxfId="255" priority="19">
      <formula>AE5="✓ OK"</formula>
    </cfRule>
  </conditionalFormatting>
  <conditionalFormatting sqref="AH5:AH15">
    <cfRule type="expression" dxfId="254" priority="32">
      <formula>AH5="Yes"</formula>
    </cfRule>
    <cfRule type="expression" dxfId="253" priority="33">
      <formula>AH5="No"</formula>
    </cfRule>
  </conditionalFormatting>
  <conditionalFormatting sqref="AI5:AI15">
    <cfRule type="expression" dxfId="252" priority="34">
      <formula>AI5="Yes"</formula>
    </cfRule>
  </conditionalFormatting>
  <conditionalFormatting sqref="AK5:AK15">
    <cfRule type="expression" dxfId="251" priority="35">
      <formula>AK5="Yes"</formula>
    </cfRule>
    <cfRule type="expression" dxfId="250" priority="36">
      <formula>AK5="No"</formula>
    </cfRule>
  </conditionalFormatting>
  <conditionalFormatting sqref="AN5:AN15">
    <cfRule type="expression" dxfId="249" priority="29">
      <formula>AN5="❌ Disc"</formula>
    </cfRule>
    <cfRule type="expression" dxfId="248" priority="30">
      <formula>AN5="⚠ Missing"</formula>
    </cfRule>
    <cfRule type="expression" dxfId="247" priority="31">
      <formula>AN5="⚠ Check"</formula>
    </cfRule>
    <cfRule type="expression" dxfId="246" priority="28">
      <formula>AN5="✓ OK"</formula>
    </cfRule>
  </conditionalFormatting>
  <conditionalFormatting sqref="AQ5:AQ15">
    <cfRule type="expression" dxfId="245" priority="42">
      <formula>AQ5="No"</formula>
    </cfRule>
    <cfRule type="expression" dxfId="244" priority="41">
      <formula>AQ5="Yes"</formula>
    </cfRule>
  </conditionalFormatting>
  <conditionalFormatting sqref="AR5:AR15">
    <cfRule type="expression" dxfId="243" priority="43">
      <formula>AR5="Yes"</formula>
    </cfRule>
  </conditionalFormatting>
  <conditionalFormatting sqref="AT5:AT15">
    <cfRule type="expression" dxfId="242" priority="44">
      <formula>AT5="Yes"</formula>
    </cfRule>
    <cfRule type="expression" dxfId="241" priority="45">
      <formula>AT5="No"</formula>
    </cfRule>
  </conditionalFormatting>
  <conditionalFormatting sqref="AW5:AW15">
    <cfRule type="expression" dxfId="240" priority="37">
      <formula>AW5="✓ OK"</formula>
    </cfRule>
    <cfRule type="expression" dxfId="239" priority="38">
      <formula>AW5="❌ Disc"</formula>
    </cfRule>
    <cfRule type="expression" dxfId="238" priority="39">
      <formula>AW5="⚠ Missing"</formula>
    </cfRule>
    <cfRule type="expression" dxfId="237" priority="40">
      <formula>AW5="⚠ Check"</formula>
    </cfRule>
  </conditionalFormatting>
  <dataValidations count="2">
    <dataValidation type="list" allowBlank="1" sqref="AT5:AT15 AQ5:AR15 AK5:AK15 AH5:AI15 AB5:AB15 Y5:Z15 S5:S15 P5:Q15 G5:H15 J5:J15" xr:uid="{00000000-0002-0000-0700-000000000000}">
      <formula1>"Yes,No"</formula1>
    </dataValidation>
    <dataValidation type="list" allowBlank="1" sqref="R5:R15 AS5:AS15 AJ5:AJ15 AA5:AA15 I5:I15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15" activePane="bottomRight" state="frozen"/>
      <selection pane="topRight" activeCell="H13" sqref="H13"/>
      <selection pane="bottomLeft" activeCell="H13" sqref="H13"/>
      <selection pane="bottomRight" activeCell="G26" sqref="G2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4323</v>
      </c>
      <c r="C5" s="25" t="s">
        <v>4324</v>
      </c>
      <c r="D5" s="23" t="s">
        <v>4325</v>
      </c>
      <c r="E5" s="45">
        <v>46129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2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4326</v>
      </c>
      <c r="C6" s="44" t="s">
        <v>4327</v>
      </c>
      <c r="D6" s="42" t="s">
        <v>4325</v>
      </c>
      <c r="E6" s="45">
        <v>46129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4328</v>
      </c>
      <c r="C7" s="25" t="s">
        <v>4329</v>
      </c>
      <c r="D7" s="23" t="s">
        <v>4325</v>
      </c>
      <c r="E7" s="45">
        <v>46129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4330</v>
      </c>
      <c r="C8" s="44" t="s">
        <v>4331</v>
      </c>
      <c r="D8" s="42" t="s">
        <v>4325</v>
      </c>
      <c r="E8" s="45">
        <v>46129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4332</v>
      </c>
      <c r="C9" s="25" t="s">
        <v>4333</v>
      </c>
      <c r="D9" s="23" t="s">
        <v>4325</v>
      </c>
      <c r="E9" s="45">
        <v>46129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4334</v>
      </c>
      <c r="C10" s="44" t="s">
        <v>4335</v>
      </c>
      <c r="D10" s="42" t="s">
        <v>4325</v>
      </c>
      <c r="E10" s="45">
        <v>46129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4336</v>
      </c>
      <c r="C11" s="25" t="s">
        <v>4337</v>
      </c>
      <c r="D11" s="23" t="s">
        <v>4325</v>
      </c>
      <c r="E11" s="45">
        <v>46129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4338</v>
      </c>
      <c r="C12" s="44" t="s">
        <v>4339</v>
      </c>
      <c r="D12" s="42" t="s">
        <v>4325</v>
      </c>
      <c r="E12" s="45">
        <v>46129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4340</v>
      </c>
      <c r="C13" s="25" t="s">
        <v>4341</v>
      </c>
      <c r="D13" s="23" t="s">
        <v>4325</v>
      </c>
      <c r="E13" s="45">
        <v>46129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4342</v>
      </c>
      <c r="C14" s="44" t="s">
        <v>4343</v>
      </c>
      <c r="D14" s="42" t="s">
        <v>4325</v>
      </c>
      <c r="E14" s="45">
        <v>46129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4344</v>
      </c>
      <c r="C15" s="25" t="s">
        <v>4345</v>
      </c>
      <c r="D15" s="23" t="s">
        <v>4325</v>
      </c>
      <c r="E15" s="45">
        <v>46129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4346</v>
      </c>
      <c r="C16" s="44" t="s">
        <v>4347</v>
      </c>
      <c r="D16" s="42" t="s">
        <v>4325</v>
      </c>
      <c r="E16" s="45">
        <v>46129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4348</v>
      </c>
      <c r="C17" s="25" t="s">
        <v>4349</v>
      </c>
      <c r="D17" s="23" t="s">
        <v>4325</v>
      </c>
      <c r="E17" s="45">
        <v>46129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4350</v>
      </c>
      <c r="C18" s="44" t="s">
        <v>4351</v>
      </c>
      <c r="D18" s="42" t="s">
        <v>4325</v>
      </c>
      <c r="E18" s="45">
        <v>46129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4352</v>
      </c>
      <c r="C19" s="25" t="s">
        <v>4353</v>
      </c>
      <c r="D19" s="23" t="s">
        <v>4325</v>
      </c>
      <c r="E19" s="45">
        <v>46129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4354</v>
      </c>
      <c r="C20" s="44" t="s">
        <v>4355</v>
      </c>
      <c r="D20" s="42" t="s">
        <v>4325</v>
      </c>
      <c r="E20" s="45">
        <v>46129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4356</v>
      </c>
      <c r="C21" s="25" t="s">
        <v>4357</v>
      </c>
      <c r="D21" s="23" t="s">
        <v>4325</v>
      </c>
      <c r="E21" s="45">
        <v>46129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4358</v>
      </c>
      <c r="C22" s="44" t="s">
        <v>4359</v>
      </c>
      <c r="D22" s="42" t="s">
        <v>4360</v>
      </c>
      <c r="E22" s="45">
        <v>46132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4361</v>
      </c>
      <c r="C23" s="25" t="s">
        <v>4362</v>
      </c>
      <c r="D23" s="23" t="s">
        <v>4360</v>
      </c>
      <c r="E23" s="45">
        <v>46132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4363</v>
      </c>
      <c r="C24" s="44" t="s">
        <v>4364</v>
      </c>
      <c r="D24" s="42" t="s">
        <v>4360</v>
      </c>
      <c r="E24" s="45">
        <v>46132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4365</v>
      </c>
      <c r="C25" s="25" t="s">
        <v>4366</v>
      </c>
      <c r="D25" s="23" t="s">
        <v>4360</v>
      </c>
      <c r="E25" s="45">
        <v>46132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4367</v>
      </c>
      <c r="C26" s="44" t="s">
        <v>4368</v>
      </c>
      <c r="D26" s="42" t="s">
        <v>4360</v>
      </c>
      <c r="E26" s="45">
        <v>46132</v>
      </c>
      <c r="F26" s="26" t="s">
        <v>55</v>
      </c>
      <c r="G26" s="26" t="s">
        <v>57</v>
      </c>
      <c r="H26" s="26" t="s">
        <v>57</v>
      </c>
      <c r="I26" s="26" t="s">
        <v>88</v>
      </c>
      <c r="J26" s="26" t="s">
        <v>57</v>
      </c>
      <c r="K26" s="27" t="s">
        <v>89</v>
      </c>
      <c r="L26" s="28" t="s">
        <v>56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36" priority="46">
      <formula>MOD(ROW(),2)=0</formula>
    </cfRule>
  </conditionalFormatting>
  <conditionalFormatting sqref="G5:G26">
    <cfRule type="expression" dxfId="235" priority="6">
      <formula>G5="No"</formula>
    </cfRule>
    <cfRule type="expression" dxfId="234" priority="5">
      <formula>G5="Yes"</formula>
    </cfRule>
  </conditionalFormatting>
  <conditionalFormatting sqref="H5:H26">
    <cfRule type="expression" dxfId="233" priority="7">
      <formula>H5="Yes"</formula>
    </cfRule>
  </conditionalFormatting>
  <conditionalFormatting sqref="J5:J26">
    <cfRule type="expression" dxfId="232" priority="8">
      <formula>J5="Yes"</formula>
    </cfRule>
    <cfRule type="expression" dxfId="231" priority="9">
      <formula>J5="No"</formula>
    </cfRule>
  </conditionalFormatting>
  <conditionalFormatting sqref="M5:M26">
    <cfRule type="expression" dxfId="230" priority="2">
      <formula>M5="❌ Disc"</formula>
    </cfRule>
    <cfRule type="expression" dxfId="229" priority="3">
      <formula>M5="⚠ Missing"</formula>
    </cfRule>
    <cfRule type="expression" dxfId="228" priority="4">
      <formula>M5="⚠ Check"</formula>
    </cfRule>
    <cfRule type="expression" dxfId="227" priority="1">
      <formula>M5="✓ OK"</formula>
    </cfRule>
  </conditionalFormatting>
  <conditionalFormatting sqref="P5:P26">
    <cfRule type="expression" dxfId="226" priority="14">
      <formula>P5="Yes"</formula>
    </cfRule>
    <cfRule type="expression" dxfId="225" priority="15">
      <formula>P5="No"</formula>
    </cfRule>
  </conditionalFormatting>
  <conditionalFormatting sqref="Q5:Q26">
    <cfRule type="expression" dxfId="224" priority="16">
      <formula>Q5="Yes"</formula>
    </cfRule>
  </conditionalFormatting>
  <conditionalFormatting sqref="S5:S26">
    <cfRule type="expression" dxfId="223" priority="17">
      <formula>S5="Yes"</formula>
    </cfRule>
    <cfRule type="expression" dxfId="222" priority="18">
      <formula>S5="No"</formula>
    </cfRule>
  </conditionalFormatting>
  <conditionalFormatting sqref="V5:V26">
    <cfRule type="expression" dxfId="221" priority="10">
      <formula>V5="✓ OK"</formula>
    </cfRule>
    <cfRule type="expression" dxfId="220" priority="11">
      <formula>V5="❌ Disc"</formula>
    </cfRule>
    <cfRule type="expression" dxfId="219" priority="12">
      <formula>V5="⚠ Missing"</formula>
    </cfRule>
    <cfRule type="expression" dxfId="218" priority="13">
      <formula>V5="⚠ Check"</formula>
    </cfRule>
  </conditionalFormatting>
  <conditionalFormatting sqref="Y5:Y26">
    <cfRule type="expression" dxfId="217" priority="24">
      <formula>Y5="No"</formula>
    </cfRule>
    <cfRule type="expression" dxfId="216" priority="23">
      <formula>Y5="Yes"</formula>
    </cfRule>
  </conditionalFormatting>
  <conditionalFormatting sqref="Z5:Z26">
    <cfRule type="expression" dxfId="215" priority="25">
      <formula>Z5="Yes"</formula>
    </cfRule>
  </conditionalFormatting>
  <conditionalFormatting sqref="AB5:AB26">
    <cfRule type="expression" dxfId="214" priority="26">
      <formula>AB5="Yes"</formula>
    </cfRule>
    <cfRule type="expression" dxfId="213" priority="27">
      <formula>AB5="No"</formula>
    </cfRule>
  </conditionalFormatting>
  <conditionalFormatting sqref="AE5:AE26">
    <cfRule type="expression" dxfId="212" priority="20">
      <formula>AE5="❌ Disc"</formula>
    </cfRule>
    <cfRule type="expression" dxfId="211" priority="21">
      <formula>AE5="⚠ Missing"</formula>
    </cfRule>
    <cfRule type="expression" dxfId="210" priority="22">
      <formula>AE5="⚠ Check"</formula>
    </cfRule>
    <cfRule type="expression" dxfId="209" priority="19">
      <formula>AE5="✓ OK"</formula>
    </cfRule>
  </conditionalFormatting>
  <conditionalFormatting sqref="AH5:AH26">
    <cfRule type="expression" dxfId="208" priority="32">
      <formula>AH5="Yes"</formula>
    </cfRule>
    <cfRule type="expression" dxfId="207" priority="33">
      <formula>AH5="No"</formula>
    </cfRule>
  </conditionalFormatting>
  <conditionalFormatting sqref="AI5:AI26">
    <cfRule type="expression" dxfId="206" priority="34">
      <formula>AI5="Yes"</formula>
    </cfRule>
  </conditionalFormatting>
  <conditionalFormatting sqref="AK5:AK26">
    <cfRule type="expression" dxfId="205" priority="35">
      <formula>AK5="Yes"</formula>
    </cfRule>
    <cfRule type="expression" dxfId="204" priority="36">
      <formula>AK5="No"</formula>
    </cfRule>
  </conditionalFormatting>
  <conditionalFormatting sqref="AN5:AN26">
    <cfRule type="expression" dxfId="203" priority="29">
      <formula>AN5="❌ Disc"</formula>
    </cfRule>
    <cfRule type="expression" dxfId="202" priority="30">
      <formula>AN5="⚠ Missing"</formula>
    </cfRule>
    <cfRule type="expression" dxfId="201" priority="31">
      <formula>AN5="⚠ Check"</formula>
    </cfRule>
    <cfRule type="expression" dxfId="200" priority="28">
      <formula>AN5="✓ OK"</formula>
    </cfRule>
  </conditionalFormatting>
  <conditionalFormatting sqref="AQ5:AQ26">
    <cfRule type="expression" dxfId="199" priority="42">
      <formula>AQ5="No"</formula>
    </cfRule>
    <cfRule type="expression" dxfId="198" priority="41">
      <formula>AQ5="Yes"</formula>
    </cfRule>
  </conditionalFormatting>
  <conditionalFormatting sqref="AR5:AR26">
    <cfRule type="expression" dxfId="197" priority="43">
      <formula>AR5="Yes"</formula>
    </cfRule>
  </conditionalFormatting>
  <conditionalFormatting sqref="AT5:AT26">
    <cfRule type="expression" dxfId="196" priority="44">
      <formula>AT5="Yes"</formula>
    </cfRule>
    <cfRule type="expression" dxfId="195" priority="45">
      <formula>AT5="No"</formula>
    </cfRule>
  </conditionalFormatting>
  <conditionalFormatting sqref="AW5:AW26">
    <cfRule type="expression" dxfId="194" priority="37">
      <formula>AW5="✓ OK"</formula>
    </cfRule>
    <cfRule type="expression" dxfId="193" priority="38">
      <formula>AW5="❌ Disc"</formula>
    </cfRule>
    <cfRule type="expression" dxfId="192" priority="39">
      <formula>AW5="⚠ Missing"</formula>
    </cfRule>
    <cfRule type="expression" dxfId="191" priority="40">
      <formula>AW5="⚠ Check"</formula>
    </cfRule>
  </conditionalFormatting>
  <dataValidations count="2">
    <dataValidation type="list" allowBlank="1" sqref="AT5:AT26 AQ5:AR26 AK5:AK26 AH5:AI26 AB5:AB26 Y5:Z26 S5:S26 P5:Q26 J5:J26 G5:H26" xr:uid="{00000000-0002-0000-0800-000000000000}">
      <formula1>"Yes,No"</formula1>
    </dataValidation>
    <dataValidation type="list" allowBlank="1" sqref="R5:R26 AS5:AS26 AJ5:AJ26 AA5:AA26 I5:I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4369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4370</v>
      </c>
      <c r="C5" s="25" t="s">
        <v>4371</v>
      </c>
      <c r="D5" s="23" t="s">
        <v>991</v>
      </c>
      <c r="E5" s="45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4372</v>
      </c>
      <c r="C6" s="44" t="s">
        <v>4373</v>
      </c>
      <c r="D6" s="42" t="s">
        <v>991</v>
      </c>
      <c r="E6" s="45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4374</v>
      </c>
      <c r="C7" s="25" t="s">
        <v>4375</v>
      </c>
      <c r="D7" s="23" t="s">
        <v>991</v>
      </c>
      <c r="E7" s="45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4376</v>
      </c>
      <c r="C8" s="44" t="s">
        <v>4377</v>
      </c>
      <c r="D8" s="42" t="s">
        <v>991</v>
      </c>
      <c r="E8" s="45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4378</v>
      </c>
      <c r="C9" s="25" t="s">
        <v>4379</v>
      </c>
      <c r="D9" s="23" t="s">
        <v>991</v>
      </c>
      <c r="E9" s="45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4380</v>
      </c>
      <c r="C10" s="44" t="s">
        <v>4381</v>
      </c>
      <c r="D10" s="42" t="s">
        <v>991</v>
      </c>
      <c r="E10" s="45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4382</v>
      </c>
      <c r="C11" s="25" t="s">
        <v>4383</v>
      </c>
      <c r="D11" s="23" t="s">
        <v>991</v>
      </c>
      <c r="E11" s="45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4384</v>
      </c>
      <c r="C12" s="44" t="s">
        <v>4385</v>
      </c>
      <c r="D12" s="42" t="s">
        <v>991</v>
      </c>
      <c r="E12" s="45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4386</v>
      </c>
      <c r="C13" s="25" t="s">
        <v>4387</v>
      </c>
      <c r="D13" s="23" t="s">
        <v>4301</v>
      </c>
      <c r="E13" s="45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4388</v>
      </c>
      <c r="C14" s="44" t="s">
        <v>4389</v>
      </c>
      <c r="D14" s="42" t="s">
        <v>4301</v>
      </c>
      <c r="E14" s="45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4390</v>
      </c>
      <c r="C15" s="25" t="s">
        <v>4391</v>
      </c>
      <c r="D15" s="23" t="s">
        <v>4301</v>
      </c>
      <c r="E15" s="45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4392</v>
      </c>
      <c r="C16" s="44" t="s">
        <v>4393</v>
      </c>
      <c r="D16" s="42" t="s">
        <v>4301</v>
      </c>
      <c r="E16" s="45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4394</v>
      </c>
      <c r="C17" s="25" t="s">
        <v>4395</v>
      </c>
      <c r="D17" s="23" t="s">
        <v>4301</v>
      </c>
      <c r="E17" s="45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4396</v>
      </c>
      <c r="C18" s="44" t="s">
        <v>4397</v>
      </c>
      <c r="D18" s="42" t="s">
        <v>4301</v>
      </c>
      <c r="E18" s="45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4398</v>
      </c>
      <c r="C19" s="25" t="s">
        <v>4399</v>
      </c>
      <c r="D19" s="23" t="s">
        <v>4301</v>
      </c>
      <c r="E19" s="45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4400</v>
      </c>
      <c r="C20" s="44" t="s">
        <v>4401</v>
      </c>
      <c r="D20" s="42" t="s">
        <v>4301</v>
      </c>
      <c r="E20" s="45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4402</v>
      </c>
      <c r="C21" s="25" t="s">
        <v>4403</v>
      </c>
      <c r="D21" s="23" t="s">
        <v>4301</v>
      </c>
      <c r="E21" s="45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4404</v>
      </c>
      <c r="C22" s="44" t="s">
        <v>4405</v>
      </c>
      <c r="D22" s="42" t="s">
        <v>4301</v>
      </c>
      <c r="E22" s="45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4406</v>
      </c>
      <c r="C23" s="25" t="s">
        <v>4407</v>
      </c>
      <c r="D23" s="23" t="s">
        <v>4301</v>
      </c>
      <c r="E23" s="45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4408</v>
      </c>
      <c r="C24" s="44" t="s">
        <v>4409</v>
      </c>
      <c r="D24" s="42" t="s">
        <v>4301</v>
      </c>
      <c r="E24" s="45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4410</v>
      </c>
      <c r="C25" s="25" t="s">
        <v>4411</v>
      </c>
      <c r="D25" s="23" t="s">
        <v>4301</v>
      </c>
      <c r="E25" s="45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4412</v>
      </c>
      <c r="C26" s="44" t="s">
        <v>4413</v>
      </c>
      <c r="D26" s="42" t="s">
        <v>4301</v>
      </c>
      <c r="E26" s="45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4414</v>
      </c>
      <c r="C27" s="25" t="s">
        <v>4415</v>
      </c>
      <c r="D27" s="23" t="s">
        <v>4301</v>
      </c>
      <c r="E27" s="45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4416</v>
      </c>
      <c r="C28" s="44" t="s">
        <v>4417</v>
      </c>
      <c r="D28" s="42" t="s">
        <v>4301</v>
      </c>
      <c r="E28" s="45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4418</v>
      </c>
      <c r="C29" s="25" t="s">
        <v>4419</v>
      </c>
      <c r="D29" s="23" t="s">
        <v>4301</v>
      </c>
      <c r="E29" s="45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4420</v>
      </c>
      <c r="C30" s="44" t="s">
        <v>4421</v>
      </c>
      <c r="D30" s="42" t="s">
        <v>4301</v>
      </c>
      <c r="E30" s="45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4422</v>
      </c>
      <c r="C31" s="25" t="s">
        <v>4423</v>
      </c>
      <c r="D31" s="23" t="s">
        <v>4301</v>
      </c>
      <c r="E31" s="45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4424</v>
      </c>
      <c r="C32" s="44" t="s">
        <v>4425</v>
      </c>
      <c r="D32" s="42" t="s">
        <v>4301</v>
      </c>
      <c r="E32" s="45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4426</v>
      </c>
      <c r="C33" s="25" t="s">
        <v>4427</v>
      </c>
      <c r="D33" s="23" t="s">
        <v>4301</v>
      </c>
      <c r="E33" s="45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4428</v>
      </c>
      <c r="C34" s="44" t="s">
        <v>4429</v>
      </c>
      <c r="D34" s="42" t="s">
        <v>4301</v>
      </c>
      <c r="E34" s="45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4430</v>
      </c>
      <c r="C35" s="25" t="s">
        <v>4431</v>
      </c>
      <c r="D35" s="23" t="s">
        <v>4301</v>
      </c>
      <c r="E35" s="45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4432</v>
      </c>
      <c r="C36" s="44" t="s">
        <v>4433</v>
      </c>
      <c r="D36" s="42" t="s">
        <v>4301</v>
      </c>
      <c r="E36" s="45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4434</v>
      </c>
      <c r="C37" s="25" t="s">
        <v>4435</v>
      </c>
      <c r="D37" s="23" t="s">
        <v>4301</v>
      </c>
      <c r="E37" s="45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4436</v>
      </c>
      <c r="C38" s="44" t="s">
        <v>4437</v>
      </c>
      <c r="D38" s="42" t="s">
        <v>4301</v>
      </c>
      <c r="E38" s="45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4438</v>
      </c>
      <c r="C39" s="25" t="s">
        <v>4439</v>
      </c>
      <c r="D39" s="23" t="s">
        <v>4301</v>
      </c>
      <c r="E39" s="45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90" priority="46">
      <formula>MOD(ROW(),2)=0</formula>
    </cfRule>
  </conditionalFormatting>
  <conditionalFormatting sqref="G5:G39">
    <cfRule type="expression" dxfId="189" priority="6">
      <formula>G5="No"</formula>
    </cfRule>
    <cfRule type="expression" dxfId="188" priority="5">
      <formula>G5="Yes"</formula>
    </cfRule>
  </conditionalFormatting>
  <conditionalFormatting sqref="H5:H39">
    <cfRule type="expression" dxfId="187" priority="7">
      <formula>H5="Yes"</formula>
    </cfRule>
  </conditionalFormatting>
  <conditionalFormatting sqref="J5:J39">
    <cfRule type="expression" dxfId="186" priority="8">
      <formula>J5="Yes"</formula>
    </cfRule>
    <cfRule type="expression" dxfId="185" priority="9">
      <formula>J5="No"</formula>
    </cfRule>
  </conditionalFormatting>
  <conditionalFormatting sqref="M5:M39">
    <cfRule type="expression" dxfId="184" priority="2">
      <formula>M5="❌ Disc"</formula>
    </cfRule>
    <cfRule type="expression" dxfId="183" priority="3">
      <formula>M5="⚠ Missing"</formula>
    </cfRule>
    <cfRule type="expression" dxfId="182" priority="4">
      <formula>M5="⚠ Check"</formula>
    </cfRule>
    <cfRule type="expression" dxfId="181" priority="1">
      <formula>M5="✓ OK"</formula>
    </cfRule>
  </conditionalFormatting>
  <conditionalFormatting sqref="P5:P39">
    <cfRule type="expression" dxfId="180" priority="14">
      <formula>P5="Yes"</formula>
    </cfRule>
    <cfRule type="expression" dxfId="179" priority="15">
      <formula>P5="No"</formula>
    </cfRule>
  </conditionalFormatting>
  <conditionalFormatting sqref="Q5:Q39">
    <cfRule type="expression" dxfId="178" priority="16">
      <formula>Q5="Yes"</formula>
    </cfRule>
  </conditionalFormatting>
  <conditionalFormatting sqref="S5:S39">
    <cfRule type="expression" dxfId="177" priority="17">
      <formula>S5="Yes"</formula>
    </cfRule>
    <cfRule type="expression" dxfId="176" priority="18">
      <formula>S5="No"</formula>
    </cfRule>
  </conditionalFormatting>
  <conditionalFormatting sqref="V5:V39">
    <cfRule type="expression" dxfId="175" priority="10">
      <formula>V5="✓ OK"</formula>
    </cfRule>
    <cfRule type="expression" dxfId="174" priority="11">
      <formula>V5="❌ Disc"</formula>
    </cfRule>
    <cfRule type="expression" dxfId="173" priority="12">
      <formula>V5="⚠ Missing"</formula>
    </cfRule>
    <cfRule type="expression" dxfId="172" priority="13">
      <formula>V5="⚠ Check"</formula>
    </cfRule>
  </conditionalFormatting>
  <conditionalFormatting sqref="Y5:Y39">
    <cfRule type="expression" dxfId="171" priority="24">
      <formula>Y5="No"</formula>
    </cfRule>
    <cfRule type="expression" dxfId="170" priority="23">
      <formula>Y5="Yes"</formula>
    </cfRule>
  </conditionalFormatting>
  <conditionalFormatting sqref="Z5:Z39">
    <cfRule type="expression" dxfId="169" priority="25">
      <formula>Z5="Yes"</formula>
    </cfRule>
  </conditionalFormatting>
  <conditionalFormatting sqref="AB5:AB39">
    <cfRule type="expression" dxfId="168" priority="26">
      <formula>AB5="Yes"</formula>
    </cfRule>
    <cfRule type="expression" dxfId="167" priority="27">
      <formula>AB5="No"</formula>
    </cfRule>
  </conditionalFormatting>
  <conditionalFormatting sqref="AE5:AE39">
    <cfRule type="expression" dxfId="166" priority="20">
      <formula>AE5="❌ Disc"</formula>
    </cfRule>
    <cfRule type="expression" dxfId="165" priority="21">
      <formula>AE5="⚠ Missing"</formula>
    </cfRule>
    <cfRule type="expression" dxfId="164" priority="22">
      <formula>AE5="⚠ Check"</formula>
    </cfRule>
    <cfRule type="expression" dxfId="163" priority="19">
      <formula>AE5="✓ OK"</formula>
    </cfRule>
  </conditionalFormatting>
  <conditionalFormatting sqref="AH5:AH39">
    <cfRule type="expression" dxfId="162" priority="32">
      <formula>AH5="Yes"</formula>
    </cfRule>
    <cfRule type="expression" dxfId="161" priority="33">
      <formula>AH5="No"</formula>
    </cfRule>
  </conditionalFormatting>
  <conditionalFormatting sqref="AI5:AI39">
    <cfRule type="expression" dxfId="160" priority="34">
      <formula>AI5="Yes"</formula>
    </cfRule>
  </conditionalFormatting>
  <conditionalFormatting sqref="AK5:AK39">
    <cfRule type="expression" dxfId="159" priority="35">
      <formula>AK5="Yes"</formula>
    </cfRule>
    <cfRule type="expression" dxfId="158" priority="36">
      <formula>AK5="No"</formula>
    </cfRule>
  </conditionalFormatting>
  <conditionalFormatting sqref="AN5:AN39">
    <cfRule type="expression" dxfId="157" priority="29">
      <formula>AN5="❌ Disc"</formula>
    </cfRule>
    <cfRule type="expression" dxfId="156" priority="30">
      <formula>AN5="⚠ Missing"</formula>
    </cfRule>
    <cfRule type="expression" dxfId="155" priority="31">
      <formula>AN5="⚠ Check"</formula>
    </cfRule>
    <cfRule type="expression" dxfId="154" priority="28">
      <formula>AN5="✓ OK"</formula>
    </cfRule>
  </conditionalFormatting>
  <conditionalFormatting sqref="AQ5:AQ39">
    <cfRule type="expression" dxfId="153" priority="42">
      <formula>AQ5="No"</formula>
    </cfRule>
    <cfRule type="expression" dxfId="152" priority="41">
      <formula>AQ5="Yes"</formula>
    </cfRule>
  </conditionalFormatting>
  <conditionalFormatting sqref="AR5:AR39">
    <cfRule type="expression" dxfId="151" priority="43">
      <formula>AR5="Yes"</formula>
    </cfRule>
  </conditionalFormatting>
  <conditionalFormatting sqref="AT5:AT39">
    <cfRule type="expression" dxfId="150" priority="44">
      <formula>AT5="Yes"</formula>
    </cfRule>
    <cfRule type="expression" dxfId="149" priority="45">
      <formula>AT5="No"</formula>
    </cfRule>
  </conditionalFormatting>
  <conditionalFormatting sqref="AW5:AW39">
    <cfRule type="expression" dxfId="148" priority="37">
      <formula>AW5="✓ OK"</formula>
    </cfRule>
    <cfRule type="expression" dxfId="147" priority="38">
      <formula>AW5="❌ Disc"</formula>
    </cfRule>
    <cfRule type="expression" dxfId="146" priority="39">
      <formula>AW5="⚠ Missing"</formula>
    </cfRule>
    <cfRule type="expression" dxfId="145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67" activePane="bottomRight" state="frozen"/>
      <selection pane="topRight" activeCell="H13" sqref="H13"/>
      <selection pane="bottomLeft" activeCell="H13" sqref="H13"/>
      <selection pane="bottomRight" activeCell="H4" sqref="H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4440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3" t="s">
        <v>4441</v>
      </c>
      <c r="C5" s="44" t="s">
        <v>4442</v>
      </c>
      <c r="D5" s="42" t="s">
        <v>21</v>
      </c>
      <c r="E5" s="45">
        <v>46128</v>
      </c>
      <c r="F5" s="26" t="s">
        <v>55</v>
      </c>
      <c r="G5" s="47" t="s">
        <v>828</v>
      </c>
      <c r="H5" s="26" t="s">
        <v>57</v>
      </c>
      <c r="I5" s="47" t="s">
        <v>828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4443</v>
      </c>
      <c r="C6" s="25" t="s">
        <v>4444</v>
      </c>
      <c r="D6" s="23" t="s">
        <v>21</v>
      </c>
      <c r="E6" s="45">
        <v>46128</v>
      </c>
      <c r="F6" s="26" t="s">
        <v>55</v>
      </c>
      <c r="G6" s="47" t="s">
        <v>828</v>
      </c>
      <c r="H6" s="26" t="s">
        <v>57</v>
      </c>
      <c r="I6" s="47" t="s">
        <v>828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4445</v>
      </c>
      <c r="C7" s="44" t="s">
        <v>4446</v>
      </c>
      <c r="D7" s="42" t="s">
        <v>21</v>
      </c>
      <c r="E7" s="45">
        <v>46128</v>
      </c>
      <c r="F7" s="26" t="s">
        <v>55</v>
      </c>
      <c r="G7" s="47" t="s">
        <v>56</v>
      </c>
      <c r="H7" s="26" t="s">
        <v>57</v>
      </c>
      <c r="I7" s="47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24" t="s">
        <v>4447</v>
      </c>
      <c r="C8" s="25" t="s">
        <v>4448</v>
      </c>
      <c r="D8" s="23" t="s">
        <v>21</v>
      </c>
      <c r="E8" s="45">
        <v>46128</v>
      </c>
      <c r="F8" s="26" t="s">
        <v>55</v>
      </c>
      <c r="G8" s="47" t="s">
        <v>828</v>
      </c>
      <c r="H8" s="26" t="s">
        <v>57</v>
      </c>
      <c r="I8" s="47" t="s">
        <v>828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4449</v>
      </c>
      <c r="C9" s="25" t="s">
        <v>4450</v>
      </c>
      <c r="D9" s="23" t="s">
        <v>21</v>
      </c>
      <c r="E9" s="45">
        <v>46128</v>
      </c>
      <c r="F9" s="26" t="s">
        <v>55</v>
      </c>
      <c r="G9" s="47" t="s">
        <v>828</v>
      </c>
      <c r="H9" s="26" t="s">
        <v>57</v>
      </c>
      <c r="I9" s="47" t="s">
        <v>828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4451</v>
      </c>
      <c r="C10" s="44" t="s">
        <v>4452</v>
      </c>
      <c r="D10" s="42" t="s">
        <v>21</v>
      </c>
      <c r="E10" s="45">
        <v>46128</v>
      </c>
      <c r="F10" s="26" t="s">
        <v>55</v>
      </c>
      <c r="G10" s="47" t="s">
        <v>56</v>
      </c>
      <c r="H10" s="26" t="s">
        <v>57</v>
      </c>
      <c r="I10" s="47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4453</v>
      </c>
      <c r="C11" s="44" t="s">
        <v>4454</v>
      </c>
      <c r="D11" s="42" t="s">
        <v>21</v>
      </c>
      <c r="E11" s="45">
        <v>46128</v>
      </c>
      <c r="F11" s="26" t="s">
        <v>55</v>
      </c>
      <c r="G11" s="47" t="s">
        <v>828</v>
      </c>
      <c r="H11" s="26" t="s">
        <v>57</v>
      </c>
      <c r="I11" s="47" t="s">
        <v>828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4455</v>
      </c>
      <c r="C12" s="25" t="s">
        <v>4456</v>
      </c>
      <c r="D12" s="23" t="s">
        <v>21</v>
      </c>
      <c r="E12" s="45">
        <v>46128</v>
      </c>
      <c r="F12" s="26" t="s">
        <v>55</v>
      </c>
      <c r="G12" s="47" t="s">
        <v>828</v>
      </c>
      <c r="H12" s="26" t="s">
        <v>57</v>
      </c>
      <c r="I12" s="47" t="s">
        <v>828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4457</v>
      </c>
      <c r="C13" s="44" t="s">
        <v>4458</v>
      </c>
      <c r="D13" s="42" t="s">
        <v>21</v>
      </c>
      <c r="E13" s="45">
        <v>46128</v>
      </c>
      <c r="F13" s="26" t="s">
        <v>55</v>
      </c>
      <c r="G13" s="47" t="s">
        <v>828</v>
      </c>
      <c r="H13" s="26" t="s">
        <v>57</v>
      </c>
      <c r="I13" s="47" t="s">
        <v>828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24" t="s">
        <v>4459</v>
      </c>
      <c r="C14" s="25" t="s">
        <v>4460</v>
      </c>
      <c r="D14" s="23" t="s">
        <v>21</v>
      </c>
      <c r="E14" s="45">
        <v>46128</v>
      </c>
      <c r="F14" s="26" t="s">
        <v>55</v>
      </c>
      <c r="G14" s="47" t="s">
        <v>828</v>
      </c>
      <c r="H14" s="26" t="s">
        <v>57</v>
      </c>
      <c r="I14" s="47" t="s">
        <v>828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43" t="s">
        <v>4461</v>
      </c>
      <c r="C15" s="44" t="s">
        <v>4462</v>
      </c>
      <c r="D15" s="42" t="s">
        <v>21</v>
      </c>
      <c r="E15" s="45">
        <v>46128</v>
      </c>
      <c r="F15" s="26" t="s">
        <v>55</v>
      </c>
      <c r="G15" s="47" t="s">
        <v>828</v>
      </c>
      <c r="H15" s="26" t="s">
        <v>57</v>
      </c>
      <c r="I15" s="47" t="s">
        <v>828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4463</v>
      </c>
      <c r="C16" s="44" t="s">
        <v>4464</v>
      </c>
      <c r="D16" s="42" t="s">
        <v>21</v>
      </c>
      <c r="E16" s="45">
        <v>46128</v>
      </c>
      <c r="F16" s="26" t="s">
        <v>55</v>
      </c>
      <c r="G16" s="47" t="s">
        <v>828</v>
      </c>
      <c r="H16" s="26" t="s">
        <v>57</v>
      </c>
      <c r="I16" s="47" t="s">
        <v>828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4465</v>
      </c>
      <c r="C17" s="25" t="s">
        <v>4466</v>
      </c>
      <c r="D17" s="23" t="s">
        <v>21</v>
      </c>
      <c r="E17" s="45">
        <v>46128</v>
      </c>
      <c r="F17" s="26" t="s">
        <v>55</v>
      </c>
      <c r="G17" s="47" t="s">
        <v>828</v>
      </c>
      <c r="H17" s="26" t="s">
        <v>57</v>
      </c>
      <c r="I17" s="47" t="s">
        <v>828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24" t="s">
        <v>4467</v>
      </c>
      <c r="C18" s="25" t="s">
        <v>4468</v>
      </c>
      <c r="D18" s="23" t="s">
        <v>21</v>
      </c>
      <c r="E18" s="45">
        <v>46128</v>
      </c>
      <c r="F18" s="26" t="s">
        <v>55</v>
      </c>
      <c r="G18" s="47" t="s">
        <v>56</v>
      </c>
      <c r="H18" s="26" t="s">
        <v>57</v>
      </c>
      <c r="I18" s="47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43" t="s">
        <v>4469</v>
      </c>
      <c r="C19" s="44" t="s">
        <v>4470</v>
      </c>
      <c r="D19" s="42" t="s">
        <v>21</v>
      </c>
      <c r="E19" s="45">
        <v>46128</v>
      </c>
      <c r="F19" s="26" t="s">
        <v>55</v>
      </c>
      <c r="G19" s="47" t="s">
        <v>828</v>
      </c>
      <c r="H19" s="26" t="s">
        <v>57</v>
      </c>
      <c r="I19" s="47" t="s">
        <v>828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24" t="s">
        <v>4471</v>
      </c>
      <c r="C20" s="25" t="s">
        <v>4472</v>
      </c>
      <c r="D20" s="23" t="s">
        <v>21</v>
      </c>
      <c r="E20" s="45">
        <v>46128</v>
      </c>
      <c r="F20" s="26" t="s">
        <v>55</v>
      </c>
      <c r="G20" s="47" t="s">
        <v>828</v>
      </c>
      <c r="H20" s="26" t="s">
        <v>57</v>
      </c>
      <c r="I20" s="47" t="s">
        <v>828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43" t="s">
        <v>4473</v>
      </c>
      <c r="C21" s="44" t="s">
        <v>4474</v>
      </c>
      <c r="D21" s="42" t="s">
        <v>21</v>
      </c>
      <c r="E21" s="45">
        <v>46128</v>
      </c>
      <c r="F21" s="26" t="s">
        <v>55</v>
      </c>
      <c r="G21" s="47" t="s">
        <v>828</v>
      </c>
      <c r="H21" s="26" t="s">
        <v>57</v>
      </c>
      <c r="I21" s="47" t="s">
        <v>828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24" t="s">
        <v>4475</v>
      </c>
      <c r="C22" s="25" t="s">
        <v>4476</v>
      </c>
      <c r="D22" s="23" t="s">
        <v>21</v>
      </c>
      <c r="E22" s="45">
        <v>46128</v>
      </c>
      <c r="F22" s="26" t="s">
        <v>55</v>
      </c>
      <c r="G22" s="47" t="s">
        <v>828</v>
      </c>
      <c r="H22" s="26" t="s">
        <v>57</v>
      </c>
      <c r="I22" s="47" t="s">
        <v>828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4477</v>
      </c>
      <c r="C23" s="25" t="s">
        <v>4478</v>
      </c>
      <c r="D23" s="23" t="s">
        <v>21</v>
      </c>
      <c r="E23" s="45">
        <v>46128</v>
      </c>
      <c r="F23" s="26" t="s">
        <v>55</v>
      </c>
      <c r="G23" s="47" t="s">
        <v>828</v>
      </c>
      <c r="H23" s="26" t="s">
        <v>57</v>
      </c>
      <c r="I23" s="47" t="s">
        <v>828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4479</v>
      </c>
      <c r="C24" s="44" t="s">
        <v>4480</v>
      </c>
      <c r="D24" s="42" t="s">
        <v>21</v>
      </c>
      <c r="E24" s="45">
        <v>46128</v>
      </c>
      <c r="F24" s="26" t="s">
        <v>55</v>
      </c>
      <c r="G24" s="47" t="s">
        <v>828</v>
      </c>
      <c r="H24" s="26" t="s">
        <v>57</v>
      </c>
      <c r="I24" s="47" t="s">
        <v>828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43" t="s">
        <v>4481</v>
      </c>
      <c r="C25" s="44" t="s">
        <v>4482</v>
      </c>
      <c r="D25" s="42" t="s">
        <v>21</v>
      </c>
      <c r="E25" s="45">
        <v>46128</v>
      </c>
      <c r="F25" s="26" t="s">
        <v>55</v>
      </c>
      <c r="G25" s="47" t="s">
        <v>828</v>
      </c>
      <c r="H25" s="26" t="s">
        <v>57</v>
      </c>
      <c r="I25" s="47" t="s">
        <v>828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4483</v>
      </c>
      <c r="C26" s="44" t="s">
        <v>4484</v>
      </c>
      <c r="D26" s="42" t="s">
        <v>21</v>
      </c>
      <c r="E26" s="45">
        <v>46128</v>
      </c>
      <c r="F26" s="26" t="s">
        <v>55</v>
      </c>
      <c r="G26" s="47" t="s">
        <v>828</v>
      </c>
      <c r="H26" s="26" t="s">
        <v>57</v>
      </c>
      <c r="I26" s="47" t="s">
        <v>828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43" t="s">
        <v>4485</v>
      </c>
      <c r="C27" s="44" t="s">
        <v>4486</v>
      </c>
      <c r="D27" s="42" t="s">
        <v>21</v>
      </c>
      <c r="E27" s="45">
        <v>46128</v>
      </c>
      <c r="F27" s="26" t="s">
        <v>55</v>
      </c>
      <c r="G27" s="47" t="s">
        <v>828</v>
      </c>
      <c r="H27" s="26" t="s">
        <v>57</v>
      </c>
      <c r="I27" s="47" t="s">
        <v>828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24" t="s">
        <v>4487</v>
      </c>
      <c r="C28" s="25" t="s">
        <v>4488</v>
      </c>
      <c r="D28" s="23" t="s">
        <v>21</v>
      </c>
      <c r="E28" s="45">
        <v>46128</v>
      </c>
      <c r="F28" s="26" t="s">
        <v>55</v>
      </c>
      <c r="G28" s="47" t="s">
        <v>828</v>
      </c>
      <c r="H28" s="26" t="s">
        <v>57</v>
      </c>
      <c r="I28" s="47" t="s">
        <v>828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43" t="s">
        <v>4489</v>
      </c>
      <c r="C29" s="44" t="s">
        <v>4490</v>
      </c>
      <c r="D29" s="42" t="s">
        <v>21</v>
      </c>
      <c r="E29" s="45">
        <v>46128</v>
      </c>
      <c r="F29" s="26" t="s">
        <v>55</v>
      </c>
      <c r="G29" s="47" t="s">
        <v>828</v>
      </c>
      <c r="H29" s="26" t="s">
        <v>57</v>
      </c>
      <c r="I29" s="47" t="s">
        <v>828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24" t="s">
        <v>4491</v>
      </c>
      <c r="C30" s="25" t="s">
        <v>4492</v>
      </c>
      <c r="D30" s="23" t="s">
        <v>21</v>
      </c>
      <c r="E30" s="45">
        <v>46128</v>
      </c>
      <c r="F30" s="26" t="s">
        <v>55</v>
      </c>
      <c r="G30" s="47" t="s">
        <v>828</v>
      </c>
      <c r="H30" s="26" t="s">
        <v>57</v>
      </c>
      <c r="I30" s="47" t="s">
        <v>828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4493</v>
      </c>
      <c r="C31" s="25" t="s">
        <v>4494</v>
      </c>
      <c r="D31" s="23" t="s">
        <v>21</v>
      </c>
      <c r="E31" s="45">
        <v>46128</v>
      </c>
      <c r="F31" s="26" t="s">
        <v>55</v>
      </c>
      <c r="G31" s="47" t="s">
        <v>828</v>
      </c>
      <c r="H31" s="26" t="s">
        <v>57</v>
      </c>
      <c r="I31" s="47" t="s">
        <v>828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4495</v>
      </c>
      <c r="C32" s="44" t="s">
        <v>4496</v>
      </c>
      <c r="D32" s="42" t="s">
        <v>21</v>
      </c>
      <c r="E32" s="45">
        <v>46128</v>
      </c>
      <c r="F32" s="26" t="s">
        <v>55</v>
      </c>
      <c r="G32" s="47" t="s">
        <v>828</v>
      </c>
      <c r="H32" s="26" t="s">
        <v>57</v>
      </c>
      <c r="I32" s="47" t="s">
        <v>828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4497</v>
      </c>
      <c r="C33" s="25" t="s">
        <v>4498</v>
      </c>
      <c r="D33" s="23" t="s">
        <v>21</v>
      </c>
      <c r="E33" s="45">
        <v>46128</v>
      </c>
      <c r="F33" s="26" t="s">
        <v>55</v>
      </c>
      <c r="G33" s="47" t="s">
        <v>56</v>
      </c>
      <c r="H33" s="26" t="s">
        <v>57</v>
      </c>
      <c r="I33" s="47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24" t="s">
        <v>4499</v>
      </c>
      <c r="C34" s="25" t="s">
        <v>4500</v>
      </c>
      <c r="D34" s="23" t="s">
        <v>21</v>
      </c>
      <c r="E34" s="45">
        <v>46128</v>
      </c>
      <c r="F34" s="26" t="s">
        <v>55</v>
      </c>
      <c r="G34" s="47" t="s">
        <v>56</v>
      </c>
      <c r="H34" s="26" t="s">
        <v>57</v>
      </c>
      <c r="I34" s="47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4501</v>
      </c>
      <c r="C35" s="25" t="s">
        <v>4502</v>
      </c>
      <c r="D35" s="23" t="s">
        <v>21</v>
      </c>
      <c r="E35" s="45">
        <v>46128</v>
      </c>
      <c r="F35" s="26" t="s">
        <v>55</v>
      </c>
      <c r="G35" s="47" t="s">
        <v>828</v>
      </c>
      <c r="H35" s="26" t="s">
        <v>57</v>
      </c>
      <c r="I35" s="47" t="s">
        <v>828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4503</v>
      </c>
      <c r="C36" s="44" t="s">
        <v>4504</v>
      </c>
      <c r="D36" s="42" t="s">
        <v>21</v>
      </c>
      <c r="E36" s="45">
        <v>46128</v>
      </c>
      <c r="F36" s="26" t="s">
        <v>55</v>
      </c>
      <c r="G36" s="47" t="s">
        <v>828</v>
      </c>
      <c r="H36" s="26" t="s">
        <v>57</v>
      </c>
      <c r="I36" s="47" t="s">
        <v>828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4505</v>
      </c>
      <c r="C37" s="25" t="s">
        <v>4506</v>
      </c>
      <c r="D37" s="23" t="s">
        <v>21</v>
      </c>
      <c r="E37" s="45">
        <v>46128</v>
      </c>
      <c r="F37" s="26" t="s">
        <v>55</v>
      </c>
      <c r="G37" s="47" t="s">
        <v>828</v>
      </c>
      <c r="H37" s="26" t="s">
        <v>57</v>
      </c>
      <c r="I37" s="47" t="s">
        <v>828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4507</v>
      </c>
      <c r="C38" s="44" t="s">
        <v>4508</v>
      </c>
      <c r="D38" s="42" t="s">
        <v>21</v>
      </c>
      <c r="E38" s="45">
        <v>46128</v>
      </c>
      <c r="F38" s="26" t="s">
        <v>55</v>
      </c>
      <c r="G38" s="47" t="s">
        <v>56</v>
      </c>
      <c r="H38" s="26" t="s">
        <v>57</v>
      </c>
      <c r="I38" s="47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43" t="s">
        <v>4509</v>
      </c>
      <c r="C39" s="44" t="s">
        <v>4510</v>
      </c>
      <c r="D39" s="42" t="s">
        <v>21</v>
      </c>
      <c r="E39" s="45">
        <v>46128</v>
      </c>
      <c r="F39" s="26" t="s">
        <v>55</v>
      </c>
      <c r="G39" s="47" t="s">
        <v>828</v>
      </c>
      <c r="H39" s="26" t="s">
        <v>57</v>
      </c>
      <c r="I39" s="47" t="s">
        <v>828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24" t="s">
        <v>4511</v>
      </c>
      <c r="C40" s="25" t="s">
        <v>4512</v>
      </c>
      <c r="D40" s="23" t="s">
        <v>21</v>
      </c>
      <c r="E40" s="45">
        <v>46128</v>
      </c>
      <c r="F40" s="26" t="s">
        <v>55</v>
      </c>
      <c r="G40" s="47" t="s">
        <v>828</v>
      </c>
      <c r="H40" s="26" t="s">
        <v>57</v>
      </c>
      <c r="I40" s="47" t="s">
        <v>828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4513</v>
      </c>
      <c r="C41" s="25" t="s">
        <v>4514</v>
      </c>
      <c r="D41" s="23" t="s">
        <v>21</v>
      </c>
      <c r="E41" s="45">
        <v>46128</v>
      </c>
      <c r="F41" s="26" t="s">
        <v>55</v>
      </c>
      <c r="G41" s="47" t="s">
        <v>828</v>
      </c>
      <c r="H41" s="26" t="s">
        <v>57</v>
      </c>
      <c r="I41" s="47" t="s">
        <v>828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4515</v>
      </c>
      <c r="C42" s="44" t="s">
        <v>4516</v>
      </c>
      <c r="D42" s="42" t="s">
        <v>21</v>
      </c>
      <c r="E42" s="45">
        <v>46128</v>
      </c>
      <c r="F42" s="26" t="s">
        <v>55</v>
      </c>
      <c r="G42" s="47" t="s">
        <v>828</v>
      </c>
      <c r="H42" s="26" t="s">
        <v>57</v>
      </c>
      <c r="I42" s="47" t="s">
        <v>828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43" t="s">
        <v>4517</v>
      </c>
      <c r="C43" s="44" t="s">
        <v>4518</v>
      </c>
      <c r="D43" s="42" t="s">
        <v>21</v>
      </c>
      <c r="E43" s="45">
        <v>46128</v>
      </c>
      <c r="F43" s="26" t="s">
        <v>55</v>
      </c>
      <c r="G43" s="47" t="s">
        <v>828</v>
      </c>
      <c r="H43" s="26" t="s">
        <v>57</v>
      </c>
      <c r="I43" s="47" t="s">
        <v>828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24" t="s">
        <v>4519</v>
      </c>
      <c r="C44" s="25" t="s">
        <v>4520</v>
      </c>
      <c r="D44" s="23" t="s">
        <v>21</v>
      </c>
      <c r="E44" s="45">
        <v>46128</v>
      </c>
      <c r="F44" s="26" t="s">
        <v>55</v>
      </c>
      <c r="G44" s="47" t="s">
        <v>56</v>
      </c>
      <c r="H44" s="26" t="s">
        <v>57</v>
      </c>
      <c r="I44" s="47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4521</v>
      </c>
      <c r="C45" s="25" t="s">
        <v>4522</v>
      </c>
      <c r="D45" s="23" t="s">
        <v>21</v>
      </c>
      <c r="E45" s="45">
        <v>46128</v>
      </c>
      <c r="F45" s="26" t="s">
        <v>55</v>
      </c>
      <c r="G45" s="47" t="s">
        <v>56</v>
      </c>
      <c r="H45" s="26" t="s">
        <v>57</v>
      </c>
      <c r="I45" s="47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4523</v>
      </c>
      <c r="C46" s="44" t="s">
        <v>4524</v>
      </c>
      <c r="D46" s="42" t="s">
        <v>21</v>
      </c>
      <c r="E46" s="45">
        <v>46128</v>
      </c>
      <c r="F46" s="26" t="s">
        <v>55</v>
      </c>
      <c r="G46" s="47" t="s">
        <v>56</v>
      </c>
      <c r="H46" s="26" t="s">
        <v>57</v>
      </c>
      <c r="I46" s="47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43" t="s">
        <v>4525</v>
      </c>
      <c r="C47" s="44" t="s">
        <v>4526</v>
      </c>
      <c r="D47" s="42" t="s">
        <v>21</v>
      </c>
      <c r="E47" s="45">
        <v>46128</v>
      </c>
      <c r="F47" s="26" t="s">
        <v>55</v>
      </c>
      <c r="G47" s="47" t="s">
        <v>828</v>
      </c>
      <c r="H47" s="26" t="s">
        <v>57</v>
      </c>
      <c r="I47" s="47" t="s">
        <v>828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4527</v>
      </c>
      <c r="C48" s="44" t="s">
        <v>4528</v>
      </c>
      <c r="D48" s="42" t="s">
        <v>21</v>
      </c>
      <c r="E48" s="45">
        <v>46128</v>
      </c>
      <c r="F48" s="26" t="s">
        <v>55</v>
      </c>
      <c r="G48" s="47" t="s">
        <v>828</v>
      </c>
      <c r="H48" s="26" t="s">
        <v>57</v>
      </c>
      <c r="I48" s="47" t="s">
        <v>828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4529</v>
      </c>
      <c r="C49" s="25" t="s">
        <v>4530</v>
      </c>
      <c r="D49" s="23" t="s">
        <v>21</v>
      </c>
      <c r="E49" s="45">
        <v>46128</v>
      </c>
      <c r="F49" s="26" t="s">
        <v>55</v>
      </c>
      <c r="G49" s="47" t="s">
        <v>828</v>
      </c>
      <c r="H49" s="26" t="s">
        <v>57</v>
      </c>
      <c r="I49" s="47" t="s">
        <v>828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4531</v>
      </c>
      <c r="C50" s="44" t="s">
        <v>4532</v>
      </c>
      <c r="D50" s="42" t="s">
        <v>21</v>
      </c>
      <c r="E50" s="45">
        <v>46128</v>
      </c>
      <c r="F50" s="26" t="s">
        <v>55</v>
      </c>
      <c r="G50" s="47" t="s">
        <v>828</v>
      </c>
      <c r="H50" s="26" t="s">
        <v>57</v>
      </c>
      <c r="I50" s="47" t="s">
        <v>828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4533</v>
      </c>
      <c r="C51" s="25" t="s">
        <v>4534</v>
      </c>
      <c r="D51" s="23" t="s">
        <v>21</v>
      </c>
      <c r="E51" s="45">
        <v>46128</v>
      </c>
      <c r="F51" s="26" t="s">
        <v>55</v>
      </c>
      <c r="G51" s="47" t="s">
        <v>56</v>
      </c>
      <c r="H51" s="26" t="s">
        <v>57</v>
      </c>
      <c r="I51" s="47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24" t="s">
        <v>4535</v>
      </c>
      <c r="C52" s="25" t="s">
        <v>4536</v>
      </c>
      <c r="D52" s="23" t="s">
        <v>21</v>
      </c>
      <c r="E52" s="45">
        <v>46128</v>
      </c>
      <c r="F52" s="26" t="s">
        <v>55</v>
      </c>
      <c r="G52" s="47" t="s">
        <v>828</v>
      </c>
      <c r="H52" s="26" t="s">
        <v>57</v>
      </c>
      <c r="I52" s="47" t="s">
        <v>828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43" t="s">
        <v>4537</v>
      </c>
      <c r="C53" s="44" t="s">
        <v>4538</v>
      </c>
      <c r="D53" s="42" t="s">
        <v>21</v>
      </c>
      <c r="E53" s="45">
        <v>46128</v>
      </c>
      <c r="F53" s="26" t="s">
        <v>55</v>
      </c>
      <c r="G53" s="47" t="s">
        <v>828</v>
      </c>
      <c r="H53" s="26" t="s">
        <v>57</v>
      </c>
      <c r="I53" s="47" t="s">
        <v>828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24" t="s">
        <v>4539</v>
      </c>
      <c r="C54" s="25" t="s">
        <v>4540</v>
      </c>
      <c r="D54" s="23" t="s">
        <v>21</v>
      </c>
      <c r="E54" s="45">
        <v>46128</v>
      </c>
      <c r="F54" s="26" t="s">
        <v>55</v>
      </c>
      <c r="G54" s="47" t="s">
        <v>828</v>
      </c>
      <c r="H54" s="26" t="s">
        <v>57</v>
      </c>
      <c r="I54" s="47" t="s">
        <v>828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43" t="s">
        <v>4541</v>
      </c>
      <c r="C55" s="44" t="s">
        <v>4542</v>
      </c>
      <c r="D55" s="42" t="s">
        <v>21</v>
      </c>
      <c r="E55" s="45">
        <v>46128</v>
      </c>
      <c r="F55" s="26" t="s">
        <v>55</v>
      </c>
      <c r="G55" s="47" t="s">
        <v>828</v>
      </c>
      <c r="H55" s="26" t="s">
        <v>57</v>
      </c>
      <c r="I55" s="47" t="s">
        <v>828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4543</v>
      </c>
      <c r="C56" s="44" t="s">
        <v>4544</v>
      </c>
      <c r="D56" s="42" t="s">
        <v>21</v>
      </c>
      <c r="E56" s="45">
        <v>46128</v>
      </c>
      <c r="F56" s="26" t="s">
        <v>55</v>
      </c>
      <c r="G56" s="47" t="s">
        <v>828</v>
      </c>
      <c r="H56" s="26" t="s">
        <v>57</v>
      </c>
      <c r="I56" s="47" t="s">
        <v>828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4545</v>
      </c>
      <c r="C57" s="25" t="s">
        <v>4546</v>
      </c>
      <c r="D57" s="23" t="s">
        <v>21</v>
      </c>
      <c r="E57" s="45">
        <v>46128</v>
      </c>
      <c r="F57" s="26" t="s">
        <v>55</v>
      </c>
      <c r="G57" s="47" t="s">
        <v>828</v>
      </c>
      <c r="H57" s="26" t="s">
        <v>57</v>
      </c>
      <c r="I57" s="47" t="s">
        <v>828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4547</v>
      </c>
      <c r="C58" s="44" t="s">
        <v>4548</v>
      </c>
      <c r="D58" s="42" t="s">
        <v>21</v>
      </c>
      <c r="E58" s="45">
        <v>46128</v>
      </c>
      <c r="F58" s="26" t="s">
        <v>55</v>
      </c>
      <c r="G58" s="47" t="s">
        <v>828</v>
      </c>
      <c r="H58" s="26" t="s">
        <v>57</v>
      </c>
      <c r="I58" s="47" t="s">
        <v>828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43" t="s">
        <v>4549</v>
      </c>
      <c r="C59" s="44" t="s">
        <v>4550</v>
      </c>
      <c r="D59" s="42" t="s">
        <v>21</v>
      </c>
      <c r="E59" s="45">
        <v>46128</v>
      </c>
      <c r="F59" s="26" t="s">
        <v>55</v>
      </c>
      <c r="G59" s="47" t="s">
        <v>56</v>
      </c>
      <c r="H59" s="26" t="s">
        <v>57</v>
      </c>
      <c r="I59" s="47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4551</v>
      </c>
      <c r="C60" s="44" t="s">
        <v>4552</v>
      </c>
      <c r="D60" s="42" t="s">
        <v>21</v>
      </c>
      <c r="E60" s="45">
        <v>46128</v>
      </c>
      <c r="F60" s="26" t="s">
        <v>55</v>
      </c>
      <c r="G60" s="47" t="s">
        <v>828</v>
      </c>
      <c r="H60" s="26" t="s">
        <v>57</v>
      </c>
      <c r="I60" s="47" t="s">
        <v>828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4553</v>
      </c>
      <c r="C61" s="25" t="s">
        <v>4554</v>
      </c>
      <c r="D61" s="23" t="s">
        <v>21</v>
      </c>
      <c r="E61" s="45">
        <v>46128</v>
      </c>
      <c r="F61" s="26" t="s">
        <v>55</v>
      </c>
      <c r="G61" s="47" t="s">
        <v>828</v>
      </c>
      <c r="H61" s="26" t="s">
        <v>57</v>
      </c>
      <c r="I61" s="47" t="s">
        <v>828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4555</v>
      </c>
      <c r="C62" s="44" t="s">
        <v>4556</v>
      </c>
      <c r="D62" s="42" t="s">
        <v>21</v>
      </c>
      <c r="E62" s="45">
        <v>46128</v>
      </c>
      <c r="F62" s="26" t="s">
        <v>55</v>
      </c>
      <c r="G62" s="47" t="s">
        <v>828</v>
      </c>
      <c r="H62" s="26" t="s">
        <v>57</v>
      </c>
      <c r="I62" s="47" t="s">
        <v>828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4557</v>
      </c>
      <c r="C63" s="25" t="s">
        <v>4558</v>
      </c>
      <c r="D63" s="23" t="s">
        <v>21</v>
      </c>
      <c r="E63" s="45">
        <v>46128</v>
      </c>
      <c r="F63" s="26" t="s">
        <v>55</v>
      </c>
      <c r="G63" s="47" t="s">
        <v>828</v>
      </c>
      <c r="H63" s="26" t="s">
        <v>57</v>
      </c>
      <c r="I63" s="47" t="s">
        <v>828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24" t="s">
        <v>4559</v>
      </c>
      <c r="C64" s="25" t="s">
        <v>4560</v>
      </c>
      <c r="D64" s="23" t="s">
        <v>21</v>
      </c>
      <c r="E64" s="45">
        <v>46128</v>
      </c>
      <c r="F64" s="26" t="s">
        <v>55</v>
      </c>
      <c r="G64" s="47" t="s">
        <v>56</v>
      </c>
      <c r="H64" s="26" t="s">
        <v>57</v>
      </c>
      <c r="I64" s="47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4561</v>
      </c>
      <c r="C65" s="25" t="s">
        <v>4562</v>
      </c>
      <c r="D65" s="23" t="s">
        <v>21</v>
      </c>
      <c r="E65" s="45">
        <v>46128</v>
      </c>
      <c r="F65" s="26" t="s">
        <v>55</v>
      </c>
      <c r="G65" s="47" t="s">
        <v>828</v>
      </c>
      <c r="H65" s="26" t="s">
        <v>57</v>
      </c>
      <c r="I65" s="47" t="s">
        <v>828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4563</v>
      </c>
      <c r="C66" s="44" t="s">
        <v>4564</v>
      </c>
      <c r="D66" s="42" t="s">
        <v>21</v>
      </c>
      <c r="E66" s="45">
        <v>46128</v>
      </c>
      <c r="F66" s="26" t="s">
        <v>55</v>
      </c>
      <c r="G66" s="47" t="s">
        <v>828</v>
      </c>
      <c r="H66" s="26" t="s">
        <v>57</v>
      </c>
      <c r="I66" s="47" t="s">
        <v>828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43" t="s">
        <v>4565</v>
      </c>
      <c r="C67" s="44" t="s">
        <v>4566</v>
      </c>
      <c r="D67" s="42" t="s">
        <v>21</v>
      </c>
      <c r="E67" s="45">
        <v>46128</v>
      </c>
      <c r="F67" s="26" t="s">
        <v>55</v>
      </c>
      <c r="G67" s="47" t="s">
        <v>828</v>
      </c>
      <c r="H67" s="26" t="s">
        <v>57</v>
      </c>
      <c r="I67" s="47" t="s">
        <v>828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4567</v>
      </c>
      <c r="C68" s="44" t="s">
        <v>4568</v>
      </c>
      <c r="D68" s="42" t="s">
        <v>21</v>
      </c>
      <c r="E68" s="45">
        <v>46128</v>
      </c>
      <c r="F68" s="26" t="s">
        <v>55</v>
      </c>
      <c r="G68" s="47" t="s">
        <v>828</v>
      </c>
      <c r="H68" s="26" t="s">
        <v>57</v>
      </c>
      <c r="I68" s="47" t="s">
        <v>828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4569</v>
      </c>
      <c r="C69" s="25" t="s">
        <v>4570</v>
      </c>
      <c r="D69" s="23" t="s">
        <v>21</v>
      </c>
      <c r="E69" s="45">
        <v>46128</v>
      </c>
      <c r="F69" s="26" t="s">
        <v>55</v>
      </c>
      <c r="G69" s="47" t="s">
        <v>56</v>
      </c>
      <c r="H69" s="26" t="s">
        <v>57</v>
      </c>
      <c r="I69" s="47" t="s">
        <v>58</v>
      </c>
      <c r="J69" s="26" t="s">
        <v>56</v>
      </c>
      <c r="K69" s="27"/>
      <c r="L69" s="28" t="s">
        <v>57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4571</v>
      </c>
      <c r="C70" s="44" t="s">
        <v>4572</v>
      </c>
      <c r="D70" s="42" t="s">
        <v>21</v>
      </c>
      <c r="E70" s="45">
        <v>46128</v>
      </c>
      <c r="F70" s="26" t="s">
        <v>55</v>
      </c>
      <c r="G70" s="47" t="s">
        <v>828</v>
      </c>
      <c r="H70" s="26" t="s">
        <v>57</v>
      </c>
      <c r="I70" s="47" t="s">
        <v>828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4573</v>
      </c>
      <c r="C71" s="25" t="s">
        <v>4574</v>
      </c>
      <c r="D71" s="23" t="s">
        <v>21</v>
      </c>
      <c r="E71" s="45">
        <v>46128</v>
      </c>
      <c r="F71" s="26" t="s">
        <v>55</v>
      </c>
      <c r="G71" s="47" t="s">
        <v>56</v>
      </c>
      <c r="H71" s="26" t="s">
        <v>57</v>
      </c>
      <c r="I71" s="47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24" t="s">
        <v>4575</v>
      </c>
      <c r="C72" s="25" t="s">
        <v>4576</v>
      </c>
      <c r="D72" s="23" t="s">
        <v>21</v>
      </c>
      <c r="E72" s="45">
        <v>46128</v>
      </c>
      <c r="F72" s="26" t="s">
        <v>55</v>
      </c>
      <c r="G72" s="47" t="s">
        <v>56</v>
      </c>
      <c r="H72" s="26" t="s">
        <v>57</v>
      </c>
      <c r="I72" s="47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43" t="s">
        <v>4577</v>
      </c>
      <c r="C73" s="44" t="s">
        <v>4578</v>
      </c>
      <c r="D73" s="42" t="s">
        <v>21</v>
      </c>
      <c r="E73" s="45">
        <v>46128</v>
      </c>
      <c r="F73" s="26" t="s">
        <v>55</v>
      </c>
      <c r="G73" s="47" t="s">
        <v>828</v>
      </c>
      <c r="H73" s="26" t="s">
        <v>57</v>
      </c>
      <c r="I73" s="47" t="s">
        <v>828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24" t="s">
        <v>4579</v>
      </c>
      <c r="C74" s="25" t="s">
        <v>4580</v>
      </c>
      <c r="D74" s="23" t="s">
        <v>21</v>
      </c>
      <c r="E74" s="45">
        <v>46128</v>
      </c>
      <c r="F74" s="26" t="s">
        <v>55</v>
      </c>
      <c r="G74" s="47" t="s">
        <v>828</v>
      </c>
      <c r="H74" s="26" t="s">
        <v>57</v>
      </c>
      <c r="I74" s="47" t="s">
        <v>828</v>
      </c>
      <c r="J74" s="26" t="s">
        <v>56</v>
      </c>
      <c r="K74" s="27"/>
      <c r="L74" s="28" t="s">
        <v>57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43" t="s">
        <v>4581</v>
      </c>
      <c r="C75" s="44" t="s">
        <v>4582</v>
      </c>
      <c r="D75" s="42" t="s">
        <v>21</v>
      </c>
      <c r="E75" s="45">
        <v>46128</v>
      </c>
      <c r="F75" s="26" t="s">
        <v>55</v>
      </c>
      <c r="G75" s="47" t="s">
        <v>56</v>
      </c>
      <c r="H75" s="26" t="s">
        <v>57</v>
      </c>
      <c r="I75" s="47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24" t="s">
        <v>4583</v>
      </c>
      <c r="C76" s="25" t="s">
        <v>4584</v>
      </c>
      <c r="D76" s="23" t="s">
        <v>21</v>
      </c>
      <c r="E76" s="45">
        <v>46128</v>
      </c>
      <c r="F76" s="26" t="s">
        <v>55</v>
      </c>
      <c r="G76" s="47" t="s">
        <v>828</v>
      </c>
      <c r="H76" s="26" t="s">
        <v>57</v>
      </c>
      <c r="I76" s="47" t="s">
        <v>828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4585</v>
      </c>
      <c r="C77" s="25" t="s">
        <v>4586</v>
      </c>
      <c r="D77" s="23" t="s">
        <v>21</v>
      </c>
      <c r="E77" s="45">
        <v>46128</v>
      </c>
      <c r="F77" s="26" t="s">
        <v>55</v>
      </c>
      <c r="G77" s="47" t="s">
        <v>828</v>
      </c>
      <c r="H77" s="26" t="s">
        <v>57</v>
      </c>
      <c r="I77" s="47" t="s">
        <v>828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24" t="s">
        <v>4587</v>
      </c>
      <c r="C78" s="25" t="s">
        <v>4588</v>
      </c>
      <c r="D78" s="23" t="s">
        <v>21</v>
      </c>
      <c r="E78" s="45">
        <v>46128</v>
      </c>
      <c r="F78" s="26" t="s">
        <v>55</v>
      </c>
      <c r="G78" s="47" t="s">
        <v>56</v>
      </c>
      <c r="H78" s="26" t="s">
        <v>57</v>
      </c>
      <c r="I78" s="47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4589</v>
      </c>
      <c r="C79" s="25" t="s">
        <v>4590</v>
      </c>
      <c r="D79" s="23" t="s">
        <v>21</v>
      </c>
      <c r="E79" s="45">
        <v>46128</v>
      </c>
      <c r="F79" s="26" t="s">
        <v>55</v>
      </c>
      <c r="G79" s="47" t="s">
        <v>828</v>
      </c>
      <c r="H79" s="26" t="s">
        <v>57</v>
      </c>
      <c r="I79" s="47" t="s">
        <v>828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4591</v>
      </c>
      <c r="C80" s="44" t="s">
        <v>4592</v>
      </c>
      <c r="D80" s="42" t="s">
        <v>21</v>
      </c>
      <c r="E80" s="45">
        <v>46128</v>
      </c>
      <c r="F80" s="26" t="s">
        <v>55</v>
      </c>
      <c r="G80" s="47" t="s">
        <v>828</v>
      </c>
      <c r="H80" s="26" t="s">
        <v>57</v>
      </c>
      <c r="I80" s="47" t="s">
        <v>828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sortState xmlns:xlrd2="http://schemas.microsoft.com/office/spreadsheetml/2017/richdata2" ref="B5:D80">
    <sortCondition ref="B5:B80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44" priority="2">
      <formula>G5="Yes"</formula>
    </cfRule>
    <cfRule type="expression" dxfId="143" priority="3">
      <formula>G5="No"</formula>
    </cfRule>
    <cfRule type="expression" dxfId="142" priority="4">
      <formula>MOD(ROW(),2)=0</formula>
    </cfRule>
  </conditionalFormatting>
  <conditionalFormatting sqref="H5:H80">
    <cfRule type="expression" dxfId="141" priority="5">
      <formula>H5="Yes"</formula>
    </cfRule>
  </conditionalFormatting>
  <conditionalFormatting sqref="I5:I80">
    <cfRule type="expression" dxfId="140" priority="1">
      <formula>MOD(ROW(),2)=0</formula>
    </cfRule>
  </conditionalFormatting>
  <conditionalFormatting sqref="J5:J80">
    <cfRule type="expression" dxfId="139" priority="6">
      <formula>J5="Yes"</formula>
    </cfRule>
    <cfRule type="expression" dxfId="138" priority="7">
      <formula>J5="No"</formula>
    </cfRule>
  </conditionalFormatting>
  <conditionalFormatting sqref="J5:L80 H5:H80">
    <cfRule type="expression" dxfId="137" priority="8">
      <formula>MOD(ROW(),2)=0</formula>
    </cfRule>
  </conditionalFormatting>
  <conditionalFormatting sqref="M5:M80">
    <cfRule type="expression" dxfId="136" priority="9">
      <formula>M5="✓ OK"</formula>
    </cfRule>
    <cfRule type="expression" dxfId="135" priority="10">
      <formula>M5="❌ Disc"</formula>
    </cfRule>
    <cfRule type="expression" dxfId="134" priority="11">
      <formula>M5="⚠ Missing"</formula>
    </cfRule>
    <cfRule type="expression" dxfId="133" priority="12">
      <formula>M5="⚠ Check"</formula>
    </cfRule>
  </conditionalFormatting>
  <conditionalFormatting sqref="M5:AW80 A5:F80">
    <cfRule type="expression" dxfId="132" priority="54">
      <formula>MOD(ROW(),2)=0</formula>
    </cfRule>
  </conditionalFormatting>
  <conditionalFormatting sqref="P5:P80">
    <cfRule type="expression" dxfId="131" priority="22">
      <formula>P5="Yes"</formula>
    </cfRule>
    <cfRule type="expression" dxfId="130" priority="23">
      <formula>P5="No"</formula>
    </cfRule>
  </conditionalFormatting>
  <conditionalFormatting sqref="Q5:Q80">
    <cfRule type="expression" dxfId="129" priority="24">
      <formula>Q5="Yes"</formula>
    </cfRule>
  </conditionalFormatting>
  <conditionalFormatting sqref="S5:S80">
    <cfRule type="expression" dxfId="128" priority="25">
      <formula>S5="Yes"</formula>
    </cfRule>
    <cfRule type="expression" dxfId="127" priority="26">
      <formula>S5="No"</formula>
    </cfRule>
  </conditionalFormatting>
  <conditionalFormatting sqref="V5:V80">
    <cfRule type="expression" dxfId="126" priority="18">
      <formula>V5="✓ OK"</formula>
    </cfRule>
    <cfRule type="expression" dxfId="125" priority="19">
      <formula>V5="❌ Disc"</formula>
    </cfRule>
    <cfRule type="expression" dxfId="124" priority="20">
      <formula>V5="⚠ Missing"</formula>
    </cfRule>
    <cfRule type="expression" dxfId="123" priority="21">
      <formula>V5="⚠ Check"</formula>
    </cfRule>
  </conditionalFormatting>
  <conditionalFormatting sqref="Y5:Y80">
    <cfRule type="expression" dxfId="122" priority="31">
      <formula>Y5="Yes"</formula>
    </cfRule>
    <cfRule type="expression" dxfId="121" priority="32">
      <formula>Y5="No"</formula>
    </cfRule>
  </conditionalFormatting>
  <conditionalFormatting sqref="Z5:Z80">
    <cfRule type="expression" dxfId="120" priority="33">
      <formula>Z5="Yes"</formula>
    </cfRule>
  </conditionalFormatting>
  <conditionalFormatting sqref="AB5:AB80">
    <cfRule type="expression" dxfId="119" priority="34">
      <formula>AB5="Yes"</formula>
    </cfRule>
    <cfRule type="expression" dxfId="118" priority="35">
      <formula>AB5="No"</formula>
    </cfRule>
  </conditionalFormatting>
  <conditionalFormatting sqref="AE5:AE80">
    <cfRule type="expression" dxfId="117" priority="29">
      <formula>AE5="⚠ Missing"</formula>
    </cfRule>
    <cfRule type="expression" dxfId="116" priority="30">
      <formula>AE5="⚠ Check"</formula>
    </cfRule>
    <cfRule type="expression" dxfId="115" priority="27">
      <formula>AE5="✓ OK"</formula>
    </cfRule>
    <cfRule type="expression" dxfId="114" priority="28">
      <formula>AE5="❌ Disc"</formula>
    </cfRule>
  </conditionalFormatting>
  <conditionalFormatting sqref="AH5:AH80">
    <cfRule type="expression" dxfId="113" priority="40">
      <formula>AH5="Yes"</formula>
    </cfRule>
    <cfRule type="expression" dxfId="112" priority="41">
      <formula>AH5="No"</formula>
    </cfRule>
  </conditionalFormatting>
  <conditionalFormatting sqref="AI5:AI80">
    <cfRule type="expression" dxfId="111" priority="42">
      <formula>AI5="Yes"</formula>
    </cfRule>
  </conditionalFormatting>
  <conditionalFormatting sqref="AK5:AK80">
    <cfRule type="expression" dxfId="110" priority="43">
      <formula>AK5="Yes"</formula>
    </cfRule>
    <cfRule type="expression" dxfId="109" priority="44">
      <formula>AK5="No"</formula>
    </cfRule>
  </conditionalFormatting>
  <conditionalFormatting sqref="AN5:AN80">
    <cfRule type="expression" dxfId="108" priority="37">
      <formula>AN5="❌ Disc"</formula>
    </cfRule>
    <cfRule type="expression" dxfId="107" priority="38">
      <formula>AN5="⚠ Missing"</formula>
    </cfRule>
    <cfRule type="expression" dxfId="106" priority="39">
      <formula>AN5="⚠ Check"</formula>
    </cfRule>
    <cfRule type="expression" dxfId="105" priority="36">
      <formula>AN5="✓ OK"</formula>
    </cfRule>
  </conditionalFormatting>
  <conditionalFormatting sqref="AQ5:AQ80">
    <cfRule type="expression" dxfId="104" priority="49">
      <formula>AQ5="Yes"</formula>
    </cfRule>
    <cfRule type="expression" dxfId="103" priority="50">
      <formula>AQ5="No"</formula>
    </cfRule>
  </conditionalFormatting>
  <conditionalFormatting sqref="AR5:AR80">
    <cfRule type="expression" dxfId="102" priority="51">
      <formula>AR5="Yes"</formula>
    </cfRule>
  </conditionalFormatting>
  <conditionalFormatting sqref="AT5:AT80">
    <cfRule type="expression" dxfId="101" priority="52">
      <formula>AT5="Yes"</formula>
    </cfRule>
    <cfRule type="expression" dxfId="100" priority="53">
      <formula>AT5="No"</formula>
    </cfRule>
  </conditionalFormatting>
  <conditionalFormatting sqref="AW5:AW80">
    <cfRule type="expression" dxfId="99" priority="45">
      <formula>AW5="✓ OK"</formula>
    </cfRule>
    <cfRule type="expression" dxfId="98" priority="46">
      <formula>AW5="❌ Disc"</formula>
    </cfRule>
    <cfRule type="expression" dxfId="97" priority="47">
      <formula>AW5="⚠ Missing"</formula>
    </cfRule>
    <cfRule type="expression" dxfId="96" priority="48">
      <formula>AW5="⚠ Check"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G5:G80" xr:uid="{59B52CAA-CA4E-4C94-B4E0-D559BBB85F31}">
      <formula1>"Yes,No,Represented by Sample"</formula1>
    </dataValidation>
    <dataValidation type="list" allowBlank="1" sqref="I5:I80" xr:uid="{9944A5D7-DDBD-4124-95B4-EE97012E5F84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03" activePane="bottomRight" state="frozen"/>
      <selection pane="topRight" activeCell="H13" sqref="H13"/>
      <selection pane="bottomLeft" activeCell="H13" sqref="H13"/>
      <selection pane="bottomRight" activeCell="G516" sqref="G5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4593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4594</v>
      </c>
      <c r="C5" s="25" t="s">
        <v>4595</v>
      </c>
      <c r="D5" s="23" t="s">
        <v>4596</v>
      </c>
      <c r="E5" s="45">
        <v>46128</v>
      </c>
      <c r="F5" s="26" t="s">
        <v>55</v>
      </c>
      <c r="G5" s="47" t="s">
        <v>56</v>
      </c>
      <c r="H5" s="26" t="s">
        <v>57</v>
      </c>
      <c r="I5" s="47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4597</v>
      </c>
      <c r="C6" s="44" t="s">
        <v>4598</v>
      </c>
      <c r="D6" s="42" t="s">
        <v>4596</v>
      </c>
      <c r="E6" s="45">
        <v>46128</v>
      </c>
      <c r="F6" s="26" t="s">
        <v>55</v>
      </c>
      <c r="G6" s="47" t="s">
        <v>828</v>
      </c>
      <c r="H6" s="26" t="s">
        <v>57</v>
      </c>
      <c r="I6" s="47" t="s">
        <v>828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4599</v>
      </c>
      <c r="C7" s="25" t="s">
        <v>4600</v>
      </c>
      <c r="D7" s="23" t="s">
        <v>4596</v>
      </c>
      <c r="E7" s="45">
        <v>46128</v>
      </c>
      <c r="F7" s="26" t="s">
        <v>55</v>
      </c>
      <c r="G7" s="47" t="s">
        <v>828</v>
      </c>
      <c r="H7" s="26" t="s">
        <v>57</v>
      </c>
      <c r="I7" s="47" t="s">
        <v>828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4601</v>
      </c>
      <c r="C8" s="44" t="s">
        <v>4602</v>
      </c>
      <c r="D8" s="42" t="s">
        <v>4596</v>
      </c>
      <c r="E8" s="45">
        <v>46128</v>
      </c>
      <c r="F8" s="26" t="s">
        <v>55</v>
      </c>
      <c r="G8" s="47" t="s">
        <v>56</v>
      </c>
      <c r="H8" s="26" t="s">
        <v>57</v>
      </c>
      <c r="I8" s="47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4603</v>
      </c>
      <c r="C9" s="25" t="s">
        <v>4604</v>
      </c>
      <c r="D9" s="23" t="s">
        <v>4596</v>
      </c>
      <c r="E9" s="45">
        <v>46128</v>
      </c>
      <c r="F9" s="26" t="s">
        <v>55</v>
      </c>
      <c r="G9" s="47" t="s">
        <v>56</v>
      </c>
      <c r="H9" s="26" t="s">
        <v>57</v>
      </c>
      <c r="I9" s="47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4605</v>
      </c>
      <c r="C10" s="44" t="s">
        <v>4606</v>
      </c>
      <c r="D10" s="42" t="s">
        <v>4596</v>
      </c>
      <c r="E10" s="45">
        <v>46128</v>
      </c>
      <c r="F10" s="26" t="s">
        <v>55</v>
      </c>
      <c r="G10" s="47" t="s">
        <v>828</v>
      </c>
      <c r="H10" s="26" t="s">
        <v>57</v>
      </c>
      <c r="I10" s="47" t="s">
        <v>828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4607</v>
      </c>
      <c r="C11" s="25" t="s">
        <v>4608</v>
      </c>
      <c r="D11" s="23" t="s">
        <v>4596</v>
      </c>
      <c r="E11" s="45">
        <v>46128</v>
      </c>
      <c r="F11" s="26" t="s">
        <v>55</v>
      </c>
      <c r="G11" s="47" t="s">
        <v>828</v>
      </c>
      <c r="H11" s="26" t="s">
        <v>57</v>
      </c>
      <c r="I11" s="47" t="s">
        <v>828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4609</v>
      </c>
      <c r="C12" s="44" t="s">
        <v>4610</v>
      </c>
      <c r="D12" s="42" t="s">
        <v>4596</v>
      </c>
      <c r="E12" s="45">
        <v>46128</v>
      </c>
      <c r="F12" s="26" t="s">
        <v>55</v>
      </c>
      <c r="G12" s="47" t="s">
        <v>828</v>
      </c>
      <c r="H12" s="26" t="s">
        <v>57</v>
      </c>
      <c r="I12" s="47" t="s">
        <v>828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4611</v>
      </c>
      <c r="C13" s="25" t="s">
        <v>4612</v>
      </c>
      <c r="D13" s="23" t="s">
        <v>4596</v>
      </c>
      <c r="E13" s="45">
        <v>46128</v>
      </c>
      <c r="F13" s="26" t="s">
        <v>55</v>
      </c>
      <c r="G13" s="47" t="s">
        <v>828</v>
      </c>
      <c r="H13" s="26" t="s">
        <v>57</v>
      </c>
      <c r="I13" s="47" t="s">
        <v>828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4613</v>
      </c>
      <c r="C14" s="44" t="s">
        <v>4614</v>
      </c>
      <c r="D14" s="42" t="s">
        <v>4596</v>
      </c>
      <c r="E14" s="45">
        <v>46128</v>
      </c>
      <c r="F14" s="26" t="s">
        <v>55</v>
      </c>
      <c r="G14" s="47" t="s">
        <v>828</v>
      </c>
      <c r="H14" s="26" t="s">
        <v>57</v>
      </c>
      <c r="I14" s="47" t="s">
        <v>828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4615</v>
      </c>
      <c r="C15" s="25" t="s">
        <v>4616</v>
      </c>
      <c r="D15" s="23" t="s">
        <v>4596</v>
      </c>
      <c r="E15" s="45">
        <v>46128</v>
      </c>
      <c r="F15" s="26" t="s">
        <v>55</v>
      </c>
      <c r="G15" s="47" t="s">
        <v>828</v>
      </c>
      <c r="H15" s="26" t="s">
        <v>57</v>
      </c>
      <c r="I15" s="47" t="s">
        <v>828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4617</v>
      </c>
      <c r="C16" s="44" t="s">
        <v>4618</v>
      </c>
      <c r="D16" s="42" t="s">
        <v>4596</v>
      </c>
      <c r="E16" s="45">
        <v>46128</v>
      </c>
      <c r="F16" s="26" t="s">
        <v>55</v>
      </c>
      <c r="G16" s="47" t="s">
        <v>828</v>
      </c>
      <c r="H16" s="26" t="s">
        <v>57</v>
      </c>
      <c r="I16" s="47" t="s">
        <v>828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4619</v>
      </c>
      <c r="C17" s="25" t="s">
        <v>4620</v>
      </c>
      <c r="D17" s="23" t="s">
        <v>4596</v>
      </c>
      <c r="E17" s="45">
        <v>46128</v>
      </c>
      <c r="F17" s="26" t="s">
        <v>55</v>
      </c>
      <c r="G17" s="47" t="s">
        <v>828</v>
      </c>
      <c r="H17" s="26" t="s">
        <v>57</v>
      </c>
      <c r="I17" s="47" t="s">
        <v>828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4621</v>
      </c>
      <c r="C18" s="44" t="s">
        <v>4622</v>
      </c>
      <c r="D18" s="42" t="s">
        <v>4596</v>
      </c>
      <c r="E18" s="45">
        <v>46128</v>
      </c>
      <c r="F18" s="26" t="s">
        <v>55</v>
      </c>
      <c r="G18" s="47" t="s">
        <v>828</v>
      </c>
      <c r="H18" s="26" t="s">
        <v>57</v>
      </c>
      <c r="I18" s="47" t="s">
        <v>828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4623</v>
      </c>
      <c r="C19" s="25" t="s">
        <v>4624</v>
      </c>
      <c r="D19" s="23" t="s">
        <v>4596</v>
      </c>
      <c r="E19" s="45">
        <v>46128</v>
      </c>
      <c r="F19" s="26" t="s">
        <v>55</v>
      </c>
      <c r="G19" s="47" t="s">
        <v>56</v>
      </c>
      <c r="H19" s="26" t="s">
        <v>57</v>
      </c>
      <c r="I19" s="47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4625</v>
      </c>
      <c r="C20" s="44" t="s">
        <v>4626</v>
      </c>
      <c r="D20" s="42" t="s">
        <v>4596</v>
      </c>
      <c r="E20" s="45">
        <v>46128</v>
      </c>
      <c r="F20" s="26" t="s">
        <v>55</v>
      </c>
      <c r="G20" s="47" t="s">
        <v>828</v>
      </c>
      <c r="H20" s="26" t="s">
        <v>57</v>
      </c>
      <c r="I20" s="47" t="s">
        <v>828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4627</v>
      </c>
      <c r="C21" s="25" t="s">
        <v>4628</v>
      </c>
      <c r="D21" s="23" t="s">
        <v>4596</v>
      </c>
      <c r="E21" s="45">
        <v>46128</v>
      </c>
      <c r="F21" s="26" t="s">
        <v>55</v>
      </c>
      <c r="G21" s="47" t="s">
        <v>828</v>
      </c>
      <c r="H21" s="26" t="s">
        <v>57</v>
      </c>
      <c r="I21" s="47" t="s">
        <v>828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4629</v>
      </c>
      <c r="C22" s="44" t="s">
        <v>4630</v>
      </c>
      <c r="D22" s="42" t="s">
        <v>4596</v>
      </c>
      <c r="E22" s="45">
        <v>46128</v>
      </c>
      <c r="F22" s="26" t="s">
        <v>55</v>
      </c>
      <c r="G22" s="47" t="s">
        <v>828</v>
      </c>
      <c r="H22" s="26" t="s">
        <v>57</v>
      </c>
      <c r="I22" s="47" t="s">
        <v>828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4631</v>
      </c>
      <c r="C23" s="25" t="s">
        <v>4632</v>
      </c>
      <c r="D23" s="23" t="s">
        <v>4596</v>
      </c>
      <c r="E23" s="45">
        <v>46128</v>
      </c>
      <c r="F23" s="26" t="s">
        <v>55</v>
      </c>
      <c r="G23" s="47" t="s">
        <v>828</v>
      </c>
      <c r="H23" s="26" t="s">
        <v>57</v>
      </c>
      <c r="I23" s="47" t="s">
        <v>828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4633</v>
      </c>
      <c r="C24" s="44" t="s">
        <v>4634</v>
      </c>
      <c r="D24" s="42" t="s">
        <v>4596</v>
      </c>
      <c r="E24" s="45">
        <v>46128</v>
      </c>
      <c r="F24" s="26" t="s">
        <v>55</v>
      </c>
      <c r="G24" s="47" t="s">
        <v>828</v>
      </c>
      <c r="H24" s="26" t="s">
        <v>57</v>
      </c>
      <c r="I24" s="47" t="s">
        <v>828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4635</v>
      </c>
      <c r="C25" s="25" t="s">
        <v>4636</v>
      </c>
      <c r="D25" s="23" t="s">
        <v>4596</v>
      </c>
      <c r="E25" s="45">
        <v>46128</v>
      </c>
      <c r="F25" s="26" t="s">
        <v>55</v>
      </c>
      <c r="G25" s="47" t="s">
        <v>828</v>
      </c>
      <c r="H25" s="26" t="s">
        <v>57</v>
      </c>
      <c r="I25" s="47" t="s">
        <v>828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4637</v>
      </c>
      <c r="C26" s="44" t="s">
        <v>4638</v>
      </c>
      <c r="D26" s="42" t="s">
        <v>4596</v>
      </c>
      <c r="E26" s="45">
        <v>46128</v>
      </c>
      <c r="F26" s="26" t="s">
        <v>55</v>
      </c>
      <c r="G26" s="47" t="s">
        <v>828</v>
      </c>
      <c r="H26" s="26" t="s">
        <v>57</v>
      </c>
      <c r="I26" s="47" t="s">
        <v>828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4639</v>
      </c>
      <c r="C27" s="25" t="s">
        <v>4640</v>
      </c>
      <c r="D27" s="23" t="s">
        <v>4596</v>
      </c>
      <c r="E27" s="45">
        <v>46128</v>
      </c>
      <c r="F27" s="26" t="s">
        <v>55</v>
      </c>
      <c r="G27" s="47" t="s">
        <v>828</v>
      </c>
      <c r="H27" s="26" t="s">
        <v>57</v>
      </c>
      <c r="I27" s="47" t="s">
        <v>828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4641</v>
      </c>
      <c r="C28" s="44" t="s">
        <v>4642</v>
      </c>
      <c r="D28" s="42" t="s">
        <v>4596</v>
      </c>
      <c r="E28" s="45">
        <v>46128</v>
      </c>
      <c r="F28" s="26" t="s">
        <v>55</v>
      </c>
      <c r="G28" s="47" t="s">
        <v>828</v>
      </c>
      <c r="H28" s="26" t="s">
        <v>57</v>
      </c>
      <c r="I28" s="47" t="s">
        <v>828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4643</v>
      </c>
      <c r="C29" s="25" t="s">
        <v>4644</v>
      </c>
      <c r="D29" s="23" t="s">
        <v>4596</v>
      </c>
      <c r="E29" s="45">
        <v>46128</v>
      </c>
      <c r="F29" s="26" t="s">
        <v>55</v>
      </c>
      <c r="G29" s="47" t="s">
        <v>828</v>
      </c>
      <c r="H29" s="26" t="s">
        <v>57</v>
      </c>
      <c r="I29" s="47" t="s">
        <v>828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4645</v>
      </c>
      <c r="C30" s="44" t="s">
        <v>4646</v>
      </c>
      <c r="D30" s="42" t="s">
        <v>4596</v>
      </c>
      <c r="E30" s="45">
        <v>46128</v>
      </c>
      <c r="F30" s="26" t="s">
        <v>55</v>
      </c>
      <c r="G30" s="47" t="s">
        <v>56</v>
      </c>
      <c r="H30" s="26" t="s">
        <v>57</v>
      </c>
      <c r="I30" s="47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4647</v>
      </c>
      <c r="C31" s="25" t="s">
        <v>4648</v>
      </c>
      <c r="D31" s="23" t="s">
        <v>4596</v>
      </c>
      <c r="E31" s="45">
        <v>46128</v>
      </c>
      <c r="F31" s="26" t="s">
        <v>55</v>
      </c>
      <c r="G31" s="47" t="s">
        <v>828</v>
      </c>
      <c r="H31" s="26" t="s">
        <v>57</v>
      </c>
      <c r="I31" s="47" t="s">
        <v>828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4649</v>
      </c>
      <c r="C32" s="44" t="s">
        <v>4650</v>
      </c>
      <c r="D32" s="42" t="s">
        <v>4596</v>
      </c>
      <c r="E32" s="45">
        <v>46128</v>
      </c>
      <c r="F32" s="26" t="s">
        <v>55</v>
      </c>
      <c r="G32" s="47" t="s">
        <v>828</v>
      </c>
      <c r="H32" s="26" t="s">
        <v>57</v>
      </c>
      <c r="I32" s="47" t="s">
        <v>828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4651</v>
      </c>
      <c r="C33" s="25" t="s">
        <v>4652</v>
      </c>
      <c r="D33" s="23" t="s">
        <v>4596</v>
      </c>
      <c r="E33" s="45">
        <v>46128</v>
      </c>
      <c r="F33" s="26" t="s">
        <v>55</v>
      </c>
      <c r="G33" s="47" t="s">
        <v>828</v>
      </c>
      <c r="H33" s="26" t="s">
        <v>57</v>
      </c>
      <c r="I33" s="47" t="s">
        <v>828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4653</v>
      </c>
      <c r="C34" s="44" t="s">
        <v>4654</v>
      </c>
      <c r="D34" s="42" t="s">
        <v>4596</v>
      </c>
      <c r="E34" s="45">
        <v>46128</v>
      </c>
      <c r="F34" s="26" t="s">
        <v>55</v>
      </c>
      <c r="G34" s="47" t="s">
        <v>828</v>
      </c>
      <c r="H34" s="26" t="s">
        <v>57</v>
      </c>
      <c r="I34" s="47" t="s">
        <v>828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4655</v>
      </c>
      <c r="C35" s="25" t="s">
        <v>4656</v>
      </c>
      <c r="D35" s="23" t="s">
        <v>4596</v>
      </c>
      <c r="E35" s="45">
        <v>46128</v>
      </c>
      <c r="F35" s="26" t="s">
        <v>55</v>
      </c>
      <c r="G35" s="47" t="s">
        <v>828</v>
      </c>
      <c r="H35" s="26" t="s">
        <v>57</v>
      </c>
      <c r="I35" s="47" t="s">
        <v>828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4657</v>
      </c>
      <c r="C36" s="44" t="s">
        <v>4658</v>
      </c>
      <c r="D36" s="42" t="s">
        <v>4596</v>
      </c>
      <c r="E36" s="45">
        <v>46128</v>
      </c>
      <c r="F36" s="26" t="s">
        <v>55</v>
      </c>
      <c r="G36" s="47" t="s">
        <v>828</v>
      </c>
      <c r="H36" s="26" t="s">
        <v>57</v>
      </c>
      <c r="I36" s="47" t="s">
        <v>828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4659</v>
      </c>
      <c r="C37" s="25" t="s">
        <v>4660</v>
      </c>
      <c r="D37" s="23" t="s">
        <v>4596</v>
      </c>
      <c r="E37" s="45">
        <v>46128</v>
      </c>
      <c r="F37" s="26" t="s">
        <v>55</v>
      </c>
      <c r="G37" s="47" t="s">
        <v>828</v>
      </c>
      <c r="H37" s="26" t="s">
        <v>57</v>
      </c>
      <c r="I37" s="47" t="s">
        <v>828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4661</v>
      </c>
      <c r="C38" s="44" t="s">
        <v>4662</v>
      </c>
      <c r="D38" s="42" t="s">
        <v>4596</v>
      </c>
      <c r="E38" s="45">
        <v>46128</v>
      </c>
      <c r="F38" s="26" t="s">
        <v>55</v>
      </c>
      <c r="G38" s="47" t="s">
        <v>828</v>
      </c>
      <c r="H38" s="26" t="s">
        <v>57</v>
      </c>
      <c r="I38" s="47" t="s">
        <v>828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4663</v>
      </c>
      <c r="C39" s="25" t="s">
        <v>4664</v>
      </c>
      <c r="D39" s="23" t="s">
        <v>4596</v>
      </c>
      <c r="E39" s="45">
        <v>46128</v>
      </c>
      <c r="F39" s="26" t="s">
        <v>55</v>
      </c>
      <c r="G39" s="47" t="s">
        <v>828</v>
      </c>
      <c r="H39" s="26" t="s">
        <v>57</v>
      </c>
      <c r="I39" s="47" t="s">
        <v>828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4665</v>
      </c>
      <c r="C40" s="44" t="s">
        <v>4666</v>
      </c>
      <c r="D40" s="42" t="s">
        <v>4596</v>
      </c>
      <c r="E40" s="45">
        <v>46128</v>
      </c>
      <c r="F40" s="26" t="s">
        <v>55</v>
      </c>
      <c r="G40" s="47" t="s">
        <v>828</v>
      </c>
      <c r="H40" s="26" t="s">
        <v>57</v>
      </c>
      <c r="I40" s="47" t="s">
        <v>828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4667</v>
      </c>
      <c r="C41" s="25" t="s">
        <v>4668</v>
      </c>
      <c r="D41" s="23" t="s">
        <v>4596</v>
      </c>
      <c r="E41" s="45">
        <v>46128</v>
      </c>
      <c r="F41" s="26" t="s">
        <v>55</v>
      </c>
      <c r="G41" s="47" t="s">
        <v>828</v>
      </c>
      <c r="H41" s="26" t="s">
        <v>57</v>
      </c>
      <c r="I41" s="47" t="s">
        <v>828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4669</v>
      </c>
      <c r="C42" s="44" t="s">
        <v>4670</v>
      </c>
      <c r="D42" s="42" t="s">
        <v>4596</v>
      </c>
      <c r="E42" s="45">
        <v>46128</v>
      </c>
      <c r="F42" s="26" t="s">
        <v>55</v>
      </c>
      <c r="G42" s="47" t="s">
        <v>828</v>
      </c>
      <c r="H42" s="26" t="s">
        <v>57</v>
      </c>
      <c r="I42" s="47" t="s">
        <v>828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4671</v>
      </c>
      <c r="C43" s="25" t="s">
        <v>4672</v>
      </c>
      <c r="D43" s="23" t="s">
        <v>4596</v>
      </c>
      <c r="E43" s="45">
        <v>46128</v>
      </c>
      <c r="F43" s="26" t="s">
        <v>55</v>
      </c>
      <c r="G43" s="47" t="s">
        <v>56</v>
      </c>
      <c r="H43" s="26" t="s">
        <v>57</v>
      </c>
      <c r="I43" s="47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4673</v>
      </c>
      <c r="C44" s="44" t="s">
        <v>4674</v>
      </c>
      <c r="D44" s="42" t="s">
        <v>4596</v>
      </c>
      <c r="E44" s="45">
        <v>46128</v>
      </c>
      <c r="F44" s="26" t="s">
        <v>55</v>
      </c>
      <c r="G44" s="47" t="s">
        <v>828</v>
      </c>
      <c r="H44" s="26" t="s">
        <v>57</v>
      </c>
      <c r="I44" s="47" t="s">
        <v>828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4675</v>
      </c>
      <c r="C45" s="25" t="s">
        <v>4676</v>
      </c>
      <c r="D45" s="23" t="s">
        <v>4596</v>
      </c>
      <c r="E45" s="45">
        <v>46128</v>
      </c>
      <c r="F45" s="26" t="s">
        <v>55</v>
      </c>
      <c r="G45" s="47" t="s">
        <v>828</v>
      </c>
      <c r="H45" s="26" t="s">
        <v>57</v>
      </c>
      <c r="I45" s="47" t="s">
        <v>828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4677</v>
      </c>
      <c r="C46" s="44" t="s">
        <v>4678</v>
      </c>
      <c r="D46" s="42" t="s">
        <v>4596</v>
      </c>
      <c r="E46" s="45">
        <v>46128</v>
      </c>
      <c r="F46" s="26" t="s">
        <v>55</v>
      </c>
      <c r="G46" s="47" t="s">
        <v>828</v>
      </c>
      <c r="H46" s="26" t="s">
        <v>57</v>
      </c>
      <c r="I46" s="47" t="s">
        <v>828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4679</v>
      </c>
      <c r="C47" s="25" t="s">
        <v>4680</v>
      </c>
      <c r="D47" s="23" t="s">
        <v>4596</v>
      </c>
      <c r="E47" s="45">
        <v>46128</v>
      </c>
      <c r="F47" s="26" t="s">
        <v>55</v>
      </c>
      <c r="G47" s="47" t="s">
        <v>828</v>
      </c>
      <c r="H47" s="26" t="s">
        <v>57</v>
      </c>
      <c r="I47" s="47" t="s">
        <v>828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4681</v>
      </c>
      <c r="C48" s="44" t="s">
        <v>4682</v>
      </c>
      <c r="D48" s="42" t="s">
        <v>4596</v>
      </c>
      <c r="E48" s="45">
        <v>46128</v>
      </c>
      <c r="F48" s="26" t="s">
        <v>55</v>
      </c>
      <c r="G48" s="47" t="s">
        <v>828</v>
      </c>
      <c r="H48" s="26" t="s">
        <v>57</v>
      </c>
      <c r="I48" s="47" t="s">
        <v>828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4683</v>
      </c>
      <c r="C49" s="25" t="s">
        <v>4684</v>
      </c>
      <c r="D49" s="23" t="s">
        <v>4596</v>
      </c>
      <c r="E49" s="45">
        <v>46128</v>
      </c>
      <c r="F49" s="26" t="s">
        <v>55</v>
      </c>
      <c r="G49" s="47" t="s">
        <v>828</v>
      </c>
      <c r="H49" s="26" t="s">
        <v>57</v>
      </c>
      <c r="I49" s="47" t="s">
        <v>828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4685</v>
      </c>
      <c r="C50" s="44" t="s">
        <v>4686</v>
      </c>
      <c r="D50" s="42" t="s">
        <v>4596</v>
      </c>
      <c r="E50" s="45">
        <v>46128</v>
      </c>
      <c r="F50" s="26" t="s">
        <v>55</v>
      </c>
      <c r="G50" s="47" t="s">
        <v>828</v>
      </c>
      <c r="H50" s="26" t="s">
        <v>57</v>
      </c>
      <c r="I50" s="47" t="s">
        <v>828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4687</v>
      </c>
      <c r="C51" s="25" t="s">
        <v>4688</v>
      </c>
      <c r="D51" s="23" t="s">
        <v>4596</v>
      </c>
      <c r="E51" s="45">
        <v>46128</v>
      </c>
      <c r="F51" s="26" t="s">
        <v>55</v>
      </c>
      <c r="G51" s="47" t="s">
        <v>56</v>
      </c>
      <c r="H51" s="26" t="s">
        <v>57</v>
      </c>
      <c r="I51" s="47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4689</v>
      </c>
      <c r="C52" s="44" t="s">
        <v>4690</v>
      </c>
      <c r="D52" s="42" t="s">
        <v>4596</v>
      </c>
      <c r="E52" s="45">
        <v>46128</v>
      </c>
      <c r="F52" s="26" t="s">
        <v>55</v>
      </c>
      <c r="G52" s="47" t="s">
        <v>828</v>
      </c>
      <c r="H52" s="26" t="s">
        <v>57</v>
      </c>
      <c r="I52" s="47" t="s">
        <v>828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4691</v>
      </c>
      <c r="C53" s="25" t="s">
        <v>4692</v>
      </c>
      <c r="D53" s="23" t="s">
        <v>4596</v>
      </c>
      <c r="E53" s="45">
        <v>46128</v>
      </c>
      <c r="F53" s="26" t="s">
        <v>55</v>
      </c>
      <c r="G53" s="47" t="s">
        <v>57</v>
      </c>
      <c r="H53" s="26" t="s">
        <v>57</v>
      </c>
      <c r="I53" s="47" t="s">
        <v>88</v>
      </c>
      <c r="J53" s="26" t="s">
        <v>57</v>
      </c>
      <c r="K53" s="27"/>
      <c r="L53" s="28" t="s">
        <v>56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4693</v>
      </c>
      <c r="C54" s="44" t="s">
        <v>4694</v>
      </c>
      <c r="D54" s="42" t="s">
        <v>4596</v>
      </c>
      <c r="E54" s="45">
        <v>46128</v>
      </c>
      <c r="F54" s="26" t="s">
        <v>55</v>
      </c>
      <c r="G54" s="47" t="s">
        <v>57</v>
      </c>
      <c r="H54" s="26" t="s">
        <v>57</v>
      </c>
      <c r="I54" s="47" t="s">
        <v>88</v>
      </c>
      <c r="J54" s="26" t="s">
        <v>57</v>
      </c>
      <c r="K54" s="27"/>
      <c r="L54" s="28" t="s">
        <v>56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4695</v>
      </c>
      <c r="C55" s="25" t="s">
        <v>4696</v>
      </c>
      <c r="D55" s="23" t="s">
        <v>4596</v>
      </c>
      <c r="E55" s="45">
        <v>46128</v>
      </c>
      <c r="F55" s="26" t="s">
        <v>55</v>
      </c>
      <c r="G55" s="47" t="s">
        <v>57</v>
      </c>
      <c r="H55" s="26" t="s">
        <v>57</v>
      </c>
      <c r="I55" s="47" t="s">
        <v>88</v>
      </c>
      <c r="J55" s="26" t="s">
        <v>57</v>
      </c>
      <c r="K55" s="27"/>
      <c r="L55" s="28" t="s">
        <v>56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4697</v>
      </c>
      <c r="C56" s="44" t="s">
        <v>4698</v>
      </c>
      <c r="D56" s="42" t="s">
        <v>4596</v>
      </c>
      <c r="E56" s="45">
        <v>46128</v>
      </c>
      <c r="F56" s="26" t="s">
        <v>55</v>
      </c>
      <c r="G56" s="47" t="s">
        <v>57</v>
      </c>
      <c r="H56" s="26" t="s">
        <v>57</v>
      </c>
      <c r="I56" s="47" t="s">
        <v>88</v>
      </c>
      <c r="J56" s="26" t="s">
        <v>57</v>
      </c>
      <c r="K56" s="27"/>
      <c r="L56" s="28" t="s">
        <v>56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4699</v>
      </c>
      <c r="C57" s="25" t="s">
        <v>4700</v>
      </c>
      <c r="D57" s="23" t="s">
        <v>4596</v>
      </c>
      <c r="E57" s="45">
        <v>46128</v>
      </c>
      <c r="F57" s="26" t="s">
        <v>55</v>
      </c>
      <c r="G57" s="47" t="s">
        <v>57</v>
      </c>
      <c r="H57" s="26" t="s">
        <v>57</v>
      </c>
      <c r="I57" s="47" t="s">
        <v>88</v>
      </c>
      <c r="J57" s="26" t="s">
        <v>57</v>
      </c>
      <c r="K57" s="27"/>
      <c r="L57" s="28" t="s">
        <v>56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4701</v>
      </c>
      <c r="C58" s="44" t="s">
        <v>4702</v>
      </c>
      <c r="D58" s="42" t="s">
        <v>4596</v>
      </c>
      <c r="E58" s="45">
        <v>46128</v>
      </c>
      <c r="F58" s="26" t="s">
        <v>55</v>
      </c>
      <c r="G58" s="47" t="s">
        <v>57</v>
      </c>
      <c r="H58" s="26" t="s">
        <v>57</v>
      </c>
      <c r="I58" s="47" t="s">
        <v>88</v>
      </c>
      <c r="J58" s="26" t="s">
        <v>57</v>
      </c>
      <c r="K58" s="27"/>
      <c r="L58" s="28" t="s">
        <v>56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4703</v>
      </c>
      <c r="C59" s="25" t="s">
        <v>4704</v>
      </c>
      <c r="D59" s="23" t="s">
        <v>4596</v>
      </c>
      <c r="E59" s="45">
        <v>46128</v>
      </c>
      <c r="F59" s="26" t="s">
        <v>55</v>
      </c>
      <c r="G59" s="47" t="s">
        <v>57</v>
      </c>
      <c r="H59" s="26" t="s">
        <v>57</v>
      </c>
      <c r="I59" s="47" t="s">
        <v>88</v>
      </c>
      <c r="J59" s="26" t="s">
        <v>57</v>
      </c>
      <c r="K59" s="27"/>
      <c r="L59" s="28" t="s">
        <v>56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4705</v>
      </c>
      <c r="C60" s="44" t="s">
        <v>4706</v>
      </c>
      <c r="D60" s="42" t="s">
        <v>4596</v>
      </c>
      <c r="E60" s="45">
        <v>46128</v>
      </c>
      <c r="F60" s="26" t="s">
        <v>55</v>
      </c>
      <c r="G60" s="47" t="s">
        <v>57</v>
      </c>
      <c r="H60" s="26" t="s">
        <v>57</v>
      </c>
      <c r="I60" s="47" t="s">
        <v>88</v>
      </c>
      <c r="J60" s="26" t="s">
        <v>57</v>
      </c>
      <c r="K60" s="27"/>
      <c r="L60" s="28" t="s">
        <v>56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4707</v>
      </c>
      <c r="C61" s="25" t="s">
        <v>4708</v>
      </c>
      <c r="D61" s="23" t="s">
        <v>4596</v>
      </c>
      <c r="E61" s="45">
        <v>46128</v>
      </c>
      <c r="F61" s="26" t="s">
        <v>55</v>
      </c>
      <c r="G61" s="47" t="s">
        <v>57</v>
      </c>
      <c r="H61" s="26" t="s">
        <v>57</v>
      </c>
      <c r="I61" s="47" t="s">
        <v>88</v>
      </c>
      <c r="J61" s="26" t="s">
        <v>57</v>
      </c>
      <c r="K61" s="27"/>
      <c r="L61" s="28" t="s">
        <v>56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4709</v>
      </c>
      <c r="C62" s="44" t="s">
        <v>4710</v>
      </c>
      <c r="D62" s="42" t="s">
        <v>4596</v>
      </c>
      <c r="E62" s="45">
        <v>46128</v>
      </c>
      <c r="F62" s="26" t="s">
        <v>55</v>
      </c>
      <c r="G62" s="47" t="s">
        <v>57</v>
      </c>
      <c r="H62" s="26" t="s">
        <v>57</v>
      </c>
      <c r="I62" s="47" t="s">
        <v>88</v>
      </c>
      <c r="J62" s="26" t="s">
        <v>57</v>
      </c>
      <c r="K62" s="27"/>
      <c r="L62" s="28" t="s">
        <v>56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4711</v>
      </c>
      <c r="C63" s="25" t="s">
        <v>4712</v>
      </c>
      <c r="D63" s="23" t="s">
        <v>4596</v>
      </c>
      <c r="E63" s="45">
        <v>46128</v>
      </c>
      <c r="F63" s="26" t="s">
        <v>55</v>
      </c>
      <c r="G63" s="47" t="s">
        <v>57</v>
      </c>
      <c r="H63" s="26" t="s">
        <v>57</v>
      </c>
      <c r="I63" s="47" t="s">
        <v>88</v>
      </c>
      <c r="J63" s="26" t="s">
        <v>57</v>
      </c>
      <c r="K63" s="27"/>
      <c r="L63" s="28" t="s">
        <v>56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4713</v>
      </c>
      <c r="C64" s="44" t="s">
        <v>4714</v>
      </c>
      <c r="D64" s="42" t="s">
        <v>4596</v>
      </c>
      <c r="E64" s="45">
        <v>46128</v>
      </c>
      <c r="F64" s="26" t="s">
        <v>55</v>
      </c>
      <c r="G64" s="47" t="s">
        <v>57</v>
      </c>
      <c r="H64" s="26" t="s">
        <v>57</v>
      </c>
      <c r="I64" s="47" t="s">
        <v>88</v>
      </c>
      <c r="J64" s="26" t="s">
        <v>57</v>
      </c>
      <c r="K64" s="27"/>
      <c r="L64" s="28" t="s">
        <v>56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4715</v>
      </c>
      <c r="C65" s="25" t="s">
        <v>4716</v>
      </c>
      <c r="D65" s="23" t="s">
        <v>4596</v>
      </c>
      <c r="E65" s="45">
        <v>46128</v>
      </c>
      <c r="F65" s="26" t="s">
        <v>55</v>
      </c>
      <c r="G65" s="47" t="s">
        <v>57</v>
      </c>
      <c r="H65" s="26" t="s">
        <v>57</v>
      </c>
      <c r="I65" s="47" t="s">
        <v>88</v>
      </c>
      <c r="J65" s="26" t="s">
        <v>57</v>
      </c>
      <c r="K65" s="27"/>
      <c r="L65" s="28" t="s">
        <v>56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4717</v>
      </c>
      <c r="C66" s="44" t="s">
        <v>4718</v>
      </c>
      <c r="D66" s="42" t="s">
        <v>4596</v>
      </c>
      <c r="E66" s="45">
        <v>46128</v>
      </c>
      <c r="F66" s="26" t="s">
        <v>55</v>
      </c>
      <c r="G66" s="47" t="s">
        <v>57</v>
      </c>
      <c r="H66" s="26" t="s">
        <v>57</v>
      </c>
      <c r="I66" s="47" t="s">
        <v>88</v>
      </c>
      <c r="J66" s="26" t="s">
        <v>57</v>
      </c>
      <c r="K66" s="27"/>
      <c r="L66" s="28" t="s">
        <v>56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4719</v>
      </c>
      <c r="C67" s="25" t="s">
        <v>4720</v>
      </c>
      <c r="D67" s="23" t="s">
        <v>4596</v>
      </c>
      <c r="E67" s="45">
        <v>46128</v>
      </c>
      <c r="F67" s="26" t="s">
        <v>55</v>
      </c>
      <c r="G67" s="47" t="s">
        <v>57</v>
      </c>
      <c r="H67" s="26" t="s">
        <v>57</v>
      </c>
      <c r="I67" s="47" t="s">
        <v>88</v>
      </c>
      <c r="J67" s="26" t="s">
        <v>57</v>
      </c>
      <c r="K67" s="27"/>
      <c r="L67" s="28" t="s">
        <v>56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4721</v>
      </c>
      <c r="C68" s="44" t="s">
        <v>4722</v>
      </c>
      <c r="D68" s="42" t="s">
        <v>4596</v>
      </c>
      <c r="E68" s="45">
        <v>46128</v>
      </c>
      <c r="F68" s="26" t="s">
        <v>55</v>
      </c>
      <c r="G68" s="47" t="s">
        <v>57</v>
      </c>
      <c r="H68" s="26" t="s">
        <v>57</v>
      </c>
      <c r="I68" s="47" t="s">
        <v>88</v>
      </c>
      <c r="J68" s="26" t="s">
        <v>57</v>
      </c>
      <c r="K68" s="27"/>
      <c r="L68" s="28" t="s">
        <v>56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4723</v>
      </c>
      <c r="C69" s="25" t="s">
        <v>4724</v>
      </c>
      <c r="D69" s="23" t="s">
        <v>4596</v>
      </c>
      <c r="E69" s="45">
        <v>46128</v>
      </c>
      <c r="F69" s="26" t="s">
        <v>55</v>
      </c>
      <c r="G69" s="47" t="s">
        <v>57</v>
      </c>
      <c r="H69" s="26" t="s">
        <v>57</v>
      </c>
      <c r="I69" s="47" t="s">
        <v>88</v>
      </c>
      <c r="J69" s="26" t="s">
        <v>57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4725</v>
      </c>
      <c r="C70" s="44" t="s">
        <v>4726</v>
      </c>
      <c r="D70" s="42" t="s">
        <v>4596</v>
      </c>
      <c r="E70" s="45">
        <v>46128</v>
      </c>
      <c r="F70" s="26" t="s">
        <v>55</v>
      </c>
      <c r="G70" s="47" t="s">
        <v>57</v>
      </c>
      <c r="H70" s="26" t="s">
        <v>57</v>
      </c>
      <c r="I70" s="47" t="s">
        <v>88</v>
      </c>
      <c r="J70" s="26" t="s">
        <v>57</v>
      </c>
      <c r="K70" s="27"/>
      <c r="L70" s="28" t="s">
        <v>56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4727</v>
      </c>
      <c r="C71" s="25" t="s">
        <v>4728</v>
      </c>
      <c r="D71" s="23" t="s">
        <v>4596</v>
      </c>
      <c r="E71" s="45">
        <v>46128</v>
      </c>
      <c r="F71" s="26" t="s">
        <v>55</v>
      </c>
      <c r="G71" s="47" t="s">
        <v>57</v>
      </c>
      <c r="H71" s="26" t="s">
        <v>57</v>
      </c>
      <c r="I71" s="47" t="s">
        <v>88</v>
      </c>
      <c r="J71" s="26" t="s">
        <v>57</v>
      </c>
      <c r="K71" s="27"/>
      <c r="L71" s="28" t="s">
        <v>56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4729</v>
      </c>
      <c r="C72" s="44" t="s">
        <v>4730</v>
      </c>
      <c r="D72" s="42" t="s">
        <v>4596</v>
      </c>
      <c r="E72" s="45">
        <v>46128</v>
      </c>
      <c r="F72" s="26" t="s">
        <v>55</v>
      </c>
      <c r="G72" s="47" t="s">
        <v>57</v>
      </c>
      <c r="H72" s="26" t="s">
        <v>57</v>
      </c>
      <c r="I72" s="47" t="s">
        <v>88</v>
      </c>
      <c r="J72" s="26" t="s">
        <v>57</v>
      </c>
      <c r="K72" s="27"/>
      <c r="L72" s="28" t="s">
        <v>56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4731</v>
      </c>
      <c r="C73" s="25" t="s">
        <v>4732</v>
      </c>
      <c r="D73" s="23" t="s">
        <v>4596</v>
      </c>
      <c r="E73" s="45">
        <v>46128</v>
      </c>
      <c r="F73" s="26" t="s">
        <v>55</v>
      </c>
      <c r="G73" s="47" t="s">
        <v>57</v>
      </c>
      <c r="H73" s="26" t="s">
        <v>57</v>
      </c>
      <c r="I73" s="47" t="s">
        <v>88</v>
      </c>
      <c r="J73" s="26" t="s">
        <v>57</v>
      </c>
      <c r="K73" s="27"/>
      <c r="L73" s="28" t="s">
        <v>56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4733</v>
      </c>
      <c r="C74" s="44" t="s">
        <v>4734</v>
      </c>
      <c r="D74" s="42" t="s">
        <v>4596</v>
      </c>
      <c r="E74" s="45">
        <v>46128</v>
      </c>
      <c r="F74" s="26" t="s">
        <v>55</v>
      </c>
      <c r="G74" s="47" t="s">
        <v>57</v>
      </c>
      <c r="H74" s="26" t="s">
        <v>57</v>
      </c>
      <c r="I74" s="47" t="s">
        <v>88</v>
      </c>
      <c r="J74" s="26" t="s">
        <v>57</v>
      </c>
      <c r="K74" s="27"/>
      <c r="L74" s="28" t="s">
        <v>56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4735</v>
      </c>
      <c r="C75" s="25" t="s">
        <v>4736</v>
      </c>
      <c r="D75" s="23" t="s">
        <v>4596</v>
      </c>
      <c r="E75" s="45">
        <v>46128</v>
      </c>
      <c r="F75" s="26" t="s">
        <v>55</v>
      </c>
      <c r="G75" s="47" t="s">
        <v>57</v>
      </c>
      <c r="H75" s="26" t="s">
        <v>57</v>
      </c>
      <c r="I75" s="47" t="s">
        <v>88</v>
      </c>
      <c r="J75" s="26" t="s">
        <v>57</v>
      </c>
      <c r="K75" s="27"/>
      <c r="L75" s="28" t="s">
        <v>56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4737</v>
      </c>
      <c r="C76" s="44" t="s">
        <v>4738</v>
      </c>
      <c r="D76" s="42" t="s">
        <v>4596</v>
      </c>
      <c r="E76" s="45">
        <v>46128</v>
      </c>
      <c r="F76" s="26" t="s">
        <v>55</v>
      </c>
      <c r="G76" s="47" t="s">
        <v>57</v>
      </c>
      <c r="H76" s="26" t="s">
        <v>57</v>
      </c>
      <c r="I76" s="47" t="s">
        <v>88</v>
      </c>
      <c r="J76" s="26" t="s">
        <v>57</v>
      </c>
      <c r="K76" s="27"/>
      <c r="L76" s="28" t="s">
        <v>56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4739</v>
      </c>
      <c r="C77" s="25" t="s">
        <v>4740</v>
      </c>
      <c r="D77" s="23" t="s">
        <v>4596</v>
      </c>
      <c r="E77" s="45">
        <v>46128</v>
      </c>
      <c r="F77" s="26" t="s">
        <v>55</v>
      </c>
      <c r="G77" s="47" t="s">
        <v>57</v>
      </c>
      <c r="H77" s="26" t="s">
        <v>57</v>
      </c>
      <c r="I77" s="47" t="s">
        <v>88</v>
      </c>
      <c r="J77" s="26" t="s">
        <v>57</v>
      </c>
      <c r="K77" s="27"/>
      <c r="L77" s="28" t="s">
        <v>56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4741</v>
      </c>
      <c r="C78" s="44" t="s">
        <v>4742</v>
      </c>
      <c r="D78" s="42" t="s">
        <v>4596</v>
      </c>
      <c r="E78" s="45">
        <v>46128</v>
      </c>
      <c r="F78" s="26" t="s">
        <v>55</v>
      </c>
      <c r="G78" s="47" t="s">
        <v>57</v>
      </c>
      <c r="H78" s="26" t="s">
        <v>57</v>
      </c>
      <c r="I78" s="47" t="s">
        <v>88</v>
      </c>
      <c r="J78" s="26" t="s">
        <v>57</v>
      </c>
      <c r="K78" s="27"/>
      <c r="L78" s="28" t="s">
        <v>56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4743</v>
      </c>
      <c r="C79" s="25" t="s">
        <v>4744</v>
      </c>
      <c r="D79" s="23" t="s">
        <v>4596</v>
      </c>
      <c r="E79" s="45">
        <v>46128</v>
      </c>
      <c r="F79" s="26" t="s">
        <v>55</v>
      </c>
      <c r="G79" s="47" t="s">
        <v>57</v>
      </c>
      <c r="H79" s="26" t="s">
        <v>57</v>
      </c>
      <c r="I79" s="47" t="s">
        <v>88</v>
      </c>
      <c r="J79" s="26" t="s">
        <v>57</v>
      </c>
      <c r="K79" s="27"/>
      <c r="L79" s="28" t="s">
        <v>56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4745</v>
      </c>
      <c r="C80" s="44" t="s">
        <v>4746</v>
      </c>
      <c r="D80" s="42" t="s">
        <v>4596</v>
      </c>
      <c r="E80" s="45">
        <v>46128</v>
      </c>
      <c r="F80" s="26" t="s">
        <v>55</v>
      </c>
      <c r="G80" s="47" t="s">
        <v>57</v>
      </c>
      <c r="H80" s="26" t="s">
        <v>57</v>
      </c>
      <c r="I80" s="47" t="s">
        <v>88</v>
      </c>
      <c r="J80" s="26" t="s">
        <v>57</v>
      </c>
      <c r="K80" s="27"/>
      <c r="L80" s="28" t="s">
        <v>56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4747</v>
      </c>
      <c r="C81" s="25" t="s">
        <v>4748</v>
      </c>
      <c r="D81" s="23" t="s">
        <v>4596</v>
      </c>
      <c r="E81" s="45">
        <v>46128</v>
      </c>
      <c r="F81" s="26" t="s">
        <v>55</v>
      </c>
      <c r="G81" s="47" t="s">
        <v>57</v>
      </c>
      <c r="H81" s="26" t="s">
        <v>57</v>
      </c>
      <c r="I81" s="47" t="s">
        <v>88</v>
      </c>
      <c r="J81" s="26" t="s">
        <v>57</v>
      </c>
      <c r="K81" s="27"/>
      <c r="L81" s="28" t="s">
        <v>56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4749</v>
      </c>
      <c r="C82" s="44" t="s">
        <v>4750</v>
      </c>
      <c r="D82" s="42" t="s">
        <v>4596</v>
      </c>
      <c r="E82" s="45">
        <v>46128</v>
      </c>
      <c r="F82" s="26" t="s">
        <v>55</v>
      </c>
      <c r="G82" s="47" t="s">
        <v>57</v>
      </c>
      <c r="H82" s="26" t="s">
        <v>57</v>
      </c>
      <c r="I82" s="47" t="s">
        <v>88</v>
      </c>
      <c r="J82" s="26" t="s">
        <v>57</v>
      </c>
      <c r="K82" s="27"/>
      <c r="L82" s="28" t="s">
        <v>56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4751</v>
      </c>
      <c r="C83" s="25" t="s">
        <v>4752</v>
      </c>
      <c r="D83" s="23" t="s">
        <v>4596</v>
      </c>
      <c r="E83" s="45">
        <v>46128</v>
      </c>
      <c r="F83" s="26" t="s">
        <v>55</v>
      </c>
      <c r="G83" s="47" t="s">
        <v>57</v>
      </c>
      <c r="H83" s="26" t="s">
        <v>57</v>
      </c>
      <c r="I83" s="47" t="s">
        <v>88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4753</v>
      </c>
      <c r="C84" s="44" t="s">
        <v>4754</v>
      </c>
      <c r="D84" s="42" t="s">
        <v>4596</v>
      </c>
      <c r="E84" s="45">
        <v>46128</v>
      </c>
      <c r="F84" s="26" t="s">
        <v>55</v>
      </c>
      <c r="G84" s="47" t="s">
        <v>57</v>
      </c>
      <c r="H84" s="26" t="s">
        <v>57</v>
      </c>
      <c r="I84" s="47" t="s">
        <v>88</v>
      </c>
      <c r="J84" s="26" t="s">
        <v>57</v>
      </c>
      <c r="K84" s="27"/>
      <c r="L84" s="28" t="s">
        <v>56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4755</v>
      </c>
      <c r="C85" s="25" t="s">
        <v>4756</v>
      </c>
      <c r="D85" s="23" t="s">
        <v>4596</v>
      </c>
      <c r="E85" s="45">
        <v>46128</v>
      </c>
      <c r="F85" s="26" t="s">
        <v>55</v>
      </c>
      <c r="G85" s="47" t="s">
        <v>57</v>
      </c>
      <c r="H85" s="26" t="s">
        <v>57</v>
      </c>
      <c r="I85" s="47" t="s">
        <v>88</v>
      </c>
      <c r="J85" s="26" t="s">
        <v>57</v>
      </c>
      <c r="K85" s="27"/>
      <c r="L85" s="28" t="s">
        <v>56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4757</v>
      </c>
      <c r="C86" s="44" t="s">
        <v>4758</v>
      </c>
      <c r="D86" s="42" t="s">
        <v>4596</v>
      </c>
      <c r="E86" s="45">
        <v>46128</v>
      </c>
      <c r="F86" s="26" t="s">
        <v>55</v>
      </c>
      <c r="G86" s="47" t="s">
        <v>57</v>
      </c>
      <c r="H86" s="26" t="s">
        <v>57</v>
      </c>
      <c r="I86" s="47" t="s">
        <v>88</v>
      </c>
      <c r="J86" s="26" t="s">
        <v>57</v>
      </c>
      <c r="K86" s="27"/>
      <c r="L86" s="28" t="s">
        <v>56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4759</v>
      </c>
      <c r="C87" s="25" t="s">
        <v>4760</v>
      </c>
      <c r="D87" s="23" t="s">
        <v>4596</v>
      </c>
      <c r="E87" s="45">
        <v>46128</v>
      </c>
      <c r="F87" s="26" t="s">
        <v>55</v>
      </c>
      <c r="G87" s="47" t="s">
        <v>57</v>
      </c>
      <c r="H87" s="26" t="s">
        <v>57</v>
      </c>
      <c r="I87" s="47" t="s">
        <v>88</v>
      </c>
      <c r="J87" s="26" t="s">
        <v>57</v>
      </c>
      <c r="K87" s="27"/>
      <c r="L87" s="28" t="s">
        <v>56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4761</v>
      </c>
      <c r="C88" s="44" t="s">
        <v>4762</v>
      </c>
      <c r="D88" s="42" t="s">
        <v>4596</v>
      </c>
      <c r="E88" s="45">
        <v>46128</v>
      </c>
      <c r="F88" s="26" t="s">
        <v>55</v>
      </c>
      <c r="G88" s="47" t="s">
        <v>57</v>
      </c>
      <c r="H88" s="26" t="s">
        <v>57</v>
      </c>
      <c r="I88" s="47" t="s">
        <v>88</v>
      </c>
      <c r="J88" s="26" t="s">
        <v>57</v>
      </c>
      <c r="K88" s="27"/>
      <c r="L88" s="28" t="s">
        <v>56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4763</v>
      </c>
      <c r="C89" s="25" t="s">
        <v>4764</v>
      </c>
      <c r="D89" s="23" t="s">
        <v>4596</v>
      </c>
      <c r="E89" s="45">
        <v>46128</v>
      </c>
      <c r="F89" s="26" t="s">
        <v>55</v>
      </c>
      <c r="G89" s="47" t="s">
        <v>57</v>
      </c>
      <c r="H89" s="26" t="s">
        <v>57</v>
      </c>
      <c r="I89" s="47" t="s">
        <v>88</v>
      </c>
      <c r="J89" s="26" t="s">
        <v>57</v>
      </c>
      <c r="K89" s="27"/>
      <c r="L89" s="28" t="s">
        <v>56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4765</v>
      </c>
      <c r="C90" s="44" t="s">
        <v>4766</v>
      </c>
      <c r="D90" s="42" t="s">
        <v>4596</v>
      </c>
      <c r="E90" s="45">
        <v>46128</v>
      </c>
      <c r="F90" s="26" t="s">
        <v>55</v>
      </c>
      <c r="G90" s="47" t="s">
        <v>828</v>
      </c>
      <c r="H90" s="26" t="s">
        <v>57</v>
      </c>
      <c r="I90" s="47" t="s">
        <v>828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4767</v>
      </c>
      <c r="C91" s="25" t="s">
        <v>4768</v>
      </c>
      <c r="D91" s="23" t="s">
        <v>4596</v>
      </c>
      <c r="E91" s="45">
        <v>46128</v>
      </c>
      <c r="F91" s="26" t="s">
        <v>55</v>
      </c>
      <c r="G91" s="47" t="s">
        <v>828</v>
      </c>
      <c r="H91" s="26" t="s">
        <v>57</v>
      </c>
      <c r="I91" s="47" t="s">
        <v>828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4769</v>
      </c>
      <c r="C92" s="44" t="s">
        <v>4770</v>
      </c>
      <c r="D92" s="42" t="s">
        <v>4596</v>
      </c>
      <c r="E92" s="45">
        <v>46128</v>
      </c>
      <c r="F92" s="26" t="s">
        <v>55</v>
      </c>
      <c r="G92" s="47" t="s">
        <v>828</v>
      </c>
      <c r="H92" s="26" t="s">
        <v>57</v>
      </c>
      <c r="I92" s="47" t="s">
        <v>828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4771</v>
      </c>
      <c r="C93" s="25" t="s">
        <v>4772</v>
      </c>
      <c r="D93" s="23" t="s">
        <v>4596</v>
      </c>
      <c r="E93" s="45">
        <v>46128</v>
      </c>
      <c r="F93" s="26" t="s">
        <v>55</v>
      </c>
      <c r="G93" s="47" t="s">
        <v>828</v>
      </c>
      <c r="H93" s="26" t="s">
        <v>57</v>
      </c>
      <c r="I93" s="47" t="s">
        <v>828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4773</v>
      </c>
      <c r="C94" s="44" t="s">
        <v>4774</v>
      </c>
      <c r="D94" s="42" t="s">
        <v>4596</v>
      </c>
      <c r="E94" s="45">
        <v>46128</v>
      </c>
      <c r="F94" s="26" t="s">
        <v>55</v>
      </c>
      <c r="G94" s="47" t="s">
        <v>828</v>
      </c>
      <c r="H94" s="26" t="s">
        <v>57</v>
      </c>
      <c r="I94" s="47" t="s">
        <v>828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4775</v>
      </c>
      <c r="C95" s="25" t="s">
        <v>4776</v>
      </c>
      <c r="D95" s="23" t="s">
        <v>4596</v>
      </c>
      <c r="E95" s="45">
        <v>46128</v>
      </c>
      <c r="F95" s="26" t="s">
        <v>55</v>
      </c>
      <c r="G95" s="47" t="s">
        <v>828</v>
      </c>
      <c r="H95" s="26" t="s">
        <v>57</v>
      </c>
      <c r="I95" s="47" t="s">
        <v>828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4777</v>
      </c>
      <c r="C96" s="44" t="s">
        <v>4778</v>
      </c>
      <c r="D96" s="42" t="s">
        <v>4596</v>
      </c>
      <c r="E96" s="45">
        <v>46128</v>
      </c>
      <c r="F96" s="26" t="s">
        <v>55</v>
      </c>
      <c r="G96" s="47" t="s">
        <v>828</v>
      </c>
      <c r="H96" s="26" t="s">
        <v>57</v>
      </c>
      <c r="I96" s="47" t="s">
        <v>828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4779</v>
      </c>
      <c r="C97" s="25" t="s">
        <v>4780</v>
      </c>
      <c r="D97" s="23" t="s">
        <v>4596</v>
      </c>
      <c r="E97" s="45">
        <v>46128</v>
      </c>
      <c r="F97" s="26" t="s">
        <v>55</v>
      </c>
      <c r="G97" s="47" t="s">
        <v>828</v>
      </c>
      <c r="H97" s="26" t="s">
        <v>57</v>
      </c>
      <c r="I97" s="47" t="s">
        <v>828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4781</v>
      </c>
      <c r="C98" s="44" t="s">
        <v>4782</v>
      </c>
      <c r="D98" s="42" t="s">
        <v>4596</v>
      </c>
      <c r="E98" s="45">
        <v>46128</v>
      </c>
      <c r="F98" s="26" t="s">
        <v>55</v>
      </c>
      <c r="G98" s="47" t="s">
        <v>56</v>
      </c>
      <c r="H98" s="26" t="s">
        <v>57</v>
      </c>
      <c r="I98" s="47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4783</v>
      </c>
      <c r="C99" s="25" t="s">
        <v>4784</v>
      </c>
      <c r="D99" s="23" t="s">
        <v>4596</v>
      </c>
      <c r="E99" s="45">
        <v>46128</v>
      </c>
      <c r="F99" s="26" t="s">
        <v>55</v>
      </c>
      <c r="G99" s="47" t="s">
        <v>828</v>
      </c>
      <c r="H99" s="26" t="s">
        <v>57</v>
      </c>
      <c r="I99" s="47" t="s">
        <v>828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4785</v>
      </c>
      <c r="C100" s="44" t="s">
        <v>4786</v>
      </c>
      <c r="D100" s="42" t="s">
        <v>4596</v>
      </c>
      <c r="E100" s="45">
        <v>46128</v>
      </c>
      <c r="F100" s="26" t="s">
        <v>55</v>
      </c>
      <c r="G100" s="47" t="s">
        <v>56</v>
      </c>
      <c r="H100" s="26" t="s">
        <v>57</v>
      </c>
      <c r="I100" s="47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4787</v>
      </c>
      <c r="C101" s="25" t="s">
        <v>4788</v>
      </c>
      <c r="D101" s="23" t="s">
        <v>4596</v>
      </c>
      <c r="E101" s="45">
        <v>46128</v>
      </c>
      <c r="F101" s="26" t="s">
        <v>55</v>
      </c>
      <c r="G101" s="47" t="s">
        <v>828</v>
      </c>
      <c r="H101" s="26" t="s">
        <v>57</v>
      </c>
      <c r="I101" s="47" t="s">
        <v>828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4789</v>
      </c>
      <c r="C102" s="44" t="s">
        <v>4790</v>
      </c>
      <c r="D102" s="42" t="s">
        <v>4596</v>
      </c>
      <c r="E102" s="45">
        <v>46128</v>
      </c>
      <c r="F102" s="26" t="s">
        <v>55</v>
      </c>
      <c r="G102" s="47" t="s">
        <v>828</v>
      </c>
      <c r="H102" s="26" t="s">
        <v>57</v>
      </c>
      <c r="I102" s="47" t="s">
        <v>828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4791</v>
      </c>
      <c r="C103" s="25" t="s">
        <v>4792</v>
      </c>
      <c r="D103" s="23" t="s">
        <v>4596</v>
      </c>
      <c r="E103" s="45">
        <v>46128</v>
      </c>
      <c r="F103" s="26" t="s">
        <v>55</v>
      </c>
      <c r="G103" s="47" t="s">
        <v>828</v>
      </c>
      <c r="H103" s="26" t="s">
        <v>57</v>
      </c>
      <c r="I103" s="47" t="s">
        <v>828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4793</v>
      </c>
      <c r="C104" s="44" t="s">
        <v>4794</v>
      </c>
      <c r="D104" s="42" t="s">
        <v>4596</v>
      </c>
      <c r="E104" s="45">
        <v>46128</v>
      </c>
      <c r="F104" s="26" t="s">
        <v>55</v>
      </c>
      <c r="G104" s="47" t="s">
        <v>828</v>
      </c>
      <c r="H104" s="26" t="s">
        <v>57</v>
      </c>
      <c r="I104" s="47" t="s">
        <v>828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4795</v>
      </c>
      <c r="C105" s="25" t="s">
        <v>4796</v>
      </c>
      <c r="D105" s="23" t="s">
        <v>4596</v>
      </c>
      <c r="E105" s="45">
        <v>46128</v>
      </c>
      <c r="F105" s="26" t="s">
        <v>55</v>
      </c>
      <c r="G105" s="47" t="s">
        <v>828</v>
      </c>
      <c r="H105" s="26" t="s">
        <v>57</v>
      </c>
      <c r="I105" s="47" t="s">
        <v>828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4797</v>
      </c>
      <c r="C106" s="44" t="s">
        <v>4798</v>
      </c>
      <c r="D106" s="42" t="s">
        <v>4596</v>
      </c>
      <c r="E106" s="45">
        <v>46128</v>
      </c>
      <c r="F106" s="26" t="s">
        <v>55</v>
      </c>
      <c r="G106" s="47" t="s">
        <v>56</v>
      </c>
      <c r="H106" s="26" t="s">
        <v>57</v>
      </c>
      <c r="I106" s="47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4799</v>
      </c>
      <c r="C107" s="25" t="s">
        <v>4800</v>
      </c>
      <c r="D107" s="23" t="s">
        <v>4596</v>
      </c>
      <c r="E107" s="45">
        <v>46128</v>
      </c>
      <c r="F107" s="26" t="s">
        <v>55</v>
      </c>
      <c r="G107" s="47" t="s">
        <v>828</v>
      </c>
      <c r="H107" s="26" t="s">
        <v>57</v>
      </c>
      <c r="I107" s="47" t="s">
        <v>828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4801</v>
      </c>
      <c r="C108" s="44" t="s">
        <v>4802</v>
      </c>
      <c r="D108" s="42" t="s">
        <v>4596</v>
      </c>
      <c r="E108" s="45">
        <v>46128</v>
      </c>
      <c r="F108" s="26" t="s">
        <v>55</v>
      </c>
      <c r="G108" s="47" t="s">
        <v>828</v>
      </c>
      <c r="H108" s="26" t="s">
        <v>57</v>
      </c>
      <c r="I108" s="47" t="s">
        <v>828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4803</v>
      </c>
      <c r="C109" s="25" t="s">
        <v>4804</v>
      </c>
      <c r="D109" s="23" t="s">
        <v>4596</v>
      </c>
      <c r="E109" s="45">
        <v>46128</v>
      </c>
      <c r="F109" s="26" t="s">
        <v>55</v>
      </c>
      <c r="G109" s="47" t="s">
        <v>56</v>
      </c>
      <c r="H109" s="26" t="s">
        <v>57</v>
      </c>
      <c r="I109" s="47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4805</v>
      </c>
      <c r="C110" s="44" t="s">
        <v>4806</v>
      </c>
      <c r="D110" s="42" t="s">
        <v>4596</v>
      </c>
      <c r="E110" s="45">
        <v>46128</v>
      </c>
      <c r="F110" s="26" t="s">
        <v>55</v>
      </c>
      <c r="G110" s="47" t="s">
        <v>828</v>
      </c>
      <c r="H110" s="26" t="s">
        <v>57</v>
      </c>
      <c r="I110" s="47" t="s">
        <v>828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4807</v>
      </c>
      <c r="C111" s="25" t="s">
        <v>4808</v>
      </c>
      <c r="D111" s="23" t="s">
        <v>4596</v>
      </c>
      <c r="E111" s="45">
        <v>46128</v>
      </c>
      <c r="F111" s="26" t="s">
        <v>55</v>
      </c>
      <c r="G111" s="47" t="s">
        <v>828</v>
      </c>
      <c r="H111" s="26" t="s">
        <v>57</v>
      </c>
      <c r="I111" s="47" t="s">
        <v>828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4809</v>
      </c>
      <c r="C112" s="44" t="s">
        <v>4810</v>
      </c>
      <c r="D112" s="42" t="s">
        <v>4596</v>
      </c>
      <c r="E112" s="45">
        <v>46128</v>
      </c>
      <c r="F112" s="26" t="s">
        <v>55</v>
      </c>
      <c r="G112" s="47" t="s">
        <v>56</v>
      </c>
      <c r="H112" s="26" t="s">
        <v>57</v>
      </c>
      <c r="I112" s="47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4811</v>
      </c>
      <c r="C113" s="25" t="s">
        <v>4812</v>
      </c>
      <c r="D113" s="23" t="s">
        <v>4596</v>
      </c>
      <c r="E113" s="45">
        <v>46128</v>
      </c>
      <c r="F113" s="26" t="s">
        <v>55</v>
      </c>
      <c r="G113" s="47" t="s">
        <v>828</v>
      </c>
      <c r="H113" s="26" t="s">
        <v>57</v>
      </c>
      <c r="I113" s="47" t="s">
        <v>828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4813</v>
      </c>
      <c r="C114" s="44" t="s">
        <v>4814</v>
      </c>
      <c r="D114" s="42" t="s">
        <v>4596</v>
      </c>
      <c r="E114" s="45">
        <v>46128</v>
      </c>
      <c r="F114" s="26" t="s">
        <v>55</v>
      </c>
      <c r="G114" s="47" t="s">
        <v>828</v>
      </c>
      <c r="H114" s="26" t="s">
        <v>57</v>
      </c>
      <c r="I114" s="47" t="s">
        <v>828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4815</v>
      </c>
      <c r="C115" s="25" t="s">
        <v>4816</v>
      </c>
      <c r="D115" s="23" t="s">
        <v>4596</v>
      </c>
      <c r="E115" s="45">
        <v>46128</v>
      </c>
      <c r="F115" s="26" t="s">
        <v>55</v>
      </c>
      <c r="G115" s="47" t="s">
        <v>828</v>
      </c>
      <c r="H115" s="26" t="s">
        <v>57</v>
      </c>
      <c r="I115" s="47" t="s">
        <v>828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4817</v>
      </c>
      <c r="C116" s="44" t="s">
        <v>4818</v>
      </c>
      <c r="D116" s="42" t="s">
        <v>4596</v>
      </c>
      <c r="E116" s="45">
        <v>46128</v>
      </c>
      <c r="F116" s="26" t="s">
        <v>55</v>
      </c>
      <c r="G116" s="47" t="s">
        <v>828</v>
      </c>
      <c r="H116" s="26" t="s">
        <v>57</v>
      </c>
      <c r="I116" s="47" t="s">
        <v>828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4819</v>
      </c>
      <c r="C117" s="25" t="s">
        <v>4820</v>
      </c>
      <c r="D117" s="23" t="s">
        <v>4596</v>
      </c>
      <c r="E117" s="45">
        <v>46128</v>
      </c>
      <c r="F117" s="26" t="s">
        <v>55</v>
      </c>
      <c r="G117" s="47" t="s">
        <v>828</v>
      </c>
      <c r="H117" s="26" t="s">
        <v>57</v>
      </c>
      <c r="I117" s="47" t="s">
        <v>828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4821</v>
      </c>
      <c r="C118" s="44" t="s">
        <v>4822</v>
      </c>
      <c r="D118" s="42" t="s">
        <v>4596</v>
      </c>
      <c r="E118" s="45">
        <v>46128</v>
      </c>
      <c r="F118" s="26" t="s">
        <v>55</v>
      </c>
      <c r="G118" s="47" t="s">
        <v>828</v>
      </c>
      <c r="H118" s="26" t="s">
        <v>57</v>
      </c>
      <c r="I118" s="47" t="s">
        <v>828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4823</v>
      </c>
      <c r="C119" s="25" t="s">
        <v>4824</v>
      </c>
      <c r="D119" s="23" t="s">
        <v>4596</v>
      </c>
      <c r="E119" s="45">
        <v>46128</v>
      </c>
      <c r="F119" s="26" t="s">
        <v>55</v>
      </c>
      <c r="G119" s="47" t="s">
        <v>828</v>
      </c>
      <c r="H119" s="26" t="s">
        <v>57</v>
      </c>
      <c r="I119" s="47" t="s">
        <v>828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4825</v>
      </c>
      <c r="C120" s="44" t="s">
        <v>4826</v>
      </c>
      <c r="D120" s="42" t="s">
        <v>4596</v>
      </c>
      <c r="E120" s="45">
        <v>46128</v>
      </c>
      <c r="F120" s="26" t="s">
        <v>55</v>
      </c>
      <c r="G120" s="47" t="s">
        <v>828</v>
      </c>
      <c r="H120" s="26" t="s">
        <v>57</v>
      </c>
      <c r="I120" s="47" t="s">
        <v>828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4827</v>
      </c>
      <c r="C121" s="25" t="s">
        <v>4828</v>
      </c>
      <c r="D121" s="23" t="s">
        <v>4596</v>
      </c>
      <c r="E121" s="45">
        <v>46128</v>
      </c>
      <c r="F121" s="26" t="s">
        <v>55</v>
      </c>
      <c r="G121" s="47" t="s">
        <v>828</v>
      </c>
      <c r="H121" s="26" t="s">
        <v>57</v>
      </c>
      <c r="I121" s="47" t="s">
        <v>828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4829</v>
      </c>
      <c r="C122" s="44" t="s">
        <v>4830</v>
      </c>
      <c r="D122" s="42" t="s">
        <v>4596</v>
      </c>
      <c r="E122" s="45">
        <v>46128</v>
      </c>
      <c r="F122" s="26" t="s">
        <v>55</v>
      </c>
      <c r="G122" s="47" t="s">
        <v>828</v>
      </c>
      <c r="H122" s="26" t="s">
        <v>57</v>
      </c>
      <c r="I122" s="47" t="s">
        <v>828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4831</v>
      </c>
      <c r="C123" s="25" t="s">
        <v>4832</v>
      </c>
      <c r="D123" s="23" t="s">
        <v>4596</v>
      </c>
      <c r="E123" s="45">
        <v>46128</v>
      </c>
      <c r="F123" s="26" t="s">
        <v>55</v>
      </c>
      <c r="G123" s="47" t="s">
        <v>828</v>
      </c>
      <c r="H123" s="26" t="s">
        <v>57</v>
      </c>
      <c r="I123" s="47" t="s">
        <v>828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4833</v>
      </c>
      <c r="C124" s="44" t="s">
        <v>4834</v>
      </c>
      <c r="D124" s="42" t="s">
        <v>4596</v>
      </c>
      <c r="E124" s="45">
        <v>46128</v>
      </c>
      <c r="F124" s="26" t="s">
        <v>55</v>
      </c>
      <c r="G124" s="47" t="s">
        <v>828</v>
      </c>
      <c r="H124" s="26" t="s">
        <v>57</v>
      </c>
      <c r="I124" s="47" t="s">
        <v>828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4835</v>
      </c>
      <c r="C125" s="25" t="s">
        <v>4836</v>
      </c>
      <c r="D125" s="23" t="s">
        <v>4596</v>
      </c>
      <c r="E125" s="45">
        <v>46128</v>
      </c>
      <c r="F125" s="26" t="s">
        <v>55</v>
      </c>
      <c r="G125" s="47" t="s">
        <v>828</v>
      </c>
      <c r="H125" s="26" t="s">
        <v>57</v>
      </c>
      <c r="I125" s="47" t="s">
        <v>828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4837</v>
      </c>
      <c r="C126" s="44" t="s">
        <v>4838</v>
      </c>
      <c r="D126" s="42" t="s">
        <v>4596</v>
      </c>
      <c r="E126" s="45">
        <v>46128</v>
      </c>
      <c r="F126" s="26" t="s">
        <v>55</v>
      </c>
      <c r="G126" s="47" t="s">
        <v>56</v>
      </c>
      <c r="H126" s="26" t="s">
        <v>57</v>
      </c>
      <c r="I126" s="47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4839</v>
      </c>
      <c r="C127" s="25" t="s">
        <v>4840</v>
      </c>
      <c r="D127" s="23" t="s">
        <v>4596</v>
      </c>
      <c r="E127" s="45">
        <v>46128</v>
      </c>
      <c r="F127" s="26" t="s">
        <v>55</v>
      </c>
      <c r="G127" s="47" t="s">
        <v>828</v>
      </c>
      <c r="H127" s="26" t="s">
        <v>57</v>
      </c>
      <c r="I127" s="47" t="s">
        <v>828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4841</v>
      </c>
      <c r="C128" s="44" t="s">
        <v>4842</v>
      </c>
      <c r="D128" s="42" t="s">
        <v>4596</v>
      </c>
      <c r="E128" s="45">
        <v>46128</v>
      </c>
      <c r="F128" s="26" t="s">
        <v>55</v>
      </c>
      <c r="G128" s="47" t="s">
        <v>56</v>
      </c>
      <c r="H128" s="26" t="s">
        <v>57</v>
      </c>
      <c r="I128" s="47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4843</v>
      </c>
      <c r="C129" s="25" t="s">
        <v>4844</v>
      </c>
      <c r="D129" s="23" t="s">
        <v>4596</v>
      </c>
      <c r="E129" s="45">
        <v>46128</v>
      </c>
      <c r="F129" s="26" t="s">
        <v>55</v>
      </c>
      <c r="G129" s="47" t="s">
        <v>828</v>
      </c>
      <c r="H129" s="26" t="s">
        <v>57</v>
      </c>
      <c r="I129" s="47" t="s">
        <v>828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4845</v>
      </c>
      <c r="C130" s="44" t="s">
        <v>4846</v>
      </c>
      <c r="D130" s="42" t="s">
        <v>4596</v>
      </c>
      <c r="E130" s="45">
        <v>46128</v>
      </c>
      <c r="F130" s="26" t="s">
        <v>55</v>
      </c>
      <c r="G130" s="47" t="s">
        <v>56</v>
      </c>
      <c r="H130" s="26" t="s">
        <v>57</v>
      </c>
      <c r="I130" s="47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4847</v>
      </c>
      <c r="C131" s="25" t="s">
        <v>4848</v>
      </c>
      <c r="D131" s="23" t="s">
        <v>4596</v>
      </c>
      <c r="E131" s="45">
        <v>46128</v>
      </c>
      <c r="F131" s="26" t="s">
        <v>55</v>
      </c>
      <c r="G131" s="47" t="s">
        <v>828</v>
      </c>
      <c r="H131" s="26" t="s">
        <v>57</v>
      </c>
      <c r="I131" s="47" t="s">
        <v>828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4849</v>
      </c>
      <c r="C132" s="44" t="s">
        <v>4850</v>
      </c>
      <c r="D132" s="42" t="s">
        <v>4596</v>
      </c>
      <c r="E132" s="45">
        <v>46128</v>
      </c>
      <c r="F132" s="26" t="s">
        <v>55</v>
      </c>
      <c r="G132" s="47" t="s">
        <v>828</v>
      </c>
      <c r="H132" s="26" t="s">
        <v>57</v>
      </c>
      <c r="I132" s="47" t="s">
        <v>828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4851</v>
      </c>
      <c r="C133" s="25" t="s">
        <v>4852</v>
      </c>
      <c r="D133" s="23" t="s">
        <v>4596</v>
      </c>
      <c r="E133" s="45">
        <v>46128</v>
      </c>
      <c r="F133" s="26" t="s">
        <v>55</v>
      </c>
      <c r="G133" s="47" t="s">
        <v>828</v>
      </c>
      <c r="H133" s="26" t="s">
        <v>57</v>
      </c>
      <c r="I133" s="47" t="s">
        <v>828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4853</v>
      </c>
      <c r="C134" s="44" t="s">
        <v>4854</v>
      </c>
      <c r="D134" s="42" t="s">
        <v>4596</v>
      </c>
      <c r="E134" s="45">
        <v>46128</v>
      </c>
      <c r="F134" s="26" t="s">
        <v>55</v>
      </c>
      <c r="G134" s="47" t="s">
        <v>828</v>
      </c>
      <c r="H134" s="26" t="s">
        <v>57</v>
      </c>
      <c r="I134" s="47" t="s">
        <v>828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4855</v>
      </c>
      <c r="C135" s="25" t="s">
        <v>4856</v>
      </c>
      <c r="D135" s="23" t="s">
        <v>4596</v>
      </c>
      <c r="E135" s="45">
        <v>46128</v>
      </c>
      <c r="F135" s="26" t="s">
        <v>55</v>
      </c>
      <c r="G135" s="47" t="s">
        <v>56</v>
      </c>
      <c r="H135" s="26" t="s">
        <v>57</v>
      </c>
      <c r="I135" s="47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4857</v>
      </c>
      <c r="C136" s="44" t="s">
        <v>4858</v>
      </c>
      <c r="D136" s="42" t="s">
        <v>4596</v>
      </c>
      <c r="E136" s="45">
        <v>46128</v>
      </c>
      <c r="F136" s="26" t="s">
        <v>55</v>
      </c>
      <c r="G136" s="47" t="s">
        <v>828</v>
      </c>
      <c r="H136" s="26" t="s">
        <v>57</v>
      </c>
      <c r="I136" s="47" t="s">
        <v>828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4859</v>
      </c>
      <c r="C137" s="25" t="s">
        <v>4860</v>
      </c>
      <c r="D137" s="23" t="s">
        <v>4596</v>
      </c>
      <c r="E137" s="45">
        <v>46128</v>
      </c>
      <c r="F137" s="26" t="s">
        <v>55</v>
      </c>
      <c r="G137" s="47" t="s">
        <v>828</v>
      </c>
      <c r="H137" s="26" t="s">
        <v>57</v>
      </c>
      <c r="I137" s="47" t="s">
        <v>828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4861</v>
      </c>
      <c r="C138" s="44" t="s">
        <v>4862</v>
      </c>
      <c r="D138" s="42" t="s">
        <v>4596</v>
      </c>
      <c r="E138" s="45">
        <v>46128</v>
      </c>
      <c r="F138" s="26" t="s">
        <v>55</v>
      </c>
      <c r="G138" s="47" t="s">
        <v>828</v>
      </c>
      <c r="H138" s="26" t="s">
        <v>57</v>
      </c>
      <c r="I138" s="47" t="s">
        <v>828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4863</v>
      </c>
      <c r="C139" s="25" t="s">
        <v>4864</v>
      </c>
      <c r="D139" s="23" t="s">
        <v>4596</v>
      </c>
      <c r="E139" s="45">
        <v>46128</v>
      </c>
      <c r="F139" s="26" t="s">
        <v>55</v>
      </c>
      <c r="G139" s="47" t="s">
        <v>828</v>
      </c>
      <c r="H139" s="26" t="s">
        <v>57</v>
      </c>
      <c r="I139" s="47" t="s">
        <v>828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4865</v>
      </c>
      <c r="C140" s="44" t="s">
        <v>4866</v>
      </c>
      <c r="D140" s="42" t="s">
        <v>4596</v>
      </c>
      <c r="E140" s="45">
        <v>46128</v>
      </c>
      <c r="F140" s="26" t="s">
        <v>55</v>
      </c>
      <c r="G140" s="47" t="s">
        <v>828</v>
      </c>
      <c r="H140" s="26" t="s">
        <v>57</v>
      </c>
      <c r="I140" s="47" t="s">
        <v>828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4867</v>
      </c>
      <c r="C141" s="25" t="s">
        <v>4868</v>
      </c>
      <c r="D141" s="23" t="s">
        <v>4596</v>
      </c>
      <c r="E141" s="45">
        <v>46128</v>
      </c>
      <c r="F141" s="26" t="s">
        <v>55</v>
      </c>
      <c r="G141" s="47" t="s">
        <v>828</v>
      </c>
      <c r="H141" s="26" t="s">
        <v>57</v>
      </c>
      <c r="I141" s="47" t="s">
        <v>828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4869</v>
      </c>
      <c r="C142" s="44" t="s">
        <v>4870</v>
      </c>
      <c r="D142" s="42" t="s">
        <v>4596</v>
      </c>
      <c r="E142" s="45">
        <v>46128</v>
      </c>
      <c r="F142" s="26" t="s">
        <v>55</v>
      </c>
      <c r="G142" s="47" t="s">
        <v>828</v>
      </c>
      <c r="H142" s="26" t="s">
        <v>57</v>
      </c>
      <c r="I142" s="47" t="s">
        <v>828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4871</v>
      </c>
      <c r="C143" s="25" t="s">
        <v>4872</v>
      </c>
      <c r="D143" s="23" t="s">
        <v>4596</v>
      </c>
      <c r="E143" s="45">
        <v>46128</v>
      </c>
      <c r="F143" s="26" t="s">
        <v>55</v>
      </c>
      <c r="G143" s="47" t="s">
        <v>828</v>
      </c>
      <c r="H143" s="26" t="s">
        <v>57</v>
      </c>
      <c r="I143" s="47" t="s">
        <v>828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4873</v>
      </c>
      <c r="C144" s="44" t="s">
        <v>4874</v>
      </c>
      <c r="D144" s="42" t="s">
        <v>4596</v>
      </c>
      <c r="E144" s="45">
        <v>46128</v>
      </c>
      <c r="F144" s="26" t="s">
        <v>55</v>
      </c>
      <c r="G144" s="47" t="s">
        <v>828</v>
      </c>
      <c r="H144" s="26" t="s">
        <v>57</v>
      </c>
      <c r="I144" s="47" t="s">
        <v>828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4875</v>
      </c>
      <c r="C145" s="25" t="s">
        <v>4876</v>
      </c>
      <c r="D145" s="23" t="s">
        <v>4596</v>
      </c>
      <c r="E145" s="45">
        <v>46128</v>
      </c>
      <c r="F145" s="26" t="s">
        <v>55</v>
      </c>
      <c r="G145" s="47" t="s">
        <v>828</v>
      </c>
      <c r="H145" s="26" t="s">
        <v>57</v>
      </c>
      <c r="I145" s="47" t="s">
        <v>828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4877</v>
      </c>
      <c r="C146" s="44" t="s">
        <v>4878</v>
      </c>
      <c r="D146" s="42" t="s">
        <v>4596</v>
      </c>
      <c r="E146" s="45">
        <v>46128</v>
      </c>
      <c r="F146" s="26" t="s">
        <v>55</v>
      </c>
      <c r="G146" s="47" t="s">
        <v>56</v>
      </c>
      <c r="H146" s="26" t="s">
        <v>57</v>
      </c>
      <c r="I146" s="47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4879</v>
      </c>
      <c r="C147" s="25" t="s">
        <v>4880</v>
      </c>
      <c r="D147" s="23" t="s">
        <v>4596</v>
      </c>
      <c r="E147" s="45">
        <v>46128</v>
      </c>
      <c r="F147" s="26" t="s">
        <v>55</v>
      </c>
      <c r="G147" s="47" t="s">
        <v>828</v>
      </c>
      <c r="H147" s="26" t="s">
        <v>57</v>
      </c>
      <c r="I147" s="47" t="s">
        <v>828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4881</v>
      </c>
      <c r="C148" s="44" t="s">
        <v>4882</v>
      </c>
      <c r="D148" s="42" t="s">
        <v>4596</v>
      </c>
      <c r="E148" s="45">
        <v>46128</v>
      </c>
      <c r="F148" s="26" t="s">
        <v>55</v>
      </c>
      <c r="G148" s="47" t="s">
        <v>828</v>
      </c>
      <c r="H148" s="26" t="s">
        <v>57</v>
      </c>
      <c r="I148" s="47" t="s">
        <v>828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4883</v>
      </c>
      <c r="C149" s="25" t="s">
        <v>4884</v>
      </c>
      <c r="D149" s="23" t="s">
        <v>4596</v>
      </c>
      <c r="E149" s="45">
        <v>46128</v>
      </c>
      <c r="F149" s="26" t="s">
        <v>55</v>
      </c>
      <c r="G149" s="47" t="s">
        <v>828</v>
      </c>
      <c r="H149" s="26" t="s">
        <v>57</v>
      </c>
      <c r="I149" s="47" t="s">
        <v>828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4885</v>
      </c>
      <c r="C150" s="44" t="s">
        <v>4886</v>
      </c>
      <c r="D150" s="42" t="s">
        <v>4596</v>
      </c>
      <c r="E150" s="45">
        <v>46128</v>
      </c>
      <c r="F150" s="26" t="s">
        <v>55</v>
      </c>
      <c r="G150" s="47" t="s">
        <v>828</v>
      </c>
      <c r="H150" s="26" t="s">
        <v>57</v>
      </c>
      <c r="I150" s="47" t="s">
        <v>828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4887</v>
      </c>
      <c r="C151" s="25" t="s">
        <v>4888</v>
      </c>
      <c r="D151" s="23" t="s">
        <v>4596</v>
      </c>
      <c r="E151" s="45">
        <v>46128</v>
      </c>
      <c r="F151" s="26" t="s">
        <v>55</v>
      </c>
      <c r="G151" s="47" t="s">
        <v>828</v>
      </c>
      <c r="H151" s="26" t="s">
        <v>57</v>
      </c>
      <c r="I151" s="47" t="s">
        <v>828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4889</v>
      </c>
      <c r="C152" s="44" t="s">
        <v>4890</v>
      </c>
      <c r="D152" s="42" t="s">
        <v>4596</v>
      </c>
      <c r="E152" s="45">
        <v>46128</v>
      </c>
      <c r="F152" s="26" t="s">
        <v>55</v>
      </c>
      <c r="G152" s="47" t="s">
        <v>56</v>
      </c>
      <c r="H152" s="26" t="s">
        <v>57</v>
      </c>
      <c r="I152" s="47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4891</v>
      </c>
      <c r="C153" s="25" t="s">
        <v>4892</v>
      </c>
      <c r="D153" s="23" t="s">
        <v>4596</v>
      </c>
      <c r="E153" s="45">
        <v>46128</v>
      </c>
      <c r="F153" s="26" t="s">
        <v>55</v>
      </c>
      <c r="G153" s="47" t="s">
        <v>828</v>
      </c>
      <c r="H153" s="26" t="s">
        <v>57</v>
      </c>
      <c r="I153" s="47" t="s">
        <v>828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4893</v>
      </c>
      <c r="C154" s="44" t="s">
        <v>4894</v>
      </c>
      <c r="D154" s="42" t="s">
        <v>4596</v>
      </c>
      <c r="E154" s="45">
        <v>46128</v>
      </c>
      <c r="F154" s="26" t="s">
        <v>55</v>
      </c>
      <c r="G154" s="47" t="s">
        <v>57</v>
      </c>
      <c r="H154" s="26" t="s">
        <v>57</v>
      </c>
      <c r="I154" s="47" t="s">
        <v>88</v>
      </c>
      <c r="J154" s="26" t="s">
        <v>57</v>
      </c>
      <c r="K154" s="27"/>
      <c r="L154" s="28" t="s">
        <v>56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4895</v>
      </c>
      <c r="C155" s="25" t="s">
        <v>4896</v>
      </c>
      <c r="D155" s="23" t="s">
        <v>4596</v>
      </c>
      <c r="E155" s="45">
        <v>46128</v>
      </c>
      <c r="F155" s="26" t="s">
        <v>55</v>
      </c>
      <c r="G155" s="47" t="s">
        <v>57</v>
      </c>
      <c r="H155" s="26" t="s">
        <v>57</v>
      </c>
      <c r="I155" s="47" t="s">
        <v>88</v>
      </c>
      <c r="J155" s="26" t="s">
        <v>57</v>
      </c>
      <c r="K155" s="27"/>
      <c r="L155" s="28" t="s">
        <v>56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4897</v>
      </c>
      <c r="C156" s="44" t="s">
        <v>4898</v>
      </c>
      <c r="D156" s="42" t="s">
        <v>4596</v>
      </c>
      <c r="E156" s="45">
        <v>46128</v>
      </c>
      <c r="F156" s="26" t="s">
        <v>55</v>
      </c>
      <c r="G156" s="47" t="s">
        <v>57</v>
      </c>
      <c r="H156" s="26" t="s">
        <v>57</v>
      </c>
      <c r="I156" s="47" t="s">
        <v>88</v>
      </c>
      <c r="J156" s="26" t="s">
        <v>57</v>
      </c>
      <c r="K156" s="27"/>
      <c r="L156" s="28" t="s">
        <v>56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4899</v>
      </c>
      <c r="C157" s="25" t="s">
        <v>4900</v>
      </c>
      <c r="D157" s="23" t="s">
        <v>4596</v>
      </c>
      <c r="E157" s="45">
        <v>46128</v>
      </c>
      <c r="F157" s="26" t="s">
        <v>55</v>
      </c>
      <c r="G157" s="47" t="s">
        <v>57</v>
      </c>
      <c r="H157" s="26" t="s">
        <v>57</v>
      </c>
      <c r="I157" s="47" t="s">
        <v>88</v>
      </c>
      <c r="J157" s="26" t="s">
        <v>57</v>
      </c>
      <c r="K157" s="27"/>
      <c r="L157" s="28" t="s">
        <v>56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4901</v>
      </c>
      <c r="C158" s="44" t="s">
        <v>4902</v>
      </c>
      <c r="D158" s="42" t="s">
        <v>4596</v>
      </c>
      <c r="E158" s="45">
        <v>46128</v>
      </c>
      <c r="F158" s="26" t="s">
        <v>55</v>
      </c>
      <c r="G158" s="47" t="s">
        <v>57</v>
      </c>
      <c r="H158" s="26" t="s">
        <v>57</v>
      </c>
      <c r="I158" s="47" t="s">
        <v>88</v>
      </c>
      <c r="J158" s="26" t="s">
        <v>57</v>
      </c>
      <c r="K158" s="27"/>
      <c r="L158" s="28" t="s">
        <v>56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4903</v>
      </c>
      <c r="C159" s="25" t="s">
        <v>4904</v>
      </c>
      <c r="D159" s="23" t="s">
        <v>4596</v>
      </c>
      <c r="E159" s="45">
        <v>46128</v>
      </c>
      <c r="F159" s="26" t="s">
        <v>55</v>
      </c>
      <c r="G159" s="47" t="s">
        <v>57</v>
      </c>
      <c r="H159" s="26" t="s">
        <v>57</v>
      </c>
      <c r="I159" s="47" t="s">
        <v>88</v>
      </c>
      <c r="J159" s="26" t="s">
        <v>57</v>
      </c>
      <c r="K159" s="27"/>
      <c r="L159" s="28" t="s">
        <v>56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4905</v>
      </c>
      <c r="C160" s="44" t="s">
        <v>4906</v>
      </c>
      <c r="D160" s="42" t="s">
        <v>4596</v>
      </c>
      <c r="E160" s="45">
        <v>46128</v>
      </c>
      <c r="F160" s="26" t="s">
        <v>55</v>
      </c>
      <c r="G160" s="47" t="s">
        <v>828</v>
      </c>
      <c r="H160" s="26" t="s">
        <v>57</v>
      </c>
      <c r="I160" s="47" t="s">
        <v>828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4907</v>
      </c>
      <c r="C161" s="25" t="s">
        <v>4908</v>
      </c>
      <c r="D161" s="23" t="s">
        <v>4596</v>
      </c>
      <c r="E161" s="45">
        <v>46128</v>
      </c>
      <c r="F161" s="26" t="s">
        <v>55</v>
      </c>
      <c r="G161" s="47" t="s">
        <v>828</v>
      </c>
      <c r="H161" s="26" t="s">
        <v>57</v>
      </c>
      <c r="I161" s="47" t="s">
        <v>828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4909</v>
      </c>
      <c r="C162" s="44" t="s">
        <v>4910</v>
      </c>
      <c r="D162" s="42" t="s">
        <v>4596</v>
      </c>
      <c r="E162" s="45">
        <v>46128</v>
      </c>
      <c r="F162" s="26" t="s">
        <v>55</v>
      </c>
      <c r="G162" s="47" t="s">
        <v>828</v>
      </c>
      <c r="H162" s="26" t="s">
        <v>57</v>
      </c>
      <c r="I162" s="47" t="s">
        <v>828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4911</v>
      </c>
      <c r="C163" s="25" t="s">
        <v>4912</v>
      </c>
      <c r="D163" s="23" t="s">
        <v>4596</v>
      </c>
      <c r="E163" s="45">
        <v>46128</v>
      </c>
      <c r="F163" s="26" t="s">
        <v>55</v>
      </c>
      <c r="G163" s="47" t="s">
        <v>56</v>
      </c>
      <c r="H163" s="26" t="s">
        <v>57</v>
      </c>
      <c r="I163" s="47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4913</v>
      </c>
      <c r="C164" s="44" t="s">
        <v>4914</v>
      </c>
      <c r="D164" s="42" t="s">
        <v>4596</v>
      </c>
      <c r="E164" s="45">
        <v>46128</v>
      </c>
      <c r="F164" s="26" t="s">
        <v>55</v>
      </c>
      <c r="G164" s="47" t="s">
        <v>828</v>
      </c>
      <c r="H164" s="26" t="s">
        <v>57</v>
      </c>
      <c r="I164" s="47" t="s">
        <v>828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4915</v>
      </c>
      <c r="C165" s="25" t="s">
        <v>4916</v>
      </c>
      <c r="D165" s="23" t="s">
        <v>4596</v>
      </c>
      <c r="E165" s="45">
        <v>46128</v>
      </c>
      <c r="F165" s="26" t="s">
        <v>55</v>
      </c>
      <c r="G165" s="47" t="s">
        <v>828</v>
      </c>
      <c r="H165" s="26" t="s">
        <v>57</v>
      </c>
      <c r="I165" s="47" t="s">
        <v>828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4917</v>
      </c>
      <c r="C166" s="44" t="s">
        <v>4918</v>
      </c>
      <c r="D166" s="42" t="s">
        <v>4596</v>
      </c>
      <c r="E166" s="45">
        <v>46128</v>
      </c>
      <c r="F166" s="26" t="s">
        <v>55</v>
      </c>
      <c r="G166" s="47" t="s">
        <v>828</v>
      </c>
      <c r="H166" s="26" t="s">
        <v>57</v>
      </c>
      <c r="I166" s="47" t="s">
        <v>828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4919</v>
      </c>
      <c r="C167" s="25" t="s">
        <v>4920</v>
      </c>
      <c r="D167" s="23" t="s">
        <v>4596</v>
      </c>
      <c r="E167" s="45">
        <v>46128</v>
      </c>
      <c r="F167" s="26" t="s">
        <v>55</v>
      </c>
      <c r="G167" s="47" t="s">
        <v>828</v>
      </c>
      <c r="H167" s="26" t="s">
        <v>57</v>
      </c>
      <c r="I167" s="47" t="s">
        <v>828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4921</v>
      </c>
      <c r="C168" s="44" t="s">
        <v>4922</v>
      </c>
      <c r="D168" s="42" t="s">
        <v>4596</v>
      </c>
      <c r="E168" s="45">
        <v>46128</v>
      </c>
      <c r="F168" s="26" t="s">
        <v>55</v>
      </c>
      <c r="G168" s="47" t="s">
        <v>56</v>
      </c>
      <c r="H168" s="26" t="s">
        <v>57</v>
      </c>
      <c r="I168" s="47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4923</v>
      </c>
      <c r="C169" s="25" t="s">
        <v>4924</v>
      </c>
      <c r="D169" s="23" t="s">
        <v>4596</v>
      </c>
      <c r="E169" s="45">
        <v>46128</v>
      </c>
      <c r="F169" s="26" t="s">
        <v>55</v>
      </c>
      <c r="G169" s="47" t="s">
        <v>828</v>
      </c>
      <c r="H169" s="26" t="s">
        <v>57</v>
      </c>
      <c r="I169" s="47" t="s">
        <v>828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4925</v>
      </c>
      <c r="C170" s="44" t="s">
        <v>4926</v>
      </c>
      <c r="D170" s="42" t="s">
        <v>4596</v>
      </c>
      <c r="E170" s="45">
        <v>46128</v>
      </c>
      <c r="F170" s="26" t="s">
        <v>55</v>
      </c>
      <c r="G170" s="47" t="s">
        <v>828</v>
      </c>
      <c r="H170" s="26" t="s">
        <v>57</v>
      </c>
      <c r="I170" s="47" t="s">
        <v>828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4927</v>
      </c>
      <c r="C171" s="25" t="s">
        <v>4928</v>
      </c>
      <c r="D171" s="23" t="s">
        <v>4596</v>
      </c>
      <c r="E171" s="45">
        <v>46128</v>
      </c>
      <c r="F171" s="26" t="s">
        <v>55</v>
      </c>
      <c r="G171" s="47" t="s">
        <v>828</v>
      </c>
      <c r="H171" s="26" t="s">
        <v>57</v>
      </c>
      <c r="I171" s="47" t="s">
        <v>828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4929</v>
      </c>
      <c r="C172" s="44" t="s">
        <v>4930</v>
      </c>
      <c r="D172" s="42" t="s">
        <v>4596</v>
      </c>
      <c r="E172" s="45">
        <v>46128</v>
      </c>
      <c r="F172" s="26" t="s">
        <v>55</v>
      </c>
      <c r="G172" s="47" t="s">
        <v>828</v>
      </c>
      <c r="H172" s="26" t="s">
        <v>57</v>
      </c>
      <c r="I172" s="47" t="s">
        <v>828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4931</v>
      </c>
      <c r="C173" s="25" t="s">
        <v>4932</v>
      </c>
      <c r="D173" s="23" t="s">
        <v>4596</v>
      </c>
      <c r="E173" s="45">
        <v>46128</v>
      </c>
      <c r="F173" s="26" t="s">
        <v>55</v>
      </c>
      <c r="G173" s="47" t="s">
        <v>828</v>
      </c>
      <c r="H173" s="26" t="s">
        <v>57</v>
      </c>
      <c r="I173" s="47" t="s">
        <v>828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4933</v>
      </c>
      <c r="C174" s="44" t="s">
        <v>4934</v>
      </c>
      <c r="D174" s="42" t="s">
        <v>4596</v>
      </c>
      <c r="E174" s="45">
        <v>46128</v>
      </c>
      <c r="F174" s="26" t="s">
        <v>55</v>
      </c>
      <c r="G174" s="47" t="s">
        <v>828</v>
      </c>
      <c r="H174" s="26" t="s">
        <v>57</v>
      </c>
      <c r="I174" s="47" t="s">
        <v>828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4935</v>
      </c>
      <c r="C175" s="25" t="s">
        <v>4936</v>
      </c>
      <c r="D175" s="23" t="s">
        <v>4596</v>
      </c>
      <c r="E175" s="45">
        <v>46128</v>
      </c>
      <c r="F175" s="26" t="s">
        <v>55</v>
      </c>
      <c r="G175" s="47" t="s">
        <v>828</v>
      </c>
      <c r="H175" s="26" t="s">
        <v>57</v>
      </c>
      <c r="I175" s="47" t="s">
        <v>828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4937</v>
      </c>
      <c r="C176" s="44" t="s">
        <v>4938</v>
      </c>
      <c r="D176" s="42" t="s">
        <v>4596</v>
      </c>
      <c r="E176" s="45">
        <v>46128</v>
      </c>
      <c r="F176" s="26" t="s">
        <v>55</v>
      </c>
      <c r="G176" s="47" t="s">
        <v>56</v>
      </c>
      <c r="H176" s="26" t="s">
        <v>57</v>
      </c>
      <c r="I176" s="47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4939</v>
      </c>
      <c r="C177" s="25" t="s">
        <v>4940</v>
      </c>
      <c r="D177" s="23" t="s">
        <v>4596</v>
      </c>
      <c r="E177" s="45">
        <v>46128</v>
      </c>
      <c r="F177" s="26" t="s">
        <v>55</v>
      </c>
      <c r="G177" s="47" t="s">
        <v>56</v>
      </c>
      <c r="H177" s="26" t="s">
        <v>57</v>
      </c>
      <c r="I177" s="47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4941</v>
      </c>
      <c r="C178" s="44" t="s">
        <v>4942</v>
      </c>
      <c r="D178" s="42" t="s">
        <v>4596</v>
      </c>
      <c r="E178" s="45">
        <v>46128</v>
      </c>
      <c r="F178" s="26" t="s">
        <v>55</v>
      </c>
      <c r="G178" s="47" t="s">
        <v>828</v>
      </c>
      <c r="H178" s="26" t="s">
        <v>57</v>
      </c>
      <c r="I178" s="47" t="s">
        <v>828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4943</v>
      </c>
      <c r="C179" s="25" t="s">
        <v>4944</v>
      </c>
      <c r="D179" s="23" t="s">
        <v>4596</v>
      </c>
      <c r="E179" s="45">
        <v>46128</v>
      </c>
      <c r="F179" s="26" t="s">
        <v>55</v>
      </c>
      <c r="G179" s="47" t="s">
        <v>828</v>
      </c>
      <c r="H179" s="26" t="s">
        <v>57</v>
      </c>
      <c r="I179" s="47" t="s">
        <v>828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4945</v>
      </c>
      <c r="C180" s="44" t="s">
        <v>4946</v>
      </c>
      <c r="D180" s="42" t="s">
        <v>4596</v>
      </c>
      <c r="E180" s="45">
        <v>46128</v>
      </c>
      <c r="F180" s="26" t="s">
        <v>55</v>
      </c>
      <c r="G180" s="47" t="s">
        <v>828</v>
      </c>
      <c r="H180" s="26" t="s">
        <v>57</v>
      </c>
      <c r="I180" s="47" t="s">
        <v>828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4947</v>
      </c>
      <c r="C181" s="25" t="s">
        <v>4948</v>
      </c>
      <c r="D181" s="23" t="s">
        <v>4596</v>
      </c>
      <c r="E181" s="45">
        <v>46128</v>
      </c>
      <c r="F181" s="26" t="s">
        <v>55</v>
      </c>
      <c r="G181" s="47" t="s">
        <v>828</v>
      </c>
      <c r="H181" s="26" t="s">
        <v>57</v>
      </c>
      <c r="I181" s="47" t="s">
        <v>828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4949</v>
      </c>
      <c r="C182" s="44" t="s">
        <v>4950</v>
      </c>
      <c r="D182" s="42" t="s">
        <v>4596</v>
      </c>
      <c r="E182" s="45">
        <v>46128</v>
      </c>
      <c r="F182" s="26" t="s">
        <v>55</v>
      </c>
      <c r="G182" s="47" t="s">
        <v>828</v>
      </c>
      <c r="H182" s="26" t="s">
        <v>57</v>
      </c>
      <c r="I182" s="47" t="s">
        <v>828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4951</v>
      </c>
      <c r="C183" s="25" t="s">
        <v>4952</v>
      </c>
      <c r="D183" s="23" t="s">
        <v>4596</v>
      </c>
      <c r="E183" s="45">
        <v>46128</v>
      </c>
      <c r="F183" s="26" t="s">
        <v>55</v>
      </c>
      <c r="G183" s="47" t="s">
        <v>828</v>
      </c>
      <c r="H183" s="26" t="s">
        <v>57</v>
      </c>
      <c r="I183" s="47" t="s">
        <v>828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4953</v>
      </c>
      <c r="C184" s="44" t="s">
        <v>4954</v>
      </c>
      <c r="D184" s="42" t="s">
        <v>4596</v>
      </c>
      <c r="E184" s="45">
        <v>46128</v>
      </c>
      <c r="F184" s="26" t="s">
        <v>55</v>
      </c>
      <c r="G184" s="47" t="s">
        <v>828</v>
      </c>
      <c r="H184" s="26" t="s">
        <v>57</v>
      </c>
      <c r="I184" s="47" t="s">
        <v>828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4955</v>
      </c>
      <c r="C185" s="25" t="s">
        <v>4956</v>
      </c>
      <c r="D185" s="23" t="s">
        <v>4596</v>
      </c>
      <c r="E185" s="45">
        <v>46128</v>
      </c>
      <c r="F185" s="26" t="s">
        <v>55</v>
      </c>
      <c r="G185" s="47" t="s">
        <v>828</v>
      </c>
      <c r="H185" s="26" t="s">
        <v>57</v>
      </c>
      <c r="I185" s="47" t="s">
        <v>828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4957</v>
      </c>
      <c r="C186" s="44" t="s">
        <v>4958</v>
      </c>
      <c r="D186" s="42" t="s">
        <v>4596</v>
      </c>
      <c r="E186" s="45">
        <v>46128</v>
      </c>
      <c r="F186" s="26" t="s">
        <v>55</v>
      </c>
      <c r="G186" s="47" t="s">
        <v>828</v>
      </c>
      <c r="H186" s="26" t="s">
        <v>57</v>
      </c>
      <c r="I186" s="47" t="s">
        <v>828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4959</v>
      </c>
      <c r="C187" s="25" t="s">
        <v>4960</v>
      </c>
      <c r="D187" s="23" t="s">
        <v>4596</v>
      </c>
      <c r="E187" s="45">
        <v>46128</v>
      </c>
      <c r="F187" s="26" t="s">
        <v>55</v>
      </c>
      <c r="G187" s="47" t="s">
        <v>828</v>
      </c>
      <c r="H187" s="26" t="s">
        <v>57</v>
      </c>
      <c r="I187" s="47" t="s">
        <v>828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4961</v>
      </c>
      <c r="C188" s="44" t="s">
        <v>4962</v>
      </c>
      <c r="D188" s="42" t="s">
        <v>4596</v>
      </c>
      <c r="E188" s="45">
        <v>46128</v>
      </c>
      <c r="F188" s="26" t="s">
        <v>55</v>
      </c>
      <c r="G188" s="47" t="s">
        <v>828</v>
      </c>
      <c r="H188" s="26" t="s">
        <v>57</v>
      </c>
      <c r="I188" s="47" t="s">
        <v>828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4963</v>
      </c>
      <c r="C189" s="25" t="s">
        <v>4964</v>
      </c>
      <c r="D189" s="23" t="s">
        <v>4596</v>
      </c>
      <c r="E189" s="45">
        <v>46128</v>
      </c>
      <c r="F189" s="26" t="s">
        <v>55</v>
      </c>
      <c r="G189" s="47" t="s">
        <v>828</v>
      </c>
      <c r="H189" s="26" t="s">
        <v>57</v>
      </c>
      <c r="I189" s="47" t="s">
        <v>828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4965</v>
      </c>
      <c r="C190" s="44" t="s">
        <v>4966</v>
      </c>
      <c r="D190" s="42" t="s">
        <v>4596</v>
      </c>
      <c r="E190" s="45">
        <v>46128</v>
      </c>
      <c r="F190" s="26" t="s">
        <v>55</v>
      </c>
      <c r="G190" s="47" t="s">
        <v>828</v>
      </c>
      <c r="H190" s="26" t="s">
        <v>57</v>
      </c>
      <c r="I190" s="47" t="s">
        <v>828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4967</v>
      </c>
      <c r="C191" s="25" t="s">
        <v>4968</v>
      </c>
      <c r="D191" s="23" t="s">
        <v>4596</v>
      </c>
      <c r="E191" s="45">
        <v>46128</v>
      </c>
      <c r="F191" s="26" t="s">
        <v>55</v>
      </c>
      <c r="G191" s="47" t="s">
        <v>828</v>
      </c>
      <c r="H191" s="26" t="s">
        <v>57</v>
      </c>
      <c r="I191" s="47" t="s">
        <v>828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4969</v>
      </c>
      <c r="C192" s="44" t="s">
        <v>4970</v>
      </c>
      <c r="D192" s="42" t="s">
        <v>4596</v>
      </c>
      <c r="E192" s="45">
        <v>46128</v>
      </c>
      <c r="F192" s="26" t="s">
        <v>55</v>
      </c>
      <c r="G192" s="47" t="s">
        <v>56</v>
      </c>
      <c r="H192" s="26" t="s">
        <v>57</v>
      </c>
      <c r="I192" s="47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4971</v>
      </c>
      <c r="C193" s="25" t="s">
        <v>4972</v>
      </c>
      <c r="D193" s="23" t="s">
        <v>4596</v>
      </c>
      <c r="E193" s="45">
        <v>46128</v>
      </c>
      <c r="F193" s="26" t="s">
        <v>55</v>
      </c>
      <c r="G193" s="47" t="s">
        <v>828</v>
      </c>
      <c r="H193" s="26" t="s">
        <v>57</v>
      </c>
      <c r="I193" s="47" t="s">
        <v>828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4973</v>
      </c>
      <c r="C194" s="44" t="s">
        <v>4974</v>
      </c>
      <c r="D194" s="42" t="s">
        <v>4596</v>
      </c>
      <c r="E194" s="45">
        <v>46128</v>
      </c>
      <c r="F194" s="26" t="s">
        <v>55</v>
      </c>
      <c r="G194" s="47" t="s">
        <v>828</v>
      </c>
      <c r="H194" s="26" t="s">
        <v>57</v>
      </c>
      <c r="I194" s="47" t="s">
        <v>828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4975</v>
      </c>
      <c r="C195" s="25" t="s">
        <v>4976</v>
      </c>
      <c r="D195" s="23" t="s">
        <v>4596</v>
      </c>
      <c r="E195" s="45">
        <v>46128</v>
      </c>
      <c r="F195" s="26" t="s">
        <v>55</v>
      </c>
      <c r="G195" s="47" t="s">
        <v>828</v>
      </c>
      <c r="H195" s="26" t="s">
        <v>57</v>
      </c>
      <c r="I195" s="47" t="s">
        <v>828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4977</v>
      </c>
      <c r="C196" s="44" t="s">
        <v>4978</v>
      </c>
      <c r="D196" s="42" t="s">
        <v>4596</v>
      </c>
      <c r="E196" s="45">
        <v>46128</v>
      </c>
      <c r="F196" s="26" t="s">
        <v>55</v>
      </c>
      <c r="G196" s="47" t="s">
        <v>828</v>
      </c>
      <c r="H196" s="26" t="s">
        <v>57</v>
      </c>
      <c r="I196" s="47" t="s">
        <v>828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4979</v>
      </c>
      <c r="C197" s="25" t="s">
        <v>4980</v>
      </c>
      <c r="D197" s="23" t="s">
        <v>4596</v>
      </c>
      <c r="E197" s="45">
        <v>46128</v>
      </c>
      <c r="F197" s="26" t="s">
        <v>55</v>
      </c>
      <c r="G197" s="47" t="s">
        <v>56</v>
      </c>
      <c r="H197" s="26" t="s">
        <v>57</v>
      </c>
      <c r="I197" s="47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4981</v>
      </c>
      <c r="C198" s="44" t="s">
        <v>4982</v>
      </c>
      <c r="D198" s="42" t="s">
        <v>4596</v>
      </c>
      <c r="E198" s="45">
        <v>46128</v>
      </c>
      <c r="F198" s="26" t="s">
        <v>55</v>
      </c>
      <c r="G198" s="47" t="s">
        <v>828</v>
      </c>
      <c r="H198" s="26" t="s">
        <v>57</v>
      </c>
      <c r="I198" s="47" t="s">
        <v>828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4983</v>
      </c>
      <c r="C199" s="25" t="s">
        <v>4984</v>
      </c>
      <c r="D199" s="23" t="s">
        <v>4596</v>
      </c>
      <c r="E199" s="45">
        <v>46128</v>
      </c>
      <c r="F199" s="26" t="s">
        <v>55</v>
      </c>
      <c r="G199" s="47" t="s">
        <v>828</v>
      </c>
      <c r="H199" s="26" t="s">
        <v>57</v>
      </c>
      <c r="I199" s="47" t="s">
        <v>828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4985</v>
      </c>
      <c r="C200" s="44" t="s">
        <v>4986</v>
      </c>
      <c r="D200" s="42" t="s">
        <v>4596</v>
      </c>
      <c r="E200" s="45">
        <v>46128</v>
      </c>
      <c r="F200" s="26" t="s">
        <v>55</v>
      </c>
      <c r="G200" s="47" t="s">
        <v>828</v>
      </c>
      <c r="H200" s="26" t="s">
        <v>57</v>
      </c>
      <c r="I200" s="47" t="s">
        <v>828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4987</v>
      </c>
      <c r="C201" s="25" t="s">
        <v>4988</v>
      </c>
      <c r="D201" s="23" t="s">
        <v>4596</v>
      </c>
      <c r="E201" s="45">
        <v>46128</v>
      </c>
      <c r="F201" s="26" t="s">
        <v>55</v>
      </c>
      <c r="G201" s="47" t="s">
        <v>56</v>
      </c>
      <c r="H201" s="26" t="s">
        <v>57</v>
      </c>
      <c r="I201" s="47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4989</v>
      </c>
      <c r="C202" s="44" t="s">
        <v>4990</v>
      </c>
      <c r="D202" s="42" t="s">
        <v>4596</v>
      </c>
      <c r="E202" s="45">
        <v>46128</v>
      </c>
      <c r="F202" s="26" t="s">
        <v>55</v>
      </c>
      <c r="G202" s="47" t="s">
        <v>828</v>
      </c>
      <c r="H202" s="26" t="s">
        <v>57</v>
      </c>
      <c r="I202" s="47" t="s">
        <v>828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4991</v>
      </c>
      <c r="C203" s="25" t="s">
        <v>4992</v>
      </c>
      <c r="D203" s="23" t="s">
        <v>4596</v>
      </c>
      <c r="E203" s="45">
        <v>46128</v>
      </c>
      <c r="F203" s="26" t="s">
        <v>55</v>
      </c>
      <c r="G203" s="47" t="s">
        <v>828</v>
      </c>
      <c r="H203" s="26" t="s">
        <v>57</v>
      </c>
      <c r="I203" s="47" t="s">
        <v>828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4993</v>
      </c>
      <c r="C204" s="44" t="s">
        <v>4994</v>
      </c>
      <c r="D204" s="42" t="s">
        <v>4596</v>
      </c>
      <c r="E204" s="45">
        <v>46128</v>
      </c>
      <c r="F204" s="26" t="s">
        <v>55</v>
      </c>
      <c r="G204" s="47" t="s">
        <v>56</v>
      </c>
      <c r="H204" s="26" t="s">
        <v>57</v>
      </c>
      <c r="I204" s="47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4995</v>
      </c>
      <c r="C205" s="25" t="s">
        <v>4996</v>
      </c>
      <c r="D205" s="23" t="s">
        <v>4596</v>
      </c>
      <c r="E205" s="45">
        <v>46128</v>
      </c>
      <c r="F205" s="26" t="s">
        <v>55</v>
      </c>
      <c r="G205" s="47" t="s">
        <v>828</v>
      </c>
      <c r="H205" s="26" t="s">
        <v>57</v>
      </c>
      <c r="I205" s="47" t="s">
        <v>828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4997</v>
      </c>
      <c r="C206" s="44" t="s">
        <v>4998</v>
      </c>
      <c r="D206" s="42" t="s">
        <v>4596</v>
      </c>
      <c r="E206" s="45">
        <v>46128</v>
      </c>
      <c r="F206" s="26" t="s">
        <v>55</v>
      </c>
      <c r="G206" s="47" t="s">
        <v>828</v>
      </c>
      <c r="H206" s="26" t="s">
        <v>57</v>
      </c>
      <c r="I206" s="47" t="s">
        <v>828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4999</v>
      </c>
      <c r="C207" s="25" t="s">
        <v>5000</v>
      </c>
      <c r="D207" s="23" t="s">
        <v>4596</v>
      </c>
      <c r="E207" s="45">
        <v>46128</v>
      </c>
      <c r="F207" s="26" t="s">
        <v>55</v>
      </c>
      <c r="G207" s="47" t="s">
        <v>828</v>
      </c>
      <c r="H207" s="26" t="s">
        <v>57</v>
      </c>
      <c r="I207" s="47" t="s">
        <v>828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5001</v>
      </c>
      <c r="C208" s="44" t="s">
        <v>5002</v>
      </c>
      <c r="D208" s="42" t="s">
        <v>4596</v>
      </c>
      <c r="E208" s="45">
        <v>46128</v>
      </c>
      <c r="F208" s="26" t="s">
        <v>55</v>
      </c>
      <c r="G208" s="47" t="s">
        <v>828</v>
      </c>
      <c r="H208" s="26" t="s">
        <v>57</v>
      </c>
      <c r="I208" s="47" t="s">
        <v>828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5003</v>
      </c>
      <c r="C209" s="25" t="s">
        <v>5004</v>
      </c>
      <c r="D209" s="23" t="s">
        <v>4596</v>
      </c>
      <c r="E209" s="45">
        <v>46128</v>
      </c>
      <c r="F209" s="26" t="s">
        <v>55</v>
      </c>
      <c r="G209" s="47" t="s">
        <v>828</v>
      </c>
      <c r="H209" s="26" t="s">
        <v>57</v>
      </c>
      <c r="I209" s="47" t="s">
        <v>828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5005</v>
      </c>
      <c r="C210" s="44" t="s">
        <v>5006</v>
      </c>
      <c r="D210" s="42" t="s">
        <v>4596</v>
      </c>
      <c r="E210" s="45">
        <v>46128</v>
      </c>
      <c r="F210" s="26" t="s">
        <v>55</v>
      </c>
      <c r="G210" s="47" t="s">
        <v>828</v>
      </c>
      <c r="H210" s="26" t="s">
        <v>57</v>
      </c>
      <c r="I210" s="47" t="s">
        <v>828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5007</v>
      </c>
      <c r="C211" s="25" t="s">
        <v>5008</v>
      </c>
      <c r="D211" s="23" t="s">
        <v>4596</v>
      </c>
      <c r="E211" s="45">
        <v>46128</v>
      </c>
      <c r="F211" s="26" t="s">
        <v>55</v>
      </c>
      <c r="G211" s="47" t="s">
        <v>56</v>
      </c>
      <c r="H211" s="26" t="s">
        <v>57</v>
      </c>
      <c r="I211" s="47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5009</v>
      </c>
      <c r="C212" s="44" t="s">
        <v>5010</v>
      </c>
      <c r="D212" s="42" t="s">
        <v>4596</v>
      </c>
      <c r="E212" s="45">
        <v>46128</v>
      </c>
      <c r="F212" s="26" t="s">
        <v>55</v>
      </c>
      <c r="G212" s="47" t="s">
        <v>56</v>
      </c>
      <c r="H212" s="26" t="s">
        <v>57</v>
      </c>
      <c r="I212" s="47" t="s">
        <v>276</v>
      </c>
      <c r="J212" s="26" t="s">
        <v>57</v>
      </c>
      <c r="K212" s="27" t="s">
        <v>5011</v>
      </c>
      <c r="L212" s="28" t="s">
        <v>56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5012</v>
      </c>
      <c r="C213" s="25" t="s">
        <v>5013</v>
      </c>
      <c r="D213" s="23" t="s">
        <v>4596</v>
      </c>
      <c r="E213" s="45">
        <v>46128</v>
      </c>
      <c r="F213" s="26" t="s">
        <v>55</v>
      </c>
      <c r="G213" s="47" t="s">
        <v>828</v>
      </c>
      <c r="H213" s="26" t="s">
        <v>57</v>
      </c>
      <c r="I213" s="47" t="s">
        <v>828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5014</v>
      </c>
      <c r="C214" s="44" t="s">
        <v>5015</v>
      </c>
      <c r="D214" s="42" t="s">
        <v>4596</v>
      </c>
      <c r="E214" s="45">
        <v>46128</v>
      </c>
      <c r="F214" s="26" t="s">
        <v>55</v>
      </c>
      <c r="G214" s="47" t="s">
        <v>828</v>
      </c>
      <c r="H214" s="26" t="s">
        <v>57</v>
      </c>
      <c r="I214" s="47" t="s">
        <v>828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5016</v>
      </c>
      <c r="C215" s="25" t="s">
        <v>5017</v>
      </c>
      <c r="D215" s="23" t="s">
        <v>4596</v>
      </c>
      <c r="E215" s="45">
        <v>46128</v>
      </c>
      <c r="F215" s="26" t="s">
        <v>55</v>
      </c>
      <c r="G215" s="47" t="s">
        <v>828</v>
      </c>
      <c r="H215" s="26" t="s">
        <v>57</v>
      </c>
      <c r="I215" s="47" t="s">
        <v>828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5018</v>
      </c>
      <c r="C216" s="44" t="s">
        <v>5019</v>
      </c>
      <c r="D216" s="42" t="s">
        <v>4596</v>
      </c>
      <c r="E216" s="45">
        <v>46128</v>
      </c>
      <c r="F216" s="26" t="s">
        <v>55</v>
      </c>
      <c r="G216" s="47" t="s">
        <v>56</v>
      </c>
      <c r="H216" s="26" t="s">
        <v>57</v>
      </c>
      <c r="I216" s="47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5020</v>
      </c>
      <c r="C217" s="25" t="s">
        <v>5021</v>
      </c>
      <c r="D217" s="23" t="s">
        <v>4596</v>
      </c>
      <c r="E217" s="45">
        <v>46128</v>
      </c>
      <c r="F217" s="26" t="s">
        <v>55</v>
      </c>
      <c r="G217" s="47" t="s">
        <v>828</v>
      </c>
      <c r="H217" s="26" t="s">
        <v>57</v>
      </c>
      <c r="I217" s="47" t="s">
        <v>828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5022</v>
      </c>
      <c r="C218" s="44" t="s">
        <v>5023</v>
      </c>
      <c r="D218" s="42" t="s">
        <v>4596</v>
      </c>
      <c r="E218" s="45">
        <v>46128</v>
      </c>
      <c r="F218" s="26" t="s">
        <v>55</v>
      </c>
      <c r="G218" s="47" t="s">
        <v>828</v>
      </c>
      <c r="H218" s="26" t="s">
        <v>57</v>
      </c>
      <c r="I218" s="47" t="s">
        <v>828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5024</v>
      </c>
      <c r="C219" s="25" t="s">
        <v>5025</v>
      </c>
      <c r="D219" s="23" t="s">
        <v>4596</v>
      </c>
      <c r="E219" s="45">
        <v>46128</v>
      </c>
      <c r="F219" s="26" t="s">
        <v>55</v>
      </c>
      <c r="G219" s="47" t="s">
        <v>828</v>
      </c>
      <c r="H219" s="26" t="s">
        <v>57</v>
      </c>
      <c r="I219" s="47" t="s">
        <v>828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5026</v>
      </c>
      <c r="C220" s="44" t="s">
        <v>5027</v>
      </c>
      <c r="D220" s="42" t="s">
        <v>4596</v>
      </c>
      <c r="E220" s="45">
        <v>46128</v>
      </c>
      <c r="F220" s="26" t="s">
        <v>55</v>
      </c>
      <c r="G220" s="47" t="s">
        <v>828</v>
      </c>
      <c r="H220" s="26" t="s">
        <v>57</v>
      </c>
      <c r="I220" s="47" t="s">
        <v>828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5028</v>
      </c>
      <c r="C221" s="25" t="s">
        <v>5029</v>
      </c>
      <c r="D221" s="23" t="s">
        <v>4596</v>
      </c>
      <c r="E221" s="45">
        <v>46128</v>
      </c>
      <c r="F221" s="26" t="s">
        <v>55</v>
      </c>
      <c r="G221" s="47" t="s">
        <v>828</v>
      </c>
      <c r="H221" s="26" t="s">
        <v>57</v>
      </c>
      <c r="I221" s="47" t="s">
        <v>828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5030</v>
      </c>
      <c r="C222" s="44" t="s">
        <v>5031</v>
      </c>
      <c r="D222" s="42" t="s">
        <v>4596</v>
      </c>
      <c r="E222" s="45">
        <v>46128</v>
      </c>
      <c r="F222" s="26" t="s">
        <v>55</v>
      </c>
      <c r="G222" s="47" t="s">
        <v>828</v>
      </c>
      <c r="H222" s="26" t="s">
        <v>57</v>
      </c>
      <c r="I222" s="47" t="s">
        <v>828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5032</v>
      </c>
      <c r="C223" s="25" t="s">
        <v>5033</v>
      </c>
      <c r="D223" s="23" t="s">
        <v>4596</v>
      </c>
      <c r="E223" s="45">
        <v>46128</v>
      </c>
      <c r="F223" s="26" t="s">
        <v>55</v>
      </c>
      <c r="G223" s="47" t="s">
        <v>828</v>
      </c>
      <c r="H223" s="26" t="s">
        <v>57</v>
      </c>
      <c r="I223" s="47" t="s">
        <v>828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5034</v>
      </c>
      <c r="C224" s="44" t="s">
        <v>5035</v>
      </c>
      <c r="D224" s="42" t="s">
        <v>4596</v>
      </c>
      <c r="E224" s="45">
        <v>46128</v>
      </c>
      <c r="F224" s="26" t="s">
        <v>55</v>
      </c>
      <c r="G224" s="47" t="s">
        <v>56</v>
      </c>
      <c r="H224" s="26" t="s">
        <v>57</v>
      </c>
      <c r="I224" s="47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5036</v>
      </c>
      <c r="C225" s="25" t="s">
        <v>5037</v>
      </c>
      <c r="D225" s="23" t="s">
        <v>4596</v>
      </c>
      <c r="E225" s="45">
        <v>46128</v>
      </c>
      <c r="F225" s="26" t="s">
        <v>55</v>
      </c>
      <c r="G225" s="47" t="s">
        <v>828</v>
      </c>
      <c r="H225" s="26" t="s">
        <v>57</v>
      </c>
      <c r="I225" s="47" t="s">
        <v>828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5038</v>
      </c>
      <c r="C226" s="44" t="s">
        <v>5039</v>
      </c>
      <c r="D226" s="42" t="s">
        <v>4596</v>
      </c>
      <c r="E226" s="45">
        <v>46128</v>
      </c>
      <c r="F226" s="26" t="s">
        <v>55</v>
      </c>
      <c r="G226" s="47" t="s">
        <v>828</v>
      </c>
      <c r="H226" s="26" t="s">
        <v>57</v>
      </c>
      <c r="I226" s="47" t="s">
        <v>828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5040</v>
      </c>
      <c r="C227" s="25" t="s">
        <v>5041</v>
      </c>
      <c r="D227" s="23" t="s">
        <v>4596</v>
      </c>
      <c r="E227" s="45">
        <v>46128</v>
      </c>
      <c r="F227" s="26" t="s">
        <v>55</v>
      </c>
      <c r="G227" s="47" t="s">
        <v>828</v>
      </c>
      <c r="H227" s="26" t="s">
        <v>57</v>
      </c>
      <c r="I227" s="47" t="s">
        <v>828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5042</v>
      </c>
      <c r="C228" s="44" t="s">
        <v>5043</v>
      </c>
      <c r="D228" s="42" t="s">
        <v>4596</v>
      </c>
      <c r="E228" s="45">
        <v>46128</v>
      </c>
      <c r="F228" s="26" t="s">
        <v>55</v>
      </c>
      <c r="G228" s="47" t="s">
        <v>56</v>
      </c>
      <c r="H228" s="26" t="s">
        <v>57</v>
      </c>
      <c r="I228" s="47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5044</v>
      </c>
      <c r="C229" s="25" t="s">
        <v>5045</v>
      </c>
      <c r="D229" s="23" t="s">
        <v>4596</v>
      </c>
      <c r="E229" s="45">
        <v>46128</v>
      </c>
      <c r="F229" s="26" t="s">
        <v>55</v>
      </c>
      <c r="G229" s="47" t="s">
        <v>828</v>
      </c>
      <c r="H229" s="26" t="s">
        <v>57</v>
      </c>
      <c r="I229" s="47" t="s">
        <v>828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5046</v>
      </c>
      <c r="C230" s="44" t="s">
        <v>5047</v>
      </c>
      <c r="D230" s="42" t="s">
        <v>4596</v>
      </c>
      <c r="E230" s="45">
        <v>46128</v>
      </c>
      <c r="F230" s="26" t="s">
        <v>55</v>
      </c>
      <c r="G230" s="47" t="s">
        <v>828</v>
      </c>
      <c r="H230" s="26" t="s">
        <v>57</v>
      </c>
      <c r="I230" s="47" t="s">
        <v>828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5048</v>
      </c>
      <c r="C231" s="25" t="s">
        <v>5049</v>
      </c>
      <c r="D231" s="23" t="s">
        <v>4596</v>
      </c>
      <c r="E231" s="45">
        <v>46128</v>
      </c>
      <c r="F231" s="26" t="s">
        <v>55</v>
      </c>
      <c r="G231" s="47" t="s">
        <v>828</v>
      </c>
      <c r="H231" s="26" t="s">
        <v>57</v>
      </c>
      <c r="I231" s="47" t="s">
        <v>828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5050</v>
      </c>
      <c r="C232" s="44" t="s">
        <v>5051</v>
      </c>
      <c r="D232" s="42" t="s">
        <v>4596</v>
      </c>
      <c r="E232" s="45">
        <v>46128</v>
      </c>
      <c r="F232" s="26" t="s">
        <v>55</v>
      </c>
      <c r="G232" s="47" t="s">
        <v>56</v>
      </c>
      <c r="H232" s="26" t="s">
        <v>57</v>
      </c>
      <c r="I232" s="47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5052</v>
      </c>
      <c r="C233" s="25" t="s">
        <v>5053</v>
      </c>
      <c r="D233" s="23" t="s">
        <v>4596</v>
      </c>
      <c r="E233" s="45">
        <v>46128</v>
      </c>
      <c r="F233" s="26" t="s">
        <v>55</v>
      </c>
      <c r="G233" s="47" t="s">
        <v>828</v>
      </c>
      <c r="H233" s="26" t="s">
        <v>57</v>
      </c>
      <c r="I233" s="47" t="s">
        <v>828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5054</v>
      </c>
      <c r="C234" s="44" t="s">
        <v>5055</v>
      </c>
      <c r="D234" s="42" t="s">
        <v>4596</v>
      </c>
      <c r="E234" s="45">
        <v>46128</v>
      </c>
      <c r="F234" s="26" t="s">
        <v>55</v>
      </c>
      <c r="G234" s="47" t="s">
        <v>828</v>
      </c>
      <c r="H234" s="26" t="s">
        <v>57</v>
      </c>
      <c r="I234" s="47" t="s">
        <v>828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5056</v>
      </c>
      <c r="C235" s="25" t="s">
        <v>5057</v>
      </c>
      <c r="D235" s="23" t="s">
        <v>4596</v>
      </c>
      <c r="E235" s="45">
        <v>46128</v>
      </c>
      <c r="F235" s="26" t="s">
        <v>55</v>
      </c>
      <c r="G235" s="47" t="s">
        <v>828</v>
      </c>
      <c r="H235" s="26" t="s">
        <v>57</v>
      </c>
      <c r="I235" s="47" t="s">
        <v>828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5058</v>
      </c>
      <c r="C236" s="44" t="s">
        <v>5059</v>
      </c>
      <c r="D236" s="42" t="s">
        <v>4596</v>
      </c>
      <c r="E236" s="45">
        <v>46128</v>
      </c>
      <c r="F236" s="26" t="s">
        <v>55</v>
      </c>
      <c r="G236" s="47" t="s">
        <v>828</v>
      </c>
      <c r="H236" s="26" t="s">
        <v>57</v>
      </c>
      <c r="I236" s="47" t="s">
        <v>828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5060</v>
      </c>
      <c r="C237" s="25" t="s">
        <v>5061</v>
      </c>
      <c r="D237" s="23" t="s">
        <v>4596</v>
      </c>
      <c r="E237" s="45">
        <v>46128</v>
      </c>
      <c r="F237" s="26" t="s">
        <v>55</v>
      </c>
      <c r="G237" s="47" t="s">
        <v>828</v>
      </c>
      <c r="H237" s="26" t="s">
        <v>57</v>
      </c>
      <c r="I237" s="47" t="s">
        <v>828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5062</v>
      </c>
      <c r="C238" s="44" t="s">
        <v>5063</v>
      </c>
      <c r="D238" s="42" t="s">
        <v>4596</v>
      </c>
      <c r="E238" s="45">
        <v>46128</v>
      </c>
      <c r="F238" s="26" t="s">
        <v>55</v>
      </c>
      <c r="G238" s="47" t="s">
        <v>828</v>
      </c>
      <c r="H238" s="26" t="s">
        <v>57</v>
      </c>
      <c r="I238" s="47" t="s">
        <v>828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5064</v>
      </c>
      <c r="C239" s="25" t="s">
        <v>5065</v>
      </c>
      <c r="D239" s="23" t="s">
        <v>4596</v>
      </c>
      <c r="E239" s="45">
        <v>46128</v>
      </c>
      <c r="F239" s="26" t="s">
        <v>55</v>
      </c>
      <c r="G239" s="47" t="s">
        <v>828</v>
      </c>
      <c r="H239" s="26" t="s">
        <v>57</v>
      </c>
      <c r="I239" s="47" t="s">
        <v>828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5066</v>
      </c>
      <c r="C240" s="44" t="s">
        <v>5067</v>
      </c>
      <c r="D240" s="42" t="s">
        <v>4596</v>
      </c>
      <c r="E240" s="45">
        <v>46128</v>
      </c>
      <c r="F240" s="26" t="s">
        <v>55</v>
      </c>
      <c r="G240" s="47" t="s">
        <v>828</v>
      </c>
      <c r="H240" s="26" t="s">
        <v>57</v>
      </c>
      <c r="I240" s="47" t="s">
        <v>828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5068</v>
      </c>
      <c r="C241" s="25" t="s">
        <v>5069</v>
      </c>
      <c r="D241" s="23" t="s">
        <v>4596</v>
      </c>
      <c r="E241" s="45">
        <v>46128</v>
      </c>
      <c r="F241" s="26" t="s">
        <v>55</v>
      </c>
      <c r="G241" s="47" t="s">
        <v>828</v>
      </c>
      <c r="H241" s="26" t="s">
        <v>57</v>
      </c>
      <c r="I241" s="47" t="s">
        <v>828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5070</v>
      </c>
      <c r="C242" s="44" t="s">
        <v>5071</v>
      </c>
      <c r="D242" s="42" t="s">
        <v>4596</v>
      </c>
      <c r="E242" s="45">
        <v>46128</v>
      </c>
      <c r="F242" s="26" t="s">
        <v>55</v>
      </c>
      <c r="G242" s="47" t="s">
        <v>828</v>
      </c>
      <c r="H242" s="26" t="s">
        <v>57</v>
      </c>
      <c r="I242" s="47" t="s">
        <v>828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5072</v>
      </c>
      <c r="C243" s="25" t="s">
        <v>5073</v>
      </c>
      <c r="D243" s="23" t="s">
        <v>4596</v>
      </c>
      <c r="E243" s="45">
        <v>46128</v>
      </c>
      <c r="F243" s="26" t="s">
        <v>55</v>
      </c>
      <c r="G243" s="47" t="s">
        <v>828</v>
      </c>
      <c r="H243" s="26" t="s">
        <v>57</v>
      </c>
      <c r="I243" s="47" t="s">
        <v>828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5074</v>
      </c>
      <c r="C244" s="44" t="s">
        <v>5075</v>
      </c>
      <c r="D244" s="42" t="s">
        <v>4596</v>
      </c>
      <c r="E244" s="45">
        <v>46128</v>
      </c>
      <c r="F244" s="26" t="s">
        <v>55</v>
      </c>
      <c r="G244" s="47" t="s">
        <v>56</v>
      </c>
      <c r="H244" s="26" t="s">
        <v>57</v>
      </c>
      <c r="I244" s="47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5076</v>
      </c>
      <c r="C245" s="25" t="s">
        <v>5077</v>
      </c>
      <c r="D245" s="23" t="s">
        <v>4596</v>
      </c>
      <c r="E245" s="45">
        <v>46128</v>
      </c>
      <c r="F245" s="26" t="s">
        <v>55</v>
      </c>
      <c r="G245" s="47" t="s">
        <v>828</v>
      </c>
      <c r="H245" s="26" t="s">
        <v>57</v>
      </c>
      <c r="I245" s="47" t="s">
        <v>828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5078</v>
      </c>
      <c r="C246" s="44" t="s">
        <v>5079</v>
      </c>
      <c r="D246" s="42" t="s">
        <v>4596</v>
      </c>
      <c r="E246" s="45">
        <v>46128</v>
      </c>
      <c r="F246" s="26" t="s">
        <v>55</v>
      </c>
      <c r="G246" s="47" t="s">
        <v>828</v>
      </c>
      <c r="H246" s="26" t="s">
        <v>57</v>
      </c>
      <c r="I246" s="47" t="s">
        <v>828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5080</v>
      </c>
      <c r="C247" s="25" t="s">
        <v>5081</v>
      </c>
      <c r="D247" s="23" t="s">
        <v>4596</v>
      </c>
      <c r="E247" s="45">
        <v>46128</v>
      </c>
      <c r="F247" s="26" t="s">
        <v>55</v>
      </c>
      <c r="G247" s="47" t="s">
        <v>828</v>
      </c>
      <c r="H247" s="26" t="s">
        <v>57</v>
      </c>
      <c r="I247" s="47" t="s">
        <v>828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5082</v>
      </c>
      <c r="C248" s="44" t="s">
        <v>5083</v>
      </c>
      <c r="D248" s="42" t="s">
        <v>4596</v>
      </c>
      <c r="E248" s="45">
        <v>46128</v>
      </c>
      <c r="F248" s="26" t="s">
        <v>55</v>
      </c>
      <c r="G248" s="47" t="s">
        <v>828</v>
      </c>
      <c r="H248" s="26" t="s">
        <v>57</v>
      </c>
      <c r="I248" s="47" t="s">
        <v>828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5084</v>
      </c>
      <c r="C249" s="25" t="s">
        <v>5085</v>
      </c>
      <c r="D249" s="23" t="s">
        <v>4596</v>
      </c>
      <c r="E249" s="45">
        <v>46128</v>
      </c>
      <c r="F249" s="26" t="s">
        <v>55</v>
      </c>
      <c r="G249" s="47" t="s">
        <v>828</v>
      </c>
      <c r="H249" s="26" t="s">
        <v>57</v>
      </c>
      <c r="I249" s="47" t="s">
        <v>828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5086</v>
      </c>
      <c r="C250" s="44" t="s">
        <v>5087</v>
      </c>
      <c r="D250" s="42" t="s">
        <v>4596</v>
      </c>
      <c r="E250" s="45">
        <v>46128</v>
      </c>
      <c r="F250" s="26" t="s">
        <v>55</v>
      </c>
      <c r="G250" s="47" t="s">
        <v>828</v>
      </c>
      <c r="H250" s="26" t="s">
        <v>57</v>
      </c>
      <c r="I250" s="47" t="s">
        <v>828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5088</v>
      </c>
      <c r="C251" s="25" t="s">
        <v>5089</v>
      </c>
      <c r="D251" s="23" t="s">
        <v>4596</v>
      </c>
      <c r="E251" s="45">
        <v>46128</v>
      </c>
      <c r="F251" s="26" t="s">
        <v>55</v>
      </c>
      <c r="G251" s="47" t="s">
        <v>56</v>
      </c>
      <c r="H251" s="26" t="s">
        <v>57</v>
      </c>
      <c r="I251" s="47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5090</v>
      </c>
      <c r="C252" s="44" t="s">
        <v>5091</v>
      </c>
      <c r="D252" s="42" t="s">
        <v>4596</v>
      </c>
      <c r="E252" s="45">
        <v>46128</v>
      </c>
      <c r="F252" s="26" t="s">
        <v>55</v>
      </c>
      <c r="G252" s="47" t="s">
        <v>828</v>
      </c>
      <c r="H252" s="26" t="s">
        <v>57</v>
      </c>
      <c r="I252" s="47" t="s">
        <v>828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5092</v>
      </c>
      <c r="C253" s="25" t="s">
        <v>5093</v>
      </c>
      <c r="D253" s="23" t="s">
        <v>4596</v>
      </c>
      <c r="E253" s="45">
        <v>46128</v>
      </c>
      <c r="F253" s="26" t="s">
        <v>55</v>
      </c>
      <c r="G253" s="47" t="s">
        <v>828</v>
      </c>
      <c r="H253" s="26" t="s">
        <v>57</v>
      </c>
      <c r="I253" s="47" t="s">
        <v>828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5094</v>
      </c>
      <c r="C254" s="44" t="s">
        <v>5095</v>
      </c>
      <c r="D254" s="42" t="s">
        <v>4596</v>
      </c>
      <c r="E254" s="45">
        <v>46128</v>
      </c>
      <c r="F254" s="26" t="s">
        <v>55</v>
      </c>
      <c r="G254" s="47" t="s">
        <v>828</v>
      </c>
      <c r="H254" s="26" t="s">
        <v>57</v>
      </c>
      <c r="I254" s="47" t="s">
        <v>828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5096</v>
      </c>
      <c r="C255" s="25" t="s">
        <v>5097</v>
      </c>
      <c r="D255" s="23" t="s">
        <v>4596</v>
      </c>
      <c r="E255" s="45">
        <v>46128</v>
      </c>
      <c r="F255" s="26" t="s">
        <v>55</v>
      </c>
      <c r="G255" s="47" t="s">
        <v>828</v>
      </c>
      <c r="H255" s="26" t="s">
        <v>57</v>
      </c>
      <c r="I255" s="47" t="s">
        <v>828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5098</v>
      </c>
      <c r="C256" s="44" t="s">
        <v>5099</v>
      </c>
      <c r="D256" s="42" t="s">
        <v>4596</v>
      </c>
      <c r="E256" s="45">
        <v>46128</v>
      </c>
      <c r="F256" s="26" t="s">
        <v>55</v>
      </c>
      <c r="G256" s="47" t="s">
        <v>828</v>
      </c>
      <c r="H256" s="26" t="s">
        <v>57</v>
      </c>
      <c r="I256" s="47" t="s">
        <v>828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5100</v>
      </c>
      <c r="C257" s="25" t="s">
        <v>5101</v>
      </c>
      <c r="D257" s="23" t="s">
        <v>4596</v>
      </c>
      <c r="E257" s="45">
        <v>46128</v>
      </c>
      <c r="F257" s="26" t="s">
        <v>55</v>
      </c>
      <c r="G257" s="47" t="s">
        <v>828</v>
      </c>
      <c r="H257" s="26" t="s">
        <v>57</v>
      </c>
      <c r="I257" s="47" t="s">
        <v>828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5102</v>
      </c>
      <c r="C258" s="44" t="s">
        <v>5103</v>
      </c>
      <c r="D258" s="42" t="s">
        <v>4596</v>
      </c>
      <c r="E258" s="45">
        <v>46128</v>
      </c>
      <c r="F258" s="26" t="s">
        <v>55</v>
      </c>
      <c r="G258" s="47" t="s">
        <v>828</v>
      </c>
      <c r="H258" s="26" t="s">
        <v>57</v>
      </c>
      <c r="I258" s="47" t="s">
        <v>828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5104</v>
      </c>
      <c r="C259" s="25" t="s">
        <v>5105</v>
      </c>
      <c r="D259" s="23" t="s">
        <v>4596</v>
      </c>
      <c r="E259" s="45">
        <v>46128</v>
      </c>
      <c r="F259" s="26" t="s">
        <v>55</v>
      </c>
      <c r="G259" s="47" t="s">
        <v>828</v>
      </c>
      <c r="H259" s="26" t="s">
        <v>57</v>
      </c>
      <c r="I259" s="47" t="s">
        <v>828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5106</v>
      </c>
      <c r="C260" s="44" t="s">
        <v>5107</v>
      </c>
      <c r="D260" s="42" t="s">
        <v>4596</v>
      </c>
      <c r="E260" s="45">
        <v>46128</v>
      </c>
      <c r="F260" s="26" t="s">
        <v>55</v>
      </c>
      <c r="G260" s="47" t="s">
        <v>828</v>
      </c>
      <c r="H260" s="26" t="s">
        <v>57</v>
      </c>
      <c r="I260" s="47" t="s">
        <v>828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5108</v>
      </c>
      <c r="C261" s="25" t="s">
        <v>5109</v>
      </c>
      <c r="D261" s="23" t="s">
        <v>4596</v>
      </c>
      <c r="E261" s="45">
        <v>46128</v>
      </c>
      <c r="F261" s="26" t="s">
        <v>55</v>
      </c>
      <c r="G261" s="47" t="s">
        <v>828</v>
      </c>
      <c r="H261" s="26" t="s">
        <v>57</v>
      </c>
      <c r="I261" s="47" t="s">
        <v>828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5110</v>
      </c>
      <c r="C262" s="44" t="s">
        <v>5111</v>
      </c>
      <c r="D262" s="42" t="s">
        <v>4596</v>
      </c>
      <c r="E262" s="45">
        <v>46128</v>
      </c>
      <c r="F262" s="26" t="s">
        <v>55</v>
      </c>
      <c r="G262" s="47" t="s">
        <v>828</v>
      </c>
      <c r="H262" s="26" t="s">
        <v>57</v>
      </c>
      <c r="I262" s="47" t="s">
        <v>828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5112</v>
      </c>
      <c r="C263" s="25" t="s">
        <v>5113</v>
      </c>
      <c r="D263" s="23" t="s">
        <v>4596</v>
      </c>
      <c r="E263" s="45">
        <v>46128</v>
      </c>
      <c r="F263" s="26" t="s">
        <v>55</v>
      </c>
      <c r="G263" s="47" t="s">
        <v>828</v>
      </c>
      <c r="H263" s="26" t="s">
        <v>57</v>
      </c>
      <c r="I263" s="47" t="s">
        <v>828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5114</v>
      </c>
      <c r="C264" s="44" t="s">
        <v>5115</v>
      </c>
      <c r="D264" s="42" t="s">
        <v>4596</v>
      </c>
      <c r="E264" s="45">
        <v>46128</v>
      </c>
      <c r="F264" s="26" t="s">
        <v>55</v>
      </c>
      <c r="G264" s="47" t="s">
        <v>828</v>
      </c>
      <c r="H264" s="26" t="s">
        <v>57</v>
      </c>
      <c r="I264" s="47" t="s">
        <v>828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5116</v>
      </c>
      <c r="C265" s="25" t="s">
        <v>5117</v>
      </c>
      <c r="D265" s="23" t="s">
        <v>4596</v>
      </c>
      <c r="E265" s="45">
        <v>46128</v>
      </c>
      <c r="F265" s="26" t="s">
        <v>55</v>
      </c>
      <c r="G265" s="47" t="s">
        <v>828</v>
      </c>
      <c r="H265" s="26" t="s">
        <v>57</v>
      </c>
      <c r="I265" s="47" t="s">
        <v>828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5118</v>
      </c>
      <c r="C266" s="44" t="s">
        <v>5119</v>
      </c>
      <c r="D266" s="42" t="s">
        <v>4596</v>
      </c>
      <c r="E266" s="45">
        <v>46128</v>
      </c>
      <c r="F266" s="26" t="s">
        <v>55</v>
      </c>
      <c r="G266" s="47" t="s">
        <v>828</v>
      </c>
      <c r="H266" s="26" t="s">
        <v>57</v>
      </c>
      <c r="I266" s="47" t="s">
        <v>828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5120</v>
      </c>
      <c r="C267" s="25" t="s">
        <v>5121</v>
      </c>
      <c r="D267" s="23" t="s">
        <v>4596</v>
      </c>
      <c r="E267" s="45">
        <v>46128</v>
      </c>
      <c r="F267" s="26" t="s">
        <v>55</v>
      </c>
      <c r="G267" s="47" t="s">
        <v>828</v>
      </c>
      <c r="H267" s="26" t="s">
        <v>57</v>
      </c>
      <c r="I267" s="47" t="s">
        <v>828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5122</v>
      </c>
      <c r="C268" s="44" t="s">
        <v>5123</v>
      </c>
      <c r="D268" s="42" t="s">
        <v>4596</v>
      </c>
      <c r="E268" s="45">
        <v>46128</v>
      </c>
      <c r="F268" s="26" t="s">
        <v>55</v>
      </c>
      <c r="G268" s="47" t="s">
        <v>56</v>
      </c>
      <c r="H268" s="26" t="s">
        <v>57</v>
      </c>
      <c r="I268" s="47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5124</v>
      </c>
      <c r="C269" s="25" t="s">
        <v>5125</v>
      </c>
      <c r="D269" s="23" t="s">
        <v>4596</v>
      </c>
      <c r="E269" s="45">
        <v>46128</v>
      </c>
      <c r="F269" s="26" t="s">
        <v>55</v>
      </c>
      <c r="G269" s="47" t="s">
        <v>828</v>
      </c>
      <c r="H269" s="26" t="s">
        <v>57</v>
      </c>
      <c r="I269" s="47" t="s">
        <v>828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5126</v>
      </c>
      <c r="C270" s="44" t="s">
        <v>5127</v>
      </c>
      <c r="D270" s="42" t="s">
        <v>4596</v>
      </c>
      <c r="E270" s="45">
        <v>46128</v>
      </c>
      <c r="F270" s="26" t="s">
        <v>55</v>
      </c>
      <c r="G270" s="47" t="s">
        <v>828</v>
      </c>
      <c r="H270" s="26" t="s">
        <v>57</v>
      </c>
      <c r="I270" s="47" t="s">
        <v>828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5128</v>
      </c>
      <c r="C271" s="25" t="s">
        <v>5129</v>
      </c>
      <c r="D271" s="23" t="s">
        <v>4596</v>
      </c>
      <c r="E271" s="45">
        <v>46128</v>
      </c>
      <c r="F271" s="26" t="s">
        <v>55</v>
      </c>
      <c r="G271" s="47" t="s">
        <v>828</v>
      </c>
      <c r="H271" s="26" t="s">
        <v>57</v>
      </c>
      <c r="I271" s="47" t="s">
        <v>828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5130</v>
      </c>
      <c r="C272" s="44" t="s">
        <v>5131</v>
      </c>
      <c r="D272" s="42" t="s">
        <v>4596</v>
      </c>
      <c r="E272" s="45">
        <v>46128</v>
      </c>
      <c r="F272" s="26" t="s">
        <v>55</v>
      </c>
      <c r="G272" s="47" t="s">
        <v>828</v>
      </c>
      <c r="H272" s="26" t="s">
        <v>57</v>
      </c>
      <c r="I272" s="47" t="s">
        <v>828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5132</v>
      </c>
      <c r="C273" s="25" t="s">
        <v>5133</v>
      </c>
      <c r="D273" s="23" t="s">
        <v>4596</v>
      </c>
      <c r="E273" s="45">
        <v>46128</v>
      </c>
      <c r="F273" s="26" t="s">
        <v>55</v>
      </c>
      <c r="G273" s="47" t="s">
        <v>828</v>
      </c>
      <c r="H273" s="26" t="s">
        <v>57</v>
      </c>
      <c r="I273" s="47" t="s">
        <v>828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5134</v>
      </c>
      <c r="C274" s="44" t="s">
        <v>5135</v>
      </c>
      <c r="D274" s="42" t="s">
        <v>4596</v>
      </c>
      <c r="E274" s="45">
        <v>46128</v>
      </c>
      <c r="F274" s="26" t="s">
        <v>55</v>
      </c>
      <c r="G274" s="47" t="s">
        <v>828</v>
      </c>
      <c r="H274" s="26" t="s">
        <v>57</v>
      </c>
      <c r="I274" s="47" t="s">
        <v>828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5136</v>
      </c>
      <c r="C275" s="25" t="s">
        <v>5137</v>
      </c>
      <c r="D275" s="23" t="s">
        <v>4596</v>
      </c>
      <c r="E275" s="45">
        <v>46128</v>
      </c>
      <c r="F275" s="26" t="s">
        <v>55</v>
      </c>
      <c r="G275" s="47" t="s">
        <v>828</v>
      </c>
      <c r="H275" s="26" t="s">
        <v>57</v>
      </c>
      <c r="I275" s="47" t="s">
        <v>828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5138</v>
      </c>
      <c r="C276" s="44" t="s">
        <v>5139</v>
      </c>
      <c r="D276" s="42" t="s">
        <v>4596</v>
      </c>
      <c r="E276" s="45">
        <v>46128</v>
      </c>
      <c r="F276" s="26" t="s">
        <v>55</v>
      </c>
      <c r="G276" s="47" t="s">
        <v>56</v>
      </c>
      <c r="H276" s="26" t="s">
        <v>57</v>
      </c>
      <c r="I276" s="47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5140</v>
      </c>
      <c r="C277" s="25" t="s">
        <v>5141</v>
      </c>
      <c r="D277" s="23" t="s">
        <v>4596</v>
      </c>
      <c r="E277" s="45">
        <v>46128</v>
      </c>
      <c r="F277" s="26" t="s">
        <v>55</v>
      </c>
      <c r="G277" s="47" t="s">
        <v>828</v>
      </c>
      <c r="H277" s="26" t="s">
        <v>57</v>
      </c>
      <c r="I277" s="47" t="s">
        <v>828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5142</v>
      </c>
      <c r="C278" s="44" t="s">
        <v>5143</v>
      </c>
      <c r="D278" s="42" t="s">
        <v>4596</v>
      </c>
      <c r="E278" s="45">
        <v>46128</v>
      </c>
      <c r="F278" s="26" t="s">
        <v>55</v>
      </c>
      <c r="G278" s="47" t="s">
        <v>828</v>
      </c>
      <c r="H278" s="26" t="s">
        <v>57</v>
      </c>
      <c r="I278" s="47" t="s">
        <v>828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5144</v>
      </c>
      <c r="C279" s="25" t="s">
        <v>5145</v>
      </c>
      <c r="D279" s="23" t="s">
        <v>4596</v>
      </c>
      <c r="E279" s="45">
        <v>46128</v>
      </c>
      <c r="F279" s="26" t="s">
        <v>55</v>
      </c>
      <c r="G279" s="47" t="s">
        <v>828</v>
      </c>
      <c r="H279" s="26" t="s">
        <v>57</v>
      </c>
      <c r="I279" s="47" t="s">
        <v>828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5146</v>
      </c>
      <c r="C280" s="44" t="s">
        <v>5147</v>
      </c>
      <c r="D280" s="42" t="s">
        <v>4596</v>
      </c>
      <c r="E280" s="45">
        <v>46128</v>
      </c>
      <c r="F280" s="26" t="s">
        <v>55</v>
      </c>
      <c r="G280" s="47" t="s">
        <v>56</v>
      </c>
      <c r="H280" s="26" t="s">
        <v>57</v>
      </c>
      <c r="I280" s="47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5148</v>
      </c>
      <c r="C281" s="25" t="s">
        <v>5149</v>
      </c>
      <c r="D281" s="23" t="s">
        <v>4596</v>
      </c>
      <c r="E281" s="45">
        <v>46128</v>
      </c>
      <c r="F281" s="26" t="s">
        <v>55</v>
      </c>
      <c r="G281" s="47" t="s">
        <v>828</v>
      </c>
      <c r="H281" s="26" t="s">
        <v>57</v>
      </c>
      <c r="I281" s="47" t="s">
        <v>828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5150</v>
      </c>
      <c r="C282" s="44" t="s">
        <v>5151</v>
      </c>
      <c r="D282" s="42" t="s">
        <v>4596</v>
      </c>
      <c r="E282" s="45">
        <v>46128</v>
      </c>
      <c r="F282" s="26" t="s">
        <v>55</v>
      </c>
      <c r="G282" s="47" t="s">
        <v>828</v>
      </c>
      <c r="H282" s="26" t="s">
        <v>57</v>
      </c>
      <c r="I282" s="47" t="s">
        <v>828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5152</v>
      </c>
      <c r="C283" s="25" t="s">
        <v>5153</v>
      </c>
      <c r="D283" s="23" t="s">
        <v>4596</v>
      </c>
      <c r="E283" s="45">
        <v>46128</v>
      </c>
      <c r="F283" s="26" t="s">
        <v>55</v>
      </c>
      <c r="G283" s="47" t="s">
        <v>828</v>
      </c>
      <c r="H283" s="26" t="s">
        <v>57</v>
      </c>
      <c r="I283" s="47" t="s">
        <v>828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5154</v>
      </c>
      <c r="C284" s="44" t="s">
        <v>5155</v>
      </c>
      <c r="D284" s="42" t="s">
        <v>4596</v>
      </c>
      <c r="E284" s="45">
        <v>46128</v>
      </c>
      <c r="F284" s="26" t="s">
        <v>55</v>
      </c>
      <c r="G284" s="47" t="s">
        <v>828</v>
      </c>
      <c r="H284" s="26" t="s">
        <v>57</v>
      </c>
      <c r="I284" s="47" t="s">
        <v>828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5156</v>
      </c>
      <c r="C285" s="25" t="s">
        <v>5157</v>
      </c>
      <c r="D285" s="23" t="s">
        <v>4596</v>
      </c>
      <c r="E285" s="45">
        <v>46128</v>
      </c>
      <c r="F285" s="26" t="s">
        <v>55</v>
      </c>
      <c r="G285" s="47" t="s">
        <v>828</v>
      </c>
      <c r="H285" s="26" t="s">
        <v>57</v>
      </c>
      <c r="I285" s="47" t="s">
        <v>828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5158</v>
      </c>
      <c r="C286" s="44" t="s">
        <v>5159</v>
      </c>
      <c r="D286" s="42" t="s">
        <v>4596</v>
      </c>
      <c r="E286" s="45">
        <v>46128</v>
      </c>
      <c r="F286" s="26" t="s">
        <v>55</v>
      </c>
      <c r="G286" s="47" t="s">
        <v>56</v>
      </c>
      <c r="H286" s="26" t="s">
        <v>57</v>
      </c>
      <c r="I286" s="47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5160</v>
      </c>
      <c r="C287" s="25" t="s">
        <v>5161</v>
      </c>
      <c r="D287" s="23" t="s">
        <v>4596</v>
      </c>
      <c r="E287" s="45">
        <v>46128</v>
      </c>
      <c r="F287" s="26" t="s">
        <v>55</v>
      </c>
      <c r="G287" s="47" t="s">
        <v>828</v>
      </c>
      <c r="H287" s="26" t="s">
        <v>57</v>
      </c>
      <c r="I287" s="47" t="s">
        <v>828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5162</v>
      </c>
      <c r="C288" s="44" t="s">
        <v>5163</v>
      </c>
      <c r="D288" s="42" t="s">
        <v>4596</v>
      </c>
      <c r="E288" s="45">
        <v>46128</v>
      </c>
      <c r="F288" s="26" t="s">
        <v>55</v>
      </c>
      <c r="G288" s="47" t="s">
        <v>828</v>
      </c>
      <c r="H288" s="26" t="s">
        <v>57</v>
      </c>
      <c r="I288" s="47" t="s">
        <v>828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5164</v>
      </c>
      <c r="C289" s="25" t="s">
        <v>5165</v>
      </c>
      <c r="D289" s="23" t="s">
        <v>4596</v>
      </c>
      <c r="E289" s="45">
        <v>46128</v>
      </c>
      <c r="F289" s="26" t="s">
        <v>55</v>
      </c>
      <c r="G289" s="47" t="s">
        <v>56</v>
      </c>
      <c r="H289" s="26" t="s">
        <v>57</v>
      </c>
      <c r="I289" s="47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5166</v>
      </c>
      <c r="C290" s="44" t="s">
        <v>5167</v>
      </c>
      <c r="D290" s="42" t="s">
        <v>4596</v>
      </c>
      <c r="E290" s="45">
        <v>46128</v>
      </c>
      <c r="F290" s="26" t="s">
        <v>55</v>
      </c>
      <c r="G290" s="47" t="s">
        <v>828</v>
      </c>
      <c r="H290" s="26" t="s">
        <v>57</v>
      </c>
      <c r="I290" s="47" t="s">
        <v>828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5168</v>
      </c>
      <c r="C291" s="25" t="s">
        <v>5169</v>
      </c>
      <c r="D291" s="23" t="s">
        <v>4596</v>
      </c>
      <c r="E291" s="45">
        <v>46128</v>
      </c>
      <c r="F291" s="26" t="s">
        <v>55</v>
      </c>
      <c r="G291" s="47" t="s">
        <v>828</v>
      </c>
      <c r="H291" s="26" t="s">
        <v>57</v>
      </c>
      <c r="I291" s="47" t="s">
        <v>828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5170</v>
      </c>
      <c r="C292" s="44" t="s">
        <v>5171</v>
      </c>
      <c r="D292" s="42" t="s">
        <v>4596</v>
      </c>
      <c r="E292" s="45">
        <v>46128</v>
      </c>
      <c r="F292" s="26" t="s">
        <v>55</v>
      </c>
      <c r="G292" s="47" t="s">
        <v>828</v>
      </c>
      <c r="H292" s="26" t="s">
        <v>57</v>
      </c>
      <c r="I292" s="47" t="s">
        <v>828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5172</v>
      </c>
      <c r="C293" s="25" t="s">
        <v>5173</v>
      </c>
      <c r="D293" s="23" t="s">
        <v>4596</v>
      </c>
      <c r="E293" s="45">
        <v>46128</v>
      </c>
      <c r="F293" s="26" t="s">
        <v>55</v>
      </c>
      <c r="G293" s="47" t="s">
        <v>828</v>
      </c>
      <c r="H293" s="26" t="s">
        <v>57</v>
      </c>
      <c r="I293" s="47" t="s">
        <v>828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5174</v>
      </c>
      <c r="C294" s="44" t="s">
        <v>5175</v>
      </c>
      <c r="D294" s="42" t="s">
        <v>4596</v>
      </c>
      <c r="E294" s="45">
        <v>46128</v>
      </c>
      <c r="F294" s="26" t="s">
        <v>55</v>
      </c>
      <c r="G294" s="47" t="s">
        <v>56</v>
      </c>
      <c r="H294" s="26" t="s">
        <v>57</v>
      </c>
      <c r="I294" s="47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5176</v>
      </c>
      <c r="C295" s="25" t="s">
        <v>5177</v>
      </c>
      <c r="D295" s="23" t="s">
        <v>4596</v>
      </c>
      <c r="E295" s="45">
        <v>46128</v>
      </c>
      <c r="F295" s="26" t="s">
        <v>55</v>
      </c>
      <c r="G295" s="47" t="s">
        <v>828</v>
      </c>
      <c r="H295" s="26" t="s">
        <v>57</v>
      </c>
      <c r="I295" s="47" t="s">
        <v>828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5178</v>
      </c>
      <c r="C296" s="44" t="s">
        <v>5179</v>
      </c>
      <c r="D296" s="42" t="s">
        <v>4596</v>
      </c>
      <c r="E296" s="45">
        <v>46128</v>
      </c>
      <c r="F296" s="26" t="s">
        <v>55</v>
      </c>
      <c r="G296" s="47" t="s">
        <v>828</v>
      </c>
      <c r="H296" s="26" t="s">
        <v>57</v>
      </c>
      <c r="I296" s="47" t="s">
        <v>828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5180</v>
      </c>
      <c r="C297" s="25" t="s">
        <v>5181</v>
      </c>
      <c r="D297" s="23" t="s">
        <v>4596</v>
      </c>
      <c r="E297" s="45">
        <v>46128</v>
      </c>
      <c r="F297" s="26" t="s">
        <v>55</v>
      </c>
      <c r="G297" s="47" t="s">
        <v>828</v>
      </c>
      <c r="H297" s="26" t="s">
        <v>57</v>
      </c>
      <c r="I297" s="47" t="s">
        <v>828</v>
      </c>
      <c r="J297" s="26" t="s">
        <v>56</v>
      </c>
      <c r="K297" s="27"/>
      <c r="L297" s="28" t="s">
        <v>57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5182</v>
      </c>
      <c r="C298" s="44" t="s">
        <v>5183</v>
      </c>
      <c r="D298" s="42" t="s">
        <v>4596</v>
      </c>
      <c r="E298" s="45">
        <v>46128</v>
      </c>
      <c r="F298" s="26" t="s">
        <v>55</v>
      </c>
      <c r="G298" s="47" t="s">
        <v>828</v>
      </c>
      <c r="H298" s="26" t="s">
        <v>57</v>
      </c>
      <c r="I298" s="47" t="s">
        <v>828</v>
      </c>
      <c r="J298" s="26" t="s">
        <v>56</v>
      </c>
      <c r="K298" s="27"/>
      <c r="L298" s="28" t="s">
        <v>57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5184</v>
      </c>
      <c r="C299" s="25" t="s">
        <v>5185</v>
      </c>
      <c r="D299" s="23" t="s">
        <v>4596</v>
      </c>
      <c r="E299" s="45">
        <v>46128</v>
      </c>
      <c r="F299" s="26" t="s">
        <v>55</v>
      </c>
      <c r="G299" s="47" t="s">
        <v>828</v>
      </c>
      <c r="H299" s="26" t="s">
        <v>57</v>
      </c>
      <c r="I299" s="47" t="s">
        <v>828</v>
      </c>
      <c r="J299" s="26" t="s">
        <v>56</v>
      </c>
      <c r="K299" s="27"/>
      <c r="L299" s="28" t="s">
        <v>57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5186</v>
      </c>
      <c r="C300" s="44" t="s">
        <v>5187</v>
      </c>
      <c r="D300" s="42" t="s">
        <v>4596</v>
      </c>
      <c r="E300" s="45">
        <v>46128</v>
      </c>
      <c r="F300" s="26" t="s">
        <v>55</v>
      </c>
      <c r="G300" s="47" t="s">
        <v>828</v>
      </c>
      <c r="H300" s="26" t="s">
        <v>57</v>
      </c>
      <c r="I300" s="47" t="s">
        <v>828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5188</v>
      </c>
      <c r="C301" s="25" t="s">
        <v>5189</v>
      </c>
      <c r="D301" s="23" t="s">
        <v>4596</v>
      </c>
      <c r="E301" s="45">
        <v>46128</v>
      </c>
      <c r="F301" s="26" t="s">
        <v>55</v>
      </c>
      <c r="G301" s="47" t="s">
        <v>56</v>
      </c>
      <c r="H301" s="26" t="s">
        <v>57</v>
      </c>
      <c r="I301" s="47" t="s">
        <v>276</v>
      </c>
      <c r="J301" s="26" t="s">
        <v>57</v>
      </c>
      <c r="K301" s="27" t="s">
        <v>5011</v>
      </c>
      <c r="L301" s="28" t="s">
        <v>56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5190</v>
      </c>
      <c r="C302" s="44" t="s">
        <v>5191</v>
      </c>
      <c r="D302" s="42" t="s">
        <v>4596</v>
      </c>
      <c r="E302" s="45">
        <v>46128</v>
      </c>
      <c r="F302" s="26" t="s">
        <v>55</v>
      </c>
      <c r="G302" s="47" t="s">
        <v>828</v>
      </c>
      <c r="H302" s="26" t="s">
        <v>57</v>
      </c>
      <c r="I302" s="47" t="s">
        <v>828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5192</v>
      </c>
      <c r="C303" s="25" t="s">
        <v>5193</v>
      </c>
      <c r="D303" s="23" t="s">
        <v>4596</v>
      </c>
      <c r="E303" s="45">
        <v>46128</v>
      </c>
      <c r="F303" s="26" t="s">
        <v>55</v>
      </c>
      <c r="G303" s="47" t="s">
        <v>828</v>
      </c>
      <c r="H303" s="26" t="s">
        <v>57</v>
      </c>
      <c r="I303" s="47" t="s">
        <v>828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5194</v>
      </c>
      <c r="C304" s="44" t="s">
        <v>5195</v>
      </c>
      <c r="D304" s="42" t="s">
        <v>4596</v>
      </c>
      <c r="E304" s="45">
        <v>46128</v>
      </c>
      <c r="F304" s="26" t="s">
        <v>55</v>
      </c>
      <c r="G304" s="47" t="s">
        <v>828</v>
      </c>
      <c r="H304" s="26" t="s">
        <v>57</v>
      </c>
      <c r="I304" s="47" t="s">
        <v>828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5196</v>
      </c>
      <c r="C305" s="25" t="s">
        <v>5197</v>
      </c>
      <c r="D305" s="23" t="s">
        <v>4596</v>
      </c>
      <c r="E305" s="45">
        <v>46128</v>
      </c>
      <c r="F305" s="26" t="s">
        <v>55</v>
      </c>
      <c r="G305" s="47" t="s">
        <v>56</v>
      </c>
      <c r="H305" s="26" t="s">
        <v>57</v>
      </c>
      <c r="I305" s="47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5198</v>
      </c>
      <c r="C306" s="44" t="s">
        <v>5199</v>
      </c>
      <c r="D306" s="42" t="s">
        <v>4596</v>
      </c>
      <c r="E306" s="45">
        <v>46128</v>
      </c>
      <c r="F306" s="26" t="s">
        <v>55</v>
      </c>
      <c r="G306" s="47" t="s">
        <v>56</v>
      </c>
      <c r="H306" s="26" t="s">
        <v>57</v>
      </c>
      <c r="I306" s="47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5200</v>
      </c>
      <c r="C307" s="25" t="s">
        <v>5201</v>
      </c>
      <c r="D307" s="23" t="s">
        <v>4596</v>
      </c>
      <c r="E307" s="45">
        <v>46128</v>
      </c>
      <c r="F307" s="26" t="s">
        <v>55</v>
      </c>
      <c r="G307" s="47" t="s">
        <v>828</v>
      </c>
      <c r="H307" s="26" t="s">
        <v>57</v>
      </c>
      <c r="I307" s="47" t="s">
        <v>828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5202</v>
      </c>
      <c r="C308" s="44" t="s">
        <v>5203</v>
      </c>
      <c r="D308" s="42" t="s">
        <v>4596</v>
      </c>
      <c r="E308" s="45">
        <v>46128</v>
      </c>
      <c r="F308" s="26" t="s">
        <v>55</v>
      </c>
      <c r="G308" s="47" t="s">
        <v>828</v>
      </c>
      <c r="H308" s="26" t="s">
        <v>57</v>
      </c>
      <c r="I308" s="47" t="s">
        <v>828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5204</v>
      </c>
      <c r="C309" s="25" t="s">
        <v>5205</v>
      </c>
      <c r="D309" s="23" t="s">
        <v>4596</v>
      </c>
      <c r="E309" s="45">
        <v>46128</v>
      </c>
      <c r="F309" s="26" t="s">
        <v>55</v>
      </c>
      <c r="G309" s="47" t="s">
        <v>828</v>
      </c>
      <c r="H309" s="26" t="s">
        <v>57</v>
      </c>
      <c r="I309" s="47" t="s">
        <v>828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5206</v>
      </c>
      <c r="C310" s="44" t="s">
        <v>5207</v>
      </c>
      <c r="D310" s="42" t="s">
        <v>4596</v>
      </c>
      <c r="E310" s="45">
        <v>46128</v>
      </c>
      <c r="F310" s="26" t="s">
        <v>55</v>
      </c>
      <c r="G310" s="47" t="s">
        <v>56</v>
      </c>
      <c r="H310" s="26" t="s">
        <v>57</v>
      </c>
      <c r="I310" s="47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5208</v>
      </c>
      <c r="C311" s="25" t="s">
        <v>5209</v>
      </c>
      <c r="D311" s="23" t="s">
        <v>4596</v>
      </c>
      <c r="E311" s="45">
        <v>46128</v>
      </c>
      <c r="F311" s="26" t="s">
        <v>55</v>
      </c>
      <c r="G311" s="47" t="s">
        <v>828</v>
      </c>
      <c r="H311" s="26" t="s">
        <v>57</v>
      </c>
      <c r="I311" s="47" t="s">
        <v>828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5210</v>
      </c>
      <c r="C312" s="44" t="s">
        <v>5211</v>
      </c>
      <c r="D312" s="42" t="s">
        <v>4596</v>
      </c>
      <c r="E312" s="45">
        <v>46128</v>
      </c>
      <c r="F312" s="26" t="s">
        <v>55</v>
      </c>
      <c r="G312" s="47" t="s">
        <v>828</v>
      </c>
      <c r="H312" s="26" t="s">
        <v>57</v>
      </c>
      <c r="I312" s="47" t="s">
        <v>828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5212</v>
      </c>
      <c r="C313" s="25" t="s">
        <v>5213</v>
      </c>
      <c r="D313" s="23" t="s">
        <v>4596</v>
      </c>
      <c r="E313" s="45">
        <v>46128</v>
      </c>
      <c r="F313" s="26" t="s">
        <v>55</v>
      </c>
      <c r="G313" s="47" t="s">
        <v>56</v>
      </c>
      <c r="H313" s="26" t="s">
        <v>57</v>
      </c>
      <c r="I313" s="47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5214</v>
      </c>
      <c r="C314" s="44" t="s">
        <v>5215</v>
      </c>
      <c r="D314" s="42" t="s">
        <v>4596</v>
      </c>
      <c r="E314" s="45">
        <v>46128</v>
      </c>
      <c r="F314" s="26" t="s">
        <v>55</v>
      </c>
      <c r="G314" s="47" t="s">
        <v>828</v>
      </c>
      <c r="H314" s="26" t="s">
        <v>57</v>
      </c>
      <c r="I314" s="47" t="s">
        <v>828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5216</v>
      </c>
      <c r="C315" s="25" t="s">
        <v>5217</v>
      </c>
      <c r="D315" s="23" t="s">
        <v>4596</v>
      </c>
      <c r="E315" s="45">
        <v>46128</v>
      </c>
      <c r="F315" s="26" t="s">
        <v>55</v>
      </c>
      <c r="G315" s="47" t="s">
        <v>57</v>
      </c>
      <c r="H315" s="26" t="s">
        <v>57</v>
      </c>
      <c r="I315" s="47" t="s">
        <v>88</v>
      </c>
      <c r="J315" s="26" t="s">
        <v>57</v>
      </c>
      <c r="K315" s="27"/>
      <c r="L315" s="28" t="s">
        <v>56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5218</v>
      </c>
      <c r="C316" s="44" t="s">
        <v>5219</v>
      </c>
      <c r="D316" s="42" t="s">
        <v>4596</v>
      </c>
      <c r="E316" s="45">
        <v>46128</v>
      </c>
      <c r="F316" s="26" t="s">
        <v>55</v>
      </c>
      <c r="G316" s="47" t="s">
        <v>57</v>
      </c>
      <c r="H316" s="26" t="s">
        <v>57</v>
      </c>
      <c r="I316" s="47" t="s">
        <v>88</v>
      </c>
      <c r="J316" s="26" t="s">
        <v>57</v>
      </c>
      <c r="K316" s="27"/>
      <c r="L316" s="28" t="s">
        <v>56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5220</v>
      </c>
      <c r="C317" s="25" t="s">
        <v>5221</v>
      </c>
      <c r="D317" s="23" t="s">
        <v>4596</v>
      </c>
      <c r="E317" s="45">
        <v>46128</v>
      </c>
      <c r="F317" s="26" t="s">
        <v>55</v>
      </c>
      <c r="G317" s="47" t="s">
        <v>57</v>
      </c>
      <c r="H317" s="26" t="s">
        <v>57</v>
      </c>
      <c r="I317" s="47" t="s">
        <v>88</v>
      </c>
      <c r="J317" s="26" t="s">
        <v>57</v>
      </c>
      <c r="K317" s="27"/>
      <c r="L317" s="28" t="s">
        <v>56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5222</v>
      </c>
      <c r="C318" s="44" t="s">
        <v>5223</v>
      </c>
      <c r="D318" s="42" t="s">
        <v>4596</v>
      </c>
      <c r="E318" s="45">
        <v>46128</v>
      </c>
      <c r="F318" s="26" t="s">
        <v>55</v>
      </c>
      <c r="G318" s="47" t="s">
        <v>56</v>
      </c>
      <c r="H318" s="26" t="s">
        <v>57</v>
      </c>
      <c r="I318" s="47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5224</v>
      </c>
      <c r="C319" s="25" t="s">
        <v>5225</v>
      </c>
      <c r="D319" s="23" t="s">
        <v>4596</v>
      </c>
      <c r="E319" s="45">
        <v>46128</v>
      </c>
      <c r="F319" s="26" t="s">
        <v>55</v>
      </c>
      <c r="G319" s="47" t="s">
        <v>828</v>
      </c>
      <c r="H319" s="26" t="s">
        <v>57</v>
      </c>
      <c r="I319" s="47" t="s">
        <v>828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5226</v>
      </c>
      <c r="C320" s="44" t="s">
        <v>5227</v>
      </c>
      <c r="D320" s="42" t="s">
        <v>4596</v>
      </c>
      <c r="E320" s="45">
        <v>46128</v>
      </c>
      <c r="F320" s="26" t="s">
        <v>55</v>
      </c>
      <c r="G320" s="47" t="s">
        <v>828</v>
      </c>
      <c r="H320" s="26" t="s">
        <v>57</v>
      </c>
      <c r="I320" s="47" t="s">
        <v>828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5228</v>
      </c>
      <c r="C321" s="25" t="s">
        <v>5229</v>
      </c>
      <c r="D321" s="23" t="s">
        <v>4596</v>
      </c>
      <c r="E321" s="45">
        <v>46128</v>
      </c>
      <c r="F321" s="26" t="s">
        <v>55</v>
      </c>
      <c r="G321" s="47" t="s">
        <v>828</v>
      </c>
      <c r="H321" s="26" t="s">
        <v>57</v>
      </c>
      <c r="I321" s="47" t="s">
        <v>828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5230</v>
      </c>
      <c r="C322" s="44" t="s">
        <v>5231</v>
      </c>
      <c r="D322" s="42" t="s">
        <v>4596</v>
      </c>
      <c r="E322" s="45">
        <v>46128</v>
      </c>
      <c r="F322" s="26" t="s">
        <v>55</v>
      </c>
      <c r="G322" s="47" t="s">
        <v>828</v>
      </c>
      <c r="H322" s="26" t="s">
        <v>57</v>
      </c>
      <c r="I322" s="47" t="s">
        <v>828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5232</v>
      </c>
      <c r="C323" s="25" t="s">
        <v>5233</v>
      </c>
      <c r="D323" s="23" t="s">
        <v>4596</v>
      </c>
      <c r="E323" s="45">
        <v>46128</v>
      </c>
      <c r="F323" s="26" t="s">
        <v>55</v>
      </c>
      <c r="G323" s="47" t="s">
        <v>828</v>
      </c>
      <c r="H323" s="26" t="s">
        <v>57</v>
      </c>
      <c r="I323" s="47" t="s">
        <v>828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5234</v>
      </c>
      <c r="C324" s="44" t="s">
        <v>5235</v>
      </c>
      <c r="D324" s="42" t="s">
        <v>4596</v>
      </c>
      <c r="E324" s="45">
        <v>46128</v>
      </c>
      <c r="F324" s="26" t="s">
        <v>55</v>
      </c>
      <c r="G324" s="47" t="s">
        <v>56</v>
      </c>
      <c r="H324" s="26" t="s">
        <v>57</v>
      </c>
      <c r="I324" s="47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5236</v>
      </c>
      <c r="C325" s="25" t="s">
        <v>5237</v>
      </c>
      <c r="D325" s="23" t="s">
        <v>4596</v>
      </c>
      <c r="E325" s="45">
        <v>46128</v>
      </c>
      <c r="F325" s="26" t="s">
        <v>55</v>
      </c>
      <c r="G325" s="47" t="s">
        <v>828</v>
      </c>
      <c r="H325" s="26" t="s">
        <v>57</v>
      </c>
      <c r="I325" s="47" t="s">
        <v>828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5238</v>
      </c>
      <c r="C326" s="44" t="s">
        <v>5239</v>
      </c>
      <c r="D326" s="42" t="s">
        <v>4596</v>
      </c>
      <c r="E326" s="45">
        <v>46128</v>
      </c>
      <c r="F326" s="26" t="s">
        <v>55</v>
      </c>
      <c r="G326" s="47" t="s">
        <v>828</v>
      </c>
      <c r="H326" s="26" t="s">
        <v>57</v>
      </c>
      <c r="I326" s="47" t="s">
        <v>828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5240</v>
      </c>
      <c r="C327" s="25" t="s">
        <v>5241</v>
      </c>
      <c r="D327" s="23" t="s">
        <v>4596</v>
      </c>
      <c r="E327" s="45">
        <v>46128</v>
      </c>
      <c r="F327" s="26" t="s">
        <v>55</v>
      </c>
      <c r="G327" s="47" t="s">
        <v>828</v>
      </c>
      <c r="H327" s="26" t="s">
        <v>57</v>
      </c>
      <c r="I327" s="47" t="s">
        <v>828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5242</v>
      </c>
      <c r="C328" s="44" t="s">
        <v>5243</v>
      </c>
      <c r="D328" s="42" t="s">
        <v>4596</v>
      </c>
      <c r="E328" s="45">
        <v>46128</v>
      </c>
      <c r="F328" s="26" t="s">
        <v>55</v>
      </c>
      <c r="G328" s="47" t="s">
        <v>828</v>
      </c>
      <c r="H328" s="26" t="s">
        <v>57</v>
      </c>
      <c r="I328" s="47" t="s">
        <v>828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5244</v>
      </c>
      <c r="C329" s="25" t="s">
        <v>5245</v>
      </c>
      <c r="D329" s="23" t="s">
        <v>4596</v>
      </c>
      <c r="E329" s="45">
        <v>46128</v>
      </c>
      <c r="F329" s="26" t="s">
        <v>55</v>
      </c>
      <c r="G329" s="47" t="s">
        <v>56</v>
      </c>
      <c r="H329" s="26" t="s">
        <v>57</v>
      </c>
      <c r="I329" s="47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5246</v>
      </c>
      <c r="C330" s="44" t="s">
        <v>5247</v>
      </c>
      <c r="D330" s="42" t="s">
        <v>4596</v>
      </c>
      <c r="E330" s="45">
        <v>46128</v>
      </c>
      <c r="F330" s="26" t="s">
        <v>55</v>
      </c>
      <c r="G330" s="47" t="s">
        <v>828</v>
      </c>
      <c r="H330" s="26" t="s">
        <v>57</v>
      </c>
      <c r="I330" s="47" t="s">
        <v>828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5248</v>
      </c>
      <c r="C331" s="25" t="s">
        <v>5249</v>
      </c>
      <c r="D331" s="23" t="s">
        <v>4596</v>
      </c>
      <c r="E331" s="45">
        <v>46128</v>
      </c>
      <c r="F331" s="26" t="s">
        <v>55</v>
      </c>
      <c r="G331" s="47" t="s">
        <v>828</v>
      </c>
      <c r="H331" s="26" t="s">
        <v>57</v>
      </c>
      <c r="I331" s="47" t="s">
        <v>828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5250</v>
      </c>
      <c r="C332" s="44" t="s">
        <v>5251</v>
      </c>
      <c r="D332" s="42" t="s">
        <v>4596</v>
      </c>
      <c r="E332" s="45">
        <v>46128</v>
      </c>
      <c r="F332" s="26" t="s">
        <v>55</v>
      </c>
      <c r="G332" s="47" t="s">
        <v>56</v>
      </c>
      <c r="H332" s="26" t="s">
        <v>57</v>
      </c>
      <c r="I332" s="47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5252</v>
      </c>
      <c r="C333" s="25" t="s">
        <v>5253</v>
      </c>
      <c r="D333" s="23" t="s">
        <v>4596</v>
      </c>
      <c r="E333" s="45">
        <v>46128</v>
      </c>
      <c r="F333" s="26" t="s">
        <v>55</v>
      </c>
      <c r="G333" s="47" t="s">
        <v>828</v>
      </c>
      <c r="H333" s="26" t="s">
        <v>57</v>
      </c>
      <c r="I333" s="47" t="s">
        <v>828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5254</v>
      </c>
      <c r="C334" s="44" t="s">
        <v>5255</v>
      </c>
      <c r="D334" s="42" t="s">
        <v>4596</v>
      </c>
      <c r="E334" s="45">
        <v>46128</v>
      </c>
      <c r="F334" s="26" t="s">
        <v>55</v>
      </c>
      <c r="G334" s="47" t="s">
        <v>828</v>
      </c>
      <c r="H334" s="26" t="s">
        <v>57</v>
      </c>
      <c r="I334" s="47" t="s">
        <v>828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5256</v>
      </c>
      <c r="C335" s="25" t="s">
        <v>5257</v>
      </c>
      <c r="D335" s="23" t="s">
        <v>4596</v>
      </c>
      <c r="E335" s="45">
        <v>46128</v>
      </c>
      <c r="F335" s="26" t="s">
        <v>55</v>
      </c>
      <c r="G335" s="47" t="s">
        <v>828</v>
      </c>
      <c r="H335" s="26" t="s">
        <v>57</v>
      </c>
      <c r="I335" s="47" t="s">
        <v>828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5258</v>
      </c>
      <c r="C336" s="44" t="s">
        <v>5259</v>
      </c>
      <c r="D336" s="42" t="s">
        <v>4596</v>
      </c>
      <c r="E336" s="45">
        <v>46128</v>
      </c>
      <c r="F336" s="26" t="s">
        <v>55</v>
      </c>
      <c r="G336" s="47" t="s">
        <v>828</v>
      </c>
      <c r="H336" s="26" t="s">
        <v>57</v>
      </c>
      <c r="I336" s="47" t="s">
        <v>828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5260</v>
      </c>
      <c r="C337" s="25" t="s">
        <v>5261</v>
      </c>
      <c r="D337" s="23" t="s">
        <v>4596</v>
      </c>
      <c r="E337" s="45">
        <v>46128</v>
      </c>
      <c r="F337" s="26" t="s">
        <v>55</v>
      </c>
      <c r="G337" s="47" t="s">
        <v>56</v>
      </c>
      <c r="H337" s="26" t="s">
        <v>57</v>
      </c>
      <c r="I337" s="47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5262</v>
      </c>
      <c r="C338" s="44" t="s">
        <v>5263</v>
      </c>
      <c r="D338" s="42" t="s">
        <v>4596</v>
      </c>
      <c r="E338" s="45">
        <v>46128</v>
      </c>
      <c r="F338" s="26" t="s">
        <v>55</v>
      </c>
      <c r="G338" s="47" t="s">
        <v>828</v>
      </c>
      <c r="H338" s="26" t="s">
        <v>57</v>
      </c>
      <c r="I338" s="47" t="s">
        <v>828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5264</v>
      </c>
      <c r="C339" s="25" t="s">
        <v>5265</v>
      </c>
      <c r="D339" s="23" t="s">
        <v>4596</v>
      </c>
      <c r="E339" s="45">
        <v>46128</v>
      </c>
      <c r="F339" s="26" t="s">
        <v>55</v>
      </c>
      <c r="G339" s="47" t="s">
        <v>828</v>
      </c>
      <c r="H339" s="26" t="s">
        <v>57</v>
      </c>
      <c r="I339" s="47" t="s">
        <v>828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5266</v>
      </c>
      <c r="C340" s="44" t="s">
        <v>5267</v>
      </c>
      <c r="D340" s="42" t="s">
        <v>4596</v>
      </c>
      <c r="E340" s="45">
        <v>46128</v>
      </c>
      <c r="F340" s="26" t="s">
        <v>55</v>
      </c>
      <c r="G340" s="47" t="s">
        <v>828</v>
      </c>
      <c r="H340" s="26" t="s">
        <v>57</v>
      </c>
      <c r="I340" s="47" t="s">
        <v>828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5268</v>
      </c>
      <c r="C341" s="25" t="s">
        <v>5269</v>
      </c>
      <c r="D341" s="23" t="s">
        <v>4596</v>
      </c>
      <c r="E341" s="45">
        <v>46128</v>
      </c>
      <c r="F341" s="26" t="s">
        <v>55</v>
      </c>
      <c r="G341" s="47" t="s">
        <v>828</v>
      </c>
      <c r="H341" s="26" t="s">
        <v>57</v>
      </c>
      <c r="I341" s="47" t="s">
        <v>828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5270</v>
      </c>
      <c r="C342" s="44" t="s">
        <v>5271</v>
      </c>
      <c r="D342" s="42" t="s">
        <v>4596</v>
      </c>
      <c r="E342" s="45">
        <v>46128</v>
      </c>
      <c r="F342" s="26" t="s">
        <v>55</v>
      </c>
      <c r="G342" s="47" t="s">
        <v>828</v>
      </c>
      <c r="H342" s="26" t="s">
        <v>57</v>
      </c>
      <c r="I342" s="47" t="s">
        <v>828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5272</v>
      </c>
      <c r="C343" s="25" t="s">
        <v>5273</v>
      </c>
      <c r="D343" s="23" t="s">
        <v>4596</v>
      </c>
      <c r="E343" s="45">
        <v>46128</v>
      </c>
      <c r="F343" s="26" t="s">
        <v>55</v>
      </c>
      <c r="G343" s="47" t="s">
        <v>828</v>
      </c>
      <c r="H343" s="26" t="s">
        <v>57</v>
      </c>
      <c r="I343" s="47" t="s">
        <v>828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5274</v>
      </c>
      <c r="C344" s="44" t="s">
        <v>5275</v>
      </c>
      <c r="D344" s="42" t="s">
        <v>4596</v>
      </c>
      <c r="E344" s="45">
        <v>46128</v>
      </c>
      <c r="F344" s="26" t="s">
        <v>55</v>
      </c>
      <c r="G344" s="47" t="s">
        <v>828</v>
      </c>
      <c r="H344" s="26" t="s">
        <v>57</v>
      </c>
      <c r="I344" s="47" t="s">
        <v>828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5276</v>
      </c>
      <c r="C345" s="25" t="s">
        <v>5277</v>
      </c>
      <c r="D345" s="23" t="s">
        <v>4596</v>
      </c>
      <c r="E345" s="45">
        <v>46128</v>
      </c>
      <c r="F345" s="26" t="s">
        <v>55</v>
      </c>
      <c r="G345" s="47" t="s">
        <v>828</v>
      </c>
      <c r="H345" s="26" t="s">
        <v>57</v>
      </c>
      <c r="I345" s="47" t="s">
        <v>828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5278</v>
      </c>
      <c r="C346" s="44" t="s">
        <v>5279</v>
      </c>
      <c r="D346" s="42" t="s">
        <v>4596</v>
      </c>
      <c r="E346" s="45">
        <v>46128</v>
      </c>
      <c r="F346" s="26" t="s">
        <v>55</v>
      </c>
      <c r="G346" s="47" t="s">
        <v>828</v>
      </c>
      <c r="H346" s="26" t="s">
        <v>57</v>
      </c>
      <c r="I346" s="47" t="s">
        <v>828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5280</v>
      </c>
      <c r="C347" s="25" t="s">
        <v>5281</v>
      </c>
      <c r="D347" s="23" t="s">
        <v>4596</v>
      </c>
      <c r="E347" s="45">
        <v>46128</v>
      </c>
      <c r="F347" s="26" t="s">
        <v>55</v>
      </c>
      <c r="G347" s="47" t="s">
        <v>828</v>
      </c>
      <c r="H347" s="26" t="s">
        <v>57</v>
      </c>
      <c r="I347" s="47" t="s">
        <v>828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5282</v>
      </c>
      <c r="C348" s="44" t="s">
        <v>5283</v>
      </c>
      <c r="D348" s="42" t="s">
        <v>4596</v>
      </c>
      <c r="E348" s="45">
        <v>46128</v>
      </c>
      <c r="F348" s="26" t="s">
        <v>55</v>
      </c>
      <c r="G348" s="47" t="s">
        <v>56</v>
      </c>
      <c r="H348" s="26" t="s">
        <v>57</v>
      </c>
      <c r="I348" s="47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5284</v>
      </c>
      <c r="C349" s="25" t="s">
        <v>5285</v>
      </c>
      <c r="D349" s="23" t="s">
        <v>4596</v>
      </c>
      <c r="E349" s="45">
        <v>46128</v>
      </c>
      <c r="F349" s="26" t="s">
        <v>55</v>
      </c>
      <c r="G349" s="47" t="s">
        <v>828</v>
      </c>
      <c r="H349" s="26" t="s">
        <v>57</v>
      </c>
      <c r="I349" s="47" t="s">
        <v>828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5286</v>
      </c>
      <c r="C350" s="44" t="s">
        <v>5287</v>
      </c>
      <c r="D350" s="42" t="s">
        <v>4596</v>
      </c>
      <c r="E350" s="45">
        <v>46128</v>
      </c>
      <c r="F350" s="26" t="s">
        <v>55</v>
      </c>
      <c r="G350" s="47" t="s">
        <v>828</v>
      </c>
      <c r="H350" s="26" t="s">
        <v>57</v>
      </c>
      <c r="I350" s="47" t="s">
        <v>828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5288</v>
      </c>
      <c r="C351" s="25" t="s">
        <v>5289</v>
      </c>
      <c r="D351" s="23" t="s">
        <v>4596</v>
      </c>
      <c r="E351" s="45">
        <v>46128</v>
      </c>
      <c r="F351" s="26" t="s">
        <v>55</v>
      </c>
      <c r="G351" s="47" t="s">
        <v>828</v>
      </c>
      <c r="H351" s="26" t="s">
        <v>57</v>
      </c>
      <c r="I351" s="47" t="s">
        <v>828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5290</v>
      </c>
      <c r="C352" s="44" t="s">
        <v>5291</v>
      </c>
      <c r="D352" s="42" t="s">
        <v>4596</v>
      </c>
      <c r="E352" s="45">
        <v>46128</v>
      </c>
      <c r="F352" s="26" t="s">
        <v>55</v>
      </c>
      <c r="G352" s="47" t="s">
        <v>828</v>
      </c>
      <c r="H352" s="26" t="s">
        <v>57</v>
      </c>
      <c r="I352" s="47" t="s">
        <v>828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5292</v>
      </c>
      <c r="C353" s="25" t="s">
        <v>5293</v>
      </c>
      <c r="D353" s="23" t="s">
        <v>4596</v>
      </c>
      <c r="E353" s="45">
        <v>46128</v>
      </c>
      <c r="F353" s="26" t="s">
        <v>55</v>
      </c>
      <c r="G353" s="47" t="s">
        <v>828</v>
      </c>
      <c r="H353" s="26" t="s">
        <v>57</v>
      </c>
      <c r="I353" s="47" t="s">
        <v>828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5294</v>
      </c>
      <c r="C354" s="44" t="s">
        <v>5295</v>
      </c>
      <c r="D354" s="42" t="s">
        <v>4596</v>
      </c>
      <c r="E354" s="45">
        <v>46128</v>
      </c>
      <c r="F354" s="26" t="s">
        <v>55</v>
      </c>
      <c r="G354" s="47" t="s">
        <v>828</v>
      </c>
      <c r="H354" s="26" t="s">
        <v>57</v>
      </c>
      <c r="I354" s="47" t="s">
        <v>828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5296</v>
      </c>
      <c r="C355" s="25" t="s">
        <v>5297</v>
      </c>
      <c r="D355" s="23" t="s">
        <v>4596</v>
      </c>
      <c r="E355" s="45">
        <v>46128</v>
      </c>
      <c r="F355" s="26" t="s">
        <v>55</v>
      </c>
      <c r="G355" s="47" t="s">
        <v>828</v>
      </c>
      <c r="H355" s="26" t="s">
        <v>57</v>
      </c>
      <c r="I355" s="47" t="s">
        <v>828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5298</v>
      </c>
      <c r="C356" s="44" t="s">
        <v>5299</v>
      </c>
      <c r="D356" s="42" t="s">
        <v>4596</v>
      </c>
      <c r="E356" s="45">
        <v>46128</v>
      </c>
      <c r="F356" s="26" t="s">
        <v>55</v>
      </c>
      <c r="G356" s="47" t="s">
        <v>828</v>
      </c>
      <c r="H356" s="26" t="s">
        <v>57</v>
      </c>
      <c r="I356" s="47" t="s">
        <v>828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5300</v>
      </c>
      <c r="C357" s="25" t="s">
        <v>5301</v>
      </c>
      <c r="D357" s="23" t="s">
        <v>4596</v>
      </c>
      <c r="E357" s="45">
        <v>46128</v>
      </c>
      <c r="F357" s="26" t="s">
        <v>55</v>
      </c>
      <c r="G357" s="47" t="s">
        <v>828</v>
      </c>
      <c r="H357" s="26" t="s">
        <v>57</v>
      </c>
      <c r="I357" s="47" t="s">
        <v>828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5302</v>
      </c>
      <c r="C358" s="44" t="s">
        <v>5303</v>
      </c>
      <c r="D358" s="42" t="s">
        <v>4596</v>
      </c>
      <c r="E358" s="45">
        <v>46128</v>
      </c>
      <c r="F358" s="26" t="s">
        <v>55</v>
      </c>
      <c r="G358" s="47" t="s">
        <v>828</v>
      </c>
      <c r="H358" s="26" t="s">
        <v>57</v>
      </c>
      <c r="I358" s="47" t="s">
        <v>828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5304</v>
      </c>
      <c r="C359" s="25" t="s">
        <v>5305</v>
      </c>
      <c r="D359" s="23" t="s">
        <v>4596</v>
      </c>
      <c r="E359" s="45">
        <v>46128</v>
      </c>
      <c r="F359" s="26" t="s">
        <v>55</v>
      </c>
      <c r="G359" s="47" t="s">
        <v>828</v>
      </c>
      <c r="H359" s="26" t="s">
        <v>57</v>
      </c>
      <c r="I359" s="47" t="s">
        <v>828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5306</v>
      </c>
      <c r="C360" s="44" t="s">
        <v>5307</v>
      </c>
      <c r="D360" s="42" t="s">
        <v>4596</v>
      </c>
      <c r="E360" s="45">
        <v>46128</v>
      </c>
      <c r="F360" s="26" t="s">
        <v>55</v>
      </c>
      <c r="G360" s="47" t="s">
        <v>828</v>
      </c>
      <c r="H360" s="26" t="s">
        <v>57</v>
      </c>
      <c r="I360" s="47" t="s">
        <v>828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5308</v>
      </c>
      <c r="C361" s="25" t="s">
        <v>5309</v>
      </c>
      <c r="D361" s="23" t="s">
        <v>4596</v>
      </c>
      <c r="E361" s="45">
        <v>46128</v>
      </c>
      <c r="F361" s="26" t="s">
        <v>55</v>
      </c>
      <c r="G361" s="47" t="s">
        <v>828</v>
      </c>
      <c r="H361" s="26" t="s">
        <v>57</v>
      </c>
      <c r="I361" s="47" t="s">
        <v>828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5310</v>
      </c>
      <c r="C362" s="44" t="s">
        <v>5311</v>
      </c>
      <c r="D362" s="42" t="s">
        <v>4596</v>
      </c>
      <c r="E362" s="45">
        <v>46128</v>
      </c>
      <c r="F362" s="26" t="s">
        <v>55</v>
      </c>
      <c r="G362" s="47" t="s">
        <v>56</v>
      </c>
      <c r="H362" s="26" t="s">
        <v>57</v>
      </c>
      <c r="I362" s="47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5312</v>
      </c>
      <c r="C363" s="25" t="s">
        <v>5313</v>
      </c>
      <c r="D363" s="23" t="s">
        <v>5314</v>
      </c>
      <c r="E363" s="45">
        <v>46128</v>
      </c>
      <c r="F363" s="26" t="s">
        <v>55</v>
      </c>
      <c r="G363" s="47" t="s">
        <v>57</v>
      </c>
      <c r="H363" s="26" t="s">
        <v>57</v>
      </c>
      <c r="I363" s="47" t="s">
        <v>88</v>
      </c>
      <c r="J363" s="26" t="s">
        <v>57</v>
      </c>
      <c r="K363" s="27"/>
      <c r="L363" s="28" t="s">
        <v>56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5315</v>
      </c>
      <c r="C364" s="44" t="s">
        <v>5316</v>
      </c>
      <c r="D364" s="42" t="s">
        <v>5314</v>
      </c>
      <c r="E364" s="45">
        <v>46128</v>
      </c>
      <c r="F364" s="26" t="s">
        <v>55</v>
      </c>
      <c r="G364" s="47" t="s">
        <v>57</v>
      </c>
      <c r="H364" s="26" t="s">
        <v>57</v>
      </c>
      <c r="I364" s="47" t="s">
        <v>88</v>
      </c>
      <c r="J364" s="26" t="s">
        <v>57</v>
      </c>
      <c r="K364" s="27"/>
      <c r="L364" s="28" t="s">
        <v>56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5317</v>
      </c>
      <c r="C365" s="25" t="s">
        <v>5318</v>
      </c>
      <c r="D365" s="23" t="s">
        <v>5314</v>
      </c>
      <c r="E365" s="45">
        <v>46128</v>
      </c>
      <c r="F365" s="26" t="s">
        <v>55</v>
      </c>
      <c r="G365" s="47" t="s">
        <v>57</v>
      </c>
      <c r="H365" s="26" t="s">
        <v>57</v>
      </c>
      <c r="I365" s="47" t="s">
        <v>88</v>
      </c>
      <c r="J365" s="26" t="s">
        <v>57</v>
      </c>
      <c r="K365" s="27"/>
      <c r="L365" s="28" t="s">
        <v>56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5319</v>
      </c>
      <c r="C366" s="44" t="s">
        <v>5320</v>
      </c>
      <c r="D366" s="42" t="s">
        <v>5314</v>
      </c>
      <c r="E366" s="45">
        <v>46128</v>
      </c>
      <c r="F366" s="26" t="s">
        <v>55</v>
      </c>
      <c r="G366" s="47" t="s">
        <v>57</v>
      </c>
      <c r="H366" s="26" t="s">
        <v>57</v>
      </c>
      <c r="I366" s="47" t="s">
        <v>88</v>
      </c>
      <c r="J366" s="26" t="s">
        <v>57</v>
      </c>
      <c r="K366" s="27"/>
      <c r="L366" s="28" t="s">
        <v>56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5321</v>
      </c>
      <c r="C367" s="25" t="s">
        <v>5322</v>
      </c>
      <c r="D367" s="23" t="s">
        <v>5314</v>
      </c>
      <c r="E367" s="45">
        <v>46128</v>
      </c>
      <c r="F367" s="26" t="s">
        <v>55</v>
      </c>
      <c r="G367" s="47" t="s">
        <v>57</v>
      </c>
      <c r="H367" s="26" t="s">
        <v>57</v>
      </c>
      <c r="I367" s="47" t="s">
        <v>88</v>
      </c>
      <c r="J367" s="26" t="s">
        <v>57</v>
      </c>
      <c r="K367" s="27"/>
      <c r="L367" s="28" t="s">
        <v>56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5323</v>
      </c>
      <c r="C368" s="44" t="s">
        <v>5324</v>
      </c>
      <c r="D368" s="42" t="s">
        <v>5314</v>
      </c>
      <c r="E368" s="45">
        <v>46128</v>
      </c>
      <c r="F368" s="26" t="s">
        <v>55</v>
      </c>
      <c r="G368" s="47" t="s">
        <v>57</v>
      </c>
      <c r="H368" s="26" t="s">
        <v>57</v>
      </c>
      <c r="I368" s="47" t="s">
        <v>88</v>
      </c>
      <c r="J368" s="26" t="s">
        <v>57</v>
      </c>
      <c r="K368" s="27"/>
      <c r="L368" s="28" t="s">
        <v>56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5325</v>
      </c>
      <c r="C369" s="25" t="s">
        <v>5326</v>
      </c>
      <c r="D369" s="23" t="s">
        <v>5314</v>
      </c>
      <c r="E369" s="45">
        <v>46128</v>
      </c>
      <c r="F369" s="26" t="s">
        <v>55</v>
      </c>
      <c r="G369" s="47" t="s">
        <v>57</v>
      </c>
      <c r="H369" s="26" t="s">
        <v>57</v>
      </c>
      <c r="I369" s="47" t="s">
        <v>88</v>
      </c>
      <c r="J369" s="26" t="s">
        <v>57</v>
      </c>
      <c r="K369" s="27"/>
      <c r="L369" s="28" t="s">
        <v>56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5327</v>
      </c>
      <c r="C370" s="44" t="s">
        <v>5328</v>
      </c>
      <c r="D370" s="42" t="s">
        <v>5314</v>
      </c>
      <c r="E370" s="45">
        <v>46128</v>
      </c>
      <c r="F370" s="26" t="s">
        <v>55</v>
      </c>
      <c r="G370" s="47" t="s">
        <v>57</v>
      </c>
      <c r="H370" s="26" t="s">
        <v>57</v>
      </c>
      <c r="I370" s="47" t="s">
        <v>88</v>
      </c>
      <c r="J370" s="26" t="s">
        <v>57</v>
      </c>
      <c r="K370" s="27"/>
      <c r="L370" s="28" t="s">
        <v>56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5329</v>
      </c>
      <c r="C371" s="25" t="s">
        <v>5330</v>
      </c>
      <c r="D371" s="23" t="s">
        <v>5314</v>
      </c>
      <c r="E371" s="45">
        <v>46128</v>
      </c>
      <c r="F371" s="26" t="s">
        <v>55</v>
      </c>
      <c r="G371" s="47" t="s">
        <v>57</v>
      </c>
      <c r="H371" s="26" t="s">
        <v>57</v>
      </c>
      <c r="I371" s="47" t="s">
        <v>88</v>
      </c>
      <c r="J371" s="26" t="s">
        <v>57</v>
      </c>
      <c r="K371" s="27"/>
      <c r="L371" s="28" t="s">
        <v>56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5331</v>
      </c>
      <c r="C372" s="44" t="s">
        <v>5332</v>
      </c>
      <c r="D372" s="42" t="s">
        <v>5314</v>
      </c>
      <c r="E372" s="45">
        <v>46128</v>
      </c>
      <c r="F372" s="26" t="s">
        <v>55</v>
      </c>
      <c r="G372" s="47" t="s">
        <v>57</v>
      </c>
      <c r="H372" s="26" t="s">
        <v>57</v>
      </c>
      <c r="I372" s="47" t="s">
        <v>88</v>
      </c>
      <c r="J372" s="26" t="s">
        <v>57</v>
      </c>
      <c r="K372" s="27"/>
      <c r="L372" s="28" t="s">
        <v>56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5333</v>
      </c>
      <c r="C373" s="25" t="s">
        <v>5334</v>
      </c>
      <c r="D373" s="23" t="s">
        <v>5314</v>
      </c>
      <c r="E373" s="45">
        <v>46128</v>
      </c>
      <c r="F373" s="26" t="s">
        <v>55</v>
      </c>
      <c r="G373" s="47" t="s">
        <v>57</v>
      </c>
      <c r="H373" s="26" t="s">
        <v>57</v>
      </c>
      <c r="I373" s="47" t="s">
        <v>88</v>
      </c>
      <c r="J373" s="26" t="s">
        <v>57</v>
      </c>
      <c r="K373" s="27"/>
      <c r="L373" s="28" t="s">
        <v>56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5335</v>
      </c>
      <c r="C374" s="44" t="s">
        <v>5336</v>
      </c>
      <c r="D374" s="42" t="s">
        <v>5314</v>
      </c>
      <c r="E374" s="45">
        <v>46128</v>
      </c>
      <c r="F374" s="26" t="s">
        <v>55</v>
      </c>
      <c r="G374" s="47" t="s">
        <v>57</v>
      </c>
      <c r="H374" s="26" t="s">
        <v>57</v>
      </c>
      <c r="I374" s="47" t="s">
        <v>88</v>
      </c>
      <c r="J374" s="26" t="s">
        <v>57</v>
      </c>
      <c r="K374" s="27"/>
      <c r="L374" s="28" t="s">
        <v>56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5337</v>
      </c>
      <c r="C375" s="25" t="s">
        <v>5338</v>
      </c>
      <c r="D375" s="23" t="s">
        <v>5314</v>
      </c>
      <c r="E375" s="45">
        <v>46128</v>
      </c>
      <c r="F375" s="26" t="s">
        <v>55</v>
      </c>
      <c r="G375" s="47" t="s">
        <v>57</v>
      </c>
      <c r="H375" s="26" t="s">
        <v>57</v>
      </c>
      <c r="I375" s="47" t="s">
        <v>88</v>
      </c>
      <c r="J375" s="26" t="s">
        <v>57</v>
      </c>
      <c r="K375" s="27"/>
      <c r="L375" s="28" t="s">
        <v>56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5339</v>
      </c>
      <c r="C376" s="44" t="s">
        <v>5340</v>
      </c>
      <c r="D376" s="42" t="s">
        <v>5314</v>
      </c>
      <c r="E376" s="45">
        <v>46128</v>
      </c>
      <c r="F376" s="26" t="s">
        <v>55</v>
      </c>
      <c r="G376" s="47" t="s">
        <v>57</v>
      </c>
      <c r="H376" s="26" t="s">
        <v>57</v>
      </c>
      <c r="I376" s="47" t="s">
        <v>88</v>
      </c>
      <c r="J376" s="26" t="s">
        <v>57</v>
      </c>
      <c r="K376" s="27"/>
      <c r="L376" s="28" t="s">
        <v>56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5341</v>
      </c>
      <c r="C377" s="25" t="s">
        <v>5342</v>
      </c>
      <c r="D377" s="23" t="s">
        <v>5314</v>
      </c>
      <c r="E377" s="45">
        <v>46128</v>
      </c>
      <c r="F377" s="26" t="s">
        <v>55</v>
      </c>
      <c r="G377" s="47" t="s">
        <v>57</v>
      </c>
      <c r="H377" s="26" t="s">
        <v>57</v>
      </c>
      <c r="I377" s="47" t="s">
        <v>88</v>
      </c>
      <c r="J377" s="26" t="s">
        <v>57</v>
      </c>
      <c r="K377" s="27"/>
      <c r="L377" s="28" t="s">
        <v>56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5343</v>
      </c>
      <c r="C378" s="44" t="s">
        <v>5344</v>
      </c>
      <c r="D378" s="42" t="s">
        <v>5314</v>
      </c>
      <c r="E378" s="45">
        <v>46128</v>
      </c>
      <c r="F378" s="26" t="s">
        <v>55</v>
      </c>
      <c r="G378" s="47" t="s">
        <v>57</v>
      </c>
      <c r="H378" s="26" t="s">
        <v>57</v>
      </c>
      <c r="I378" s="47" t="s">
        <v>88</v>
      </c>
      <c r="J378" s="26" t="s">
        <v>57</v>
      </c>
      <c r="K378" s="27"/>
      <c r="L378" s="28" t="s">
        <v>56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5345</v>
      </c>
      <c r="C379" s="25" t="s">
        <v>5346</v>
      </c>
      <c r="D379" s="23" t="s">
        <v>5314</v>
      </c>
      <c r="E379" s="45">
        <v>46128</v>
      </c>
      <c r="F379" s="26" t="s">
        <v>55</v>
      </c>
      <c r="G379" s="47" t="s">
        <v>57</v>
      </c>
      <c r="H379" s="26" t="s">
        <v>57</v>
      </c>
      <c r="I379" s="47" t="s">
        <v>88</v>
      </c>
      <c r="J379" s="26" t="s">
        <v>57</v>
      </c>
      <c r="K379" s="27"/>
      <c r="L379" s="28" t="s">
        <v>56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5347</v>
      </c>
      <c r="C380" s="44" t="s">
        <v>5348</v>
      </c>
      <c r="D380" s="42" t="s">
        <v>4259</v>
      </c>
      <c r="E380" s="45">
        <v>46128</v>
      </c>
      <c r="F380" s="26" t="s">
        <v>55</v>
      </c>
      <c r="G380" s="47" t="s">
        <v>56</v>
      </c>
      <c r="H380" s="26" t="s">
        <v>57</v>
      </c>
      <c r="I380" s="47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5349</v>
      </c>
      <c r="C381" s="25" t="s">
        <v>5350</v>
      </c>
      <c r="D381" s="23" t="s">
        <v>4259</v>
      </c>
      <c r="E381" s="45">
        <v>46128</v>
      </c>
      <c r="F381" s="26" t="s">
        <v>55</v>
      </c>
      <c r="G381" s="47" t="s">
        <v>56</v>
      </c>
      <c r="H381" s="26" t="s">
        <v>57</v>
      </c>
      <c r="I381" s="47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5351</v>
      </c>
      <c r="C382" s="44" t="s">
        <v>5352</v>
      </c>
      <c r="D382" s="42" t="s">
        <v>4259</v>
      </c>
      <c r="E382" s="45">
        <v>46128</v>
      </c>
      <c r="F382" s="26" t="s">
        <v>55</v>
      </c>
      <c r="G382" s="47" t="s">
        <v>56</v>
      </c>
      <c r="H382" s="26" t="s">
        <v>57</v>
      </c>
      <c r="I382" s="47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5353</v>
      </c>
      <c r="C383" s="25" t="s">
        <v>5354</v>
      </c>
      <c r="D383" s="23" t="s">
        <v>4259</v>
      </c>
      <c r="E383" s="45">
        <v>46128</v>
      </c>
      <c r="F383" s="26" t="s">
        <v>55</v>
      </c>
      <c r="G383" s="47" t="s">
        <v>56</v>
      </c>
      <c r="H383" s="26" t="s">
        <v>57</v>
      </c>
      <c r="I383" s="47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5355</v>
      </c>
      <c r="C384" s="44" t="s">
        <v>5356</v>
      </c>
      <c r="D384" s="42" t="s">
        <v>4259</v>
      </c>
      <c r="E384" s="45">
        <v>46128</v>
      </c>
      <c r="F384" s="26" t="s">
        <v>55</v>
      </c>
      <c r="G384" s="47" t="s">
        <v>56</v>
      </c>
      <c r="H384" s="26" t="s">
        <v>57</v>
      </c>
      <c r="I384" s="47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5357</v>
      </c>
      <c r="C385" s="25" t="s">
        <v>5358</v>
      </c>
      <c r="D385" s="23" t="s">
        <v>4259</v>
      </c>
      <c r="E385" s="45">
        <v>46128</v>
      </c>
      <c r="F385" s="26" t="s">
        <v>55</v>
      </c>
      <c r="G385" s="47" t="s">
        <v>56</v>
      </c>
      <c r="H385" s="26" t="s">
        <v>57</v>
      </c>
      <c r="I385" s="47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5359</v>
      </c>
      <c r="C386" s="44" t="s">
        <v>5360</v>
      </c>
      <c r="D386" s="42" t="s">
        <v>4259</v>
      </c>
      <c r="E386" s="45">
        <v>46128</v>
      </c>
      <c r="F386" s="26" t="s">
        <v>55</v>
      </c>
      <c r="G386" s="47" t="s">
        <v>56</v>
      </c>
      <c r="H386" s="26" t="s">
        <v>57</v>
      </c>
      <c r="I386" s="47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5361</v>
      </c>
      <c r="C387" s="25" t="s">
        <v>5362</v>
      </c>
      <c r="D387" s="23" t="s">
        <v>4259</v>
      </c>
      <c r="E387" s="45">
        <v>46128</v>
      </c>
      <c r="F387" s="26" t="s">
        <v>55</v>
      </c>
      <c r="G387" s="47" t="s">
        <v>56</v>
      </c>
      <c r="H387" s="26" t="s">
        <v>57</v>
      </c>
      <c r="I387" s="47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5363</v>
      </c>
      <c r="C388" s="44" t="s">
        <v>5364</v>
      </c>
      <c r="D388" s="42" t="s">
        <v>4259</v>
      </c>
      <c r="E388" s="45">
        <v>46128</v>
      </c>
      <c r="F388" s="26" t="s">
        <v>55</v>
      </c>
      <c r="G388" s="47" t="s">
        <v>56</v>
      </c>
      <c r="H388" s="26" t="s">
        <v>57</v>
      </c>
      <c r="I388" s="47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5365</v>
      </c>
      <c r="C389" s="25" t="s">
        <v>5366</v>
      </c>
      <c r="D389" s="23" t="s">
        <v>4259</v>
      </c>
      <c r="E389" s="45">
        <v>46128</v>
      </c>
      <c r="F389" s="26" t="s">
        <v>55</v>
      </c>
      <c r="G389" s="47" t="s">
        <v>56</v>
      </c>
      <c r="H389" s="26" t="s">
        <v>57</v>
      </c>
      <c r="I389" s="47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5367</v>
      </c>
      <c r="C390" s="44" t="s">
        <v>5368</v>
      </c>
      <c r="D390" s="42" t="s">
        <v>5369</v>
      </c>
      <c r="E390" s="45">
        <v>46128</v>
      </c>
      <c r="F390" s="26" t="s">
        <v>55</v>
      </c>
      <c r="G390" s="47" t="s">
        <v>57</v>
      </c>
      <c r="H390" s="26" t="s">
        <v>57</v>
      </c>
      <c r="I390" s="47" t="s">
        <v>88</v>
      </c>
      <c r="J390" s="26" t="s">
        <v>57</v>
      </c>
      <c r="K390" s="27"/>
      <c r="L390" s="28" t="s">
        <v>56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5370</v>
      </c>
      <c r="C391" s="25" t="s">
        <v>5371</v>
      </c>
      <c r="D391" s="23" t="s">
        <v>5369</v>
      </c>
      <c r="E391" s="45">
        <v>46128</v>
      </c>
      <c r="F391" s="26" t="s">
        <v>55</v>
      </c>
      <c r="G391" s="47" t="s">
        <v>57</v>
      </c>
      <c r="H391" s="26" t="s">
        <v>57</v>
      </c>
      <c r="I391" s="47" t="s">
        <v>88</v>
      </c>
      <c r="J391" s="26" t="s">
        <v>57</v>
      </c>
      <c r="K391" s="27"/>
      <c r="L391" s="28" t="s">
        <v>56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5372</v>
      </c>
      <c r="C392" s="44" t="s">
        <v>5373</v>
      </c>
      <c r="D392" s="42" t="s">
        <v>5369</v>
      </c>
      <c r="E392" s="45">
        <v>46128</v>
      </c>
      <c r="F392" s="26" t="s">
        <v>55</v>
      </c>
      <c r="G392" s="47" t="s">
        <v>57</v>
      </c>
      <c r="H392" s="26" t="s">
        <v>57</v>
      </c>
      <c r="I392" s="47" t="s">
        <v>88</v>
      </c>
      <c r="J392" s="26" t="s">
        <v>57</v>
      </c>
      <c r="K392" s="27"/>
      <c r="L392" s="28" t="s">
        <v>56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5374</v>
      </c>
      <c r="C393" s="25" t="s">
        <v>5375</v>
      </c>
      <c r="D393" s="23" t="s">
        <v>5369</v>
      </c>
      <c r="E393" s="45">
        <v>46128</v>
      </c>
      <c r="F393" s="26" t="s">
        <v>55</v>
      </c>
      <c r="G393" s="47" t="s">
        <v>57</v>
      </c>
      <c r="H393" s="26" t="s">
        <v>57</v>
      </c>
      <c r="I393" s="47" t="s">
        <v>88</v>
      </c>
      <c r="J393" s="26" t="s">
        <v>57</v>
      </c>
      <c r="K393" s="27"/>
      <c r="L393" s="28" t="s">
        <v>56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5376</v>
      </c>
      <c r="C394" s="44" t="s">
        <v>5377</v>
      </c>
      <c r="D394" s="42" t="s">
        <v>5369</v>
      </c>
      <c r="E394" s="45">
        <v>46128</v>
      </c>
      <c r="F394" s="26" t="s">
        <v>55</v>
      </c>
      <c r="G394" s="47" t="s">
        <v>57</v>
      </c>
      <c r="H394" s="26" t="s">
        <v>57</v>
      </c>
      <c r="I394" s="47" t="s">
        <v>88</v>
      </c>
      <c r="J394" s="26" t="s">
        <v>57</v>
      </c>
      <c r="K394" s="27"/>
      <c r="L394" s="28" t="s">
        <v>56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5378</v>
      </c>
      <c r="C395" s="25" t="s">
        <v>5379</v>
      </c>
      <c r="D395" s="23" t="s">
        <v>5369</v>
      </c>
      <c r="E395" s="45">
        <v>46128</v>
      </c>
      <c r="F395" s="26" t="s">
        <v>55</v>
      </c>
      <c r="G395" s="47" t="s">
        <v>57</v>
      </c>
      <c r="H395" s="26" t="s">
        <v>57</v>
      </c>
      <c r="I395" s="47" t="s">
        <v>88</v>
      </c>
      <c r="J395" s="26" t="s">
        <v>57</v>
      </c>
      <c r="K395" s="27"/>
      <c r="L395" s="28" t="s">
        <v>56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5380</v>
      </c>
      <c r="C396" s="44" t="s">
        <v>5381</v>
      </c>
      <c r="D396" s="42" t="s">
        <v>5369</v>
      </c>
      <c r="E396" s="45">
        <v>46128</v>
      </c>
      <c r="F396" s="26" t="s">
        <v>55</v>
      </c>
      <c r="G396" s="47" t="s">
        <v>57</v>
      </c>
      <c r="H396" s="26" t="s">
        <v>57</v>
      </c>
      <c r="I396" s="47" t="s">
        <v>88</v>
      </c>
      <c r="J396" s="26" t="s">
        <v>57</v>
      </c>
      <c r="K396" s="27"/>
      <c r="L396" s="28" t="s">
        <v>56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5382</v>
      </c>
      <c r="C397" s="25" t="s">
        <v>5383</v>
      </c>
      <c r="D397" s="23" t="s">
        <v>5369</v>
      </c>
      <c r="E397" s="45">
        <v>46128</v>
      </c>
      <c r="F397" s="26" t="s">
        <v>55</v>
      </c>
      <c r="G397" s="47" t="s">
        <v>57</v>
      </c>
      <c r="H397" s="26" t="s">
        <v>57</v>
      </c>
      <c r="I397" s="47" t="s">
        <v>88</v>
      </c>
      <c r="J397" s="26" t="s">
        <v>57</v>
      </c>
      <c r="K397" s="27"/>
      <c r="L397" s="28" t="s">
        <v>56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5384</v>
      </c>
      <c r="C398" s="44" t="s">
        <v>5385</v>
      </c>
      <c r="D398" s="42" t="s">
        <v>5369</v>
      </c>
      <c r="E398" s="45">
        <v>46128</v>
      </c>
      <c r="F398" s="26" t="s">
        <v>55</v>
      </c>
      <c r="G398" s="47" t="s">
        <v>57</v>
      </c>
      <c r="H398" s="26" t="s">
        <v>57</v>
      </c>
      <c r="I398" s="47" t="s">
        <v>88</v>
      </c>
      <c r="J398" s="26" t="s">
        <v>57</v>
      </c>
      <c r="K398" s="27"/>
      <c r="L398" s="28" t="s">
        <v>56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5386</v>
      </c>
      <c r="C399" s="25" t="s">
        <v>5387</v>
      </c>
      <c r="D399" s="23" t="s">
        <v>5369</v>
      </c>
      <c r="E399" s="45">
        <v>46128</v>
      </c>
      <c r="F399" s="26" t="s">
        <v>55</v>
      </c>
      <c r="G399" s="47" t="s">
        <v>57</v>
      </c>
      <c r="H399" s="26" t="s">
        <v>57</v>
      </c>
      <c r="I399" s="47" t="s">
        <v>88</v>
      </c>
      <c r="J399" s="26" t="s">
        <v>57</v>
      </c>
      <c r="K399" s="27"/>
      <c r="L399" s="28" t="s">
        <v>56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5388</v>
      </c>
      <c r="C400" s="44" t="s">
        <v>5389</v>
      </c>
      <c r="D400" s="42" t="s">
        <v>5369</v>
      </c>
      <c r="E400" s="45">
        <v>46128</v>
      </c>
      <c r="F400" s="26" t="s">
        <v>55</v>
      </c>
      <c r="G400" s="47" t="s">
        <v>57</v>
      </c>
      <c r="H400" s="26" t="s">
        <v>57</v>
      </c>
      <c r="I400" s="47" t="s">
        <v>88</v>
      </c>
      <c r="J400" s="26" t="s">
        <v>57</v>
      </c>
      <c r="K400" s="27"/>
      <c r="L400" s="28" t="s">
        <v>56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5390</v>
      </c>
      <c r="C401" s="25" t="s">
        <v>5391</v>
      </c>
      <c r="D401" s="23" t="s">
        <v>5369</v>
      </c>
      <c r="E401" s="45">
        <v>46128</v>
      </c>
      <c r="F401" s="26" t="s">
        <v>55</v>
      </c>
      <c r="G401" s="47" t="s">
        <v>57</v>
      </c>
      <c r="H401" s="26" t="s">
        <v>57</v>
      </c>
      <c r="I401" s="47" t="s">
        <v>88</v>
      </c>
      <c r="J401" s="26" t="s">
        <v>57</v>
      </c>
      <c r="K401" s="27"/>
      <c r="L401" s="28" t="s">
        <v>56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5392</v>
      </c>
      <c r="C402" s="44" t="s">
        <v>5393</v>
      </c>
      <c r="D402" s="42" t="s">
        <v>5369</v>
      </c>
      <c r="E402" s="45">
        <v>46128</v>
      </c>
      <c r="F402" s="26" t="s">
        <v>55</v>
      </c>
      <c r="G402" s="47" t="s">
        <v>57</v>
      </c>
      <c r="H402" s="26" t="s">
        <v>57</v>
      </c>
      <c r="I402" s="47" t="s">
        <v>88</v>
      </c>
      <c r="J402" s="26" t="s">
        <v>57</v>
      </c>
      <c r="K402" s="27"/>
      <c r="L402" s="28" t="s">
        <v>56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5394</v>
      </c>
      <c r="C403" s="25" t="s">
        <v>5395</v>
      </c>
      <c r="D403" s="23" t="s">
        <v>5369</v>
      </c>
      <c r="E403" s="45">
        <v>46128</v>
      </c>
      <c r="F403" s="26" t="s">
        <v>55</v>
      </c>
      <c r="G403" s="47" t="s">
        <v>57</v>
      </c>
      <c r="H403" s="26" t="s">
        <v>57</v>
      </c>
      <c r="I403" s="47" t="s">
        <v>88</v>
      </c>
      <c r="J403" s="26" t="s">
        <v>57</v>
      </c>
      <c r="K403" s="27"/>
      <c r="L403" s="28" t="s">
        <v>56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5396</v>
      </c>
      <c r="C404" s="44" t="s">
        <v>5397</v>
      </c>
      <c r="D404" s="42" t="s">
        <v>5369</v>
      </c>
      <c r="E404" s="45">
        <v>46128</v>
      </c>
      <c r="F404" s="26" t="s">
        <v>55</v>
      </c>
      <c r="G404" s="47" t="s">
        <v>57</v>
      </c>
      <c r="H404" s="26" t="s">
        <v>57</v>
      </c>
      <c r="I404" s="47" t="s">
        <v>88</v>
      </c>
      <c r="J404" s="26" t="s">
        <v>57</v>
      </c>
      <c r="K404" s="27"/>
      <c r="L404" s="28" t="s">
        <v>56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5398</v>
      </c>
      <c r="C405" s="25" t="s">
        <v>5399</v>
      </c>
      <c r="D405" s="23" t="s">
        <v>5369</v>
      </c>
      <c r="E405" s="45">
        <v>46128</v>
      </c>
      <c r="F405" s="26" t="s">
        <v>55</v>
      </c>
      <c r="G405" s="47" t="s">
        <v>57</v>
      </c>
      <c r="H405" s="26" t="s">
        <v>57</v>
      </c>
      <c r="I405" s="47" t="s">
        <v>88</v>
      </c>
      <c r="J405" s="26" t="s">
        <v>57</v>
      </c>
      <c r="K405" s="27"/>
      <c r="L405" s="28" t="s">
        <v>56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5400</v>
      </c>
      <c r="C406" s="44" t="s">
        <v>5401</v>
      </c>
      <c r="D406" s="42" t="s">
        <v>5369</v>
      </c>
      <c r="E406" s="45">
        <v>46128</v>
      </c>
      <c r="F406" s="26" t="s">
        <v>55</v>
      </c>
      <c r="G406" s="47" t="s">
        <v>57</v>
      </c>
      <c r="H406" s="26" t="s">
        <v>57</v>
      </c>
      <c r="I406" s="47" t="s">
        <v>88</v>
      </c>
      <c r="J406" s="26" t="s">
        <v>57</v>
      </c>
      <c r="K406" s="27"/>
      <c r="L406" s="28" t="s">
        <v>56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5402</v>
      </c>
      <c r="C407" s="25" t="s">
        <v>5403</v>
      </c>
      <c r="D407" s="23" t="s">
        <v>5369</v>
      </c>
      <c r="E407" s="45">
        <v>46128</v>
      </c>
      <c r="F407" s="26" t="s">
        <v>55</v>
      </c>
      <c r="G407" s="47" t="s">
        <v>57</v>
      </c>
      <c r="H407" s="26" t="s">
        <v>57</v>
      </c>
      <c r="I407" s="47" t="s">
        <v>88</v>
      </c>
      <c r="J407" s="26" t="s">
        <v>57</v>
      </c>
      <c r="K407" s="27"/>
      <c r="L407" s="28" t="s">
        <v>56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5404</v>
      </c>
      <c r="C408" s="44" t="s">
        <v>5405</v>
      </c>
      <c r="D408" s="42" t="s">
        <v>5369</v>
      </c>
      <c r="E408" s="45">
        <v>46128</v>
      </c>
      <c r="F408" s="26" t="s">
        <v>55</v>
      </c>
      <c r="G408" s="47" t="s">
        <v>57</v>
      </c>
      <c r="H408" s="26" t="s">
        <v>57</v>
      </c>
      <c r="I408" s="47" t="s">
        <v>88</v>
      </c>
      <c r="J408" s="26" t="s">
        <v>57</v>
      </c>
      <c r="K408" s="27"/>
      <c r="L408" s="28" t="s">
        <v>56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5406</v>
      </c>
      <c r="C409" s="25" t="s">
        <v>5407</v>
      </c>
      <c r="D409" s="23" t="s">
        <v>5369</v>
      </c>
      <c r="E409" s="45">
        <v>46128</v>
      </c>
      <c r="F409" s="26" t="s">
        <v>55</v>
      </c>
      <c r="G409" s="47" t="s">
        <v>57</v>
      </c>
      <c r="H409" s="26" t="s">
        <v>57</v>
      </c>
      <c r="I409" s="47" t="s">
        <v>88</v>
      </c>
      <c r="J409" s="26" t="s">
        <v>57</v>
      </c>
      <c r="K409" s="27"/>
      <c r="L409" s="28" t="s">
        <v>56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5408</v>
      </c>
      <c r="C410" s="44" t="s">
        <v>5409</v>
      </c>
      <c r="D410" s="42" t="s">
        <v>5369</v>
      </c>
      <c r="E410" s="45">
        <v>46128</v>
      </c>
      <c r="F410" s="26" t="s">
        <v>55</v>
      </c>
      <c r="G410" s="47" t="s">
        <v>57</v>
      </c>
      <c r="H410" s="26" t="s">
        <v>57</v>
      </c>
      <c r="I410" s="47" t="s">
        <v>88</v>
      </c>
      <c r="J410" s="26" t="s">
        <v>57</v>
      </c>
      <c r="K410" s="27"/>
      <c r="L410" s="28" t="s">
        <v>56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5410</v>
      </c>
      <c r="C411" s="25" t="s">
        <v>5411</v>
      </c>
      <c r="D411" s="23" t="s">
        <v>5369</v>
      </c>
      <c r="E411" s="45">
        <v>46128</v>
      </c>
      <c r="F411" s="26" t="s">
        <v>55</v>
      </c>
      <c r="G411" s="47" t="s">
        <v>57</v>
      </c>
      <c r="H411" s="26" t="s">
        <v>57</v>
      </c>
      <c r="I411" s="47" t="s">
        <v>88</v>
      </c>
      <c r="J411" s="26" t="s">
        <v>57</v>
      </c>
      <c r="K411" s="27"/>
      <c r="L411" s="28" t="s">
        <v>56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5412</v>
      </c>
      <c r="C412" s="44" t="s">
        <v>5413</v>
      </c>
      <c r="D412" s="42" t="s">
        <v>5369</v>
      </c>
      <c r="E412" s="45">
        <v>46128</v>
      </c>
      <c r="F412" s="26" t="s">
        <v>55</v>
      </c>
      <c r="G412" s="47" t="s">
        <v>57</v>
      </c>
      <c r="H412" s="26" t="s">
        <v>57</v>
      </c>
      <c r="I412" s="47" t="s">
        <v>88</v>
      </c>
      <c r="J412" s="26" t="s">
        <v>57</v>
      </c>
      <c r="K412" s="27"/>
      <c r="L412" s="28" t="s">
        <v>56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5414</v>
      </c>
      <c r="C413" s="25" t="s">
        <v>5415</v>
      </c>
      <c r="D413" s="23" t="s">
        <v>5369</v>
      </c>
      <c r="E413" s="45">
        <v>46128</v>
      </c>
      <c r="F413" s="26" t="s">
        <v>55</v>
      </c>
      <c r="G413" s="47" t="s">
        <v>57</v>
      </c>
      <c r="H413" s="26" t="s">
        <v>57</v>
      </c>
      <c r="I413" s="47" t="s">
        <v>88</v>
      </c>
      <c r="J413" s="26" t="s">
        <v>57</v>
      </c>
      <c r="K413" s="27"/>
      <c r="L413" s="28" t="s">
        <v>56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5416</v>
      </c>
      <c r="C414" s="44" t="s">
        <v>5417</v>
      </c>
      <c r="D414" s="42" t="s">
        <v>5369</v>
      </c>
      <c r="E414" s="45">
        <v>46128</v>
      </c>
      <c r="F414" s="26" t="s">
        <v>55</v>
      </c>
      <c r="G414" s="47" t="s">
        <v>57</v>
      </c>
      <c r="H414" s="26" t="s">
        <v>57</v>
      </c>
      <c r="I414" s="47" t="s">
        <v>88</v>
      </c>
      <c r="J414" s="26" t="s">
        <v>57</v>
      </c>
      <c r="K414" s="27"/>
      <c r="L414" s="28" t="s">
        <v>56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5418</v>
      </c>
      <c r="C415" s="25" t="s">
        <v>5419</v>
      </c>
      <c r="D415" s="23" t="s">
        <v>5369</v>
      </c>
      <c r="E415" s="45">
        <v>46128</v>
      </c>
      <c r="F415" s="26" t="s">
        <v>55</v>
      </c>
      <c r="G415" s="47" t="s">
        <v>57</v>
      </c>
      <c r="H415" s="26" t="s">
        <v>57</v>
      </c>
      <c r="I415" s="47" t="s">
        <v>88</v>
      </c>
      <c r="J415" s="26" t="s">
        <v>57</v>
      </c>
      <c r="K415" s="27"/>
      <c r="L415" s="28" t="s">
        <v>56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5420</v>
      </c>
      <c r="C416" s="44" t="s">
        <v>5421</v>
      </c>
      <c r="D416" s="42" t="s">
        <v>5369</v>
      </c>
      <c r="E416" s="45">
        <v>46128</v>
      </c>
      <c r="F416" s="26" t="s">
        <v>55</v>
      </c>
      <c r="G416" s="47" t="s">
        <v>57</v>
      </c>
      <c r="H416" s="26" t="s">
        <v>57</v>
      </c>
      <c r="I416" s="47" t="s">
        <v>88</v>
      </c>
      <c r="J416" s="26" t="s">
        <v>57</v>
      </c>
      <c r="K416" s="27"/>
      <c r="L416" s="28" t="s">
        <v>56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5422</v>
      </c>
      <c r="C417" s="25" t="s">
        <v>5423</v>
      </c>
      <c r="D417" s="23" t="s">
        <v>5369</v>
      </c>
      <c r="E417" s="45">
        <v>46128</v>
      </c>
      <c r="F417" s="26" t="s">
        <v>55</v>
      </c>
      <c r="G417" s="47" t="s">
        <v>57</v>
      </c>
      <c r="H417" s="26" t="s">
        <v>57</v>
      </c>
      <c r="I417" s="47" t="s">
        <v>88</v>
      </c>
      <c r="J417" s="26" t="s">
        <v>57</v>
      </c>
      <c r="K417" s="27"/>
      <c r="L417" s="28" t="s">
        <v>56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5424</v>
      </c>
      <c r="C418" s="44" t="s">
        <v>5425</v>
      </c>
      <c r="D418" s="42" t="s">
        <v>5369</v>
      </c>
      <c r="E418" s="45">
        <v>46128</v>
      </c>
      <c r="F418" s="26" t="s">
        <v>55</v>
      </c>
      <c r="G418" s="47" t="s">
        <v>57</v>
      </c>
      <c r="H418" s="26" t="s">
        <v>57</v>
      </c>
      <c r="I418" s="47" t="s">
        <v>88</v>
      </c>
      <c r="J418" s="26" t="s">
        <v>57</v>
      </c>
      <c r="K418" s="27"/>
      <c r="L418" s="28" t="s">
        <v>56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5426</v>
      </c>
      <c r="C419" s="25" t="s">
        <v>5427</v>
      </c>
      <c r="D419" s="23" t="s">
        <v>5369</v>
      </c>
      <c r="E419" s="45">
        <v>46128</v>
      </c>
      <c r="F419" s="26" t="s">
        <v>55</v>
      </c>
      <c r="G419" s="47" t="s">
        <v>57</v>
      </c>
      <c r="H419" s="26" t="s">
        <v>57</v>
      </c>
      <c r="I419" s="47" t="s">
        <v>88</v>
      </c>
      <c r="J419" s="26" t="s">
        <v>57</v>
      </c>
      <c r="K419" s="27"/>
      <c r="L419" s="28" t="s">
        <v>56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5428</v>
      </c>
      <c r="C420" s="44" t="s">
        <v>5429</v>
      </c>
      <c r="D420" s="42" t="s">
        <v>5369</v>
      </c>
      <c r="E420" s="45">
        <v>46128</v>
      </c>
      <c r="F420" s="26" t="s">
        <v>55</v>
      </c>
      <c r="G420" s="47" t="s">
        <v>57</v>
      </c>
      <c r="H420" s="26" t="s">
        <v>57</v>
      </c>
      <c r="I420" s="47" t="s">
        <v>88</v>
      </c>
      <c r="J420" s="26" t="s">
        <v>57</v>
      </c>
      <c r="K420" s="27"/>
      <c r="L420" s="28" t="s">
        <v>56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5430</v>
      </c>
      <c r="C421" s="25" t="s">
        <v>5431</v>
      </c>
      <c r="D421" s="23" t="s">
        <v>743</v>
      </c>
      <c r="E421" s="45">
        <v>46128</v>
      </c>
      <c r="F421" s="26" t="s">
        <v>55</v>
      </c>
      <c r="G421" s="47" t="s">
        <v>56</v>
      </c>
      <c r="H421" s="26" t="s">
        <v>57</v>
      </c>
      <c r="I421" s="47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5432</v>
      </c>
      <c r="C422" s="44" t="s">
        <v>5433</v>
      </c>
      <c r="D422" s="42" t="s">
        <v>743</v>
      </c>
      <c r="E422" s="45">
        <v>46128</v>
      </c>
      <c r="F422" s="26" t="s">
        <v>55</v>
      </c>
      <c r="G422" s="47" t="s">
        <v>56</v>
      </c>
      <c r="H422" s="26" t="s">
        <v>57</v>
      </c>
      <c r="I422" s="47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5434</v>
      </c>
      <c r="C423" s="25" t="s">
        <v>5435</v>
      </c>
      <c r="D423" s="23" t="s">
        <v>743</v>
      </c>
      <c r="E423" s="45">
        <v>46128</v>
      </c>
      <c r="F423" s="26" t="s">
        <v>55</v>
      </c>
      <c r="G423" s="47" t="s">
        <v>56</v>
      </c>
      <c r="H423" s="26" t="s">
        <v>57</v>
      </c>
      <c r="I423" s="47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5436</v>
      </c>
      <c r="C424" s="44" t="s">
        <v>5437</v>
      </c>
      <c r="D424" s="42" t="s">
        <v>743</v>
      </c>
      <c r="E424" s="45">
        <v>46128</v>
      </c>
      <c r="F424" s="26" t="s">
        <v>55</v>
      </c>
      <c r="G424" s="47" t="s">
        <v>56</v>
      </c>
      <c r="H424" s="26" t="s">
        <v>57</v>
      </c>
      <c r="I424" s="47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5438</v>
      </c>
      <c r="C425" s="25" t="s">
        <v>5439</v>
      </c>
      <c r="D425" s="23" t="s">
        <v>743</v>
      </c>
      <c r="E425" s="45">
        <v>46128</v>
      </c>
      <c r="F425" s="26" t="s">
        <v>55</v>
      </c>
      <c r="G425" s="47" t="s">
        <v>828</v>
      </c>
      <c r="H425" s="26" t="s">
        <v>57</v>
      </c>
      <c r="I425" s="47" t="s">
        <v>828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5440</v>
      </c>
      <c r="C426" s="44" t="s">
        <v>5441</v>
      </c>
      <c r="D426" s="42" t="s">
        <v>743</v>
      </c>
      <c r="E426" s="45">
        <v>46128</v>
      </c>
      <c r="F426" s="26" t="s">
        <v>55</v>
      </c>
      <c r="G426" s="47" t="s">
        <v>828</v>
      </c>
      <c r="H426" s="26" t="s">
        <v>57</v>
      </c>
      <c r="I426" s="47" t="s">
        <v>828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5442</v>
      </c>
      <c r="C427" s="25" t="s">
        <v>5443</v>
      </c>
      <c r="D427" s="23" t="s">
        <v>743</v>
      </c>
      <c r="E427" s="45">
        <v>46128</v>
      </c>
      <c r="F427" s="26" t="s">
        <v>55</v>
      </c>
      <c r="G427" s="47" t="s">
        <v>828</v>
      </c>
      <c r="H427" s="26" t="s">
        <v>57</v>
      </c>
      <c r="I427" s="47" t="s">
        <v>828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5444</v>
      </c>
      <c r="C428" s="44" t="s">
        <v>5445</v>
      </c>
      <c r="D428" s="42" t="s">
        <v>743</v>
      </c>
      <c r="E428" s="45">
        <v>46128</v>
      </c>
      <c r="F428" s="26" t="s">
        <v>55</v>
      </c>
      <c r="G428" s="47" t="s">
        <v>828</v>
      </c>
      <c r="H428" s="26" t="s">
        <v>57</v>
      </c>
      <c r="I428" s="47" t="s">
        <v>828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5446</v>
      </c>
      <c r="C429" s="25" t="s">
        <v>5447</v>
      </c>
      <c r="D429" s="23" t="s">
        <v>743</v>
      </c>
      <c r="E429" s="45">
        <v>46128</v>
      </c>
      <c r="F429" s="26" t="s">
        <v>55</v>
      </c>
      <c r="G429" s="47" t="s">
        <v>828</v>
      </c>
      <c r="H429" s="26" t="s">
        <v>57</v>
      </c>
      <c r="I429" s="47" t="s">
        <v>828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5448</v>
      </c>
      <c r="C430" s="44" t="s">
        <v>5449</v>
      </c>
      <c r="D430" s="42" t="s">
        <v>743</v>
      </c>
      <c r="E430" s="45">
        <v>46128</v>
      </c>
      <c r="F430" s="26" t="s">
        <v>55</v>
      </c>
      <c r="G430" s="47" t="s">
        <v>56</v>
      </c>
      <c r="H430" s="26" t="s">
        <v>57</v>
      </c>
      <c r="I430" s="47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5450</v>
      </c>
      <c r="C431" s="25" t="s">
        <v>5451</v>
      </c>
      <c r="D431" s="23" t="s">
        <v>743</v>
      </c>
      <c r="E431" s="45">
        <v>46128</v>
      </c>
      <c r="F431" s="26" t="s">
        <v>55</v>
      </c>
      <c r="G431" s="47" t="s">
        <v>828</v>
      </c>
      <c r="H431" s="26" t="s">
        <v>57</v>
      </c>
      <c r="I431" s="47" t="s">
        <v>828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5452</v>
      </c>
      <c r="C432" s="44" t="s">
        <v>5453</v>
      </c>
      <c r="D432" s="42" t="s">
        <v>743</v>
      </c>
      <c r="E432" s="45">
        <v>46128</v>
      </c>
      <c r="F432" s="26" t="s">
        <v>55</v>
      </c>
      <c r="G432" s="47" t="s">
        <v>828</v>
      </c>
      <c r="H432" s="26" t="s">
        <v>57</v>
      </c>
      <c r="I432" s="47" t="s">
        <v>828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5454</v>
      </c>
      <c r="C433" s="25" t="s">
        <v>5455</v>
      </c>
      <c r="D433" s="23" t="s">
        <v>743</v>
      </c>
      <c r="E433" s="45">
        <v>46128</v>
      </c>
      <c r="F433" s="26" t="s">
        <v>55</v>
      </c>
      <c r="G433" s="47" t="s">
        <v>828</v>
      </c>
      <c r="H433" s="26" t="s">
        <v>57</v>
      </c>
      <c r="I433" s="47" t="s">
        <v>828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5456</v>
      </c>
      <c r="C434" s="44" t="s">
        <v>5457</v>
      </c>
      <c r="D434" s="42" t="s">
        <v>743</v>
      </c>
      <c r="E434" s="45">
        <v>46128</v>
      </c>
      <c r="F434" s="26" t="s">
        <v>55</v>
      </c>
      <c r="G434" s="47" t="s">
        <v>828</v>
      </c>
      <c r="H434" s="26" t="s">
        <v>57</v>
      </c>
      <c r="I434" s="47" t="s">
        <v>828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5458</v>
      </c>
      <c r="C435" s="25" t="s">
        <v>5459</v>
      </c>
      <c r="D435" s="23" t="s">
        <v>743</v>
      </c>
      <c r="E435" s="45">
        <v>46128</v>
      </c>
      <c r="F435" s="26" t="s">
        <v>55</v>
      </c>
      <c r="G435" s="47" t="s">
        <v>828</v>
      </c>
      <c r="H435" s="26" t="s">
        <v>57</v>
      </c>
      <c r="I435" s="47" t="s">
        <v>828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5460</v>
      </c>
      <c r="C436" s="44" t="s">
        <v>5461</v>
      </c>
      <c r="D436" s="42" t="s">
        <v>743</v>
      </c>
      <c r="E436" s="45">
        <v>46128</v>
      </c>
      <c r="F436" s="26" t="s">
        <v>55</v>
      </c>
      <c r="G436" s="47" t="s">
        <v>828</v>
      </c>
      <c r="H436" s="26" t="s">
        <v>57</v>
      </c>
      <c r="I436" s="47" t="s">
        <v>828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5462</v>
      </c>
      <c r="C437" s="25" t="s">
        <v>5463</v>
      </c>
      <c r="D437" s="23" t="s">
        <v>743</v>
      </c>
      <c r="E437" s="45">
        <v>46128</v>
      </c>
      <c r="F437" s="26" t="s">
        <v>55</v>
      </c>
      <c r="G437" s="47" t="s">
        <v>828</v>
      </c>
      <c r="H437" s="26" t="s">
        <v>57</v>
      </c>
      <c r="I437" s="47" t="s">
        <v>828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5464</v>
      </c>
      <c r="C438" s="44" t="s">
        <v>5465</v>
      </c>
      <c r="D438" s="42" t="s">
        <v>743</v>
      </c>
      <c r="E438" s="45">
        <v>46128</v>
      </c>
      <c r="F438" s="26" t="s">
        <v>55</v>
      </c>
      <c r="G438" s="47" t="s">
        <v>56</v>
      </c>
      <c r="H438" s="26" t="s">
        <v>57</v>
      </c>
      <c r="I438" s="47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5466</v>
      </c>
      <c r="C439" s="25" t="s">
        <v>5467</v>
      </c>
      <c r="D439" s="23" t="s">
        <v>743</v>
      </c>
      <c r="E439" s="45">
        <v>46128</v>
      </c>
      <c r="F439" s="26" t="s">
        <v>55</v>
      </c>
      <c r="G439" s="47" t="s">
        <v>828</v>
      </c>
      <c r="H439" s="26" t="s">
        <v>57</v>
      </c>
      <c r="I439" s="47" t="s">
        <v>828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5468</v>
      </c>
      <c r="C440" s="44" t="s">
        <v>5469</v>
      </c>
      <c r="D440" s="42" t="s">
        <v>743</v>
      </c>
      <c r="E440" s="45">
        <v>46128</v>
      </c>
      <c r="F440" s="26" t="s">
        <v>55</v>
      </c>
      <c r="G440" s="47" t="s">
        <v>828</v>
      </c>
      <c r="H440" s="26" t="s">
        <v>57</v>
      </c>
      <c r="I440" s="47" t="s">
        <v>828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5470</v>
      </c>
      <c r="C441" s="25" t="s">
        <v>5471</v>
      </c>
      <c r="D441" s="23" t="s">
        <v>743</v>
      </c>
      <c r="E441" s="45">
        <v>46128</v>
      </c>
      <c r="F441" s="26" t="s">
        <v>55</v>
      </c>
      <c r="G441" s="47" t="s">
        <v>828</v>
      </c>
      <c r="H441" s="26" t="s">
        <v>57</v>
      </c>
      <c r="I441" s="47" t="s">
        <v>828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5472</v>
      </c>
      <c r="C442" s="44" t="s">
        <v>5473</v>
      </c>
      <c r="D442" s="42" t="s">
        <v>743</v>
      </c>
      <c r="E442" s="45">
        <v>46128</v>
      </c>
      <c r="F442" s="26" t="s">
        <v>55</v>
      </c>
      <c r="G442" s="47" t="s">
        <v>828</v>
      </c>
      <c r="H442" s="26" t="s">
        <v>57</v>
      </c>
      <c r="I442" s="47" t="s">
        <v>828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5474</v>
      </c>
      <c r="C443" s="25" t="s">
        <v>5475</v>
      </c>
      <c r="D443" s="23" t="s">
        <v>743</v>
      </c>
      <c r="E443" s="45">
        <v>46128</v>
      </c>
      <c r="F443" s="26" t="s">
        <v>55</v>
      </c>
      <c r="G443" s="47" t="s">
        <v>828</v>
      </c>
      <c r="H443" s="26" t="s">
        <v>57</v>
      </c>
      <c r="I443" s="47" t="s">
        <v>828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5476</v>
      </c>
      <c r="C444" s="44" t="s">
        <v>5477</v>
      </c>
      <c r="D444" s="42" t="s">
        <v>743</v>
      </c>
      <c r="E444" s="45">
        <v>46128</v>
      </c>
      <c r="F444" s="26" t="s">
        <v>55</v>
      </c>
      <c r="G444" s="47" t="s">
        <v>56</v>
      </c>
      <c r="H444" s="26" t="s">
        <v>57</v>
      </c>
      <c r="I444" s="47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5478</v>
      </c>
      <c r="C445" s="25" t="s">
        <v>5479</v>
      </c>
      <c r="D445" s="23" t="s">
        <v>743</v>
      </c>
      <c r="E445" s="45">
        <v>46128</v>
      </c>
      <c r="F445" s="26" t="s">
        <v>55</v>
      </c>
      <c r="G445" s="47" t="s">
        <v>828</v>
      </c>
      <c r="H445" s="26" t="s">
        <v>57</v>
      </c>
      <c r="I445" s="47" t="s">
        <v>828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5480</v>
      </c>
      <c r="C446" s="44" t="s">
        <v>5481</v>
      </c>
      <c r="D446" s="42" t="s">
        <v>743</v>
      </c>
      <c r="E446" s="45">
        <v>46128</v>
      </c>
      <c r="F446" s="26" t="s">
        <v>55</v>
      </c>
      <c r="G446" s="47" t="s">
        <v>828</v>
      </c>
      <c r="H446" s="26" t="s">
        <v>57</v>
      </c>
      <c r="I446" s="47" t="s">
        <v>828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5482</v>
      </c>
      <c r="C447" s="25" t="s">
        <v>5483</v>
      </c>
      <c r="D447" s="23" t="s">
        <v>743</v>
      </c>
      <c r="E447" s="45">
        <v>46128</v>
      </c>
      <c r="F447" s="26" t="s">
        <v>55</v>
      </c>
      <c r="G447" s="47" t="s">
        <v>828</v>
      </c>
      <c r="H447" s="26" t="s">
        <v>57</v>
      </c>
      <c r="I447" s="47" t="s">
        <v>828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5484</v>
      </c>
      <c r="C448" s="44" t="s">
        <v>5485</v>
      </c>
      <c r="D448" s="42" t="s">
        <v>743</v>
      </c>
      <c r="E448" s="45">
        <v>46128</v>
      </c>
      <c r="F448" s="26" t="s">
        <v>55</v>
      </c>
      <c r="G448" s="47" t="s">
        <v>828</v>
      </c>
      <c r="H448" s="26" t="s">
        <v>57</v>
      </c>
      <c r="I448" s="47" t="s">
        <v>828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5486</v>
      </c>
      <c r="C449" s="25" t="s">
        <v>5487</v>
      </c>
      <c r="D449" s="23" t="s">
        <v>743</v>
      </c>
      <c r="E449" s="45">
        <v>46128</v>
      </c>
      <c r="F449" s="26" t="s">
        <v>55</v>
      </c>
      <c r="G449" s="47" t="s">
        <v>828</v>
      </c>
      <c r="H449" s="26" t="s">
        <v>57</v>
      </c>
      <c r="I449" s="47" t="s">
        <v>828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5488</v>
      </c>
      <c r="C450" s="44" t="s">
        <v>5489</v>
      </c>
      <c r="D450" s="42" t="s">
        <v>743</v>
      </c>
      <c r="E450" s="45">
        <v>46128</v>
      </c>
      <c r="F450" s="26" t="s">
        <v>55</v>
      </c>
      <c r="G450" s="47" t="s">
        <v>828</v>
      </c>
      <c r="H450" s="26" t="s">
        <v>57</v>
      </c>
      <c r="I450" s="47" t="s">
        <v>828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5490</v>
      </c>
      <c r="C451" s="25" t="s">
        <v>5491</v>
      </c>
      <c r="D451" s="23" t="s">
        <v>743</v>
      </c>
      <c r="E451" s="45">
        <v>46128</v>
      </c>
      <c r="F451" s="26" t="s">
        <v>55</v>
      </c>
      <c r="G451" s="47" t="s">
        <v>828</v>
      </c>
      <c r="H451" s="26" t="s">
        <v>57</v>
      </c>
      <c r="I451" s="47" t="s">
        <v>828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5492</v>
      </c>
      <c r="C452" s="44" t="s">
        <v>5493</v>
      </c>
      <c r="D452" s="42" t="s">
        <v>5494</v>
      </c>
      <c r="E452" s="45">
        <v>46128</v>
      </c>
      <c r="F452" s="26" t="s">
        <v>55</v>
      </c>
      <c r="G452" s="47" t="s">
        <v>57</v>
      </c>
      <c r="H452" s="26" t="s">
        <v>57</v>
      </c>
      <c r="I452" s="47" t="s">
        <v>88</v>
      </c>
      <c r="J452" s="26" t="s">
        <v>57</v>
      </c>
      <c r="K452" s="27"/>
      <c r="L452" s="28" t="s">
        <v>56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5495</v>
      </c>
      <c r="C453" s="25" t="s">
        <v>5496</v>
      </c>
      <c r="D453" s="23" t="s">
        <v>5494</v>
      </c>
      <c r="E453" s="45">
        <v>46128</v>
      </c>
      <c r="F453" s="26" t="s">
        <v>55</v>
      </c>
      <c r="G453" s="47" t="s">
        <v>57</v>
      </c>
      <c r="H453" s="26" t="s">
        <v>57</v>
      </c>
      <c r="I453" s="47" t="s">
        <v>88</v>
      </c>
      <c r="J453" s="26" t="s">
        <v>57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5497</v>
      </c>
      <c r="C454" s="44" t="s">
        <v>5498</v>
      </c>
      <c r="D454" s="42" t="s">
        <v>5494</v>
      </c>
      <c r="E454" s="45">
        <v>46128</v>
      </c>
      <c r="F454" s="26" t="s">
        <v>55</v>
      </c>
      <c r="G454" s="47" t="s">
        <v>57</v>
      </c>
      <c r="H454" s="26" t="s">
        <v>57</v>
      </c>
      <c r="I454" s="47" t="s">
        <v>88</v>
      </c>
      <c r="J454" s="26" t="s">
        <v>57</v>
      </c>
      <c r="K454" s="27"/>
      <c r="L454" s="28" t="s">
        <v>56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5499</v>
      </c>
      <c r="C455" s="25" t="s">
        <v>5500</v>
      </c>
      <c r="D455" s="23" t="s">
        <v>5494</v>
      </c>
      <c r="E455" s="45">
        <v>46128</v>
      </c>
      <c r="F455" s="26" t="s">
        <v>55</v>
      </c>
      <c r="G455" s="47" t="s">
        <v>57</v>
      </c>
      <c r="H455" s="26" t="s">
        <v>57</v>
      </c>
      <c r="I455" s="47" t="s">
        <v>88</v>
      </c>
      <c r="J455" s="26" t="s">
        <v>57</v>
      </c>
      <c r="K455" s="27"/>
      <c r="L455" s="28" t="s">
        <v>56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5501</v>
      </c>
      <c r="C456" s="44" t="s">
        <v>5502</v>
      </c>
      <c r="D456" s="42" t="s">
        <v>5494</v>
      </c>
      <c r="E456" s="45">
        <v>46128</v>
      </c>
      <c r="F456" s="26" t="s">
        <v>55</v>
      </c>
      <c r="G456" s="47" t="s">
        <v>57</v>
      </c>
      <c r="H456" s="26" t="s">
        <v>57</v>
      </c>
      <c r="I456" s="47" t="s">
        <v>88</v>
      </c>
      <c r="J456" s="26" t="s">
        <v>57</v>
      </c>
      <c r="K456" s="27"/>
      <c r="L456" s="28" t="s">
        <v>56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5503</v>
      </c>
      <c r="C457" s="25" t="s">
        <v>5504</v>
      </c>
      <c r="D457" s="23" t="s">
        <v>5494</v>
      </c>
      <c r="E457" s="45">
        <v>46128</v>
      </c>
      <c r="F457" s="26" t="s">
        <v>55</v>
      </c>
      <c r="G457" s="47" t="s">
        <v>57</v>
      </c>
      <c r="H457" s="26" t="s">
        <v>57</v>
      </c>
      <c r="I457" s="47" t="s">
        <v>88</v>
      </c>
      <c r="J457" s="26" t="s">
        <v>57</v>
      </c>
      <c r="K457" s="27"/>
      <c r="L457" s="28" t="s">
        <v>56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5505</v>
      </c>
      <c r="C458" s="44" t="s">
        <v>5506</v>
      </c>
      <c r="D458" s="42" t="s">
        <v>5494</v>
      </c>
      <c r="E458" s="45">
        <v>46128</v>
      </c>
      <c r="F458" s="26" t="s">
        <v>55</v>
      </c>
      <c r="G458" s="47" t="s">
        <v>57</v>
      </c>
      <c r="H458" s="26" t="s">
        <v>57</v>
      </c>
      <c r="I458" s="47" t="s">
        <v>88</v>
      </c>
      <c r="J458" s="26" t="s">
        <v>57</v>
      </c>
      <c r="K458" s="27"/>
      <c r="L458" s="28" t="s">
        <v>56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5507</v>
      </c>
      <c r="C459" s="25" t="s">
        <v>5508</v>
      </c>
      <c r="D459" s="23" t="s">
        <v>5494</v>
      </c>
      <c r="E459" s="45">
        <v>46128</v>
      </c>
      <c r="F459" s="26" t="s">
        <v>55</v>
      </c>
      <c r="G459" s="47" t="s">
        <v>57</v>
      </c>
      <c r="H459" s="26" t="s">
        <v>57</v>
      </c>
      <c r="I459" s="47" t="s">
        <v>88</v>
      </c>
      <c r="J459" s="26" t="s">
        <v>57</v>
      </c>
      <c r="K459" s="27"/>
      <c r="L459" s="28" t="s">
        <v>56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5509</v>
      </c>
      <c r="C460" s="44" t="s">
        <v>5510</v>
      </c>
      <c r="D460" s="42" t="s">
        <v>5494</v>
      </c>
      <c r="E460" s="45">
        <v>46128</v>
      </c>
      <c r="F460" s="26" t="s">
        <v>55</v>
      </c>
      <c r="G460" s="47" t="s">
        <v>57</v>
      </c>
      <c r="H460" s="26" t="s">
        <v>57</v>
      </c>
      <c r="I460" s="47" t="s">
        <v>88</v>
      </c>
      <c r="J460" s="26" t="s">
        <v>57</v>
      </c>
      <c r="K460" s="27"/>
      <c r="L460" s="28" t="s">
        <v>56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5511</v>
      </c>
      <c r="C461" s="25" t="s">
        <v>5512</v>
      </c>
      <c r="D461" s="23" t="s">
        <v>5494</v>
      </c>
      <c r="E461" s="45">
        <v>46128</v>
      </c>
      <c r="F461" s="26" t="s">
        <v>55</v>
      </c>
      <c r="G461" s="47" t="s">
        <v>57</v>
      </c>
      <c r="H461" s="26" t="s">
        <v>57</v>
      </c>
      <c r="I461" s="47" t="s">
        <v>88</v>
      </c>
      <c r="J461" s="26" t="s">
        <v>57</v>
      </c>
      <c r="K461" s="27"/>
      <c r="L461" s="28" t="s">
        <v>56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5513</v>
      </c>
      <c r="C462" s="44" t="s">
        <v>5514</v>
      </c>
      <c r="D462" s="42" t="s">
        <v>5494</v>
      </c>
      <c r="E462" s="45">
        <v>46128</v>
      </c>
      <c r="F462" s="26" t="s">
        <v>55</v>
      </c>
      <c r="G462" s="47" t="s">
        <v>57</v>
      </c>
      <c r="H462" s="26" t="s">
        <v>57</v>
      </c>
      <c r="I462" s="47" t="s">
        <v>88</v>
      </c>
      <c r="J462" s="26" t="s">
        <v>57</v>
      </c>
      <c r="K462" s="27"/>
      <c r="L462" s="28" t="s">
        <v>56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5515</v>
      </c>
      <c r="C463" s="25" t="s">
        <v>5516</v>
      </c>
      <c r="D463" s="23" t="s">
        <v>5494</v>
      </c>
      <c r="E463" s="45">
        <v>46128</v>
      </c>
      <c r="F463" s="26" t="s">
        <v>55</v>
      </c>
      <c r="G463" s="47" t="s">
        <v>57</v>
      </c>
      <c r="H463" s="26" t="s">
        <v>57</v>
      </c>
      <c r="I463" s="47" t="s">
        <v>88</v>
      </c>
      <c r="J463" s="26" t="s">
        <v>57</v>
      </c>
      <c r="K463" s="27"/>
      <c r="L463" s="28" t="s">
        <v>56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5517</v>
      </c>
      <c r="C464" s="44" t="s">
        <v>5518</v>
      </c>
      <c r="D464" s="42" t="s">
        <v>5494</v>
      </c>
      <c r="E464" s="45">
        <v>46128</v>
      </c>
      <c r="F464" s="26" t="s">
        <v>55</v>
      </c>
      <c r="G464" s="47" t="s">
        <v>57</v>
      </c>
      <c r="H464" s="26" t="s">
        <v>57</v>
      </c>
      <c r="I464" s="47" t="s">
        <v>88</v>
      </c>
      <c r="J464" s="26" t="s">
        <v>57</v>
      </c>
      <c r="K464" s="27"/>
      <c r="L464" s="28" t="s">
        <v>56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5519</v>
      </c>
      <c r="C465" s="25" t="s">
        <v>5520</v>
      </c>
      <c r="D465" s="23" t="s">
        <v>5494</v>
      </c>
      <c r="E465" s="45">
        <v>46128</v>
      </c>
      <c r="F465" s="26" t="s">
        <v>55</v>
      </c>
      <c r="G465" s="47" t="s">
        <v>57</v>
      </c>
      <c r="H465" s="26" t="s">
        <v>57</v>
      </c>
      <c r="I465" s="47" t="s">
        <v>88</v>
      </c>
      <c r="J465" s="26" t="s">
        <v>57</v>
      </c>
      <c r="K465" s="27"/>
      <c r="L465" s="28" t="s">
        <v>56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5521</v>
      </c>
      <c r="C466" s="44" t="s">
        <v>5522</v>
      </c>
      <c r="D466" s="42" t="s">
        <v>5494</v>
      </c>
      <c r="E466" s="45">
        <v>46128</v>
      </c>
      <c r="F466" s="26" t="s">
        <v>55</v>
      </c>
      <c r="G466" s="47" t="s">
        <v>57</v>
      </c>
      <c r="H466" s="26" t="s">
        <v>57</v>
      </c>
      <c r="I466" s="47" t="s">
        <v>88</v>
      </c>
      <c r="J466" s="26" t="s">
        <v>57</v>
      </c>
      <c r="K466" s="27"/>
      <c r="L466" s="28" t="s">
        <v>56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5523</v>
      </c>
      <c r="C467" s="25" t="s">
        <v>5524</v>
      </c>
      <c r="D467" s="23" t="s">
        <v>5494</v>
      </c>
      <c r="E467" s="45">
        <v>46128</v>
      </c>
      <c r="F467" s="26" t="s">
        <v>55</v>
      </c>
      <c r="G467" s="47" t="s">
        <v>57</v>
      </c>
      <c r="H467" s="26" t="s">
        <v>57</v>
      </c>
      <c r="I467" s="47" t="s">
        <v>88</v>
      </c>
      <c r="J467" s="26" t="s">
        <v>57</v>
      </c>
      <c r="K467" s="27"/>
      <c r="L467" s="28" t="s">
        <v>56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5525</v>
      </c>
      <c r="C468" s="44" t="s">
        <v>5526</v>
      </c>
      <c r="D468" s="42" t="s">
        <v>5494</v>
      </c>
      <c r="E468" s="45">
        <v>46128</v>
      </c>
      <c r="F468" s="26" t="s">
        <v>55</v>
      </c>
      <c r="G468" s="47" t="s">
        <v>57</v>
      </c>
      <c r="H468" s="26" t="s">
        <v>57</v>
      </c>
      <c r="I468" s="47" t="s">
        <v>88</v>
      </c>
      <c r="J468" s="26" t="s">
        <v>57</v>
      </c>
      <c r="K468" s="27"/>
      <c r="L468" s="28" t="s">
        <v>56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5527</v>
      </c>
      <c r="C469" s="25" t="s">
        <v>5528</v>
      </c>
      <c r="D469" s="23" t="s">
        <v>5494</v>
      </c>
      <c r="E469" s="45">
        <v>46128</v>
      </c>
      <c r="F469" s="26" t="s">
        <v>55</v>
      </c>
      <c r="G469" s="47" t="s">
        <v>57</v>
      </c>
      <c r="H469" s="26" t="s">
        <v>57</v>
      </c>
      <c r="I469" s="47" t="s">
        <v>88</v>
      </c>
      <c r="J469" s="26" t="s">
        <v>57</v>
      </c>
      <c r="K469" s="27"/>
      <c r="L469" s="28" t="s">
        <v>56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5529</v>
      </c>
      <c r="C470" s="44" t="s">
        <v>5530</v>
      </c>
      <c r="D470" s="42" t="s">
        <v>5494</v>
      </c>
      <c r="E470" s="45">
        <v>46128</v>
      </c>
      <c r="F470" s="26" t="s">
        <v>55</v>
      </c>
      <c r="G470" s="47" t="s">
        <v>57</v>
      </c>
      <c r="H470" s="26" t="s">
        <v>57</v>
      </c>
      <c r="I470" s="47" t="s">
        <v>88</v>
      </c>
      <c r="J470" s="26" t="s">
        <v>57</v>
      </c>
      <c r="K470" s="27"/>
      <c r="L470" s="28" t="s">
        <v>56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5531</v>
      </c>
      <c r="C471" s="25" t="s">
        <v>5532</v>
      </c>
      <c r="D471" s="23" t="s">
        <v>5494</v>
      </c>
      <c r="E471" s="45">
        <v>46128</v>
      </c>
      <c r="F471" s="26" t="s">
        <v>55</v>
      </c>
      <c r="G471" s="47" t="s">
        <v>57</v>
      </c>
      <c r="H471" s="26" t="s">
        <v>57</v>
      </c>
      <c r="I471" s="47" t="s">
        <v>88</v>
      </c>
      <c r="J471" s="26" t="s">
        <v>57</v>
      </c>
      <c r="K471" s="27"/>
      <c r="L471" s="28" t="s">
        <v>56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5533</v>
      </c>
      <c r="C472" s="44" t="s">
        <v>5534</v>
      </c>
      <c r="D472" s="42" t="s">
        <v>5494</v>
      </c>
      <c r="E472" s="45">
        <v>46128</v>
      </c>
      <c r="F472" s="26" t="s">
        <v>55</v>
      </c>
      <c r="G472" s="47" t="s">
        <v>56</v>
      </c>
      <c r="H472" s="26" t="s">
        <v>57</v>
      </c>
      <c r="I472" s="47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5535</v>
      </c>
      <c r="C473" s="25" t="s">
        <v>5536</v>
      </c>
      <c r="D473" s="23" t="s">
        <v>5494</v>
      </c>
      <c r="E473" s="45">
        <v>46128</v>
      </c>
      <c r="F473" s="26" t="s">
        <v>55</v>
      </c>
      <c r="G473" s="47" t="s">
        <v>828</v>
      </c>
      <c r="H473" s="26" t="s">
        <v>57</v>
      </c>
      <c r="I473" s="47" t="s">
        <v>828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5537</v>
      </c>
      <c r="C474" s="44" t="s">
        <v>5538</v>
      </c>
      <c r="D474" s="42" t="s">
        <v>5494</v>
      </c>
      <c r="E474" s="45">
        <v>46128</v>
      </c>
      <c r="F474" s="26" t="s">
        <v>55</v>
      </c>
      <c r="G474" s="47" t="s">
        <v>828</v>
      </c>
      <c r="H474" s="26" t="s">
        <v>57</v>
      </c>
      <c r="I474" s="47" t="s">
        <v>828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5539</v>
      </c>
      <c r="C475" s="25" t="s">
        <v>5540</v>
      </c>
      <c r="D475" s="23" t="s">
        <v>5494</v>
      </c>
      <c r="E475" s="45">
        <v>46128</v>
      </c>
      <c r="F475" s="26" t="s">
        <v>55</v>
      </c>
      <c r="G475" s="47" t="s">
        <v>828</v>
      </c>
      <c r="H475" s="26" t="s">
        <v>57</v>
      </c>
      <c r="I475" s="47" t="s">
        <v>828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5541</v>
      </c>
      <c r="C476" s="44" t="s">
        <v>5542</v>
      </c>
      <c r="D476" s="42" t="s">
        <v>5494</v>
      </c>
      <c r="E476" s="45">
        <v>46128</v>
      </c>
      <c r="F476" s="26" t="s">
        <v>55</v>
      </c>
      <c r="G476" s="47" t="s">
        <v>56</v>
      </c>
      <c r="H476" s="26" t="s">
        <v>57</v>
      </c>
      <c r="I476" s="47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5543</v>
      </c>
      <c r="C477" s="25" t="s">
        <v>5544</v>
      </c>
      <c r="D477" s="23" t="s">
        <v>5494</v>
      </c>
      <c r="E477" s="45">
        <v>46128</v>
      </c>
      <c r="F477" s="26" t="s">
        <v>55</v>
      </c>
      <c r="G477" s="47" t="s">
        <v>828</v>
      </c>
      <c r="H477" s="26" t="s">
        <v>57</v>
      </c>
      <c r="I477" s="47" t="s">
        <v>828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5545</v>
      </c>
      <c r="C478" s="44" t="s">
        <v>5546</v>
      </c>
      <c r="D478" s="42" t="s">
        <v>5494</v>
      </c>
      <c r="E478" s="45">
        <v>46128</v>
      </c>
      <c r="F478" s="26" t="s">
        <v>55</v>
      </c>
      <c r="G478" s="47" t="s">
        <v>828</v>
      </c>
      <c r="H478" s="26" t="s">
        <v>57</v>
      </c>
      <c r="I478" s="47" t="s">
        <v>828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5547</v>
      </c>
      <c r="C479" s="25" t="s">
        <v>5548</v>
      </c>
      <c r="D479" s="23" t="s">
        <v>5494</v>
      </c>
      <c r="E479" s="45">
        <v>46128</v>
      </c>
      <c r="F479" s="26" t="s">
        <v>55</v>
      </c>
      <c r="G479" s="47" t="s">
        <v>828</v>
      </c>
      <c r="H479" s="26" t="s">
        <v>57</v>
      </c>
      <c r="I479" s="47" t="s">
        <v>828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5549</v>
      </c>
      <c r="C480" s="44" t="s">
        <v>5550</v>
      </c>
      <c r="D480" s="42" t="s">
        <v>5494</v>
      </c>
      <c r="E480" s="45">
        <v>46128</v>
      </c>
      <c r="F480" s="26" t="s">
        <v>55</v>
      </c>
      <c r="G480" s="47" t="s">
        <v>828</v>
      </c>
      <c r="H480" s="26" t="s">
        <v>57</v>
      </c>
      <c r="I480" s="47" t="s">
        <v>828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5551</v>
      </c>
      <c r="C481" s="25" t="s">
        <v>5552</v>
      </c>
      <c r="D481" s="23" t="s">
        <v>5494</v>
      </c>
      <c r="E481" s="45">
        <v>46128</v>
      </c>
      <c r="F481" s="26" t="s">
        <v>55</v>
      </c>
      <c r="G481" s="47" t="s">
        <v>828</v>
      </c>
      <c r="H481" s="26" t="s">
        <v>57</v>
      </c>
      <c r="I481" s="47" t="s">
        <v>828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5553</v>
      </c>
      <c r="C482" s="44" t="s">
        <v>5554</v>
      </c>
      <c r="D482" s="42" t="s">
        <v>5494</v>
      </c>
      <c r="E482" s="45">
        <v>46128</v>
      </c>
      <c r="F482" s="26" t="s">
        <v>55</v>
      </c>
      <c r="G482" s="47" t="s">
        <v>828</v>
      </c>
      <c r="H482" s="26" t="s">
        <v>57</v>
      </c>
      <c r="I482" s="47" t="s">
        <v>828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5555</v>
      </c>
      <c r="C483" s="25" t="s">
        <v>5556</v>
      </c>
      <c r="D483" s="23" t="s">
        <v>5494</v>
      </c>
      <c r="E483" s="45">
        <v>46128</v>
      </c>
      <c r="F483" s="26" t="s">
        <v>55</v>
      </c>
      <c r="G483" s="47" t="s">
        <v>56</v>
      </c>
      <c r="H483" s="26" t="s">
        <v>57</v>
      </c>
      <c r="I483" s="47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5557</v>
      </c>
      <c r="C484" s="44" t="s">
        <v>5558</v>
      </c>
      <c r="D484" s="42" t="s">
        <v>5494</v>
      </c>
      <c r="E484" s="45">
        <v>46128</v>
      </c>
      <c r="F484" s="26" t="s">
        <v>55</v>
      </c>
      <c r="G484" s="47" t="s">
        <v>828</v>
      </c>
      <c r="H484" s="26" t="s">
        <v>57</v>
      </c>
      <c r="I484" s="47" t="s">
        <v>828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5559</v>
      </c>
      <c r="C485" s="25" t="s">
        <v>5560</v>
      </c>
      <c r="D485" s="23" t="s">
        <v>5494</v>
      </c>
      <c r="E485" s="45">
        <v>46128</v>
      </c>
      <c r="F485" s="26" t="s">
        <v>55</v>
      </c>
      <c r="G485" s="47" t="s">
        <v>828</v>
      </c>
      <c r="H485" s="26" t="s">
        <v>57</v>
      </c>
      <c r="I485" s="47" t="s">
        <v>828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5561</v>
      </c>
      <c r="C486" s="44" t="s">
        <v>5562</v>
      </c>
      <c r="D486" s="42" t="s">
        <v>5494</v>
      </c>
      <c r="E486" s="45">
        <v>46128</v>
      </c>
      <c r="F486" s="26" t="s">
        <v>55</v>
      </c>
      <c r="G486" s="47" t="s">
        <v>828</v>
      </c>
      <c r="H486" s="26" t="s">
        <v>57</v>
      </c>
      <c r="I486" s="47" t="s">
        <v>828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5563</v>
      </c>
      <c r="C487" s="25" t="s">
        <v>5564</v>
      </c>
      <c r="D487" s="23" t="s">
        <v>5494</v>
      </c>
      <c r="E487" s="45">
        <v>46128</v>
      </c>
      <c r="F487" s="26" t="s">
        <v>55</v>
      </c>
      <c r="G487" s="47" t="s">
        <v>828</v>
      </c>
      <c r="H487" s="26" t="s">
        <v>57</v>
      </c>
      <c r="I487" s="47" t="s">
        <v>828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5565</v>
      </c>
      <c r="C488" s="44" t="s">
        <v>5566</v>
      </c>
      <c r="D488" s="42" t="s">
        <v>5494</v>
      </c>
      <c r="E488" s="45">
        <v>46128</v>
      </c>
      <c r="F488" s="26" t="s">
        <v>55</v>
      </c>
      <c r="G488" s="47" t="s">
        <v>828</v>
      </c>
      <c r="H488" s="26" t="s">
        <v>57</v>
      </c>
      <c r="I488" s="47" t="s">
        <v>828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5567</v>
      </c>
      <c r="C489" s="25" t="s">
        <v>5568</v>
      </c>
      <c r="D489" s="23" t="s">
        <v>5494</v>
      </c>
      <c r="E489" s="45">
        <v>46128</v>
      </c>
      <c r="F489" s="26" t="s">
        <v>55</v>
      </c>
      <c r="G489" s="47" t="s">
        <v>828</v>
      </c>
      <c r="H489" s="26" t="s">
        <v>57</v>
      </c>
      <c r="I489" s="47" t="s">
        <v>828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5569</v>
      </c>
      <c r="C490" s="44" t="s">
        <v>5570</v>
      </c>
      <c r="D490" s="42" t="s">
        <v>5494</v>
      </c>
      <c r="E490" s="45">
        <v>46128</v>
      </c>
      <c r="F490" s="26" t="s">
        <v>55</v>
      </c>
      <c r="G490" s="47" t="s">
        <v>828</v>
      </c>
      <c r="H490" s="26" t="s">
        <v>57</v>
      </c>
      <c r="I490" s="47" t="s">
        <v>828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5571</v>
      </c>
      <c r="C491" s="25" t="s">
        <v>5572</v>
      </c>
      <c r="D491" s="23" t="s">
        <v>5494</v>
      </c>
      <c r="E491" s="45">
        <v>46128</v>
      </c>
      <c r="F491" s="26" t="s">
        <v>55</v>
      </c>
      <c r="G491" s="47" t="s">
        <v>56</v>
      </c>
      <c r="H491" s="26" t="s">
        <v>57</v>
      </c>
      <c r="I491" s="47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5573</v>
      </c>
      <c r="C492" s="44" t="s">
        <v>5574</v>
      </c>
      <c r="D492" s="42" t="s">
        <v>5494</v>
      </c>
      <c r="E492" s="45">
        <v>46128</v>
      </c>
      <c r="F492" s="26" t="s">
        <v>55</v>
      </c>
      <c r="G492" s="47" t="s">
        <v>828</v>
      </c>
      <c r="H492" s="26" t="s">
        <v>57</v>
      </c>
      <c r="I492" s="47" t="s">
        <v>828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5575</v>
      </c>
      <c r="C493" s="25" t="s">
        <v>5576</v>
      </c>
      <c r="D493" s="23" t="s">
        <v>5494</v>
      </c>
      <c r="E493" s="45">
        <v>46128</v>
      </c>
      <c r="F493" s="26" t="s">
        <v>55</v>
      </c>
      <c r="G493" s="47" t="s">
        <v>828</v>
      </c>
      <c r="H493" s="26" t="s">
        <v>57</v>
      </c>
      <c r="I493" s="47" t="s">
        <v>828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5577</v>
      </c>
      <c r="C494" s="44" t="s">
        <v>5578</v>
      </c>
      <c r="D494" s="42" t="s">
        <v>5494</v>
      </c>
      <c r="E494" s="45">
        <v>46128</v>
      </c>
      <c r="F494" s="26" t="s">
        <v>55</v>
      </c>
      <c r="G494" s="47" t="s">
        <v>828</v>
      </c>
      <c r="H494" s="26" t="s">
        <v>57</v>
      </c>
      <c r="I494" s="47" t="s">
        <v>828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5579</v>
      </c>
      <c r="C495" s="25" t="s">
        <v>5580</v>
      </c>
      <c r="D495" s="23" t="s">
        <v>5494</v>
      </c>
      <c r="E495" s="45">
        <v>46128</v>
      </c>
      <c r="F495" s="26" t="s">
        <v>55</v>
      </c>
      <c r="G495" s="47" t="s">
        <v>828</v>
      </c>
      <c r="H495" s="26" t="s">
        <v>57</v>
      </c>
      <c r="I495" s="47" t="s">
        <v>828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5581</v>
      </c>
      <c r="C496" s="44" t="s">
        <v>5582</v>
      </c>
      <c r="D496" s="42" t="s">
        <v>5494</v>
      </c>
      <c r="E496" s="45">
        <v>46128</v>
      </c>
      <c r="F496" s="26" t="s">
        <v>55</v>
      </c>
      <c r="G496" s="47" t="s">
        <v>828</v>
      </c>
      <c r="H496" s="26" t="s">
        <v>57</v>
      </c>
      <c r="I496" s="47" t="s">
        <v>828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5583</v>
      </c>
      <c r="C497" s="25" t="s">
        <v>5584</v>
      </c>
      <c r="D497" s="23" t="s">
        <v>5494</v>
      </c>
      <c r="E497" s="45">
        <v>46128</v>
      </c>
      <c r="F497" s="26" t="s">
        <v>55</v>
      </c>
      <c r="G497" s="47" t="s">
        <v>828</v>
      </c>
      <c r="H497" s="26" t="s">
        <v>57</v>
      </c>
      <c r="I497" s="47" t="s">
        <v>828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5585</v>
      </c>
      <c r="C498" s="44" t="s">
        <v>5586</v>
      </c>
      <c r="D498" s="42" t="s">
        <v>5494</v>
      </c>
      <c r="E498" s="45">
        <v>46128</v>
      </c>
      <c r="F498" s="26" t="s">
        <v>55</v>
      </c>
      <c r="G498" s="47" t="s">
        <v>828</v>
      </c>
      <c r="H498" s="26" t="s">
        <v>57</v>
      </c>
      <c r="I498" s="47" t="s">
        <v>828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5587</v>
      </c>
      <c r="C499" s="25" t="s">
        <v>5588</v>
      </c>
      <c r="D499" s="23" t="s">
        <v>5494</v>
      </c>
      <c r="E499" s="45">
        <v>46128</v>
      </c>
      <c r="F499" s="26" t="s">
        <v>55</v>
      </c>
      <c r="G499" s="47" t="s">
        <v>828</v>
      </c>
      <c r="H499" s="26" t="s">
        <v>57</v>
      </c>
      <c r="I499" s="47" t="s">
        <v>828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5589</v>
      </c>
      <c r="C500" s="44" t="s">
        <v>5590</v>
      </c>
      <c r="D500" s="42" t="s">
        <v>5494</v>
      </c>
      <c r="E500" s="45">
        <v>46128</v>
      </c>
      <c r="F500" s="26" t="s">
        <v>55</v>
      </c>
      <c r="G500" s="47" t="s">
        <v>828</v>
      </c>
      <c r="H500" s="26" t="s">
        <v>57</v>
      </c>
      <c r="I500" s="47" t="s">
        <v>828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5591</v>
      </c>
      <c r="C501" s="25" t="s">
        <v>5592</v>
      </c>
      <c r="D501" s="23" t="s">
        <v>5494</v>
      </c>
      <c r="E501" s="45">
        <v>46128</v>
      </c>
      <c r="F501" s="26" t="s">
        <v>55</v>
      </c>
      <c r="G501" s="47" t="s">
        <v>56</v>
      </c>
      <c r="H501" s="26" t="s">
        <v>57</v>
      </c>
      <c r="I501" s="47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5593</v>
      </c>
      <c r="C502" s="44" t="s">
        <v>5594</v>
      </c>
      <c r="D502" s="42" t="s">
        <v>5494</v>
      </c>
      <c r="E502" s="45">
        <v>46128</v>
      </c>
      <c r="F502" s="26" t="s">
        <v>55</v>
      </c>
      <c r="G502" s="47" t="s">
        <v>828</v>
      </c>
      <c r="H502" s="26" t="s">
        <v>57</v>
      </c>
      <c r="I502" s="47" t="s">
        <v>828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5595</v>
      </c>
      <c r="C503" s="25" t="s">
        <v>5596</v>
      </c>
      <c r="D503" s="23" t="s">
        <v>5494</v>
      </c>
      <c r="E503" s="45">
        <v>46128</v>
      </c>
      <c r="F503" s="26" t="s">
        <v>55</v>
      </c>
      <c r="G503" s="47" t="s">
        <v>56</v>
      </c>
      <c r="H503" s="26" t="s">
        <v>57</v>
      </c>
      <c r="I503" s="47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5597</v>
      </c>
      <c r="C504" s="44" t="s">
        <v>5598</v>
      </c>
      <c r="D504" s="42" t="s">
        <v>5494</v>
      </c>
      <c r="E504" s="45">
        <v>46128</v>
      </c>
      <c r="F504" s="26" t="s">
        <v>55</v>
      </c>
      <c r="G504" s="47" t="s">
        <v>828</v>
      </c>
      <c r="H504" s="26" t="s">
        <v>57</v>
      </c>
      <c r="I504" s="47" t="s">
        <v>828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5599</v>
      </c>
      <c r="C505" s="25" t="s">
        <v>5600</v>
      </c>
      <c r="D505" s="23" t="s">
        <v>5494</v>
      </c>
      <c r="E505" s="45">
        <v>46128</v>
      </c>
      <c r="F505" s="26" t="s">
        <v>55</v>
      </c>
      <c r="G505" s="47" t="s">
        <v>828</v>
      </c>
      <c r="H505" s="26" t="s">
        <v>57</v>
      </c>
      <c r="I505" s="47" t="s">
        <v>828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5601</v>
      </c>
      <c r="C506" s="44" t="s">
        <v>5602</v>
      </c>
      <c r="D506" s="42" t="s">
        <v>5494</v>
      </c>
      <c r="E506" s="45">
        <v>46128</v>
      </c>
      <c r="F506" s="26" t="s">
        <v>55</v>
      </c>
      <c r="G506" s="47" t="s">
        <v>828</v>
      </c>
      <c r="H506" s="26" t="s">
        <v>57</v>
      </c>
      <c r="I506" s="47" t="s">
        <v>828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5603</v>
      </c>
      <c r="C507" s="25" t="s">
        <v>5604</v>
      </c>
      <c r="D507" s="23" t="s">
        <v>5494</v>
      </c>
      <c r="E507" s="45">
        <v>46128</v>
      </c>
      <c r="F507" s="26" t="s">
        <v>55</v>
      </c>
      <c r="G507" s="47" t="s">
        <v>828</v>
      </c>
      <c r="H507" s="26" t="s">
        <v>57</v>
      </c>
      <c r="I507" s="47" t="s">
        <v>828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5605</v>
      </c>
      <c r="C508" s="44" t="s">
        <v>5606</v>
      </c>
      <c r="D508" s="42" t="s">
        <v>5494</v>
      </c>
      <c r="E508" s="45">
        <v>46128</v>
      </c>
      <c r="F508" s="26" t="s">
        <v>55</v>
      </c>
      <c r="G508" s="47" t="s">
        <v>828</v>
      </c>
      <c r="H508" s="26" t="s">
        <v>57</v>
      </c>
      <c r="I508" s="47" t="s">
        <v>828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5607</v>
      </c>
      <c r="C509" s="25" t="s">
        <v>5608</v>
      </c>
      <c r="D509" s="23" t="s">
        <v>5494</v>
      </c>
      <c r="E509" s="45">
        <v>46128</v>
      </c>
      <c r="F509" s="26" t="s">
        <v>55</v>
      </c>
      <c r="G509" s="47" t="s">
        <v>828</v>
      </c>
      <c r="H509" s="26" t="s">
        <v>57</v>
      </c>
      <c r="I509" s="47" t="s">
        <v>828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5609</v>
      </c>
      <c r="C510" s="44" t="s">
        <v>5610</v>
      </c>
      <c r="D510" s="42" t="s">
        <v>5494</v>
      </c>
      <c r="E510" s="45">
        <v>46128</v>
      </c>
      <c r="F510" s="26" t="s">
        <v>55</v>
      </c>
      <c r="G510" s="47" t="s">
        <v>828</v>
      </c>
      <c r="H510" s="26" t="s">
        <v>57</v>
      </c>
      <c r="I510" s="47" t="s">
        <v>828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5611</v>
      </c>
      <c r="C511" s="25" t="s">
        <v>5612</v>
      </c>
      <c r="D511" s="23" t="s">
        <v>5494</v>
      </c>
      <c r="E511" s="45">
        <v>46128</v>
      </c>
      <c r="F511" s="26" t="s">
        <v>55</v>
      </c>
      <c r="G511" s="47" t="s">
        <v>828</v>
      </c>
      <c r="H511" s="26" t="s">
        <v>57</v>
      </c>
      <c r="I511" s="47" t="s">
        <v>828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5613</v>
      </c>
      <c r="C512" s="44" t="s">
        <v>5614</v>
      </c>
      <c r="D512" s="42" t="s">
        <v>5494</v>
      </c>
      <c r="E512" s="45">
        <v>46128</v>
      </c>
      <c r="F512" s="26" t="s">
        <v>55</v>
      </c>
      <c r="G512" s="47" t="s">
        <v>56</v>
      </c>
      <c r="H512" s="26" t="s">
        <v>57</v>
      </c>
      <c r="I512" s="47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5615</v>
      </c>
      <c r="C513" s="25" t="s">
        <v>5616</v>
      </c>
      <c r="D513" s="23" t="s">
        <v>5494</v>
      </c>
      <c r="E513" s="45">
        <v>46128</v>
      </c>
      <c r="F513" s="26" t="s">
        <v>55</v>
      </c>
      <c r="G513" s="47" t="s">
        <v>828</v>
      </c>
      <c r="H513" s="26" t="s">
        <v>57</v>
      </c>
      <c r="I513" s="47" t="s">
        <v>828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5617</v>
      </c>
      <c r="C514" s="44" t="s">
        <v>5618</v>
      </c>
      <c r="D514" s="42" t="s">
        <v>5494</v>
      </c>
      <c r="E514" s="45">
        <v>46128</v>
      </c>
      <c r="F514" s="26" t="s">
        <v>55</v>
      </c>
      <c r="G514" s="47" t="s">
        <v>828</v>
      </c>
      <c r="H514" s="26" t="s">
        <v>57</v>
      </c>
      <c r="I514" s="47" t="s">
        <v>828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5619</v>
      </c>
      <c r="C515" s="25" t="s">
        <v>5620</v>
      </c>
      <c r="D515" s="23" t="s">
        <v>5494</v>
      </c>
      <c r="E515" s="45">
        <v>46128</v>
      </c>
      <c r="F515" s="26" t="s">
        <v>55</v>
      </c>
      <c r="G515" s="47" t="s">
        <v>828</v>
      </c>
      <c r="H515" s="26" t="s">
        <v>57</v>
      </c>
      <c r="I515" s="47" t="s">
        <v>828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5621</v>
      </c>
      <c r="C516" s="44" t="s">
        <v>5622</v>
      </c>
      <c r="D516" s="42" t="s">
        <v>5494</v>
      </c>
      <c r="E516" s="45">
        <v>46128</v>
      </c>
      <c r="F516" s="26" t="s">
        <v>55</v>
      </c>
      <c r="G516" s="47" t="s">
        <v>828</v>
      </c>
      <c r="H516" s="26" t="s">
        <v>57</v>
      </c>
      <c r="I516" s="47" t="s">
        <v>828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F516">
    <cfRule type="expression" dxfId="95" priority="1">
      <formula>MOD(ROW(),2)=0</formula>
    </cfRule>
  </conditionalFormatting>
  <conditionalFormatting sqref="G5:G516">
    <cfRule type="expression" dxfId="94" priority="3">
      <formula>G5="Yes"</formula>
    </cfRule>
    <cfRule type="expression" dxfId="93" priority="4">
      <formula>G5="No"</formula>
    </cfRule>
    <cfRule type="expression" dxfId="92" priority="5">
      <formula>MOD(ROW(),2)=0</formula>
    </cfRule>
  </conditionalFormatting>
  <conditionalFormatting sqref="H5:H516">
    <cfRule type="expression" dxfId="91" priority="6">
      <formula>H5="Yes"</formula>
    </cfRule>
  </conditionalFormatting>
  <conditionalFormatting sqref="I5:I516">
    <cfRule type="expression" dxfId="90" priority="2">
      <formula>MOD(ROW(),2)=0</formula>
    </cfRule>
  </conditionalFormatting>
  <conditionalFormatting sqref="J5:J516">
    <cfRule type="expression" dxfId="89" priority="7">
      <formula>J5="Yes"</formula>
    </cfRule>
    <cfRule type="expression" dxfId="88" priority="8">
      <formula>J5="No"</formula>
    </cfRule>
  </conditionalFormatting>
  <conditionalFormatting sqref="J5:L516 H5:H516">
    <cfRule type="expression" dxfId="87" priority="9">
      <formula>MOD(ROW(),2)=0</formula>
    </cfRule>
  </conditionalFormatting>
  <conditionalFormatting sqref="M5:M516">
    <cfRule type="expression" dxfId="86" priority="10">
      <formula>M5="✓ OK"</formula>
    </cfRule>
    <cfRule type="expression" dxfId="85" priority="11">
      <formula>M5="❌ Disc"</formula>
    </cfRule>
    <cfRule type="expression" dxfId="84" priority="12">
      <formula>M5="⚠ Missing"</formula>
    </cfRule>
    <cfRule type="expression" dxfId="83" priority="13">
      <formula>M5="⚠ Check"</formula>
    </cfRule>
  </conditionalFormatting>
  <conditionalFormatting sqref="M5:AW516">
    <cfRule type="expression" dxfId="82" priority="55">
      <formula>MOD(ROW(),2)=0</formula>
    </cfRule>
  </conditionalFormatting>
  <conditionalFormatting sqref="P5:P516">
    <cfRule type="expression" dxfId="81" priority="23">
      <formula>P5="Yes"</formula>
    </cfRule>
    <cfRule type="expression" dxfId="80" priority="24">
      <formula>P5="No"</formula>
    </cfRule>
  </conditionalFormatting>
  <conditionalFormatting sqref="Q5:Q516">
    <cfRule type="expression" dxfId="79" priority="25">
      <formula>Q5="Yes"</formula>
    </cfRule>
  </conditionalFormatting>
  <conditionalFormatting sqref="S5:S516">
    <cfRule type="expression" dxfId="78" priority="26">
      <formula>S5="Yes"</formula>
    </cfRule>
    <cfRule type="expression" dxfId="77" priority="27">
      <formula>S5="No"</formula>
    </cfRule>
  </conditionalFormatting>
  <conditionalFormatting sqref="V5:V516">
    <cfRule type="expression" dxfId="76" priority="19">
      <formula>V5="✓ OK"</formula>
    </cfRule>
    <cfRule type="expression" dxfId="75" priority="20">
      <formula>V5="❌ Disc"</formula>
    </cfRule>
    <cfRule type="expression" dxfId="74" priority="21">
      <formula>V5="⚠ Missing"</formula>
    </cfRule>
    <cfRule type="expression" dxfId="73" priority="22">
      <formula>V5="⚠ Check"</formula>
    </cfRule>
  </conditionalFormatting>
  <conditionalFormatting sqref="Y5:Y516">
    <cfRule type="expression" dxfId="72" priority="32">
      <formula>Y5="Yes"</formula>
    </cfRule>
    <cfRule type="expression" dxfId="71" priority="33">
      <formula>Y5="No"</formula>
    </cfRule>
  </conditionalFormatting>
  <conditionalFormatting sqref="Z5:Z516">
    <cfRule type="expression" dxfId="70" priority="34">
      <formula>Z5="Yes"</formula>
    </cfRule>
  </conditionalFormatting>
  <conditionalFormatting sqref="AB5:AB516">
    <cfRule type="expression" dxfId="69" priority="35">
      <formula>AB5="Yes"</formula>
    </cfRule>
    <cfRule type="expression" dxfId="68" priority="36">
      <formula>AB5="No"</formula>
    </cfRule>
  </conditionalFormatting>
  <conditionalFormatting sqref="AE5:AE516">
    <cfRule type="expression" dxfId="67" priority="30">
      <formula>AE5="⚠ Missing"</formula>
    </cfRule>
    <cfRule type="expression" dxfId="66" priority="31">
      <formula>AE5="⚠ Check"</formula>
    </cfRule>
    <cfRule type="expression" dxfId="65" priority="28">
      <formula>AE5="✓ OK"</formula>
    </cfRule>
    <cfRule type="expression" dxfId="64" priority="29">
      <formula>AE5="❌ Disc"</formula>
    </cfRule>
  </conditionalFormatting>
  <conditionalFormatting sqref="AH5:AH516">
    <cfRule type="expression" dxfId="63" priority="41">
      <formula>AH5="Yes"</formula>
    </cfRule>
    <cfRule type="expression" dxfId="62" priority="42">
      <formula>AH5="No"</formula>
    </cfRule>
  </conditionalFormatting>
  <conditionalFormatting sqref="AI5:AI516">
    <cfRule type="expression" dxfId="61" priority="43">
      <formula>AI5="Yes"</formula>
    </cfRule>
  </conditionalFormatting>
  <conditionalFormatting sqref="AK5:AK516">
    <cfRule type="expression" dxfId="60" priority="44">
      <formula>AK5="Yes"</formula>
    </cfRule>
    <cfRule type="expression" dxfId="59" priority="45">
      <formula>AK5="No"</formula>
    </cfRule>
  </conditionalFormatting>
  <conditionalFormatting sqref="AN5:AN516">
    <cfRule type="expression" dxfId="58" priority="38">
      <formula>AN5="❌ Disc"</formula>
    </cfRule>
    <cfRule type="expression" dxfId="57" priority="39">
      <formula>AN5="⚠ Missing"</formula>
    </cfRule>
    <cfRule type="expression" dxfId="56" priority="40">
      <formula>AN5="⚠ Check"</formula>
    </cfRule>
    <cfRule type="expression" dxfId="55" priority="37">
      <formula>AN5="✓ OK"</formula>
    </cfRule>
  </conditionalFormatting>
  <conditionalFormatting sqref="AQ5:AQ516">
    <cfRule type="expression" dxfId="54" priority="50">
      <formula>AQ5="Yes"</formula>
    </cfRule>
    <cfRule type="expression" dxfId="53" priority="51">
      <formula>AQ5="No"</formula>
    </cfRule>
  </conditionalFormatting>
  <conditionalFormatting sqref="AR5:AR516">
    <cfRule type="expression" dxfId="52" priority="52">
      <formula>AR5="Yes"</formula>
    </cfRule>
  </conditionalFormatting>
  <conditionalFormatting sqref="AT5:AT516">
    <cfRule type="expression" dxfId="51" priority="53">
      <formula>AT5="Yes"</formula>
    </cfRule>
    <cfRule type="expression" dxfId="50" priority="54">
      <formula>AT5="No"</formula>
    </cfRule>
  </conditionalFormatting>
  <conditionalFormatting sqref="AW5:AW516">
    <cfRule type="expression" dxfId="49" priority="46">
      <formula>AW5="✓ OK"</formula>
    </cfRule>
    <cfRule type="expression" dxfId="48" priority="47">
      <formula>AW5="❌ Disc"</formula>
    </cfRule>
    <cfRule type="expression" dxfId="47" priority="48">
      <formula>AW5="⚠ Missing"</formula>
    </cfRule>
    <cfRule type="expression" dxfId="46" priority="49">
      <formula>AW5="⚠ Check"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I5:I516" xr:uid="{83F7FC66-487A-4D55-ACEE-2ADF2E5A1326}">
      <formula1>"Represented by Sample,Good finish,Minor defect,Major defect,Discontinued,Not Available"</formula1>
    </dataValidation>
    <dataValidation type="list" allowBlank="1" sqref="G5:G516" xr:uid="{CD1D0A8B-E69F-492C-BD63-1C9982F6AE15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tabSelected="1" workbookViewId="0">
      <pane xSplit="4" ySplit="4" topLeftCell="E286" activePane="bottomRight" state="frozen"/>
      <selection pane="topRight" sqref="A1:AW1"/>
      <selection pane="bottomLeft" sqref="A1:AW1"/>
      <selection pane="bottomRight" activeCell="G298" sqref="G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8" t="s">
        <v>5623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</row>
    <row r="2" spans="1:49" ht="15" customHeight="1" x14ac:dyDescent="0.3">
      <c r="A2" s="52" t="s">
        <v>33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</row>
    <row r="3" spans="1:49" ht="19.95" customHeight="1" x14ac:dyDescent="0.3">
      <c r="A3" s="22"/>
      <c r="B3" s="22"/>
      <c r="C3" s="22"/>
      <c r="D3" s="22"/>
      <c r="E3" s="53" t="s">
        <v>34</v>
      </c>
      <c r="F3" s="49"/>
      <c r="G3" s="49"/>
      <c r="H3" s="49"/>
      <c r="I3" s="49"/>
      <c r="J3" s="49"/>
      <c r="K3" s="49"/>
      <c r="L3" s="49"/>
      <c r="M3" s="49"/>
      <c r="N3" s="55" t="s">
        <v>35</v>
      </c>
      <c r="O3" s="49"/>
      <c r="P3" s="49"/>
      <c r="Q3" s="49"/>
      <c r="R3" s="49"/>
      <c r="S3" s="49"/>
      <c r="T3" s="49"/>
      <c r="U3" s="49"/>
      <c r="V3" s="49"/>
      <c r="W3" s="51" t="s">
        <v>36</v>
      </c>
      <c r="X3" s="49"/>
      <c r="Y3" s="49"/>
      <c r="Z3" s="49"/>
      <c r="AA3" s="49"/>
      <c r="AB3" s="49"/>
      <c r="AC3" s="49"/>
      <c r="AD3" s="49"/>
      <c r="AE3" s="49"/>
      <c r="AF3" s="54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49"/>
      <c r="AQ3" s="49"/>
      <c r="AR3" s="49"/>
      <c r="AS3" s="49"/>
      <c r="AT3" s="49"/>
      <c r="AU3" s="49"/>
      <c r="AV3" s="49"/>
      <c r="AW3" s="4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5624</v>
      </c>
      <c r="C5" s="25" t="s">
        <v>5625</v>
      </c>
      <c r="D5" s="23" t="s">
        <v>5626</v>
      </c>
      <c r="E5" s="45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5627</v>
      </c>
      <c r="C6" s="44" t="s">
        <v>5628</v>
      </c>
      <c r="D6" s="42" t="s">
        <v>5626</v>
      </c>
      <c r="E6" s="45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5629</v>
      </c>
      <c r="C7" s="25" t="s">
        <v>5630</v>
      </c>
      <c r="D7" s="23" t="s">
        <v>5626</v>
      </c>
      <c r="E7" s="45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5631</v>
      </c>
      <c r="C8" s="44" t="s">
        <v>5632</v>
      </c>
      <c r="D8" s="42" t="s">
        <v>5626</v>
      </c>
      <c r="E8" s="45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5633</v>
      </c>
      <c r="C9" s="25" t="s">
        <v>5634</v>
      </c>
      <c r="D9" s="23" t="s">
        <v>5626</v>
      </c>
      <c r="E9" s="45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5635</v>
      </c>
      <c r="C10" s="44" t="s">
        <v>5636</v>
      </c>
      <c r="D10" s="42" t="s">
        <v>5626</v>
      </c>
      <c r="E10" s="45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5637</v>
      </c>
      <c r="C11" s="25" t="s">
        <v>5638</v>
      </c>
      <c r="D11" s="23" t="s">
        <v>5626</v>
      </c>
      <c r="E11" s="45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5639</v>
      </c>
      <c r="C12" s="44" t="s">
        <v>5640</v>
      </c>
      <c r="D12" s="42" t="s">
        <v>5626</v>
      </c>
      <c r="E12" s="45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5641</v>
      </c>
      <c r="C13" s="25" t="s">
        <v>5642</v>
      </c>
      <c r="D13" s="23" t="s">
        <v>5626</v>
      </c>
      <c r="E13" s="45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5643</v>
      </c>
      <c r="C14" s="44" t="s">
        <v>5644</v>
      </c>
      <c r="D14" s="42" t="s">
        <v>5626</v>
      </c>
      <c r="E14" s="45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5645</v>
      </c>
      <c r="C15" s="25" t="s">
        <v>5646</v>
      </c>
      <c r="D15" s="23" t="s">
        <v>5626</v>
      </c>
      <c r="E15" s="45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5647</v>
      </c>
      <c r="C16" s="44" t="s">
        <v>5648</v>
      </c>
      <c r="D16" s="42" t="s">
        <v>5626</v>
      </c>
      <c r="E16" s="45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5649</v>
      </c>
      <c r="C17" s="25" t="s">
        <v>5650</v>
      </c>
      <c r="D17" s="23" t="s">
        <v>5626</v>
      </c>
      <c r="E17" s="45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5651</v>
      </c>
      <c r="C18" s="44" t="s">
        <v>5652</v>
      </c>
      <c r="D18" s="42" t="s">
        <v>5626</v>
      </c>
      <c r="E18" s="45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5653</v>
      </c>
      <c r="C19" s="25" t="s">
        <v>5654</v>
      </c>
      <c r="D19" s="23" t="s">
        <v>5626</v>
      </c>
      <c r="E19" s="45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5655</v>
      </c>
      <c r="C20" s="44" t="s">
        <v>5656</v>
      </c>
      <c r="D20" s="42" t="s">
        <v>5626</v>
      </c>
      <c r="E20" s="45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5657</v>
      </c>
      <c r="C21" s="25" t="s">
        <v>5658</v>
      </c>
      <c r="D21" s="23" t="s">
        <v>5626</v>
      </c>
      <c r="E21" s="45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5659</v>
      </c>
      <c r="C22" s="44" t="s">
        <v>5660</v>
      </c>
      <c r="D22" s="42" t="s">
        <v>5626</v>
      </c>
      <c r="E22" s="45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5661</v>
      </c>
      <c r="C23" s="25" t="s">
        <v>5662</v>
      </c>
      <c r="D23" s="23" t="s">
        <v>5626</v>
      </c>
      <c r="E23" s="45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5663</v>
      </c>
      <c r="C24" s="44" t="s">
        <v>5664</v>
      </c>
      <c r="D24" s="42" t="s">
        <v>5626</v>
      </c>
      <c r="E24" s="45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5665</v>
      </c>
      <c r="C25" s="25" t="s">
        <v>5666</v>
      </c>
      <c r="D25" s="23" t="s">
        <v>5626</v>
      </c>
      <c r="E25" s="45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5667</v>
      </c>
      <c r="C26" s="44" t="s">
        <v>5668</v>
      </c>
      <c r="D26" s="42" t="s">
        <v>5626</v>
      </c>
      <c r="E26" s="45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5669</v>
      </c>
      <c r="C27" s="25" t="s">
        <v>5670</v>
      </c>
      <c r="D27" s="23" t="s">
        <v>5626</v>
      </c>
      <c r="E27" s="45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5671</v>
      </c>
      <c r="C28" s="44" t="s">
        <v>5672</v>
      </c>
      <c r="D28" s="42" t="s">
        <v>5626</v>
      </c>
      <c r="E28" s="45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5673</v>
      </c>
      <c r="C29" s="25" t="s">
        <v>5674</v>
      </c>
      <c r="D29" s="23" t="s">
        <v>5626</v>
      </c>
      <c r="E29" s="45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5675</v>
      </c>
      <c r="C30" s="44" t="s">
        <v>5676</v>
      </c>
      <c r="D30" s="42" t="s">
        <v>5626</v>
      </c>
      <c r="E30" s="45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5677</v>
      </c>
      <c r="C31" s="25" t="s">
        <v>5678</v>
      </c>
      <c r="D31" s="23" t="s">
        <v>5626</v>
      </c>
      <c r="E31" s="45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5679</v>
      </c>
      <c r="C32" s="44" t="s">
        <v>5680</v>
      </c>
      <c r="D32" s="42" t="s">
        <v>5626</v>
      </c>
      <c r="E32" s="45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5681</v>
      </c>
      <c r="C33" s="25" t="s">
        <v>5682</v>
      </c>
      <c r="D33" s="23" t="s">
        <v>5626</v>
      </c>
      <c r="E33" s="45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5683</v>
      </c>
      <c r="C34" s="44" t="s">
        <v>5684</v>
      </c>
      <c r="D34" s="42" t="s">
        <v>5626</v>
      </c>
      <c r="E34" s="45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5685</v>
      </c>
      <c r="C35" s="25" t="s">
        <v>5686</v>
      </c>
      <c r="D35" s="23" t="s">
        <v>5626</v>
      </c>
      <c r="E35" s="45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5687</v>
      </c>
      <c r="C36" s="44" t="s">
        <v>5688</v>
      </c>
      <c r="D36" s="42" t="s">
        <v>5626</v>
      </c>
      <c r="E36" s="45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5689</v>
      </c>
      <c r="C37" s="25" t="s">
        <v>5690</v>
      </c>
      <c r="D37" s="23" t="s">
        <v>5626</v>
      </c>
      <c r="E37" s="45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5691</v>
      </c>
      <c r="C38" s="44" t="s">
        <v>5692</v>
      </c>
      <c r="D38" s="42" t="s">
        <v>5626</v>
      </c>
      <c r="E38" s="45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5693</v>
      </c>
      <c r="C39" s="25" t="s">
        <v>5694</v>
      </c>
      <c r="D39" s="23" t="s">
        <v>5626</v>
      </c>
      <c r="E39" s="45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5695</v>
      </c>
      <c r="C40" s="44" t="s">
        <v>5696</v>
      </c>
      <c r="D40" s="42" t="s">
        <v>5626</v>
      </c>
      <c r="E40" s="45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5697</v>
      </c>
      <c r="C41" s="25" t="s">
        <v>5698</v>
      </c>
      <c r="D41" s="23" t="s">
        <v>5626</v>
      </c>
      <c r="E41" s="45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5699</v>
      </c>
      <c r="C42" s="44" t="s">
        <v>5700</v>
      </c>
      <c r="D42" s="42" t="s">
        <v>5626</v>
      </c>
      <c r="E42" s="45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5701</v>
      </c>
      <c r="C43" s="25" t="s">
        <v>5702</v>
      </c>
      <c r="D43" s="23" t="s">
        <v>5626</v>
      </c>
      <c r="E43" s="45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5703</v>
      </c>
      <c r="C44" s="44" t="s">
        <v>5704</v>
      </c>
      <c r="D44" s="42" t="s">
        <v>5626</v>
      </c>
      <c r="E44" s="45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5705</v>
      </c>
      <c r="C45" s="25" t="s">
        <v>5706</v>
      </c>
      <c r="D45" s="23" t="s">
        <v>5626</v>
      </c>
      <c r="E45" s="45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5707</v>
      </c>
      <c r="C46" s="44" t="s">
        <v>5708</v>
      </c>
      <c r="D46" s="42" t="s">
        <v>5626</v>
      </c>
      <c r="E46" s="45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5709</v>
      </c>
      <c r="C47" s="25" t="s">
        <v>5710</v>
      </c>
      <c r="D47" s="23" t="s">
        <v>5626</v>
      </c>
      <c r="E47" s="45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5711</v>
      </c>
      <c r="C48" s="44" t="s">
        <v>5712</v>
      </c>
      <c r="D48" s="42" t="s">
        <v>5626</v>
      </c>
      <c r="E48" s="45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5713</v>
      </c>
      <c r="C49" s="25" t="s">
        <v>5714</v>
      </c>
      <c r="D49" s="23" t="s">
        <v>5626</v>
      </c>
      <c r="E49" s="45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5715</v>
      </c>
      <c r="C50" s="44" t="s">
        <v>5716</v>
      </c>
      <c r="D50" s="42" t="s">
        <v>5626</v>
      </c>
      <c r="E50" s="45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5717</v>
      </c>
      <c r="C51" s="25" t="s">
        <v>5718</v>
      </c>
      <c r="D51" s="23" t="s">
        <v>5626</v>
      </c>
      <c r="E51" s="45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5719</v>
      </c>
      <c r="C52" s="44" t="s">
        <v>5720</v>
      </c>
      <c r="D52" s="42" t="s">
        <v>5626</v>
      </c>
      <c r="E52" s="45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5721</v>
      </c>
      <c r="C53" s="25" t="s">
        <v>5722</v>
      </c>
      <c r="D53" s="23" t="s">
        <v>5626</v>
      </c>
      <c r="E53" s="45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5723</v>
      </c>
      <c r="C54" s="44" t="s">
        <v>5724</v>
      </c>
      <c r="D54" s="42" t="s">
        <v>5626</v>
      </c>
      <c r="E54" s="45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5725</v>
      </c>
      <c r="C55" s="25" t="s">
        <v>5726</v>
      </c>
      <c r="D55" s="23" t="s">
        <v>5626</v>
      </c>
      <c r="E55" s="45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5727</v>
      </c>
      <c r="C56" s="44" t="s">
        <v>5728</v>
      </c>
      <c r="D56" s="42" t="s">
        <v>5626</v>
      </c>
      <c r="E56" s="45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5729</v>
      </c>
      <c r="C57" s="25" t="s">
        <v>5730</v>
      </c>
      <c r="D57" s="23" t="s">
        <v>5626</v>
      </c>
      <c r="E57" s="45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5731</v>
      </c>
      <c r="C58" s="44" t="s">
        <v>5732</v>
      </c>
      <c r="D58" s="42" t="s">
        <v>5733</v>
      </c>
      <c r="E58" s="45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5734</v>
      </c>
      <c r="C59" s="25" t="s">
        <v>5735</v>
      </c>
      <c r="D59" s="23" t="s">
        <v>5733</v>
      </c>
      <c r="E59" s="45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5736</v>
      </c>
      <c r="C60" s="44" t="s">
        <v>5737</v>
      </c>
      <c r="D60" s="42" t="s">
        <v>5733</v>
      </c>
      <c r="E60" s="45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5738</v>
      </c>
      <c r="C61" s="25" t="s">
        <v>5739</v>
      </c>
      <c r="D61" s="23" t="s">
        <v>5733</v>
      </c>
      <c r="E61" s="45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5740</v>
      </c>
      <c r="C62" s="44" t="s">
        <v>5741</v>
      </c>
      <c r="D62" s="42" t="s">
        <v>5733</v>
      </c>
      <c r="E62" s="45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5742</v>
      </c>
      <c r="C63" s="25" t="s">
        <v>5743</v>
      </c>
      <c r="D63" s="23" t="s">
        <v>5733</v>
      </c>
      <c r="E63" s="45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5744</v>
      </c>
      <c r="C64" s="44" t="s">
        <v>5745</v>
      </c>
      <c r="D64" s="42" t="s">
        <v>5733</v>
      </c>
      <c r="E64" s="45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5746</v>
      </c>
      <c r="C65" s="25" t="s">
        <v>5747</v>
      </c>
      <c r="D65" s="23" t="s">
        <v>5733</v>
      </c>
      <c r="E65" s="45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5748</v>
      </c>
      <c r="C66" s="44" t="s">
        <v>5749</v>
      </c>
      <c r="D66" s="42" t="s">
        <v>5733</v>
      </c>
      <c r="E66" s="45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5750</v>
      </c>
      <c r="C67" s="25" t="s">
        <v>5751</v>
      </c>
      <c r="D67" s="23" t="s">
        <v>5733</v>
      </c>
      <c r="E67" s="45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5752</v>
      </c>
      <c r="C68" s="44" t="s">
        <v>5753</v>
      </c>
      <c r="D68" s="42" t="s">
        <v>5733</v>
      </c>
      <c r="E68" s="45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5754</v>
      </c>
      <c r="C69" s="25" t="s">
        <v>5755</v>
      </c>
      <c r="D69" s="23" t="s">
        <v>5733</v>
      </c>
      <c r="E69" s="45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5756</v>
      </c>
      <c r="C70" s="44" t="s">
        <v>5757</v>
      </c>
      <c r="D70" s="42" t="s">
        <v>5733</v>
      </c>
      <c r="E70" s="45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5758</v>
      </c>
      <c r="C71" s="25" t="s">
        <v>5759</v>
      </c>
      <c r="D71" s="23" t="s">
        <v>5733</v>
      </c>
      <c r="E71" s="45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5760</v>
      </c>
      <c r="C72" s="44" t="s">
        <v>5761</v>
      </c>
      <c r="D72" s="42" t="s">
        <v>5733</v>
      </c>
      <c r="E72" s="45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5762</v>
      </c>
      <c r="C73" s="25" t="s">
        <v>5763</v>
      </c>
      <c r="D73" s="23" t="s">
        <v>5733</v>
      </c>
      <c r="E73" s="45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5764</v>
      </c>
      <c r="C74" s="44" t="s">
        <v>5765</v>
      </c>
      <c r="D74" s="42" t="s">
        <v>5733</v>
      </c>
      <c r="E74" s="45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5766</v>
      </c>
      <c r="C75" s="25" t="s">
        <v>5767</v>
      </c>
      <c r="D75" s="23" t="s">
        <v>5733</v>
      </c>
      <c r="E75" s="45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5768</v>
      </c>
      <c r="C76" s="44" t="s">
        <v>5769</v>
      </c>
      <c r="D76" s="42" t="s">
        <v>5733</v>
      </c>
      <c r="E76" s="45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5770</v>
      </c>
      <c r="C77" s="25" t="s">
        <v>5771</v>
      </c>
      <c r="D77" s="23" t="s">
        <v>5733</v>
      </c>
      <c r="E77" s="45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5772</v>
      </c>
      <c r="C78" s="44" t="s">
        <v>5773</v>
      </c>
      <c r="D78" s="42" t="s">
        <v>5733</v>
      </c>
      <c r="E78" s="45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5774</v>
      </c>
      <c r="C79" s="25" t="s">
        <v>5775</v>
      </c>
      <c r="D79" s="23" t="s">
        <v>5733</v>
      </c>
      <c r="E79" s="45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5776</v>
      </c>
      <c r="C80" s="44" t="s">
        <v>5777</v>
      </c>
      <c r="D80" s="42" t="s">
        <v>5733</v>
      </c>
      <c r="E80" s="45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5778</v>
      </c>
      <c r="C81" s="25" t="s">
        <v>5779</v>
      </c>
      <c r="D81" s="23" t="s">
        <v>5733</v>
      </c>
      <c r="E81" s="45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5780</v>
      </c>
      <c r="C82" s="44" t="s">
        <v>5781</v>
      </c>
      <c r="D82" s="42" t="s">
        <v>5733</v>
      </c>
      <c r="E82" s="45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5782</v>
      </c>
      <c r="C83" s="25" t="s">
        <v>5783</v>
      </c>
      <c r="D83" s="23" t="s">
        <v>5733</v>
      </c>
      <c r="E83" s="45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5784</v>
      </c>
      <c r="C84" s="44" t="s">
        <v>5785</v>
      </c>
      <c r="D84" s="42" t="s">
        <v>5733</v>
      </c>
      <c r="E84" s="45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5786</v>
      </c>
      <c r="C85" s="25" t="s">
        <v>5787</v>
      </c>
      <c r="D85" s="23" t="s">
        <v>5733</v>
      </c>
      <c r="E85" s="45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5788</v>
      </c>
      <c r="C86" s="44" t="s">
        <v>5789</v>
      </c>
      <c r="D86" s="42" t="s">
        <v>5733</v>
      </c>
      <c r="E86" s="45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5790</v>
      </c>
      <c r="C87" s="25" t="s">
        <v>5791</v>
      </c>
      <c r="D87" s="23" t="s">
        <v>5733</v>
      </c>
      <c r="E87" s="45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5792</v>
      </c>
      <c r="C88" s="44" t="s">
        <v>5793</v>
      </c>
      <c r="D88" s="42" t="s">
        <v>5733</v>
      </c>
      <c r="E88" s="45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5794</v>
      </c>
      <c r="C89" s="25" t="s">
        <v>5795</v>
      </c>
      <c r="D89" s="23" t="s">
        <v>5733</v>
      </c>
      <c r="E89" s="45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5796</v>
      </c>
      <c r="C90" s="44" t="s">
        <v>5797</v>
      </c>
      <c r="D90" s="42" t="s">
        <v>5733</v>
      </c>
      <c r="E90" s="45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5798</v>
      </c>
      <c r="C91" s="25" t="s">
        <v>5799</v>
      </c>
      <c r="D91" s="23" t="s">
        <v>5733</v>
      </c>
      <c r="E91" s="45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5800</v>
      </c>
      <c r="C92" s="44" t="s">
        <v>5801</v>
      </c>
      <c r="D92" s="42" t="s">
        <v>5733</v>
      </c>
      <c r="E92" s="45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5802</v>
      </c>
      <c r="C93" s="25" t="s">
        <v>5803</v>
      </c>
      <c r="D93" s="23" t="s">
        <v>5733</v>
      </c>
      <c r="E93" s="45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5804</v>
      </c>
      <c r="C94" s="44" t="s">
        <v>5805</v>
      </c>
      <c r="D94" s="42" t="s">
        <v>5733</v>
      </c>
      <c r="E94" s="45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5806</v>
      </c>
      <c r="C95" s="25" t="s">
        <v>5807</v>
      </c>
      <c r="D95" s="23" t="s">
        <v>5733</v>
      </c>
      <c r="E95" s="45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5808</v>
      </c>
      <c r="C96" s="44" t="s">
        <v>5809</v>
      </c>
      <c r="D96" s="42" t="s">
        <v>5733</v>
      </c>
      <c r="E96" s="45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5810</v>
      </c>
      <c r="C97" s="25" t="s">
        <v>5811</v>
      </c>
      <c r="D97" s="23" t="s">
        <v>5733</v>
      </c>
      <c r="E97" s="45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5812</v>
      </c>
      <c r="C98" s="44" t="s">
        <v>5813</v>
      </c>
      <c r="D98" s="42" t="s">
        <v>5814</v>
      </c>
      <c r="E98" s="45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5815</v>
      </c>
      <c r="C99" s="25" t="s">
        <v>5816</v>
      </c>
      <c r="D99" s="23" t="s">
        <v>5814</v>
      </c>
      <c r="E99" s="45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5817</v>
      </c>
      <c r="C100" s="44" t="s">
        <v>5818</v>
      </c>
      <c r="D100" s="42" t="s">
        <v>5814</v>
      </c>
      <c r="E100" s="45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5819</v>
      </c>
      <c r="C101" s="25" t="s">
        <v>5820</v>
      </c>
      <c r="D101" s="23" t="s">
        <v>5814</v>
      </c>
      <c r="E101" s="45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5821</v>
      </c>
      <c r="C102" s="44" t="s">
        <v>5822</v>
      </c>
      <c r="D102" s="42" t="s">
        <v>5814</v>
      </c>
      <c r="E102" s="45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5823</v>
      </c>
      <c r="C103" s="25" t="s">
        <v>5824</v>
      </c>
      <c r="D103" s="23" t="s">
        <v>5814</v>
      </c>
      <c r="E103" s="45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5825</v>
      </c>
      <c r="C104" s="44" t="s">
        <v>5826</v>
      </c>
      <c r="D104" s="42" t="s">
        <v>5814</v>
      </c>
      <c r="E104" s="45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5827</v>
      </c>
      <c r="C105" s="25" t="s">
        <v>5828</v>
      </c>
      <c r="D105" s="23" t="s">
        <v>5814</v>
      </c>
      <c r="E105" s="45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5829</v>
      </c>
      <c r="C106" s="44" t="s">
        <v>5830</v>
      </c>
      <c r="D106" s="42" t="s">
        <v>5814</v>
      </c>
      <c r="E106" s="45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5831</v>
      </c>
      <c r="C107" s="25" t="s">
        <v>5832</v>
      </c>
      <c r="D107" s="23" t="s">
        <v>5814</v>
      </c>
      <c r="E107" s="45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5833</v>
      </c>
      <c r="C108" s="44" t="s">
        <v>5834</v>
      </c>
      <c r="D108" s="42" t="s">
        <v>5814</v>
      </c>
      <c r="E108" s="45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5835</v>
      </c>
      <c r="C109" s="25" t="s">
        <v>5836</v>
      </c>
      <c r="D109" s="23" t="s">
        <v>5814</v>
      </c>
      <c r="E109" s="45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5837</v>
      </c>
      <c r="C110" s="44" t="s">
        <v>5838</v>
      </c>
      <c r="D110" s="42" t="s">
        <v>5814</v>
      </c>
      <c r="E110" s="45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5839</v>
      </c>
      <c r="C111" s="25" t="s">
        <v>5840</v>
      </c>
      <c r="D111" s="23" t="s">
        <v>5814</v>
      </c>
      <c r="E111" s="45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5841</v>
      </c>
      <c r="C112" s="44" t="s">
        <v>5842</v>
      </c>
      <c r="D112" s="42" t="s">
        <v>5814</v>
      </c>
      <c r="E112" s="45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5843</v>
      </c>
      <c r="C113" s="25" t="s">
        <v>5844</v>
      </c>
      <c r="D113" s="23" t="s">
        <v>5814</v>
      </c>
      <c r="E113" s="45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5845</v>
      </c>
      <c r="C114" s="44" t="s">
        <v>5846</v>
      </c>
      <c r="D114" s="42" t="s">
        <v>5814</v>
      </c>
      <c r="E114" s="45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5847</v>
      </c>
      <c r="C115" s="25" t="s">
        <v>5848</v>
      </c>
      <c r="D115" s="23" t="s">
        <v>5814</v>
      </c>
      <c r="E115" s="45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5849</v>
      </c>
      <c r="C116" s="44" t="s">
        <v>5850</v>
      </c>
      <c r="D116" s="42" t="s">
        <v>5814</v>
      </c>
      <c r="E116" s="45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5851</v>
      </c>
      <c r="C117" s="25" t="s">
        <v>5852</v>
      </c>
      <c r="D117" s="23" t="s">
        <v>5814</v>
      </c>
      <c r="E117" s="45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5853</v>
      </c>
      <c r="C118" s="44" t="s">
        <v>5854</v>
      </c>
      <c r="D118" s="42" t="s">
        <v>5814</v>
      </c>
      <c r="E118" s="45">
        <v>46128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5855</v>
      </c>
      <c r="C119" s="25" t="s">
        <v>5856</v>
      </c>
      <c r="D119" s="23" t="s">
        <v>5814</v>
      </c>
      <c r="E119" s="45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5857</v>
      </c>
      <c r="C120" s="44" t="s">
        <v>5858</v>
      </c>
      <c r="D120" s="42" t="s">
        <v>5814</v>
      </c>
      <c r="E120" s="45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5859</v>
      </c>
      <c r="C121" s="25" t="s">
        <v>5860</v>
      </c>
      <c r="D121" s="23" t="s">
        <v>5814</v>
      </c>
      <c r="E121" s="45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5861</v>
      </c>
      <c r="C122" s="44" t="s">
        <v>5862</v>
      </c>
      <c r="D122" s="42" t="s">
        <v>5814</v>
      </c>
      <c r="E122" s="45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5863</v>
      </c>
      <c r="C123" s="25" t="s">
        <v>5864</v>
      </c>
      <c r="D123" s="23" t="s">
        <v>5814</v>
      </c>
      <c r="E123" s="45">
        <v>46128</v>
      </c>
      <c r="F123" s="26" t="s">
        <v>55</v>
      </c>
      <c r="G123" s="26" t="s">
        <v>56</v>
      </c>
      <c r="H123" s="26" t="s">
        <v>57</v>
      </c>
      <c r="I123" s="26" t="s">
        <v>58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5865</v>
      </c>
      <c r="C124" s="44" t="s">
        <v>5866</v>
      </c>
      <c r="D124" s="42" t="s">
        <v>5814</v>
      </c>
      <c r="E124" s="45">
        <v>46128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5867</v>
      </c>
      <c r="C125" s="25" t="s">
        <v>5868</v>
      </c>
      <c r="D125" s="23" t="s">
        <v>5814</v>
      </c>
      <c r="E125" s="45">
        <v>46128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5869</v>
      </c>
      <c r="C126" s="44" t="s">
        <v>5870</v>
      </c>
      <c r="D126" s="42" t="s">
        <v>5814</v>
      </c>
      <c r="E126" s="45">
        <v>46128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5871</v>
      </c>
      <c r="C127" s="25" t="s">
        <v>5872</v>
      </c>
      <c r="D127" s="23" t="s">
        <v>5814</v>
      </c>
      <c r="E127" s="45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5873</v>
      </c>
      <c r="C128" s="44" t="s">
        <v>5874</v>
      </c>
      <c r="D128" s="42" t="s">
        <v>5814</v>
      </c>
      <c r="E128" s="45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5875</v>
      </c>
      <c r="C129" s="25" t="s">
        <v>5876</v>
      </c>
      <c r="D129" s="23" t="s">
        <v>5814</v>
      </c>
      <c r="E129" s="45">
        <v>46128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5877</v>
      </c>
      <c r="C130" s="44" t="s">
        <v>5878</v>
      </c>
      <c r="D130" s="42" t="s">
        <v>5814</v>
      </c>
      <c r="E130" s="45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5879</v>
      </c>
      <c r="C131" s="25" t="s">
        <v>5880</v>
      </c>
      <c r="D131" s="23" t="s">
        <v>5814</v>
      </c>
      <c r="E131" s="45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5881</v>
      </c>
      <c r="C132" s="44" t="s">
        <v>5882</v>
      </c>
      <c r="D132" s="42" t="s">
        <v>5814</v>
      </c>
      <c r="E132" s="45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5883</v>
      </c>
      <c r="C133" s="25" t="s">
        <v>5884</v>
      </c>
      <c r="D133" s="23" t="s">
        <v>5814</v>
      </c>
      <c r="E133" s="45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5885</v>
      </c>
      <c r="C134" s="44" t="s">
        <v>5886</v>
      </c>
      <c r="D134" s="42" t="s">
        <v>5814</v>
      </c>
      <c r="E134" s="45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5887</v>
      </c>
      <c r="C135" s="25" t="s">
        <v>5888</v>
      </c>
      <c r="D135" s="23" t="s">
        <v>5814</v>
      </c>
      <c r="E135" s="45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5889</v>
      </c>
      <c r="C136" s="44" t="s">
        <v>5890</v>
      </c>
      <c r="D136" s="42" t="s">
        <v>5814</v>
      </c>
      <c r="E136" s="45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5891</v>
      </c>
      <c r="C137" s="25" t="s">
        <v>5892</v>
      </c>
      <c r="D137" s="23" t="s">
        <v>5814</v>
      </c>
      <c r="E137" s="45">
        <v>46128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5893</v>
      </c>
      <c r="C138" s="44" t="s">
        <v>5894</v>
      </c>
      <c r="D138" s="42" t="s">
        <v>5814</v>
      </c>
      <c r="E138" s="45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5895</v>
      </c>
      <c r="C139" s="25" t="s">
        <v>5896</v>
      </c>
      <c r="D139" s="23" t="s">
        <v>5814</v>
      </c>
      <c r="E139" s="45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5897</v>
      </c>
      <c r="C140" s="44" t="s">
        <v>5898</v>
      </c>
      <c r="D140" s="42" t="s">
        <v>5814</v>
      </c>
      <c r="E140" s="45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5899</v>
      </c>
      <c r="C141" s="25" t="s">
        <v>5900</v>
      </c>
      <c r="D141" s="23" t="s">
        <v>5814</v>
      </c>
      <c r="E141" s="45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5901</v>
      </c>
      <c r="C142" s="44" t="s">
        <v>5902</v>
      </c>
      <c r="D142" s="42" t="s">
        <v>5814</v>
      </c>
      <c r="E142" s="45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5903</v>
      </c>
      <c r="C143" s="25" t="s">
        <v>5904</v>
      </c>
      <c r="D143" s="23" t="s">
        <v>5814</v>
      </c>
      <c r="E143" s="45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5905</v>
      </c>
      <c r="C144" s="44" t="s">
        <v>5906</v>
      </c>
      <c r="D144" s="42" t="s">
        <v>5814</v>
      </c>
      <c r="E144" s="45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5907</v>
      </c>
      <c r="C145" s="25" t="s">
        <v>5908</v>
      </c>
      <c r="D145" s="23" t="s">
        <v>5814</v>
      </c>
      <c r="E145" s="45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5909</v>
      </c>
      <c r="C146" s="44" t="s">
        <v>5910</v>
      </c>
      <c r="D146" s="42" t="s">
        <v>5814</v>
      </c>
      <c r="E146" s="45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5911</v>
      </c>
      <c r="C147" s="25" t="s">
        <v>5912</v>
      </c>
      <c r="D147" s="23" t="s">
        <v>5814</v>
      </c>
      <c r="E147" s="45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5913</v>
      </c>
      <c r="C148" s="44" t="s">
        <v>5914</v>
      </c>
      <c r="D148" s="42" t="s">
        <v>5814</v>
      </c>
      <c r="E148" s="45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5915</v>
      </c>
      <c r="C149" s="25" t="s">
        <v>5916</v>
      </c>
      <c r="D149" s="23" t="s">
        <v>5814</v>
      </c>
      <c r="E149" s="45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5917</v>
      </c>
      <c r="C150" s="44" t="s">
        <v>5918</v>
      </c>
      <c r="D150" s="42" t="s">
        <v>5814</v>
      </c>
      <c r="E150" s="45">
        <v>46128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5919</v>
      </c>
      <c r="C151" s="25" t="s">
        <v>5920</v>
      </c>
      <c r="D151" s="23" t="s">
        <v>5814</v>
      </c>
      <c r="E151" s="45">
        <v>46128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5921</v>
      </c>
      <c r="C152" s="44" t="s">
        <v>5922</v>
      </c>
      <c r="D152" s="42" t="s">
        <v>5814</v>
      </c>
      <c r="E152" s="45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5923</v>
      </c>
      <c r="C153" s="25" t="s">
        <v>5924</v>
      </c>
      <c r="D153" s="23" t="s">
        <v>5814</v>
      </c>
      <c r="E153" s="45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5925</v>
      </c>
      <c r="C154" s="44" t="s">
        <v>5926</v>
      </c>
      <c r="D154" s="42" t="s">
        <v>5814</v>
      </c>
      <c r="E154" s="45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5927</v>
      </c>
      <c r="C155" s="25" t="s">
        <v>5928</v>
      </c>
      <c r="D155" s="23" t="s">
        <v>5814</v>
      </c>
      <c r="E155" s="45">
        <v>46128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5929</v>
      </c>
      <c r="C156" s="44" t="s">
        <v>5930</v>
      </c>
      <c r="D156" s="42" t="s">
        <v>5814</v>
      </c>
      <c r="E156" s="45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5931</v>
      </c>
      <c r="C157" s="25" t="s">
        <v>5932</v>
      </c>
      <c r="D157" s="23" t="s">
        <v>5814</v>
      </c>
      <c r="E157" s="45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5933</v>
      </c>
      <c r="C158" s="44" t="s">
        <v>5934</v>
      </c>
      <c r="D158" s="42" t="s">
        <v>5814</v>
      </c>
      <c r="E158" s="45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5935</v>
      </c>
      <c r="C159" s="25" t="s">
        <v>5936</v>
      </c>
      <c r="D159" s="23" t="s">
        <v>5814</v>
      </c>
      <c r="E159" s="45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5937</v>
      </c>
      <c r="C160" s="44" t="s">
        <v>5938</v>
      </c>
      <c r="D160" s="42" t="s">
        <v>5814</v>
      </c>
      <c r="E160" s="45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5939</v>
      </c>
      <c r="C161" s="25" t="s">
        <v>5940</v>
      </c>
      <c r="D161" s="23" t="s">
        <v>5814</v>
      </c>
      <c r="E161" s="45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5941</v>
      </c>
      <c r="C162" s="44" t="s">
        <v>5942</v>
      </c>
      <c r="D162" s="42" t="s">
        <v>5814</v>
      </c>
      <c r="E162" s="45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5943</v>
      </c>
      <c r="C163" s="25" t="s">
        <v>5944</v>
      </c>
      <c r="D163" s="23" t="s">
        <v>5814</v>
      </c>
      <c r="E163" s="45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5945</v>
      </c>
      <c r="C164" s="44" t="s">
        <v>5946</v>
      </c>
      <c r="D164" s="42" t="s">
        <v>5814</v>
      </c>
      <c r="E164" s="45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5947</v>
      </c>
      <c r="C165" s="25" t="s">
        <v>5948</v>
      </c>
      <c r="D165" s="23" t="s">
        <v>5814</v>
      </c>
      <c r="E165" s="45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5949</v>
      </c>
      <c r="C166" s="44" t="s">
        <v>5950</v>
      </c>
      <c r="D166" s="42" t="s">
        <v>5814</v>
      </c>
      <c r="E166" s="45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5951</v>
      </c>
      <c r="C167" s="25" t="s">
        <v>5952</v>
      </c>
      <c r="D167" s="23" t="s">
        <v>5814</v>
      </c>
      <c r="E167" s="45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5953</v>
      </c>
      <c r="C168" s="44" t="s">
        <v>5954</v>
      </c>
      <c r="D168" s="42" t="s">
        <v>5814</v>
      </c>
      <c r="E168" s="45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5955</v>
      </c>
      <c r="C169" s="25" t="s">
        <v>5956</v>
      </c>
      <c r="D169" s="23" t="s">
        <v>5814</v>
      </c>
      <c r="E169" s="45">
        <v>46128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5957</v>
      </c>
      <c r="C170" s="44" t="s">
        <v>5958</v>
      </c>
      <c r="D170" s="42" t="s">
        <v>5814</v>
      </c>
      <c r="E170" s="45">
        <v>46128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5959</v>
      </c>
      <c r="C171" s="25" t="s">
        <v>5960</v>
      </c>
      <c r="D171" s="23" t="s">
        <v>5814</v>
      </c>
      <c r="E171" s="45">
        <v>46128</v>
      </c>
      <c r="F171" s="26" t="s">
        <v>55</v>
      </c>
      <c r="G171" s="26" t="s">
        <v>56</v>
      </c>
      <c r="H171" s="26" t="s">
        <v>57</v>
      </c>
      <c r="I171" s="26" t="s">
        <v>58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5961</v>
      </c>
      <c r="C172" s="44" t="s">
        <v>5962</v>
      </c>
      <c r="D172" s="42" t="s">
        <v>5814</v>
      </c>
      <c r="E172" s="45">
        <v>46128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5963</v>
      </c>
      <c r="C173" s="25" t="s">
        <v>5964</v>
      </c>
      <c r="D173" s="23" t="s">
        <v>5814</v>
      </c>
      <c r="E173" s="45">
        <v>46128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5965</v>
      </c>
      <c r="C174" s="44" t="s">
        <v>5966</v>
      </c>
      <c r="D174" s="42" t="s">
        <v>5814</v>
      </c>
      <c r="E174" s="45">
        <v>46128</v>
      </c>
      <c r="F174" s="26" t="s">
        <v>55</v>
      </c>
      <c r="G174" s="26" t="s">
        <v>56</v>
      </c>
      <c r="H174" s="26" t="s">
        <v>57</v>
      </c>
      <c r="I174" s="26" t="s">
        <v>58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5967</v>
      </c>
      <c r="C175" s="25" t="s">
        <v>5968</v>
      </c>
      <c r="D175" s="23" t="s">
        <v>5814</v>
      </c>
      <c r="E175" s="45">
        <v>46128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5969</v>
      </c>
      <c r="C176" s="44" t="s">
        <v>5970</v>
      </c>
      <c r="D176" s="42" t="s">
        <v>5814</v>
      </c>
      <c r="E176" s="45">
        <v>46128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5971</v>
      </c>
      <c r="C177" s="25" t="s">
        <v>5972</v>
      </c>
      <c r="D177" s="23" t="s">
        <v>5814</v>
      </c>
      <c r="E177" s="45">
        <v>46128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5973</v>
      </c>
      <c r="C178" s="44" t="s">
        <v>5974</v>
      </c>
      <c r="D178" s="42" t="s">
        <v>5814</v>
      </c>
      <c r="E178" s="45">
        <v>46128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5975</v>
      </c>
      <c r="C179" s="25" t="s">
        <v>5976</v>
      </c>
      <c r="D179" s="23" t="s">
        <v>5814</v>
      </c>
      <c r="E179" s="45">
        <v>46128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5977</v>
      </c>
      <c r="C180" s="44" t="s">
        <v>5978</v>
      </c>
      <c r="D180" s="42" t="s">
        <v>5814</v>
      </c>
      <c r="E180" s="45">
        <v>46128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5979</v>
      </c>
      <c r="C181" s="25" t="s">
        <v>5980</v>
      </c>
      <c r="D181" s="23" t="s">
        <v>5814</v>
      </c>
      <c r="E181" s="45">
        <v>46128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5981</v>
      </c>
      <c r="C182" s="44" t="s">
        <v>5982</v>
      </c>
      <c r="D182" s="42" t="s">
        <v>5814</v>
      </c>
      <c r="E182" s="45">
        <v>46128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5983</v>
      </c>
      <c r="C183" s="25" t="s">
        <v>5984</v>
      </c>
      <c r="D183" s="23" t="s">
        <v>5814</v>
      </c>
      <c r="E183" s="45">
        <v>46128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5985</v>
      </c>
      <c r="C184" s="44" t="s">
        <v>5986</v>
      </c>
      <c r="D184" s="42" t="s">
        <v>5814</v>
      </c>
      <c r="E184" s="45">
        <v>46128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5987</v>
      </c>
      <c r="C185" s="25" t="s">
        <v>5988</v>
      </c>
      <c r="D185" s="23" t="s">
        <v>5814</v>
      </c>
      <c r="E185" s="45">
        <v>46128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5989</v>
      </c>
      <c r="C186" s="44" t="s">
        <v>5990</v>
      </c>
      <c r="D186" s="42" t="s">
        <v>5814</v>
      </c>
      <c r="E186" s="45">
        <v>46128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5991</v>
      </c>
      <c r="C187" s="25" t="s">
        <v>5992</v>
      </c>
      <c r="D187" s="23" t="s">
        <v>5814</v>
      </c>
      <c r="E187" s="45">
        <v>46128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5993</v>
      </c>
      <c r="C188" s="44" t="s">
        <v>5994</v>
      </c>
      <c r="D188" s="42" t="s">
        <v>5814</v>
      </c>
      <c r="E188" s="45">
        <v>46128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5995</v>
      </c>
      <c r="C189" s="25" t="s">
        <v>5996</v>
      </c>
      <c r="D189" s="23" t="s">
        <v>5814</v>
      </c>
      <c r="E189" s="45">
        <v>46128</v>
      </c>
      <c r="F189" s="26" t="s">
        <v>55</v>
      </c>
      <c r="G189" s="26" t="s">
        <v>56</v>
      </c>
      <c r="H189" s="26" t="s">
        <v>57</v>
      </c>
      <c r="I189" s="26" t="s">
        <v>58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5997</v>
      </c>
      <c r="C190" s="44" t="s">
        <v>5998</v>
      </c>
      <c r="D190" s="42" t="s">
        <v>5814</v>
      </c>
      <c r="E190" s="45">
        <v>46128</v>
      </c>
      <c r="F190" s="26" t="s">
        <v>55</v>
      </c>
      <c r="G190" s="26" t="s">
        <v>56</v>
      </c>
      <c r="H190" s="26" t="s">
        <v>57</v>
      </c>
      <c r="I190" s="26" t="s">
        <v>58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5999</v>
      </c>
      <c r="C191" s="25" t="s">
        <v>6000</v>
      </c>
      <c r="D191" s="23" t="s">
        <v>5814</v>
      </c>
      <c r="E191" s="45">
        <v>46128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6001</v>
      </c>
      <c r="C192" s="44" t="s">
        <v>6002</v>
      </c>
      <c r="D192" s="42" t="s">
        <v>5814</v>
      </c>
      <c r="E192" s="45">
        <v>46128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6003</v>
      </c>
      <c r="C193" s="25" t="s">
        <v>6004</v>
      </c>
      <c r="D193" s="23" t="s">
        <v>5814</v>
      </c>
      <c r="E193" s="45">
        <v>46128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6005</v>
      </c>
      <c r="C194" s="44" t="s">
        <v>6006</v>
      </c>
      <c r="D194" s="42" t="s">
        <v>5814</v>
      </c>
      <c r="E194" s="45">
        <v>46128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6007</v>
      </c>
      <c r="C195" s="25" t="s">
        <v>6008</v>
      </c>
      <c r="D195" s="23" t="s">
        <v>5814</v>
      </c>
      <c r="E195" s="45">
        <v>46128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6009</v>
      </c>
      <c r="C196" s="44" t="s">
        <v>6010</v>
      </c>
      <c r="D196" s="42" t="s">
        <v>5814</v>
      </c>
      <c r="E196" s="45">
        <v>46128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6011</v>
      </c>
      <c r="C197" s="25" t="s">
        <v>6012</v>
      </c>
      <c r="D197" s="23" t="s">
        <v>5814</v>
      </c>
      <c r="E197" s="45">
        <v>46128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6013</v>
      </c>
      <c r="C198" s="44" t="s">
        <v>6014</v>
      </c>
      <c r="D198" s="42" t="s">
        <v>5814</v>
      </c>
      <c r="E198" s="45">
        <v>46128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6015</v>
      </c>
      <c r="C199" s="25" t="s">
        <v>6016</v>
      </c>
      <c r="D199" s="23" t="s">
        <v>5814</v>
      </c>
      <c r="E199" s="45">
        <v>46128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6017</v>
      </c>
      <c r="C200" s="44" t="s">
        <v>6018</v>
      </c>
      <c r="D200" s="42" t="s">
        <v>5814</v>
      </c>
      <c r="E200" s="45">
        <v>46128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6019</v>
      </c>
      <c r="C201" s="25" t="s">
        <v>6020</v>
      </c>
      <c r="D201" s="23" t="s">
        <v>5814</v>
      </c>
      <c r="E201" s="45">
        <v>46128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6021</v>
      </c>
      <c r="C202" s="44" t="s">
        <v>6022</v>
      </c>
      <c r="D202" s="42" t="s">
        <v>5814</v>
      </c>
      <c r="E202" s="45">
        <v>46128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6023</v>
      </c>
      <c r="C203" s="25" t="s">
        <v>6024</v>
      </c>
      <c r="D203" s="23" t="s">
        <v>5814</v>
      </c>
      <c r="E203" s="45">
        <v>46128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6025</v>
      </c>
      <c r="C204" s="44" t="s">
        <v>6026</v>
      </c>
      <c r="D204" s="42" t="s">
        <v>5814</v>
      </c>
      <c r="E204" s="45">
        <v>46128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6027</v>
      </c>
      <c r="C205" s="25" t="s">
        <v>6028</v>
      </c>
      <c r="D205" s="23" t="s">
        <v>5814</v>
      </c>
      <c r="E205" s="45">
        <v>46128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6029</v>
      </c>
      <c r="C206" s="44" t="s">
        <v>6030</v>
      </c>
      <c r="D206" s="42" t="s">
        <v>5814</v>
      </c>
      <c r="E206" s="45">
        <v>46128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6031</v>
      </c>
      <c r="C207" s="25" t="s">
        <v>6032</v>
      </c>
      <c r="D207" s="23" t="s">
        <v>5814</v>
      </c>
      <c r="E207" s="45">
        <v>46128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6033</v>
      </c>
      <c r="C208" s="44" t="s">
        <v>6034</v>
      </c>
      <c r="D208" s="42" t="s">
        <v>5814</v>
      </c>
      <c r="E208" s="45">
        <v>46128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6035</v>
      </c>
      <c r="C209" s="25" t="s">
        <v>6036</v>
      </c>
      <c r="D209" s="23" t="s">
        <v>5814</v>
      </c>
      <c r="E209" s="45">
        <v>46128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6037</v>
      </c>
      <c r="C210" s="44" t="s">
        <v>6038</v>
      </c>
      <c r="D210" s="42" t="s">
        <v>5814</v>
      </c>
      <c r="E210" s="45">
        <v>46128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6039</v>
      </c>
      <c r="C211" s="25" t="s">
        <v>6040</v>
      </c>
      <c r="D211" s="23" t="s">
        <v>5814</v>
      </c>
      <c r="E211" s="45">
        <v>46128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6041</v>
      </c>
      <c r="C212" s="44" t="s">
        <v>6042</v>
      </c>
      <c r="D212" s="42" t="s">
        <v>5814</v>
      </c>
      <c r="E212" s="45">
        <v>46128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6043</v>
      </c>
      <c r="C213" s="25" t="s">
        <v>6044</v>
      </c>
      <c r="D213" s="23" t="s">
        <v>5814</v>
      </c>
      <c r="E213" s="45">
        <v>46128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6045</v>
      </c>
      <c r="C214" s="44" t="s">
        <v>6046</v>
      </c>
      <c r="D214" s="42" t="s">
        <v>5814</v>
      </c>
      <c r="E214" s="45">
        <v>46128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6047</v>
      </c>
      <c r="C215" s="25" t="s">
        <v>6048</v>
      </c>
      <c r="D215" s="23" t="s">
        <v>5814</v>
      </c>
      <c r="E215" s="45">
        <v>46128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6049</v>
      </c>
      <c r="C216" s="44" t="s">
        <v>6050</v>
      </c>
      <c r="D216" s="42" t="s">
        <v>5814</v>
      </c>
      <c r="E216" s="45">
        <v>46128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6051</v>
      </c>
      <c r="C217" s="25" t="s">
        <v>6052</v>
      </c>
      <c r="D217" s="23" t="s">
        <v>5814</v>
      </c>
      <c r="E217" s="45">
        <v>46128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6053</v>
      </c>
      <c r="C218" s="44" t="s">
        <v>6054</v>
      </c>
      <c r="D218" s="42" t="s">
        <v>5814</v>
      </c>
      <c r="E218" s="45">
        <v>46128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6055</v>
      </c>
      <c r="C219" s="25" t="s">
        <v>6056</v>
      </c>
      <c r="D219" s="23" t="s">
        <v>5814</v>
      </c>
      <c r="E219" s="45">
        <v>46128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6057</v>
      </c>
      <c r="C220" s="44" t="s">
        <v>6058</v>
      </c>
      <c r="D220" s="42" t="s">
        <v>5814</v>
      </c>
      <c r="E220" s="45">
        <v>46128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6059</v>
      </c>
      <c r="C221" s="25" t="s">
        <v>6060</v>
      </c>
      <c r="D221" s="23" t="s">
        <v>5814</v>
      </c>
      <c r="E221" s="45">
        <v>46128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6061</v>
      </c>
      <c r="C222" s="44" t="s">
        <v>6062</v>
      </c>
      <c r="D222" s="42" t="s">
        <v>5814</v>
      </c>
      <c r="E222" s="45">
        <v>46128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6063</v>
      </c>
      <c r="C223" s="25" t="s">
        <v>6064</v>
      </c>
      <c r="D223" s="23" t="s">
        <v>5814</v>
      </c>
      <c r="E223" s="45">
        <v>46128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6065</v>
      </c>
      <c r="C224" s="44" t="s">
        <v>6066</v>
      </c>
      <c r="D224" s="42" t="s">
        <v>5814</v>
      </c>
      <c r="E224" s="45">
        <v>46128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6067</v>
      </c>
      <c r="C225" s="25" t="s">
        <v>6068</v>
      </c>
      <c r="D225" s="23" t="s">
        <v>5814</v>
      </c>
      <c r="E225" s="45">
        <v>46128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6069</v>
      </c>
      <c r="C226" s="44" t="s">
        <v>6070</v>
      </c>
      <c r="D226" s="42" t="s">
        <v>5814</v>
      </c>
      <c r="E226" s="45">
        <v>46128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6071</v>
      </c>
      <c r="C227" s="25" t="s">
        <v>6072</v>
      </c>
      <c r="D227" s="23" t="s">
        <v>5814</v>
      </c>
      <c r="E227" s="45">
        <v>46128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6073</v>
      </c>
      <c r="C228" s="44" t="s">
        <v>6074</v>
      </c>
      <c r="D228" s="42" t="s">
        <v>5814</v>
      </c>
      <c r="E228" s="45">
        <v>46128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6075</v>
      </c>
      <c r="C229" s="25" t="s">
        <v>6076</v>
      </c>
      <c r="D229" s="23" t="s">
        <v>5814</v>
      </c>
      <c r="E229" s="45">
        <v>46128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6077</v>
      </c>
      <c r="C230" s="44" t="s">
        <v>6078</v>
      </c>
      <c r="D230" s="42" t="s">
        <v>5814</v>
      </c>
      <c r="E230" s="45">
        <v>46128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6079</v>
      </c>
      <c r="C231" s="25" t="s">
        <v>6080</v>
      </c>
      <c r="D231" s="23" t="s">
        <v>5814</v>
      </c>
      <c r="E231" s="45">
        <v>46128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6081</v>
      </c>
      <c r="C232" s="44" t="s">
        <v>6082</v>
      </c>
      <c r="D232" s="42" t="s">
        <v>5814</v>
      </c>
      <c r="E232" s="45">
        <v>46128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6083</v>
      </c>
      <c r="C233" s="25" t="s">
        <v>6084</v>
      </c>
      <c r="D233" s="23" t="s">
        <v>5814</v>
      </c>
      <c r="E233" s="45">
        <v>46128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6085</v>
      </c>
      <c r="C234" s="44" t="s">
        <v>6086</v>
      </c>
      <c r="D234" s="42" t="s">
        <v>5814</v>
      </c>
      <c r="E234" s="45">
        <v>46128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6087</v>
      </c>
      <c r="C235" s="25" t="s">
        <v>6088</v>
      </c>
      <c r="D235" s="23" t="s">
        <v>5814</v>
      </c>
      <c r="E235" s="45">
        <v>46128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6089</v>
      </c>
      <c r="C236" s="44" t="s">
        <v>6090</v>
      </c>
      <c r="D236" s="42" t="s">
        <v>5814</v>
      </c>
      <c r="E236" s="45">
        <v>46128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6091</v>
      </c>
      <c r="C237" s="25" t="s">
        <v>6092</v>
      </c>
      <c r="D237" s="23" t="s">
        <v>5814</v>
      </c>
      <c r="E237" s="45">
        <v>46128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6093</v>
      </c>
      <c r="C238" s="44" t="s">
        <v>6094</v>
      </c>
      <c r="D238" s="42" t="s">
        <v>5814</v>
      </c>
      <c r="E238" s="45">
        <v>46128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6095</v>
      </c>
      <c r="C239" s="25" t="s">
        <v>6096</v>
      </c>
      <c r="D239" s="23" t="s">
        <v>5814</v>
      </c>
      <c r="E239" s="45">
        <v>46128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6097</v>
      </c>
      <c r="C240" s="44" t="s">
        <v>6098</v>
      </c>
      <c r="D240" s="42" t="s">
        <v>5814</v>
      </c>
      <c r="E240" s="45">
        <v>46128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6099</v>
      </c>
      <c r="C241" s="25" t="s">
        <v>6100</v>
      </c>
      <c r="D241" s="23" t="s">
        <v>5814</v>
      </c>
      <c r="E241" s="45">
        <v>46128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6101</v>
      </c>
      <c r="C242" s="44" t="s">
        <v>6102</v>
      </c>
      <c r="D242" s="42" t="s">
        <v>5814</v>
      </c>
      <c r="E242" s="45">
        <v>46128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6103</v>
      </c>
      <c r="C243" s="25" t="s">
        <v>6104</v>
      </c>
      <c r="D243" s="23" t="s">
        <v>5814</v>
      </c>
      <c r="E243" s="45">
        <v>46128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6105</v>
      </c>
      <c r="C244" s="44" t="s">
        <v>6106</v>
      </c>
      <c r="D244" s="42" t="s">
        <v>5814</v>
      </c>
      <c r="E244" s="45">
        <v>46128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6107</v>
      </c>
      <c r="C245" s="25" t="s">
        <v>6108</v>
      </c>
      <c r="D245" s="23" t="s">
        <v>5814</v>
      </c>
      <c r="E245" s="45">
        <v>46128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6109</v>
      </c>
      <c r="C246" s="44" t="s">
        <v>6110</v>
      </c>
      <c r="D246" s="42" t="s">
        <v>5814</v>
      </c>
      <c r="E246" s="45">
        <v>46128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6111</v>
      </c>
      <c r="C247" s="25" t="s">
        <v>6112</v>
      </c>
      <c r="D247" s="23" t="s">
        <v>5814</v>
      </c>
      <c r="E247" s="45">
        <v>46128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6113</v>
      </c>
      <c r="C248" s="44" t="s">
        <v>6114</v>
      </c>
      <c r="D248" s="42" t="s">
        <v>5814</v>
      </c>
      <c r="E248" s="45">
        <v>46128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6115</v>
      </c>
      <c r="C249" s="25" t="s">
        <v>6116</v>
      </c>
      <c r="D249" s="23" t="s">
        <v>5814</v>
      </c>
      <c r="E249" s="45">
        <v>46128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6117</v>
      </c>
      <c r="C250" s="44" t="s">
        <v>6118</v>
      </c>
      <c r="D250" s="42" t="s">
        <v>5814</v>
      </c>
      <c r="E250" s="45">
        <v>46128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6119</v>
      </c>
      <c r="C251" s="25" t="s">
        <v>6120</v>
      </c>
      <c r="D251" s="23" t="s">
        <v>5814</v>
      </c>
      <c r="E251" s="45">
        <v>46128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6121</v>
      </c>
      <c r="C252" s="44" t="s">
        <v>6122</v>
      </c>
      <c r="D252" s="42" t="s">
        <v>5814</v>
      </c>
      <c r="E252" s="45">
        <v>46128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6123</v>
      </c>
      <c r="C253" s="25" t="s">
        <v>6124</v>
      </c>
      <c r="D253" s="23" t="s">
        <v>5814</v>
      </c>
      <c r="E253" s="45">
        <v>46128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6125</v>
      </c>
      <c r="C254" s="44" t="s">
        <v>6126</v>
      </c>
      <c r="D254" s="42" t="s">
        <v>5814</v>
      </c>
      <c r="E254" s="45">
        <v>46128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6127</v>
      </c>
      <c r="C255" s="25" t="s">
        <v>6128</v>
      </c>
      <c r="D255" s="23" t="s">
        <v>5814</v>
      </c>
      <c r="E255" s="45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6129</v>
      </c>
      <c r="C256" s="44" t="s">
        <v>6130</v>
      </c>
      <c r="D256" s="42" t="s">
        <v>5814</v>
      </c>
      <c r="E256" s="45">
        <v>46128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6131</v>
      </c>
      <c r="C257" s="25" t="s">
        <v>6132</v>
      </c>
      <c r="D257" s="23" t="s">
        <v>5814</v>
      </c>
      <c r="E257" s="45">
        <v>46128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6133</v>
      </c>
      <c r="C258" s="44" t="s">
        <v>6134</v>
      </c>
      <c r="D258" s="42" t="s">
        <v>5814</v>
      </c>
      <c r="E258" s="45">
        <v>46128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6135</v>
      </c>
      <c r="C259" s="25" t="s">
        <v>6136</v>
      </c>
      <c r="D259" s="23" t="s">
        <v>5814</v>
      </c>
      <c r="E259" s="45">
        <v>46128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6137</v>
      </c>
      <c r="C260" s="44" t="s">
        <v>6138</v>
      </c>
      <c r="D260" s="42" t="s">
        <v>5814</v>
      </c>
      <c r="E260" s="45">
        <v>46128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6139</v>
      </c>
      <c r="C261" s="25" t="s">
        <v>6140</v>
      </c>
      <c r="D261" s="23" t="s">
        <v>5814</v>
      </c>
      <c r="E261" s="45">
        <v>46128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8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6141</v>
      </c>
      <c r="C262" s="44" t="s">
        <v>6142</v>
      </c>
      <c r="D262" s="42" t="s">
        <v>5814</v>
      </c>
      <c r="E262" s="45">
        <v>46128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6143</v>
      </c>
      <c r="C263" s="25" t="s">
        <v>6144</v>
      </c>
      <c r="D263" s="23" t="s">
        <v>5814</v>
      </c>
      <c r="E263" s="45">
        <v>46128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6145</v>
      </c>
      <c r="C264" s="44" t="s">
        <v>6146</v>
      </c>
      <c r="D264" s="42" t="s">
        <v>5814</v>
      </c>
      <c r="E264" s="45">
        <v>46128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6147</v>
      </c>
      <c r="C265" s="25" t="s">
        <v>6148</v>
      </c>
      <c r="D265" s="23" t="s">
        <v>5814</v>
      </c>
      <c r="E265" s="45">
        <v>46128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6149</v>
      </c>
      <c r="C266" s="44" t="s">
        <v>6150</v>
      </c>
      <c r="D266" s="42" t="s">
        <v>5814</v>
      </c>
      <c r="E266" s="45">
        <v>46128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6151</v>
      </c>
      <c r="C267" s="25" t="s">
        <v>6152</v>
      </c>
      <c r="D267" s="23" t="s">
        <v>5814</v>
      </c>
      <c r="E267" s="45">
        <v>46128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6153</v>
      </c>
      <c r="C268" s="44" t="s">
        <v>6154</v>
      </c>
      <c r="D268" s="42" t="s">
        <v>5814</v>
      </c>
      <c r="E268" s="45">
        <v>46128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6155</v>
      </c>
      <c r="C269" s="25" t="s">
        <v>6156</v>
      </c>
      <c r="D269" s="23" t="s">
        <v>5814</v>
      </c>
      <c r="E269" s="45">
        <v>46128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6157</v>
      </c>
      <c r="C270" s="44" t="s">
        <v>6158</v>
      </c>
      <c r="D270" s="42" t="s">
        <v>5814</v>
      </c>
      <c r="E270" s="45">
        <v>46128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6159</v>
      </c>
      <c r="C271" s="25" t="s">
        <v>6160</v>
      </c>
      <c r="D271" s="23" t="s">
        <v>5814</v>
      </c>
      <c r="E271" s="45">
        <v>46128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6161</v>
      </c>
      <c r="C272" s="44" t="s">
        <v>6162</v>
      </c>
      <c r="D272" s="42" t="s">
        <v>5814</v>
      </c>
      <c r="E272" s="45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6163</v>
      </c>
      <c r="C273" s="25" t="s">
        <v>6164</v>
      </c>
      <c r="D273" s="23" t="s">
        <v>5814</v>
      </c>
      <c r="E273" s="45">
        <v>46128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6165</v>
      </c>
      <c r="C274" s="44" t="s">
        <v>6166</v>
      </c>
      <c r="D274" s="42" t="s">
        <v>5814</v>
      </c>
      <c r="E274" s="45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6167</v>
      </c>
      <c r="C275" s="25" t="s">
        <v>6168</v>
      </c>
      <c r="D275" s="23" t="s">
        <v>5814</v>
      </c>
      <c r="E275" s="45">
        <v>46128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6169</v>
      </c>
      <c r="C276" s="44" t="s">
        <v>6170</v>
      </c>
      <c r="D276" s="42" t="s">
        <v>5814</v>
      </c>
      <c r="E276" s="45">
        <v>46128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6171</v>
      </c>
      <c r="C277" s="25" t="s">
        <v>6172</v>
      </c>
      <c r="D277" s="23" t="s">
        <v>5814</v>
      </c>
      <c r="E277" s="45">
        <v>46128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6173</v>
      </c>
      <c r="C278" s="44" t="s">
        <v>6174</v>
      </c>
      <c r="D278" s="42" t="s">
        <v>5814</v>
      </c>
      <c r="E278" s="45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6175</v>
      </c>
      <c r="C279" s="25" t="s">
        <v>6176</v>
      </c>
      <c r="D279" s="23" t="s">
        <v>5814</v>
      </c>
      <c r="E279" s="45">
        <v>46128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6177</v>
      </c>
      <c r="C280" s="44" t="s">
        <v>6178</v>
      </c>
      <c r="D280" s="42" t="s">
        <v>5814</v>
      </c>
      <c r="E280" s="45">
        <v>46128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6179</v>
      </c>
      <c r="C281" s="25" t="s">
        <v>6180</v>
      </c>
      <c r="D281" s="23" t="s">
        <v>5814</v>
      </c>
      <c r="E281" s="45">
        <v>46128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6181</v>
      </c>
      <c r="C282" s="44" t="s">
        <v>6182</v>
      </c>
      <c r="D282" s="42" t="s">
        <v>5814</v>
      </c>
      <c r="E282" s="45">
        <v>46128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6183</v>
      </c>
      <c r="C283" s="25" t="s">
        <v>6184</v>
      </c>
      <c r="D283" s="23" t="s">
        <v>5814</v>
      </c>
      <c r="E283" s="45">
        <v>46128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6185</v>
      </c>
      <c r="C284" s="44" t="s">
        <v>6186</v>
      </c>
      <c r="D284" s="42" t="s">
        <v>5814</v>
      </c>
      <c r="E284" s="45">
        <v>46128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6187</v>
      </c>
      <c r="C285" s="25" t="s">
        <v>6188</v>
      </c>
      <c r="D285" s="23" t="s">
        <v>5814</v>
      </c>
      <c r="E285" s="45">
        <v>46128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6189</v>
      </c>
      <c r="C286" s="44" t="s">
        <v>6190</v>
      </c>
      <c r="D286" s="42" t="s">
        <v>5814</v>
      </c>
      <c r="E286" s="45">
        <v>46128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6191</v>
      </c>
      <c r="C287" s="25" t="s">
        <v>6192</v>
      </c>
      <c r="D287" s="23" t="s">
        <v>5814</v>
      </c>
      <c r="E287" s="45">
        <v>46128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6193</v>
      </c>
      <c r="C288" s="44" t="s">
        <v>6194</v>
      </c>
      <c r="D288" s="42" t="s">
        <v>5814</v>
      </c>
      <c r="E288" s="45">
        <v>46128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6195</v>
      </c>
      <c r="C289" s="25" t="s">
        <v>6196</v>
      </c>
      <c r="D289" s="23" t="s">
        <v>5814</v>
      </c>
      <c r="E289" s="45">
        <v>46128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6197</v>
      </c>
      <c r="C290" s="44" t="s">
        <v>6198</v>
      </c>
      <c r="D290" s="42" t="s">
        <v>5814</v>
      </c>
      <c r="E290" s="45">
        <v>46128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6199</v>
      </c>
      <c r="C291" s="25" t="s">
        <v>6200</v>
      </c>
      <c r="D291" s="23" t="s">
        <v>5814</v>
      </c>
      <c r="E291" s="45">
        <v>46128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6201</v>
      </c>
      <c r="C292" s="44" t="s">
        <v>6202</v>
      </c>
      <c r="D292" s="42" t="s">
        <v>5814</v>
      </c>
      <c r="E292" s="45">
        <v>46128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6203</v>
      </c>
      <c r="C293" s="25" t="s">
        <v>6204</v>
      </c>
      <c r="D293" s="23" t="s">
        <v>6205</v>
      </c>
      <c r="E293" s="45">
        <v>46128</v>
      </c>
      <c r="F293" s="26" t="s">
        <v>55</v>
      </c>
      <c r="G293" s="26" t="s">
        <v>57</v>
      </c>
      <c r="H293" s="26" t="s">
        <v>57</v>
      </c>
      <c r="I293" s="26" t="s">
        <v>88</v>
      </c>
      <c r="J293" s="26" t="s">
        <v>57</v>
      </c>
      <c r="K293" s="27" t="s">
        <v>89</v>
      </c>
      <c r="L293" s="28" t="s">
        <v>56</v>
      </c>
      <c r="M293" s="29" t="str">
        <f t="shared" si="20"/>
        <v>⚠ Missing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6206</v>
      </c>
      <c r="C294" s="44" t="s">
        <v>6207</v>
      </c>
      <c r="D294" s="42" t="s">
        <v>6205</v>
      </c>
      <c r="E294" s="45">
        <v>46128</v>
      </c>
      <c r="F294" s="26" t="s">
        <v>55</v>
      </c>
      <c r="G294" s="26" t="s">
        <v>57</v>
      </c>
      <c r="H294" s="26" t="s">
        <v>57</v>
      </c>
      <c r="I294" s="26" t="s">
        <v>88</v>
      </c>
      <c r="J294" s="26" t="s">
        <v>57</v>
      </c>
      <c r="K294" s="27" t="s">
        <v>89</v>
      </c>
      <c r="L294" s="28" t="s">
        <v>56</v>
      </c>
      <c r="M294" s="29" t="str">
        <f t="shared" si="20"/>
        <v>⚠ Missing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6208</v>
      </c>
      <c r="C295" s="25" t="s">
        <v>6209</v>
      </c>
      <c r="D295" s="23" t="s">
        <v>6205</v>
      </c>
      <c r="E295" s="45">
        <v>46128</v>
      </c>
      <c r="F295" s="26" t="s">
        <v>55</v>
      </c>
      <c r="G295" s="26" t="s">
        <v>57</v>
      </c>
      <c r="H295" s="26" t="s">
        <v>57</v>
      </c>
      <c r="I295" s="26" t="s">
        <v>88</v>
      </c>
      <c r="J295" s="26" t="s">
        <v>57</v>
      </c>
      <c r="K295" s="27" t="s">
        <v>89</v>
      </c>
      <c r="L295" s="28" t="s">
        <v>56</v>
      </c>
      <c r="M295" s="29" t="str">
        <f t="shared" si="20"/>
        <v>⚠ Missing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6210</v>
      </c>
      <c r="C296" s="44" t="s">
        <v>6211</v>
      </c>
      <c r="D296" s="42" t="s">
        <v>6205</v>
      </c>
      <c r="E296" s="45">
        <v>46128</v>
      </c>
      <c r="F296" s="26" t="s">
        <v>55</v>
      </c>
      <c r="G296" s="26" t="s">
        <v>57</v>
      </c>
      <c r="H296" s="26" t="s">
        <v>57</v>
      </c>
      <c r="I296" s="26" t="s">
        <v>88</v>
      </c>
      <c r="J296" s="26" t="s">
        <v>57</v>
      </c>
      <c r="K296" s="27" t="s">
        <v>89</v>
      </c>
      <c r="L296" s="28" t="s">
        <v>56</v>
      </c>
      <c r="M296" s="29" t="str">
        <f t="shared" si="20"/>
        <v>⚠ Missing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6212</v>
      </c>
      <c r="C297" s="25" t="s">
        <v>6213</v>
      </c>
      <c r="D297" s="23" t="s">
        <v>6205</v>
      </c>
      <c r="E297" s="45">
        <v>46128</v>
      </c>
      <c r="F297" s="26" t="s">
        <v>55</v>
      </c>
      <c r="G297" s="26" t="s">
        <v>57</v>
      </c>
      <c r="H297" s="26" t="s">
        <v>57</v>
      </c>
      <c r="I297" s="26" t="s">
        <v>88</v>
      </c>
      <c r="J297" s="26" t="s">
        <v>57</v>
      </c>
      <c r="K297" s="27" t="s">
        <v>89</v>
      </c>
      <c r="L297" s="28" t="s">
        <v>56</v>
      </c>
      <c r="M297" s="29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6214</v>
      </c>
      <c r="C298" s="44" t="s">
        <v>6215</v>
      </c>
      <c r="D298" s="42" t="s">
        <v>6205</v>
      </c>
      <c r="E298" s="45">
        <v>46128</v>
      </c>
      <c r="F298" s="26" t="s">
        <v>55</v>
      </c>
      <c r="G298" s="26" t="s">
        <v>57</v>
      </c>
      <c r="H298" s="26" t="s">
        <v>57</v>
      </c>
      <c r="I298" s="26" t="s">
        <v>88</v>
      </c>
      <c r="J298" s="26" t="s">
        <v>57</v>
      </c>
      <c r="K298" s="27" t="s">
        <v>89</v>
      </c>
      <c r="L298" s="28" t="s">
        <v>56</v>
      </c>
      <c r="M298" s="29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8">
    <cfRule type="expression" dxfId="45" priority="46">
      <formula>MOD(ROW(),2)=0</formula>
    </cfRule>
  </conditionalFormatting>
  <conditionalFormatting sqref="G5:G298">
    <cfRule type="expression" dxfId="44" priority="6">
      <formula>G5="No"</formula>
    </cfRule>
    <cfRule type="expression" dxfId="43" priority="5">
      <formula>G5="Yes"</formula>
    </cfRule>
  </conditionalFormatting>
  <conditionalFormatting sqref="H5:H298">
    <cfRule type="expression" dxfId="42" priority="7">
      <formula>H5="Yes"</formula>
    </cfRule>
  </conditionalFormatting>
  <conditionalFormatting sqref="J5:J298">
    <cfRule type="expression" dxfId="41" priority="8">
      <formula>J5="Yes"</formula>
    </cfRule>
    <cfRule type="expression" dxfId="40" priority="9">
      <formula>J5="No"</formula>
    </cfRule>
  </conditionalFormatting>
  <conditionalFormatting sqref="M5:M298">
    <cfRule type="expression" dxfId="39" priority="2">
      <formula>M5="❌ Disc"</formula>
    </cfRule>
    <cfRule type="expression" dxfId="38" priority="3">
      <formula>M5="⚠ Missing"</formula>
    </cfRule>
    <cfRule type="expression" dxfId="37" priority="4">
      <formula>M5="⚠ Check"</formula>
    </cfRule>
    <cfRule type="expression" dxfId="36" priority="1">
      <formula>M5="✓ OK"</formula>
    </cfRule>
  </conditionalFormatting>
  <conditionalFormatting sqref="P5:P298">
    <cfRule type="expression" dxfId="35" priority="14">
      <formula>P5="Yes"</formula>
    </cfRule>
    <cfRule type="expression" dxfId="34" priority="15">
      <formula>P5="No"</formula>
    </cfRule>
  </conditionalFormatting>
  <conditionalFormatting sqref="Q5:Q298">
    <cfRule type="expression" dxfId="33" priority="16">
      <formula>Q5="Yes"</formula>
    </cfRule>
  </conditionalFormatting>
  <conditionalFormatting sqref="S5:S298">
    <cfRule type="expression" dxfId="32" priority="17">
      <formula>S5="Yes"</formula>
    </cfRule>
    <cfRule type="expression" dxfId="31" priority="18">
      <formula>S5="No"</formula>
    </cfRule>
  </conditionalFormatting>
  <conditionalFormatting sqref="V5:V298">
    <cfRule type="expression" dxfId="30" priority="10">
      <formula>V5="✓ OK"</formula>
    </cfRule>
    <cfRule type="expression" dxfId="29" priority="11">
      <formula>V5="❌ Disc"</formula>
    </cfRule>
    <cfRule type="expression" dxfId="28" priority="12">
      <formula>V5="⚠ Missing"</formula>
    </cfRule>
    <cfRule type="expression" dxfId="27" priority="13">
      <formula>V5="⚠ Check"</formula>
    </cfRule>
  </conditionalFormatting>
  <conditionalFormatting sqref="Y5:Y298">
    <cfRule type="expression" dxfId="26" priority="24">
      <formula>Y5="No"</formula>
    </cfRule>
    <cfRule type="expression" dxfId="25" priority="23">
      <formula>Y5="Yes"</formula>
    </cfRule>
  </conditionalFormatting>
  <conditionalFormatting sqref="Z5:Z298">
    <cfRule type="expression" dxfId="24" priority="25">
      <formula>Z5="Yes"</formula>
    </cfRule>
  </conditionalFormatting>
  <conditionalFormatting sqref="AB5:AB298">
    <cfRule type="expression" dxfId="23" priority="26">
      <formula>AB5="Yes"</formula>
    </cfRule>
    <cfRule type="expression" dxfId="22" priority="27">
      <formula>AB5="No"</formula>
    </cfRule>
  </conditionalFormatting>
  <conditionalFormatting sqref="AE5:AE298">
    <cfRule type="expression" dxfId="21" priority="20">
      <formula>AE5="❌ Disc"</formula>
    </cfRule>
    <cfRule type="expression" dxfId="20" priority="21">
      <formula>AE5="⚠ Missing"</formula>
    </cfRule>
    <cfRule type="expression" dxfId="19" priority="22">
      <formula>AE5="⚠ Check"</formula>
    </cfRule>
    <cfRule type="expression" dxfId="18" priority="19">
      <formula>AE5="✓ OK"</formula>
    </cfRule>
  </conditionalFormatting>
  <conditionalFormatting sqref="AH5:AH298">
    <cfRule type="expression" dxfId="17" priority="32">
      <formula>AH5="Yes"</formula>
    </cfRule>
    <cfRule type="expression" dxfId="16" priority="33">
      <formula>AH5="No"</formula>
    </cfRule>
  </conditionalFormatting>
  <conditionalFormatting sqref="AI5:AI298">
    <cfRule type="expression" dxfId="15" priority="34">
      <formula>AI5="Yes"</formula>
    </cfRule>
  </conditionalFormatting>
  <conditionalFormatting sqref="AK5:AK298">
    <cfRule type="expression" dxfId="14" priority="35">
      <formula>AK5="Yes"</formula>
    </cfRule>
    <cfRule type="expression" dxfId="13" priority="36">
      <formula>AK5="No"</formula>
    </cfRule>
  </conditionalFormatting>
  <conditionalFormatting sqref="AN5:AN298">
    <cfRule type="expression" dxfId="12" priority="29">
      <formula>AN5="❌ Disc"</formula>
    </cfRule>
    <cfRule type="expression" dxfId="11" priority="30">
      <formula>AN5="⚠ Missing"</formula>
    </cfRule>
    <cfRule type="expression" dxfId="10" priority="31">
      <formula>AN5="⚠ Check"</formula>
    </cfRule>
    <cfRule type="expression" dxfId="9" priority="28">
      <formula>AN5="✓ OK"</formula>
    </cfRule>
  </conditionalFormatting>
  <conditionalFormatting sqref="AQ5:AQ298">
    <cfRule type="expression" dxfId="8" priority="42">
      <formula>AQ5="No"</formula>
    </cfRule>
    <cfRule type="expression" dxfId="7" priority="41">
      <formula>AQ5="Yes"</formula>
    </cfRule>
  </conditionalFormatting>
  <conditionalFormatting sqref="AR5:AR298">
    <cfRule type="expression" dxfId="6" priority="43">
      <formula>AR5="Yes"</formula>
    </cfRule>
  </conditionalFormatting>
  <conditionalFormatting sqref="AT5:AT298">
    <cfRule type="expression" dxfId="5" priority="44">
      <formula>AT5="Yes"</formula>
    </cfRule>
    <cfRule type="expression" dxfId="4" priority="45">
      <formula>AT5="No"</formula>
    </cfRule>
  </conditionalFormatting>
  <conditionalFormatting sqref="AW5:AW298">
    <cfRule type="expression" dxfId="3" priority="37">
      <formula>AW5="✓ OK"</formula>
    </cfRule>
    <cfRule type="expression" dxfId="2" priority="38">
      <formula>AW5="❌ Disc"</formula>
    </cfRule>
    <cfRule type="expression" dxfId="1" priority="39">
      <formula>AW5="⚠ Missing"</formula>
    </cfRule>
    <cfRule type="expression" dxfId="0" priority="40">
      <formula>AW5="⚠ Check"</formula>
    </cfRule>
  </conditionalFormatting>
  <dataValidations count="2">
    <dataValidation type="list" allowBlank="1" sqref="AT5:AT298 AQ5:AR298 AK5:AK298 AH5:AI298 AB5:AB298 Y5:Z298 S5:S298 P5:Q298 G5:H298 J5:J298" xr:uid="{00000000-0002-0000-0C00-000000000000}">
      <formula1>"Yes,No"</formula1>
    </dataValidation>
    <dataValidation type="list" allowBlank="1" sqref="R5:R298 AS5:AS298 AJ5:AJ298 AA5:AA298 I5:I298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2026-04-11T04:39:28Z</dcterms:created>
  <dcterms:modified xsi:type="dcterms:W3CDTF">2026-04-24T10:57:01Z</dcterms:modified>
  <cp:category/>
  <cp:contentStatus/>
</cp:coreProperties>
</file>