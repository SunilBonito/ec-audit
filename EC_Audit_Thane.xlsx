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67" documentId="11_9F98401F37E8C5B6EE4CF452E114DE9113D3FB0C" xr6:coauthVersionLast="47" xr6:coauthVersionMax="47" xr10:uidLastSave="{007E891C-D8BE-4B9B-AF74-03F5D37602E0}"/>
  <bookViews>
    <workbookView xWindow="-108" yWindow="-108" windowWidth="23256" windowHeight="12456" tabRatio="840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Legs'!$A$4:$AW$4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Membrane'!$A$4:$AW$4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16" i="12" l="1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L16" i="1" s="1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I16" i="1" s="1"/>
  <c r="M8" i="12"/>
  <c r="AW7" i="12"/>
  <c r="AN7" i="12"/>
  <c r="AE7" i="12"/>
  <c r="V7" i="12"/>
  <c r="M7" i="12"/>
  <c r="AW6" i="12"/>
  <c r="AN6" i="12"/>
  <c r="Q16" i="1" s="1"/>
  <c r="AE6" i="12"/>
  <c r="V6" i="12"/>
  <c r="M6" i="12"/>
  <c r="AW5" i="12"/>
  <c r="AN5" i="12"/>
  <c r="AE5" i="12"/>
  <c r="V5" i="12"/>
  <c r="M5" i="12"/>
  <c r="E16" i="1" s="1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M15" i="1" s="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M14" i="1" s="1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M13" i="1" s="1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M12" i="1" s="1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D12" i="1" s="1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L10" i="1" s="1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U9" i="1" s="1"/>
  <c r="AN10" i="5"/>
  <c r="AE10" i="5"/>
  <c r="V10" i="5"/>
  <c r="M10" i="5"/>
  <c r="AW9" i="5"/>
  <c r="AN9" i="5"/>
  <c r="AE9" i="5"/>
  <c r="V9" i="5"/>
  <c r="I9" i="1" s="1"/>
  <c r="M9" i="5"/>
  <c r="AW8" i="5"/>
  <c r="AN8" i="5"/>
  <c r="AE8" i="5"/>
  <c r="V8" i="5"/>
  <c r="M8" i="5"/>
  <c r="AW7" i="5"/>
  <c r="AN7" i="5"/>
  <c r="Q9" i="1" s="1"/>
  <c r="AE7" i="5"/>
  <c r="V7" i="5"/>
  <c r="M7" i="5"/>
  <c r="AW6" i="5"/>
  <c r="AN6" i="5"/>
  <c r="AE6" i="5"/>
  <c r="V6" i="5"/>
  <c r="M6" i="5"/>
  <c r="E9" i="1" s="1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M7" i="1" s="1"/>
  <c r="V12" i="3"/>
  <c r="M12" i="3"/>
  <c r="AW11" i="3"/>
  <c r="AN11" i="3"/>
  <c r="AE11" i="3"/>
  <c r="V11" i="3"/>
  <c r="M11" i="3"/>
  <c r="AW10" i="3"/>
  <c r="U7" i="1" s="1"/>
  <c r="AN10" i="3"/>
  <c r="AE10" i="3"/>
  <c r="V10" i="3"/>
  <c r="M10" i="3"/>
  <c r="AW9" i="3"/>
  <c r="AN9" i="3"/>
  <c r="AE9" i="3"/>
  <c r="V9" i="3"/>
  <c r="H7" i="1" s="1"/>
  <c r="M9" i="3"/>
  <c r="AW8" i="3"/>
  <c r="AN8" i="3"/>
  <c r="AE8" i="3"/>
  <c r="V8" i="3"/>
  <c r="M8" i="3"/>
  <c r="AW7" i="3"/>
  <c r="AN7" i="3"/>
  <c r="Q7" i="1" s="1"/>
  <c r="AE7" i="3"/>
  <c r="V7" i="3"/>
  <c r="M7" i="3"/>
  <c r="AW6" i="3"/>
  <c r="AN6" i="3"/>
  <c r="AE6" i="3"/>
  <c r="V6" i="3"/>
  <c r="M6" i="3"/>
  <c r="E7" i="1" s="1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T6" i="1" s="1"/>
  <c r="AN6" i="2"/>
  <c r="AE6" i="2"/>
  <c r="V6" i="2"/>
  <c r="M6" i="2"/>
  <c r="AW5" i="2"/>
  <c r="AN5" i="2"/>
  <c r="AE5" i="2"/>
  <c r="V5" i="2"/>
  <c r="I6" i="1" s="1"/>
  <c r="M5" i="2"/>
  <c r="V17" i="1"/>
  <c r="R17" i="1"/>
  <c r="N17" i="1"/>
  <c r="J17" i="1"/>
  <c r="F17" i="1"/>
  <c r="V16" i="1"/>
  <c r="T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J12" i="1"/>
  <c r="I12" i="1"/>
  <c r="H12" i="1"/>
  <c r="F12" i="1"/>
  <c r="E12" i="1"/>
  <c r="V11" i="1"/>
  <c r="R11" i="1"/>
  <c r="N11" i="1"/>
  <c r="J11" i="1"/>
  <c r="F11" i="1"/>
  <c r="V10" i="1"/>
  <c r="U10" i="1"/>
  <c r="T10" i="1"/>
  <c r="R10" i="1"/>
  <c r="Q10" i="1"/>
  <c r="P10" i="1"/>
  <c r="N10" i="1"/>
  <c r="J10" i="1"/>
  <c r="I10" i="1"/>
  <c r="H10" i="1"/>
  <c r="F10" i="1"/>
  <c r="E10" i="1"/>
  <c r="D10" i="1"/>
  <c r="V9" i="1"/>
  <c r="R9" i="1"/>
  <c r="N9" i="1"/>
  <c r="J9" i="1"/>
  <c r="F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R7" i="1"/>
  <c r="N7" i="1"/>
  <c r="J7" i="1"/>
  <c r="F7" i="1"/>
  <c r="V6" i="1"/>
  <c r="R6" i="1"/>
  <c r="N6" i="1"/>
  <c r="J6" i="1"/>
  <c r="F6" i="1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H16" i="1" l="1"/>
  <c r="U16" i="1"/>
  <c r="M16" i="1"/>
  <c r="D16" i="1"/>
  <c r="P16" i="1"/>
  <c r="L15" i="1"/>
  <c r="L14" i="1"/>
  <c r="L13" i="1"/>
  <c r="L12" i="1"/>
  <c r="I11" i="1"/>
  <c r="U11" i="1"/>
  <c r="E11" i="1"/>
  <c r="Q11" i="1"/>
  <c r="D11" i="1"/>
  <c r="P11" i="1"/>
  <c r="M11" i="1"/>
  <c r="H11" i="1"/>
  <c r="T11" i="1"/>
  <c r="L11" i="1"/>
  <c r="M10" i="1"/>
  <c r="L9" i="1"/>
  <c r="M9" i="1"/>
  <c r="D9" i="1"/>
  <c r="P9" i="1"/>
  <c r="H9" i="1"/>
  <c r="T9" i="1"/>
  <c r="I7" i="1"/>
  <c r="T7" i="1"/>
  <c r="L7" i="1"/>
  <c r="P7" i="1"/>
  <c r="D7" i="1"/>
  <c r="Q6" i="1"/>
  <c r="U6" i="1"/>
  <c r="E6" i="1"/>
  <c r="L6" i="1"/>
  <c r="H6" i="1"/>
  <c r="M6" i="1"/>
  <c r="D6" i="1"/>
  <c r="P6" i="1"/>
  <c r="E17" i="1"/>
  <c r="D17" i="1"/>
  <c r="I17" i="1"/>
  <c r="H17" i="1"/>
  <c r="M17" i="1"/>
  <c r="L17" i="1"/>
  <c r="Q17" i="1"/>
  <c r="P17" i="1"/>
  <c r="U17" i="1"/>
  <c r="T17" i="1"/>
</calcChain>
</file>

<file path=xl/sharedStrings.xml><?xml version="1.0" encoding="utf-8"?>
<sst xmlns="http://schemas.openxmlformats.org/spreadsheetml/2006/main" count="65333" uniqueCount="6222">
  <si>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</si>
  <si>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</si>
  <si>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</si>
  <si>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</si>
  <si>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</si>
  <si>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</si>
  <si>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</si>
  <si>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</si>
  <si>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</si>
  <si>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</si>
  <si>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</si>
  <si>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</si>
  <si>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</si>
  <si>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</si>
  <si>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</si>
  <si>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</si>
  <si>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</si>
  <si>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</si>
  <si>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</si>
  <si>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</si>
  <si>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</si>
  <si>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</si>
  <si>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</si>
  <si>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</si>
  <si>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</si>
  <si>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</si>
  <si>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</si>
  <si>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</si>
  <si>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</si>
  <si>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</si>
  <si>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</si>
  <si>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</si>
  <si>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</si>
  <si>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</si>
  <si>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</si>
  <si>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</si>
  <si>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</si>
  <si>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</si>
  <si>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</si>
  <si>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</si>
  <si>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</si>
  <si>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</si>
  <si>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</si>
  <si>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</si>
  <si>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</si>
  <si>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</si>
  <si>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</si>
  <si>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</si>
  <si>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</si>
  <si>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</si>
  <si>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</si>
  <si>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</si>
  <si>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</si>
  <si>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</si>
  <si>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</si>
  <si>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</si>
  <si>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</si>
  <si>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</si>
  <si>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</si>
  <si>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</si>
  <si>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Sunil CR</t>
  </si>
  <si>
    <t>Discontinued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</si>
  <si>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</si>
  <si>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</si>
  <si>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</si>
  <si>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</si>
  <si>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</si>
  <si>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</si>
  <si>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</si>
  <si>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</si>
  <si>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</si>
  <si>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</si>
  <si>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</si>
  <si>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</si>
  <si>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</si>
  <si>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</si>
  <si>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</si>
  <si>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</si>
  <si>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</si>
  <si>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</si>
  <si>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</si>
  <si>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</si>
  <si>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</si>
  <si>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</si>
  <si>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</si>
  <si>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</si>
  <si>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</si>
  <si>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</si>
  <si>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</si>
  <si>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</si>
  <si>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</si>
  <si>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</si>
  <si>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</si>
  <si>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</si>
  <si>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</si>
  <si>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</si>
  <si>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</si>
  <si>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</si>
  <si>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</si>
  <si>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</si>
  <si>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</si>
  <si>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</si>
  <si>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</si>
  <si>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</si>
  <si>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</si>
  <si>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</si>
  <si>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</si>
  <si>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</si>
  <si>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</si>
  <si>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</si>
  <si>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</si>
  <si>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</si>
  <si>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</si>
  <si>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</si>
  <si>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</si>
  <si>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</si>
  <si>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</si>
  <si>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</si>
  <si>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</si>
  <si>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</si>
  <si>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</si>
  <si>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</si>
  <si>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</si>
  <si>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</si>
  <si>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</si>
  <si>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</si>
  <si>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</si>
  <si>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</si>
  <si>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</si>
  <si>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</si>
  <si>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</si>
  <si>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</si>
  <si>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</si>
  <si>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</si>
  <si>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</si>
  <si>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</si>
  <si>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</si>
  <si>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</si>
  <si>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</si>
  <si>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</si>
  <si>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</si>
  <si>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</si>
  <si>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</si>
  <si>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</si>
  <si>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</si>
  <si>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</si>
  <si>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</si>
  <si>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</si>
  <si>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</si>
  <si>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</si>
  <si>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</si>
  <si>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</si>
  <si>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</si>
  <si>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</si>
  <si>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</si>
  <si>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</si>
  <si>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</si>
  <si>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</si>
  <si>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</si>
  <si>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</si>
  <si>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</si>
  <si>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</si>
  <si>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</si>
  <si>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</si>
  <si>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</si>
  <si>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</si>
  <si>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</si>
  <si>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</si>
  <si>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</si>
  <si>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</si>
  <si>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</si>
  <si>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</si>
  <si>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</si>
  <si>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</si>
  <si>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</si>
  <si>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</si>
  <si>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</si>
  <si>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</si>
  <si>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</si>
  <si>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</si>
  <si>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</si>
  <si>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</si>
  <si>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</si>
  <si>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</si>
  <si>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</si>
  <si>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</si>
  <si>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</si>
  <si>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</si>
  <si>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</si>
  <si>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</si>
  <si>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</si>
  <si>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</si>
  <si>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</si>
  <si>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</si>
  <si>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</si>
  <si>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</si>
  <si>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</si>
  <si>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</si>
  <si>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</si>
  <si>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</si>
  <si>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</si>
  <si>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</si>
  <si>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</si>
  <si>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</si>
  <si>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</si>
  <si>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</si>
  <si>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</si>
  <si>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</si>
  <si>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</si>
  <si>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</si>
  <si>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</si>
  <si>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</si>
  <si>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</si>
  <si>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</si>
  <si>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</si>
  <si>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</si>
  <si>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</si>
  <si>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</si>
  <si>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</si>
  <si>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</si>
  <si>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</si>
  <si>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</si>
  <si>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</si>
  <si>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</si>
  <si>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</si>
  <si>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</si>
  <si>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</si>
  <si>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</si>
  <si>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</si>
  <si>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</si>
  <si>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</si>
  <si>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</si>
  <si>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</si>
  <si>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</si>
  <si>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</si>
  <si>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</si>
  <si>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</si>
  <si>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</si>
  <si>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</si>
  <si>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</si>
  <si>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</si>
  <si>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</si>
  <si>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</si>
  <si>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</si>
  <si>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</si>
  <si>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</si>
  <si>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</si>
  <si>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</si>
  <si>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</si>
  <si>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</si>
  <si>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</si>
  <si>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</si>
  <si>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</si>
  <si>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</si>
  <si>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</si>
  <si>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</si>
  <si>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</si>
  <si>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</si>
  <si>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</si>
  <si>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</si>
  <si>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</si>
  <si>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</si>
  <si>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</si>
  <si>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</si>
  <si>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</si>
  <si>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</si>
  <si>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</si>
  <si>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</si>
  <si>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</si>
  <si>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</si>
  <si>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</si>
  <si>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</si>
  <si>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</si>
  <si>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</si>
  <si>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</si>
  <si>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</si>
  <si>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</si>
  <si>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</si>
  <si>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</si>
  <si>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</si>
  <si>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</si>
  <si>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</si>
  <si>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</si>
  <si>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</si>
  <si>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</si>
  <si>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</si>
  <si>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</si>
  <si>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</si>
  <si>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</si>
  <si>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</si>
  <si>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</si>
  <si>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</si>
  <si>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</si>
  <si>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</si>
  <si>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</si>
  <si>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</si>
  <si>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</si>
  <si>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</si>
  <si>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</si>
  <si>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</si>
  <si>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</si>
  <si>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</si>
  <si>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</si>
  <si>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</si>
  <si>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</si>
  <si>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</si>
  <si>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</si>
  <si>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</si>
  <si>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</si>
  <si>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</si>
  <si>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</si>
  <si>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</si>
  <si>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</si>
  <si>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</si>
  <si>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</si>
  <si>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</si>
  <si>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</si>
  <si>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</si>
  <si>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</si>
  <si>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</si>
  <si>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</si>
  <si>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</si>
  <si>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</si>
  <si>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</si>
  <si>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</si>
  <si>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</si>
  <si>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</si>
  <si>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</si>
  <si>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</si>
  <si>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</si>
  <si>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</si>
  <si>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</si>
  <si>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</si>
  <si>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</si>
  <si>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</si>
  <si>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</si>
  <si>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</si>
  <si>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</si>
  <si>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</si>
  <si>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</si>
  <si>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</si>
  <si>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</si>
  <si>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</si>
  <si>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</si>
  <si>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</si>
  <si>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</si>
  <si>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</si>
  <si>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</si>
  <si>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</si>
  <si>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</si>
  <si>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</si>
  <si>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</si>
  <si>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</si>
  <si>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</si>
  <si>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</si>
  <si>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</si>
  <si>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</si>
  <si>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</si>
  <si>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</si>
  <si>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</si>
  <si>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</si>
  <si>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</si>
  <si>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</si>
  <si>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Borken in corner (Book 5 and 12)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</si>
  <si>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</si>
  <si>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</si>
  <si>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</si>
  <si>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</si>
  <si>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</si>
  <si>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</si>
  <si>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</si>
  <si>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</si>
  <si>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</si>
  <si>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</si>
  <si>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</si>
  <si>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</si>
  <si>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</si>
  <si>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</si>
  <si>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</si>
  <si>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</si>
  <si>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</si>
  <si>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</si>
  <si>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</si>
  <si>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</si>
  <si>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</si>
  <si>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</si>
  <si>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</si>
  <si>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</si>
  <si>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</si>
  <si>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</si>
  <si>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</si>
  <si>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</si>
  <si>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</si>
  <si>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</si>
  <si>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</si>
  <si>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</si>
  <si>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</si>
  <si>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</si>
  <si>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</si>
  <si>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</si>
  <si>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</si>
  <si>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</si>
  <si>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</si>
  <si>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</si>
  <si>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</si>
  <si>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</si>
  <si>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</si>
  <si>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</si>
  <si>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</si>
  <si>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</si>
  <si>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</si>
  <si>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</si>
  <si>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</si>
  <si>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</si>
  <si>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</si>
  <si>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</si>
  <si>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</si>
  <si>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</si>
  <si>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</si>
  <si>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</si>
  <si>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</si>
  <si>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</si>
  <si>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</si>
  <si>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</si>
  <si>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</si>
  <si>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</si>
  <si>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</si>
  <si>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</si>
  <si>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</si>
  <si>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</si>
  <si>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</si>
  <si>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</si>
  <si>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</si>
  <si>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</si>
  <si>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</si>
  <si>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</si>
  <si>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</si>
  <si>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</si>
  <si>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</si>
  <si>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</si>
  <si>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</si>
  <si>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</si>
  <si>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</si>
  <si>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</si>
  <si>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</si>
  <si>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</si>
  <si>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</si>
  <si>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</si>
  <si>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</si>
  <si>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</si>
  <si>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</si>
  <si>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</si>
  <si>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</si>
  <si>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</si>
  <si>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</si>
  <si>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</si>
  <si>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</si>
  <si>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</si>
  <si>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</si>
  <si>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</si>
  <si>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</si>
  <si>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</si>
  <si>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</si>
  <si>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</si>
  <si>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</si>
  <si>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</si>
  <si>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</si>
  <si>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</si>
  <si>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</si>
  <si>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</si>
  <si>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</si>
  <si>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</si>
  <si>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</si>
  <si>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</si>
  <si>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</si>
  <si>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</si>
  <si>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</si>
  <si>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</si>
  <si>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</si>
  <si>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</si>
  <si>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</si>
  <si>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</si>
  <si>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</si>
  <si>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</si>
  <si>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</si>
  <si>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</si>
  <si>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</si>
  <si>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</si>
  <si>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</si>
  <si>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</si>
  <si>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</si>
  <si>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</si>
  <si>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</si>
  <si>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</si>
  <si>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</si>
  <si>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</si>
  <si>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</si>
  <si>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</si>
  <si>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</si>
  <si>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</si>
  <si>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</si>
  <si>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</si>
  <si>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</si>
  <si>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</si>
  <si>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</si>
  <si>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</si>
  <si>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</si>
  <si>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</si>
  <si>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</si>
  <si>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</si>
  <si>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</si>
  <si>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</si>
  <si>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</si>
  <si>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</si>
  <si>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</si>
  <si>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</si>
  <si>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</si>
  <si>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</si>
  <si>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</si>
  <si>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</si>
  <si>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</si>
  <si>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</si>
  <si>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</si>
  <si>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</si>
  <si>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</si>
  <si>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</si>
  <si>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</si>
  <si>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</si>
  <si>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</si>
  <si>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</si>
  <si>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</si>
  <si>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</si>
  <si>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</si>
  <si>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</si>
  <si>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</si>
  <si>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</si>
  <si>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</si>
  <si>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</si>
  <si>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</si>
  <si>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</si>
  <si>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</si>
  <si>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</si>
  <si>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</si>
  <si>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</si>
  <si>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</si>
  <si>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</si>
  <si>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</si>
  <si>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</si>
  <si>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</si>
  <si>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</si>
  <si>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</si>
  <si>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</si>
  <si>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</si>
  <si>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</si>
  <si>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</si>
  <si>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</si>
  <si>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</si>
  <si>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</si>
  <si>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</si>
  <si>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</si>
  <si>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</si>
  <si>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</si>
  <si>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</si>
  <si>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</si>
  <si>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</si>
  <si>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</si>
  <si>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</si>
  <si>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</si>
  <si>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</si>
  <si>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</si>
  <si>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</si>
  <si>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</si>
  <si>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</si>
  <si>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</si>
  <si>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</si>
  <si>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</si>
  <si>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</si>
  <si>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</si>
  <si>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</si>
  <si>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</si>
  <si>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</si>
  <si>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</si>
  <si>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</si>
  <si>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</si>
  <si>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</si>
  <si>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</si>
  <si>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</si>
  <si>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</si>
  <si>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</si>
  <si>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</si>
  <si>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</si>
  <si>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</si>
  <si>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</si>
  <si>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</si>
  <si>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</si>
  <si>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</si>
  <si>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</si>
  <si>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</si>
  <si>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</si>
  <si>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</si>
  <si>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</si>
  <si>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</si>
  <si>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</si>
  <si>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</si>
  <si>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</si>
  <si>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</si>
  <si>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</si>
  <si>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</si>
  <si>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</si>
  <si>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</si>
  <si>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</si>
  <si>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</si>
  <si>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</si>
  <si>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</si>
  <si>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</si>
  <si>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</si>
  <si>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</si>
  <si>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</si>
  <si>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</si>
  <si>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</si>
  <si>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Broken in corner in book 10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</si>
  <si>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</si>
  <si>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</si>
  <si>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</si>
  <si>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</si>
  <si>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</si>
  <si>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</si>
  <si>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</si>
  <si>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</si>
  <si>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</si>
  <si>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</si>
  <si>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</si>
  <si>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</si>
  <si>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</si>
  <si>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</si>
  <si>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</si>
  <si>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</si>
  <si>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</si>
  <si>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</si>
  <si>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</si>
  <si>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</si>
  <si>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</si>
  <si>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</si>
  <si>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</si>
  <si>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</si>
  <si>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</si>
  <si>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</si>
  <si>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</si>
  <si>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</si>
  <si>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</si>
  <si>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</si>
  <si>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</si>
  <si>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</si>
  <si>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</si>
  <si>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</si>
  <si>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</si>
  <si>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</si>
  <si>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</si>
  <si>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</si>
  <si>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</si>
  <si>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</si>
  <si>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</si>
  <si>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</si>
  <si>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</si>
  <si>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</si>
  <si>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</si>
  <si>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</si>
  <si>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</si>
  <si>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</si>
  <si>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</si>
  <si>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</si>
  <si>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</si>
  <si>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</si>
  <si>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</si>
  <si>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</si>
  <si>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</si>
  <si>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</si>
  <si>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</si>
  <si>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</si>
  <si>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</si>
  <si>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</si>
  <si>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</si>
  <si>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</si>
  <si>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</si>
  <si>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</si>
  <si>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</si>
  <si>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</si>
  <si>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</si>
  <si>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</si>
  <si>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</si>
  <si>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</si>
  <si>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</si>
  <si>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</si>
  <si>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</si>
  <si>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</si>
  <si>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</si>
  <si>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</si>
  <si>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</si>
  <si>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</si>
  <si>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</si>
  <si>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</si>
  <si>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</si>
  <si>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</si>
  <si>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</si>
  <si>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</si>
  <si>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</si>
  <si>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</si>
  <si>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</si>
  <si>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</si>
  <si>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</si>
  <si>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</si>
  <si>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</si>
  <si>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</si>
  <si>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</si>
  <si>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</si>
  <si>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</si>
  <si>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</si>
  <si>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</si>
  <si>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</si>
  <si>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</si>
  <si>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</si>
  <si>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</si>
  <si>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</si>
  <si>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</si>
  <si>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</si>
  <si>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</si>
  <si>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</si>
  <si>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</si>
  <si>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</si>
  <si>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</si>
  <si>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</si>
  <si>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</si>
  <si>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</si>
  <si>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</si>
  <si>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</si>
  <si>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</si>
  <si>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</si>
  <si>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</si>
  <si>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</si>
  <si>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</si>
  <si>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</si>
  <si>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</si>
  <si>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</si>
  <si>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</si>
  <si>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</si>
  <si>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</si>
  <si>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</si>
  <si>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</si>
  <si>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</si>
  <si>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</si>
  <si>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</si>
  <si>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</si>
  <si>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</si>
  <si>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</si>
  <si>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</si>
  <si>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</si>
  <si>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</si>
  <si>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</si>
  <si>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</si>
  <si>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</si>
  <si>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</si>
  <si>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</si>
  <si>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</si>
  <si>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</si>
  <si>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</si>
  <si>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</si>
  <si>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</si>
  <si>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</si>
  <si>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</si>
  <si>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</si>
  <si>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</si>
  <si>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</si>
  <si>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</si>
  <si>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</si>
  <si>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</si>
  <si>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</si>
  <si>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</si>
  <si>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</si>
  <si>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</si>
  <si>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</si>
  <si>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</si>
  <si>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</si>
  <si>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</si>
  <si>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</si>
  <si>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</si>
  <si>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</si>
  <si>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</si>
  <si>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</si>
  <si>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</si>
  <si>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</si>
  <si>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</si>
  <si>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</si>
  <si>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</si>
  <si>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</si>
  <si>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</si>
  <si>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</si>
  <si>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</si>
  <si>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</si>
  <si>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</si>
  <si>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</si>
  <si>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</si>
  <si>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</si>
  <si>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</si>
  <si>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</si>
  <si>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</si>
  <si>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</si>
  <si>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</si>
  <si>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</si>
  <si>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</si>
  <si>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</si>
  <si>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</si>
  <si>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</si>
  <si>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</si>
  <si>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</si>
  <si>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</si>
  <si>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</si>
  <si>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</si>
  <si>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</si>
  <si>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</si>
  <si>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</si>
  <si>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</si>
  <si>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</si>
  <si>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</si>
  <si>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</si>
  <si>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</si>
  <si>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</si>
  <si>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</si>
  <si>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</si>
  <si>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</si>
  <si>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</si>
  <si>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</si>
  <si>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</si>
  <si>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</si>
  <si>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</si>
  <si>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</si>
  <si>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</si>
  <si>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</si>
  <si>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</si>
  <si>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</si>
  <si>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</si>
  <si>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</si>
  <si>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</si>
  <si>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</si>
  <si>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</si>
  <si>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</si>
  <si>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</si>
  <si>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</si>
  <si>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</si>
  <si>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</si>
  <si>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</si>
  <si>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</si>
  <si>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</si>
  <si>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</si>
  <si>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</si>
  <si>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</si>
  <si>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</si>
  <si>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</si>
  <si>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</si>
  <si>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</si>
  <si>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</si>
  <si>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</si>
  <si>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</si>
  <si>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</si>
  <si>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</si>
  <si>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</si>
  <si>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</si>
  <si>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</si>
  <si>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</si>
  <si>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</si>
  <si>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</si>
  <si>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</si>
  <si>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</si>
  <si>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</si>
  <si>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</si>
  <si>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</si>
  <si>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</si>
  <si>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</si>
  <si>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</si>
  <si>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</si>
  <si>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</si>
  <si>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</si>
  <si>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</si>
  <si>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</si>
  <si>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</si>
  <si>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</si>
  <si>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</si>
  <si>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</si>
  <si>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</si>
  <si>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</si>
  <si>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</si>
  <si>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</si>
  <si>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</si>
  <si>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</si>
  <si>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</si>
  <si>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</si>
  <si>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</si>
  <si>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</si>
  <si>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</si>
  <si>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</si>
  <si>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</si>
  <si>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</si>
  <si>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</si>
  <si>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</si>
  <si>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</si>
  <si>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</si>
  <si>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</si>
  <si>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</si>
  <si>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</si>
  <si>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</si>
  <si>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</si>
  <si>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</si>
  <si>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</si>
  <si>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</si>
  <si>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</si>
  <si>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</si>
  <si>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</si>
  <si>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</si>
  <si>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</si>
  <si>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</si>
  <si>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</si>
  <si>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</si>
  <si>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</si>
  <si>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</si>
  <si>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</si>
  <si>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</si>
  <si>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</si>
  <si>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</si>
  <si>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</si>
  <si>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</si>
  <si>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</si>
  <si>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</si>
  <si>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</si>
  <si>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</si>
  <si>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</si>
  <si>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</si>
  <si>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</si>
  <si>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</si>
  <si>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</si>
  <si>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</si>
  <si>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</si>
  <si>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</si>
  <si>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</si>
  <si>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</si>
  <si>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</si>
  <si>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</si>
  <si>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</si>
  <si>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</si>
  <si>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</si>
  <si>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</si>
  <si>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</si>
  <si>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</si>
  <si>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</si>
  <si>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</si>
  <si>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</si>
  <si>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</si>
  <si>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</si>
  <si>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</si>
  <si>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</si>
  <si>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</si>
  <si>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</si>
  <si>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</si>
  <si>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</si>
  <si>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</si>
  <si>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</si>
  <si>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</si>
  <si>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</si>
  <si>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</si>
  <si>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</si>
  <si>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</si>
  <si>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</si>
  <si>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</si>
  <si>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</si>
  <si>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</si>
  <si>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</si>
  <si>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</si>
  <si>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</si>
  <si>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</si>
  <si>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</si>
  <si>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</si>
  <si>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</si>
  <si>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</si>
  <si>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</si>
  <si>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</si>
  <si>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</si>
  <si>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</si>
  <si>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</si>
  <si>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</si>
  <si>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</si>
  <si>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</si>
  <si>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</si>
  <si>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</si>
  <si>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</si>
  <si>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</si>
  <si>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</si>
  <si>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</si>
  <si>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</si>
  <si>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</si>
  <si>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</si>
  <si>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</si>
  <si>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</si>
  <si>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</si>
  <si>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</si>
  <si>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</si>
  <si>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</si>
  <si>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</si>
  <si>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</si>
  <si>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</si>
  <si>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</si>
  <si>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</si>
  <si>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</si>
  <si>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</si>
  <si>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</si>
  <si>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</si>
  <si>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</si>
  <si>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</si>
  <si>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</si>
  <si>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Brokwn (RB1)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</si>
  <si>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</si>
  <si>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</si>
  <si>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</si>
  <si>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</si>
  <si>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</si>
  <si>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</si>
  <si>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</si>
  <si>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</si>
  <si>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</si>
  <si>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</si>
  <si>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</si>
  <si>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</si>
  <si>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</si>
  <si>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</si>
  <si>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</si>
  <si>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</si>
  <si>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</si>
  <si>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</si>
  <si>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</si>
  <si>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</si>
  <si>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</si>
  <si>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</si>
  <si>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</si>
  <si>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</si>
  <si>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</si>
  <si>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</si>
  <si>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</si>
  <si>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</si>
  <si>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</si>
  <si>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</si>
  <si>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</si>
  <si>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</si>
  <si>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</si>
  <si>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</si>
  <si>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</si>
  <si>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</si>
  <si>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</si>
  <si>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</si>
  <si>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</si>
  <si>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</si>
  <si>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</si>
  <si>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</si>
  <si>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</si>
  <si>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</si>
  <si>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</si>
  <si>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</si>
  <si>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</si>
  <si>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</si>
  <si>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</si>
  <si>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</si>
  <si>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</si>
  <si>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</si>
  <si>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</si>
  <si>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</si>
  <si>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</si>
  <si>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</si>
  <si>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</si>
  <si>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</si>
  <si>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</si>
  <si>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</si>
  <si>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</si>
  <si>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</si>
  <si>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</si>
  <si>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</si>
  <si>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</si>
  <si>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</si>
  <si>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</si>
  <si>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</si>
  <si>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</si>
  <si>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</si>
  <si>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</si>
  <si>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</si>
  <si>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</si>
  <si>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</si>
  <si>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</si>
  <si>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</si>
  <si>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</si>
  <si>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</si>
  <si>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</si>
  <si>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</si>
  <si>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</si>
  <si>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</si>
  <si>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</si>
  <si>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</si>
  <si>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</si>
  <si>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</si>
  <si>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</si>
  <si>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</si>
  <si>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</si>
  <si>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</si>
  <si>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</si>
  <si>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</si>
  <si>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 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</si>
  <si>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</si>
  <si>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</si>
  <si>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</si>
  <si>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</si>
  <si>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</si>
  <si>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</si>
  <si>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Broken (Tiles)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</si>
  <si>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</si>
  <si>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</si>
  <si>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</si>
  <si>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</si>
  <si>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</si>
  <si>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</si>
  <si>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</si>
  <si>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</si>
  <si>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</si>
  <si>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</si>
  <si>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</si>
  <si>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</si>
  <si>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</si>
  <si>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</si>
  <si>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Major defect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</si>
  <si>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</si>
  <si>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</si>
  <si>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</si>
  <si>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</si>
  <si>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</si>
  <si>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</si>
  <si>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</si>
  <si>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</si>
  <si>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</si>
  <si>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</si>
  <si>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</si>
  <si>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</si>
  <si>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</si>
  <si>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</si>
  <si>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</si>
  <si>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</si>
  <si>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</si>
  <si>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</si>
  <si>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</si>
  <si>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</si>
  <si>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</si>
  <si>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</si>
  <si>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</si>
  <si>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</si>
  <si>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</si>
  <si>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</si>
  <si>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</si>
  <si>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</si>
  <si>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</si>
  <si>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</si>
  <si>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</si>
  <si>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</si>
  <si>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</si>
  <si>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</si>
  <si>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</si>
  <si>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</si>
  <si>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</si>
  <si>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</si>
  <si>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</si>
  <si>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</si>
  <si>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</si>
  <si>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</si>
  <si>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</si>
  <si>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</si>
  <si>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</si>
  <si>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</si>
  <si>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</si>
  <si>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</si>
  <si>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</si>
  <si>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</si>
  <si>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</si>
  <si>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</si>
  <si>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</si>
  <si>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</si>
  <si>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</si>
  <si>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</si>
  <si>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</si>
  <si>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</si>
  <si>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</si>
  <si>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</si>
  <si>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</si>
  <si>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</si>
  <si>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</si>
  <si>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</si>
  <si>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</si>
  <si>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</si>
  <si>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</si>
  <si>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</si>
  <si>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</si>
  <si>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</si>
  <si>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</si>
  <si>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</si>
  <si>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</si>
  <si>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</si>
  <si>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</si>
  <si>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</si>
  <si>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</si>
  <si>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</si>
  <si>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</si>
  <si>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</si>
  <si>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</si>
  <si>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</si>
  <si>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</si>
  <si>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</si>
  <si>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</si>
  <si>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</si>
  <si>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</si>
  <si>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</si>
  <si>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</si>
  <si>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</si>
  <si>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</si>
  <si>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</si>
  <si>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</si>
  <si>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</si>
  <si>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</si>
  <si>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</si>
  <si>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</si>
  <si>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</si>
  <si>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</si>
  <si>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</si>
  <si>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</si>
  <si>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</si>
  <si>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</si>
  <si>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</si>
  <si>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</si>
  <si>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</si>
  <si>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</si>
  <si>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</si>
  <si>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</si>
  <si>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</si>
  <si>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</si>
  <si>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</si>
  <si>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</si>
  <si>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</si>
  <si>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</si>
  <si>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</si>
  <si>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</si>
  <si>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</si>
  <si>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</si>
  <si>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</si>
  <si>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</si>
  <si>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</si>
  <si>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</si>
  <si>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</si>
  <si>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</si>
  <si>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</si>
  <si>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</si>
  <si>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</si>
  <si>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</si>
  <si>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</si>
  <si>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</si>
  <si>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</si>
  <si>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</si>
  <si>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</si>
  <si>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</si>
  <si>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</si>
  <si>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</si>
  <si>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</si>
  <si>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</si>
  <si>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</si>
  <si>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</si>
  <si>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</si>
  <si>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</si>
  <si>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</si>
  <si>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</si>
  <si>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</si>
  <si>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</si>
  <si>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</si>
  <si>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</si>
  <si>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</si>
  <si>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</si>
  <si>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</si>
  <si>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</si>
  <si>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</si>
  <si>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</si>
  <si>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</si>
  <si>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</si>
  <si>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</si>
  <si>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</si>
  <si>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</si>
  <si>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</si>
  <si>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</si>
  <si>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</si>
  <si>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</si>
  <si>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</si>
  <si>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</si>
  <si>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</si>
  <si>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</si>
  <si>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</si>
  <si>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</si>
  <si>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</si>
  <si>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</si>
  <si>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</si>
  <si>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</si>
  <si>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</si>
  <si>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</si>
  <si>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</si>
  <si>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</si>
  <si>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</si>
  <si>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</si>
  <si>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</si>
  <si>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</si>
  <si>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</si>
  <si>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</si>
  <si>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</si>
  <si>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</si>
  <si>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</si>
  <si>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</si>
  <si>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</si>
  <si>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</si>
  <si>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</si>
  <si>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</si>
  <si>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</si>
  <si>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</si>
  <si>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</si>
  <si>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</si>
  <si>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</si>
  <si>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</si>
  <si>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</si>
  <si>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</si>
  <si>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</si>
  <si>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</si>
  <si>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</si>
  <si>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</si>
  <si>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</si>
  <si>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</si>
  <si>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</si>
  <si>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</si>
  <si>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</si>
  <si>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</si>
  <si>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</si>
  <si>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</si>
  <si>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</si>
  <si>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</si>
  <si>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</si>
  <si>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</si>
  <si>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</si>
  <si>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</si>
  <si>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</si>
  <si>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</si>
  <si>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</si>
  <si>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</si>
  <si>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</si>
  <si>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</si>
  <si>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</si>
  <si>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</si>
  <si>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</si>
  <si>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</si>
  <si>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</si>
  <si>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</si>
  <si>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</si>
  <si>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</si>
  <si>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</si>
  <si>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</si>
  <si>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</si>
  <si>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</si>
  <si>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</si>
  <si>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</si>
  <si>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</si>
  <si>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</si>
  <si>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</si>
  <si>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</si>
  <si>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</si>
  <si>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</si>
  <si>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</si>
  <si>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</si>
  <si>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</si>
  <si>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</si>
  <si>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</si>
  <si>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</si>
  <si>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</si>
  <si>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</si>
  <si>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</si>
  <si>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</si>
  <si>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</si>
  <si>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</si>
  <si>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</si>
  <si>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</si>
  <si>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</si>
  <si>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</si>
  <si>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</si>
  <si>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</si>
  <si>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</si>
  <si>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</si>
  <si>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</si>
  <si>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</si>
  <si>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</si>
  <si>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</si>
  <si>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</si>
  <si>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</si>
  <si>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</si>
  <si>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</si>
  <si>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</si>
  <si>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</si>
  <si>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</si>
  <si>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</si>
  <si>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</si>
  <si>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</si>
  <si>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</si>
  <si>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</si>
  <si>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</si>
  <si>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</si>
  <si>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</si>
  <si>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</si>
  <si>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</si>
  <si>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</si>
  <si>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</si>
  <si>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</si>
  <si>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</si>
  <si>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</si>
  <si>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</si>
  <si>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</si>
  <si>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</si>
  <si>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</si>
  <si>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</si>
  <si>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</si>
  <si>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</si>
  <si>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</si>
  <si>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</si>
  <si>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</si>
  <si>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</si>
  <si>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</si>
  <si>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</si>
  <si>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</si>
  <si>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</si>
  <si>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</si>
  <si>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</si>
  <si>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</si>
  <si>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</si>
  <si>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</si>
  <si>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</si>
  <si>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</si>
  <si>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</si>
  <si>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</si>
  <si>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</si>
  <si>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</si>
  <si>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</si>
  <si>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</si>
  <si>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</si>
  <si>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</si>
  <si>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</si>
  <si>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</si>
  <si>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</si>
  <si>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</si>
  <si>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</si>
  <si>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</si>
  <si>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</si>
  <si>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</si>
  <si>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</si>
  <si>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</si>
  <si>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</si>
  <si>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</si>
  <si>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</si>
  <si>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</si>
  <si>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</si>
  <si>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</si>
  <si>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</si>
  <si>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</si>
  <si>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</si>
  <si>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</si>
  <si>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</si>
  <si>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</si>
  <si>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</si>
  <si>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</si>
  <si>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</si>
  <si>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</si>
  <si>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</si>
  <si>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</si>
  <si>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</si>
  <si>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</si>
  <si>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</si>
  <si>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</si>
  <si>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</si>
  <si>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</si>
  <si>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</si>
  <si>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</si>
  <si>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</si>
  <si>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</si>
  <si>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</si>
  <si>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</si>
  <si>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</si>
  <si>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</si>
  <si>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</si>
  <si>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</si>
  <si>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</si>
  <si>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</si>
  <si>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</si>
  <si>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</si>
  <si>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</si>
  <si>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</si>
  <si>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</si>
  <si>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</si>
  <si>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</si>
  <si>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</si>
  <si>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</si>
  <si>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</si>
  <si>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</si>
  <si>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</si>
  <si>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</si>
  <si>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</si>
  <si>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</si>
  <si>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</si>
  <si>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</si>
  <si>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</si>
  <si>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</si>
  <si>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</si>
  <si>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</si>
  <si>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</si>
  <si>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</si>
  <si>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</si>
  <si>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</si>
  <si>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</si>
  <si>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</si>
  <si>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</si>
  <si>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</si>
  <si>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</si>
  <si>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</si>
  <si>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</si>
  <si>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</si>
  <si>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</si>
  <si>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</si>
  <si>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</si>
  <si>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</si>
  <si>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</si>
  <si>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</si>
  <si>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</si>
  <si>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</si>
  <si>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</si>
  <si>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</si>
  <si>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</si>
  <si>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</si>
  <si>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</si>
  <si>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</si>
  <si>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</si>
  <si>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</si>
  <si>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</si>
  <si>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</si>
  <si>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</si>
  <si>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</si>
  <si>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</si>
  <si>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</si>
  <si>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</si>
  <si>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</si>
  <si>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</si>
  <si>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</si>
  <si>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</si>
  <si>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</si>
  <si>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</si>
  <si>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</si>
  <si>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</si>
  <si>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</si>
  <si>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</si>
  <si>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</si>
  <si>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</si>
  <si>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</si>
  <si>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</si>
  <si>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</si>
  <si>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</si>
  <si>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</si>
  <si>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</si>
  <si>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</si>
  <si>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</si>
  <si>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</si>
  <si>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</si>
  <si>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</si>
  <si>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</si>
  <si>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</si>
  <si>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</si>
  <si>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</si>
  <si>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</si>
  <si>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</si>
  <si>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</si>
  <si>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</si>
  <si>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</si>
  <si>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</si>
  <si>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</si>
  <si>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</si>
  <si>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</si>
  <si>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</si>
  <si>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</si>
  <si>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</si>
  <si>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</si>
  <si>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</si>
  <si>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</si>
  <si>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</si>
  <si>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</si>
  <si>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</si>
  <si>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</si>
  <si>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</si>
  <si>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</si>
  <si>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</si>
  <si>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</si>
  <si>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</si>
  <si>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</si>
  <si>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</si>
  <si>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</si>
  <si>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</si>
  <si>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</si>
  <si>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</si>
  <si>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</si>
  <si>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</si>
  <si>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</si>
  <si>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</si>
  <si>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</si>
  <si>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</si>
  <si>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</si>
  <si>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</si>
  <si>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</si>
  <si>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</si>
  <si>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</si>
  <si>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</si>
  <si>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</si>
  <si>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</si>
  <si>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</si>
  <si>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</si>
  <si>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</si>
  <si>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</si>
  <si>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</si>
  <si>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</si>
  <si>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</si>
  <si>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</si>
  <si>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</si>
  <si>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</si>
  <si>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</si>
  <si>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</si>
  <si>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</si>
  <si>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</si>
  <si>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</si>
  <si>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</si>
  <si>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</si>
  <si>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</si>
  <si>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</si>
  <si>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</si>
  <si>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</si>
  <si>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</si>
  <si>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</si>
  <si>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</si>
  <si>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</si>
  <si>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</si>
  <si>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</si>
  <si>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</si>
  <si>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</si>
  <si>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</si>
  <si>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</si>
  <si>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</si>
  <si>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</si>
  <si>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</si>
  <si>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</si>
  <si>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</si>
  <si>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</si>
  <si>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</si>
  <si>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</si>
  <si>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</si>
  <si>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</si>
  <si>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</si>
  <si>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</si>
  <si>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</si>
  <si>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</si>
  <si>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</si>
  <si>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</si>
  <si>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</si>
  <si>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</si>
  <si>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</si>
  <si>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</si>
  <si>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</si>
  <si>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</si>
  <si>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</si>
  <si>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</si>
  <si>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</si>
  <si>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</si>
  <si>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</si>
  <si>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</si>
  <si>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</si>
  <si>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</si>
  <si>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</si>
  <si>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</si>
  <si>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</si>
  <si>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</si>
  <si>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</si>
  <si>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</si>
  <si>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</si>
  <si>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</si>
  <si>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</si>
  <si>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</si>
  <si>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</si>
  <si>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</si>
  <si>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</si>
  <si>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</si>
  <si>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</si>
  <si>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</si>
  <si>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</si>
  <si>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</si>
  <si>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</si>
  <si>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</si>
  <si>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</si>
  <si>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</si>
  <si>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</si>
  <si>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</si>
  <si>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</si>
  <si>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</si>
  <si>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</si>
  <si>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</si>
  <si>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</si>
  <si>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</si>
  <si>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</si>
  <si>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</si>
  <si>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</si>
  <si>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</si>
  <si>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</si>
  <si>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</si>
  <si>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</si>
  <si>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</si>
  <si>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</si>
  <si>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</si>
  <si>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</si>
  <si>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</si>
  <si>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</si>
  <si>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</si>
  <si>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</si>
  <si>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</si>
  <si>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</si>
  <si>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</si>
  <si>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</si>
  <si>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</si>
  <si>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</si>
  <si>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</si>
  <si>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</si>
  <si>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</si>
  <si>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</si>
  <si>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</si>
  <si>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</si>
  <si>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</si>
  <si>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</si>
  <si>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</si>
  <si>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</si>
  <si>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</si>
  <si>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</si>
  <si>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</si>
  <si>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</si>
  <si>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</si>
  <si>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</si>
  <si>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</si>
  <si>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</si>
  <si>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</si>
  <si>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</si>
  <si>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</si>
  <si>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</si>
  <si>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</si>
  <si>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</si>
  <si>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</si>
  <si>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</si>
  <si>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</si>
  <si>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</si>
  <si>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</si>
  <si>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</si>
  <si>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</si>
  <si>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</si>
  <si>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</si>
  <si>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</si>
  <si>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</si>
  <si>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</si>
  <si>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</si>
  <si>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</si>
  <si>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</si>
  <si>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</si>
  <si>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</si>
  <si>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</si>
  <si>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</si>
  <si>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</si>
  <si>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</si>
  <si>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</si>
  <si>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</si>
  <si>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</si>
  <si>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</si>
  <si>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</si>
  <si>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</si>
  <si>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</si>
  <si>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</si>
  <si>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</si>
  <si>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</si>
  <si>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</si>
  <si>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</si>
  <si>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</si>
  <si>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</si>
  <si>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</si>
  <si>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</si>
  <si>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</si>
  <si>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</si>
  <si>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</si>
  <si>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</si>
  <si>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</si>
  <si>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</si>
  <si>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</si>
  <si>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</si>
  <si>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</si>
  <si>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</si>
  <si>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</si>
  <si>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</si>
  <si>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</si>
  <si>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</si>
  <si>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</si>
  <si>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</si>
  <si>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</si>
  <si>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</si>
  <si>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</si>
  <si>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</si>
  <si>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</si>
  <si>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</si>
  <si>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</si>
  <si>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</si>
  <si>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</si>
  <si>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</si>
  <si>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</si>
  <si>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</si>
  <si>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</si>
  <si>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</si>
  <si>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</si>
  <si>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</si>
  <si>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</si>
  <si>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</si>
  <si>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</si>
  <si>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</si>
  <si>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</si>
  <si>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</si>
  <si>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</si>
  <si>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</si>
  <si>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</si>
  <si>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</si>
  <si>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</si>
  <si>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</si>
  <si>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</si>
  <si>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</si>
  <si>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</si>
  <si>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</si>
  <si>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</si>
  <si>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</si>
  <si>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</si>
  <si>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</si>
  <si>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</si>
  <si>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</si>
  <si>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</si>
  <si>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</si>
  <si>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</si>
  <si>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</si>
  <si>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</si>
  <si>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</si>
  <si>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</si>
  <si>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</si>
  <si>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</si>
  <si>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</si>
  <si>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</si>
  <si>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</si>
  <si>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</si>
  <si>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</si>
  <si>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</si>
  <si>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</si>
  <si>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</si>
  <si>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</si>
  <si>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</si>
  <si>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</si>
  <si>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</si>
  <si>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</si>
  <si>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</si>
  <si>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</si>
  <si>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</si>
  <si>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</si>
  <si>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</si>
  <si>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</si>
  <si>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</si>
  <si>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</si>
  <si>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</si>
  <si>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</si>
  <si>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</si>
  <si>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</si>
  <si>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</si>
  <si>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</si>
  <si>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</si>
  <si>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</si>
  <si>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</si>
  <si>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</si>
  <si>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</si>
  <si>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</si>
  <si>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</si>
  <si>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</si>
  <si>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</si>
  <si>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</si>
  <si>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</si>
  <si>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</si>
  <si>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</si>
  <si>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</si>
  <si>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</si>
  <si>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</si>
  <si>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</si>
  <si>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</si>
  <si>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</si>
  <si>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</si>
  <si>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</si>
  <si>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</si>
  <si>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</si>
  <si>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</si>
  <si>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</si>
  <si>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</si>
  <si>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</si>
  <si>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</si>
  <si>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</si>
  <si>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</si>
  <si>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</si>
  <si>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</si>
  <si>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</si>
  <si>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</si>
  <si>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</si>
  <si>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</si>
  <si>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</si>
  <si>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</si>
  <si>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</si>
  <si>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</si>
  <si>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</si>
  <si>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</si>
  <si>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</si>
  <si>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</si>
  <si>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</si>
  <si>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</si>
  <si>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</si>
  <si>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</si>
  <si>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</si>
  <si>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</si>
  <si>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</si>
  <si>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</si>
  <si>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</si>
  <si>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</si>
  <si>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</si>
  <si>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</si>
  <si>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</si>
  <si>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</si>
  <si>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</si>
  <si>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</si>
  <si>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</si>
  <si>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</si>
  <si>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</si>
  <si>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</si>
  <si>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</si>
  <si>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</si>
  <si>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</si>
  <si>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</si>
  <si>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</si>
  <si>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</si>
  <si>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</si>
  <si>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</si>
  <si>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</si>
  <si>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</si>
  <si>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</si>
  <si>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</si>
  <si>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</si>
  <si>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</si>
  <si>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</si>
  <si>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</si>
  <si>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</si>
  <si>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</si>
  <si>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</si>
  <si>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</si>
  <si>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</si>
  <si>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</si>
  <si>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</si>
  <si>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</si>
  <si>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</si>
  <si>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</si>
  <si>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</si>
  <si>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</si>
  <si>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</si>
  <si>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</si>
  <si>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</si>
  <si>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</si>
  <si>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</si>
  <si>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</si>
  <si>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</si>
  <si>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</si>
  <si>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</si>
  <si>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</si>
  <si>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</si>
  <si>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</si>
  <si>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</si>
  <si>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</si>
  <si>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</si>
  <si>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</si>
  <si>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</si>
  <si>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</si>
  <si>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</si>
  <si>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</si>
  <si>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</si>
  <si>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</si>
  <si>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</si>
  <si>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</si>
  <si>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</si>
  <si>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</si>
  <si>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</si>
  <si>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</si>
  <si>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</si>
  <si>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</si>
  <si>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</si>
  <si>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</si>
  <si>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</si>
  <si>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</si>
  <si>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</si>
  <si>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</si>
  <si>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</si>
  <si>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</si>
  <si>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</si>
  <si>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</si>
  <si>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</si>
  <si>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</si>
  <si>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</si>
  <si>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</si>
  <si>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</si>
  <si>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</si>
  <si>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</si>
  <si>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</si>
  <si>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</si>
  <si>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</si>
  <si>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</si>
  <si>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</si>
  <si>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</si>
  <si>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</si>
  <si>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</si>
  <si>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</si>
  <si>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</si>
  <si>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</si>
  <si>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</si>
  <si>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</si>
  <si>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</si>
  <si>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</si>
  <si>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</si>
  <si>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</si>
  <si>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</si>
  <si>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</si>
  <si>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</si>
  <si>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</si>
  <si>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</si>
  <si>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</si>
  <si>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</si>
  <si>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</si>
  <si>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</si>
  <si>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</si>
  <si>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</si>
  <si>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</si>
  <si>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</si>
  <si>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</si>
  <si>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</si>
  <si>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</si>
  <si>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</si>
  <si>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</si>
  <si>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</si>
  <si>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</si>
  <si>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</si>
  <si>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</si>
  <si>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</si>
  <si>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</si>
  <si>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</si>
  <si>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</si>
  <si>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</si>
  <si>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</si>
  <si>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</si>
  <si>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</si>
  <si>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</si>
  <si>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</si>
  <si>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</si>
  <si>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</si>
  <si>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</si>
  <si>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</si>
  <si>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</si>
  <si>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</si>
  <si>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</si>
  <si>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</si>
  <si>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</si>
  <si>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</si>
  <si>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</si>
  <si>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</si>
  <si>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</si>
  <si>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</si>
  <si>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</si>
  <si>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</si>
  <si>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</si>
  <si>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</si>
  <si>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</si>
  <si>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</si>
  <si>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</si>
  <si>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</si>
  <si>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</si>
  <si>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</si>
  <si>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</si>
  <si>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</si>
  <si>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</si>
  <si>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</si>
  <si>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</si>
  <si>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</si>
  <si>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</si>
  <si>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</si>
  <si>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</si>
  <si>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</si>
  <si>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</si>
  <si>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</si>
  <si>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</si>
  <si>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</si>
  <si>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</si>
  <si>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</si>
  <si>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</si>
  <si>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</si>
  <si>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</si>
  <si>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</si>
  <si>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</si>
  <si>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</si>
  <si>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</si>
  <si>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</si>
  <si>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</si>
  <si>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</si>
  <si>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</si>
  <si>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</si>
  <si>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</si>
  <si>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</si>
  <si>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</si>
  <si>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</si>
  <si>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</si>
  <si>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</si>
  <si>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</si>
  <si>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</si>
  <si>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</si>
  <si>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</si>
  <si>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</si>
  <si>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</si>
  <si>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</si>
  <si>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</si>
  <si>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</si>
  <si>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</si>
  <si>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</si>
  <si>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</si>
  <si>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</si>
  <si>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</si>
  <si>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</si>
  <si>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</si>
  <si>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</si>
  <si>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</si>
  <si>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</si>
  <si>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</si>
  <si>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</si>
  <si>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</si>
  <si>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</si>
  <si>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</si>
  <si>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</si>
  <si>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</si>
  <si>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</si>
  <si>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</si>
  <si>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</si>
  <si>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</si>
  <si>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</si>
  <si>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</si>
  <si>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</si>
  <si>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</si>
  <si>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</si>
  <si>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</si>
  <si>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</si>
  <si>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</si>
  <si>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</si>
  <si>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</si>
  <si>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</si>
  <si>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</si>
  <si>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</si>
  <si>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</si>
  <si>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</si>
  <si>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</si>
  <si>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</si>
  <si>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</si>
  <si>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</si>
  <si>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</si>
  <si>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</si>
  <si>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</si>
  <si>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</si>
  <si>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</si>
  <si>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</si>
  <si>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</si>
  <si>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</si>
  <si>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</si>
  <si>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</si>
  <si>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</si>
  <si>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</si>
  <si>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</si>
  <si>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</si>
  <si>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</si>
  <si>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</si>
  <si>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</si>
  <si>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</si>
  <si>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</si>
  <si>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</si>
  <si>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</si>
  <si>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</si>
  <si>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</si>
  <si>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</si>
  <si>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</si>
  <si>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</si>
  <si>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</si>
  <si>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</si>
  <si>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</si>
  <si>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</si>
  <si>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</si>
  <si>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</si>
  <si>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</si>
  <si>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</si>
  <si>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</si>
  <si>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</si>
  <si>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</si>
  <si>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</si>
  <si>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</si>
  <si>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</si>
  <si>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</si>
  <si>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</si>
  <si>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</si>
  <si>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</si>
  <si>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</si>
  <si>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</si>
  <si>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</si>
  <si>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</si>
  <si>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</si>
  <si>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</si>
  <si>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</si>
  <si>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</si>
  <si>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</si>
  <si>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</si>
  <si>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</si>
  <si>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</si>
  <si>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</si>
  <si>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</si>
  <si>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</si>
  <si>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</si>
  <si>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</si>
  <si>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</si>
  <si>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</si>
  <si>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</si>
  <si>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</si>
  <si>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</si>
  <si>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</si>
  <si>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</si>
  <si>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</si>
  <si>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</si>
  <si>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</si>
  <si>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</si>
  <si>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</si>
  <si>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</si>
  <si>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</si>
  <si>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</si>
  <si>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</si>
  <si>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</si>
  <si>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</si>
  <si>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</si>
  <si>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</si>
  <si>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</si>
  <si>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</si>
  <si>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</si>
  <si>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</si>
  <si>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</si>
  <si>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</si>
  <si>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</si>
  <si>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</si>
  <si>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</si>
  <si>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</si>
  <si>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</si>
  <si>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</si>
  <si>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</si>
  <si>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</si>
  <si>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</si>
  <si>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</si>
  <si>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</si>
  <si>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</si>
  <si>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</si>
  <si>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</si>
  <si>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</si>
  <si>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</si>
  <si>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</si>
  <si>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</si>
  <si>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</si>
  <si>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</si>
  <si>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</si>
  <si>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</si>
  <si>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</si>
  <si>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</si>
  <si>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</si>
  <si>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</si>
  <si>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</si>
  <si>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</si>
  <si>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</si>
  <si>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</si>
  <si>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</si>
  <si>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</si>
  <si>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</si>
  <si>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</si>
  <si>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</si>
  <si>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</si>
  <si>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</si>
  <si>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</si>
  <si>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</si>
  <si>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</si>
  <si>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</si>
  <si>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</si>
  <si>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</si>
  <si>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</si>
  <si>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</si>
  <si>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</si>
  <si>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</si>
  <si>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</si>
  <si>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</si>
  <si>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</si>
  <si>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</si>
  <si>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</si>
  <si>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</si>
  <si>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</si>
  <si>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</si>
  <si>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</si>
  <si>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</si>
  <si>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</si>
  <si>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</si>
  <si>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</si>
  <si>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</si>
  <si>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</si>
  <si>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</si>
  <si>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</si>
  <si>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</si>
  <si>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</si>
  <si>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</si>
  <si>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</si>
  <si>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</si>
  <si>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</si>
  <si>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</si>
  <si>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</si>
  <si>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</si>
  <si>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</si>
  <si>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</si>
  <si>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</si>
  <si>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</si>
  <si>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</si>
  <si>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</si>
  <si>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</si>
  <si>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</si>
  <si>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</si>
  <si>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</si>
  <si>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</si>
  <si>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</si>
  <si>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</si>
  <si>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</si>
  <si>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</si>
  <si>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</si>
  <si>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</si>
  <si>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</si>
  <si>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</si>
  <si>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</si>
  <si>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</si>
  <si>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</si>
  <si>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</si>
  <si>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</si>
  <si>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</si>
  <si>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</si>
  <si>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</si>
  <si>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</si>
  <si>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</si>
  <si>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</si>
  <si>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</si>
  <si>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</si>
  <si>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</si>
  <si>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</si>
  <si>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</si>
  <si>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</si>
  <si>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</si>
  <si>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</si>
  <si>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</si>
  <si>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</si>
  <si>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</si>
  <si>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</si>
  <si>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</si>
  <si>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</si>
  <si>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</si>
  <si>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</si>
  <si>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</si>
  <si>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</si>
  <si>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</si>
  <si>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</si>
  <si>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</si>
  <si>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</si>
  <si>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</si>
  <si>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</si>
  <si>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</si>
  <si>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</si>
  <si>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</si>
  <si>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</si>
  <si>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</si>
  <si>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</si>
  <si>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</si>
  <si>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</si>
  <si>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</si>
  <si>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</si>
  <si>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</si>
  <si>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</si>
  <si>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</si>
  <si>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</si>
  <si>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</si>
  <si>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</si>
  <si>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</si>
  <si>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</si>
  <si>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</si>
  <si>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</si>
  <si>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</si>
  <si>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</si>
  <si>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</si>
  <si>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</si>
  <si>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</si>
  <si>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</si>
  <si>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</si>
  <si>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</si>
  <si>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</si>
  <si>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</si>
  <si>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</si>
  <si>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</si>
  <si>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</si>
  <si>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</si>
  <si>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</si>
  <si>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</si>
  <si>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</si>
  <si>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</si>
  <si>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</si>
  <si>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</si>
  <si>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</si>
  <si>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</si>
  <si>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</si>
  <si>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</si>
  <si>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</si>
  <si>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</si>
  <si>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</si>
  <si>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</si>
  <si>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</si>
  <si>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</si>
  <si>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</si>
  <si>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</si>
  <si>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</si>
  <si>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</si>
  <si>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</si>
  <si>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</si>
  <si>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</si>
  <si>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</si>
  <si>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</si>
  <si>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</si>
  <si>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</si>
  <si>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</si>
  <si>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</si>
  <si>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</si>
  <si>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</si>
  <si>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</si>
  <si>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</si>
  <si>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</si>
  <si>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</si>
  <si>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</si>
  <si>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</si>
  <si>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</si>
  <si>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</si>
  <si>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</si>
  <si>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</si>
  <si>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</si>
  <si>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</si>
  <si>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</si>
  <si>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</si>
  <si>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</si>
  <si>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</si>
  <si>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</si>
  <si>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</si>
  <si>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</si>
  <si>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</si>
  <si>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</si>
  <si>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</si>
  <si>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</si>
  <si>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</si>
  <si>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</si>
  <si>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</si>
  <si>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</si>
  <si>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</si>
  <si>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</si>
  <si>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</si>
  <si>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</si>
  <si>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</si>
  <si>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</si>
  <si>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</si>
  <si>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</si>
  <si>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</si>
  <si>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</si>
  <si>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</si>
  <si>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</si>
  <si>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</si>
  <si>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</si>
  <si>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</si>
  <si>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</si>
  <si>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</si>
  <si>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</si>
  <si>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</si>
  <si>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</si>
  <si>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</si>
  <si>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</si>
  <si>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</si>
  <si>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</si>
  <si>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</si>
  <si>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</si>
  <si>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</si>
  <si>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</si>
  <si>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</si>
  <si>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</si>
  <si>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</si>
  <si>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</si>
  <si>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</si>
  <si>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</si>
  <si>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</si>
  <si>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</si>
  <si>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</si>
  <si>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</si>
  <si>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</si>
  <si>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</si>
  <si>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</si>
  <si>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</si>
  <si>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</si>
  <si>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</si>
  <si>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</si>
  <si>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</si>
  <si>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</si>
  <si>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</si>
  <si>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</si>
  <si>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</si>
  <si>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</si>
  <si>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</si>
  <si>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</si>
  <si>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</si>
  <si>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</si>
  <si>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</si>
  <si>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</si>
  <si>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</si>
  <si>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</si>
  <si>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</si>
  <si>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</si>
  <si>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</si>
  <si>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</si>
  <si>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</si>
  <si>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</si>
  <si>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</si>
  <si>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</si>
  <si>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</si>
  <si>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</si>
  <si>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</si>
  <si>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</si>
  <si>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</si>
  <si>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</si>
  <si>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</si>
  <si>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</si>
  <si>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</si>
  <si>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</si>
  <si>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</si>
  <si>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</si>
  <si>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</si>
  <si>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</si>
  <si>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</si>
  <si>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</si>
  <si>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</si>
  <si>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</si>
  <si>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</si>
  <si>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</si>
  <si>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</si>
  <si>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</si>
  <si>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</si>
  <si>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</si>
  <si>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</si>
  <si>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</si>
  <si>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</si>
  <si>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</si>
  <si>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</si>
  <si>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</si>
  <si>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</si>
  <si>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</si>
  <si>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</si>
  <si>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</si>
  <si>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</si>
  <si>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</si>
  <si>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</si>
  <si>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</si>
  <si>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</si>
  <si>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</si>
  <si>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</si>
  <si>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</si>
  <si>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</si>
  <si>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</si>
  <si>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</si>
  <si>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</si>
  <si>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</si>
  <si>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</si>
  <si>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</si>
  <si>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</si>
  <si>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</si>
  <si>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</si>
  <si>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</si>
  <si>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</si>
  <si>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</si>
  <si>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</si>
  <si>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</si>
  <si>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</si>
  <si>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</si>
  <si>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</si>
  <si>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</si>
  <si>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</si>
  <si>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</si>
  <si>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</si>
  <si>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</si>
  <si>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</si>
  <si>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</si>
  <si>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</si>
  <si>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</si>
  <si>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</si>
  <si>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</si>
  <si>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</si>
  <si>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</si>
  <si>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</si>
  <si>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</si>
  <si>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</si>
  <si>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</si>
  <si>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</si>
  <si>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</si>
  <si>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</si>
  <si>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</si>
  <si>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</si>
  <si>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</si>
  <si>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</si>
  <si>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</si>
  <si>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</si>
  <si>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</si>
  <si>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</si>
  <si>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</si>
  <si>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</si>
  <si>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</si>
  <si>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</si>
  <si>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</si>
  <si>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</si>
  <si>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</si>
  <si>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</si>
  <si>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</si>
  <si>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</si>
  <si>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</si>
  <si>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</si>
  <si>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</si>
  <si>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</si>
  <si>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</si>
  <si>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</si>
  <si>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</si>
  <si>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</si>
  <si>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</si>
  <si>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</si>
  <si>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</si>
  <si>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</si>
  <si>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</si>
  <si>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</si>
  <si>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</si>
  <si>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</si>
  <si>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</si>
  <si>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</si>
  <si>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</si>
  <si>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</si>
  <si>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</si>
  <si>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</si>
  <si>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</si>
  <si>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</si>
  <si>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</si>
  <si>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</si>
  <si>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</si>
  <si>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</si>
  <si>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</si>
  <si>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</si>
  <si>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</si>
  <si>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</si>
  <si>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</si>
  <si>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</si>
  <si>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</si>
  <si>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</si>
  <si>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</si>
  <si>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</si>
  <si>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</si>
  <si>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</si>
  <si>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</si>
  <si>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</si>
  <si>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</si>
  <si>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</si>
  <si>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</si>
  <si>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</si>
  <si>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</si>
  <si>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</si>
  <si>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</si>
  <si>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</si>
  <si>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</si>
  <si>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</si>
  <si>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</si>
  <si>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</si>
  <si>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</si>
  <si>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</si>
  <si>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</si>
  <si>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</si>
  <si>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</si>
  <si>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</si>
  <si>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</si>
  <si>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</si>
  <si>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</si>
  <si>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</si>
  <si>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</si>
  <si>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</si>
  <si>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</si>
  <si>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</si>
  <si>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</si>
  <si>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</si>
  <si>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</si>
  <si>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</si>
  <si>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</si>
  <si>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</si>
  <si>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</si>
  <si>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</si>
  <si>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</si>
  <si>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</si>
  <si>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</si>
  <si>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</si>
  <si>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</si>
  <si>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</si>
  <si>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</si>
  <si>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</si>
  <si>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</si>
  <si>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</si>
  <si>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</si>
  <si>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</si>
  <si>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</si>
  <si>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</si>
  <si>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</si>
  <si>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</si>
  <si>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</si>
  <si>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</si>
  <si>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</si>
  <si>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</si>
  <si>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</si>
  <si>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</si>
  <si>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</si>
  <si>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</si>
  <si>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</si>
  <si>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</si>
  <si>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</si>
  <si>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</si>
  <si>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</si>
  <si>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</si>
  <si>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</si>
  <si>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</si>
  <si>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</si>
  <si>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</si>
  <si>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</si>
  <si>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</si>
  <si>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</si>
  <si>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</si>
  <si>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</si>
  <si>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</si>
  <si>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</si>
  <si>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</si>
  <si>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</si>
  <si>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</si>
  <si>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</si>
  <si>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</si>
  <si>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</si>
  <si>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</si>
  <si>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</si>
  <si>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</si>
  <si>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</si>
  <si>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</si>
  <si>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</si>
  <si>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</si>
  <si>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</si>
  <si>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</si>
  <si>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</si>
  <si>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</si>
  <si>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</si>
  <si>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</si>
  <si>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</si>
  <si>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</si>
  <si>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</si>
  <si>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</si>
  <si>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</si>
  <si>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</si>
  <si>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</si>
  <si>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</si>
  <si>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</si>
  <si>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</si>
  <si>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</si>
  <si>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</si>
  <si>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</si>
  <si>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</si>
  <si>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</si>
  <si>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</si>
  <si>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</si>
  <si>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</si>
  <si>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</si>
  <si>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</si>
  <si>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</si>
  <si>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</si>
  <si>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</si>
  <si>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</si>
  <si>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</si>
  <si>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</si>
  <si>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</si>
  <si>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</si>
  <si>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</si>
  <si>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</si>
  <si>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</si>
  <si>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</si>
  <si>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</si>
  <si>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</si>
  <si>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</si>
  <si>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</si>
  <si>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</si>
  <si>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</si>
  <si>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</si>
  <si>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</si>
  <si>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</si>
  <si>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</si>
  <si>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</si>
  <si>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</si>
  <si>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</si>
  <si>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</si>
  <si>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</si>
  <si>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</si>
  <si>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</si>
  <si>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</si>
  <si>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</si>
  <si>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</si>
  <si>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</si>
  <si>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</si>
  <si>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</si>
  <si>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</si>
  <si>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</si>
  <si>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</si>
  <si>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</si>
  <si>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</si>
  <si>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</si>
  <si>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</si>
  <si>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</si>
  <si>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</si>
  <si>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</si>
  <si>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</si>
  <si>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</si>
  <si>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</si>
  <si>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</si>
  <si>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</si>
  <si>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</si>
  <si>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</si>
  <si>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</si>
  <si>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</si>
  <si>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</si>
  <si>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</si>
  <si>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</si>
  <si>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</si>
  <si>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</si>
  <si>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</si>
  <si>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</si>
  <si>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</si>
  <si>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</si>
  <si>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</si>
  <si>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</si>
  <si>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</si>
  <si>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</si>
  <si>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</si>
  <si>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</si>
  <si>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</si>
  <si>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</si>
  <si>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</si>
  <si>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</si>
  <si>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</si>
  <si>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</si>
  <si>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</si>
  <si>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</si>
  <si>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</si>
  <si>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</si>
  <si>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</si>
  <si>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</si>
  <si>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</si>
  <si>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</si>
  <si>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</si>
  <si>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</si>
  <si>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</si>
  <si>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</si>
  <si>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</si>
  <si>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</si>
  <si>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</si>
  <si>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</si>
  <si>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</si>
  <si>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</si>
  <si>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</si>
  <si>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</si>
  <si>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</si>
  <si>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</si>
  <si>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</si>
  <si>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</si>
  <si>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</si>
  <si>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</si>
  <si>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</si>
  <si>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</si>
  <si>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</si>
  <si>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</si>
  <si>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</si>
  <si>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</si>
  <si>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</si>
  <si>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</si>
  <si>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</si>
  <si>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</si>
  <si>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</si>
  <si>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</si>
  <si>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</si>
  <si>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</si>
  <si>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</si>
  <si>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</si>
  <si>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</si>
  <si>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</si>
  <si>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</si>
  <si>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</si>
  <si>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</si>
  <si>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</si>
  <si>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</si>
  <si>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</si>
  <si>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</si>
  <si>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</si>
  <si>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</si>
  <si>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</si>
  <si>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</si>
  <si>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</si>
  <si>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</si>
  <si>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</si>
  <si>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</si>
  <si>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</si>
  <si>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</si>
  <si>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</si>
  <si>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</si>
  <si>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</si>
  <si>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</si>
  <si>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</si>
  <si>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</si>
  <si>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</si>
  <si>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</si>
  <si>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</si>
  <si>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</si>
  <si>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</si>
  <si>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</si>
  <si>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</si>
  <si>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</si>
  <si>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</si>
  <si>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</si>
  <si>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</si>
  <si>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</si>
  <si>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</si>
  <si>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</si>
  <si>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</si>
  <si>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</si>
  <si>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</si>
  <si>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</si>
  <si>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</si>
  <si>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</si>
  <si>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</si>
  <si>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</si>
  <si>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</si>
  <si>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</si>
  <si>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</si>
  <si>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</si>
  <si>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</si>
  <si>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</si>
  <si>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</si>
  <si>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</si>
  <si>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</si>
  <si>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</si>
  <si>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</si>
  <si>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</si>
  <si>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</si>
  <si>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</si>
  <si>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</si>
  <si>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</si>
  <si>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</si>
  <si>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</si>
  <si>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</si>
  <si>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</si>
  <si>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</si>
  <si>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</si>
  <si>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</si>
  <si>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</si>
  <si>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</si>
  <si>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</si>
  <si>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</si>
  <si>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</si>
  <si>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</si>
  <si>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</si>
  <si>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</si>
  <si>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</si>
  <si>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</si>
  <si>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</si>
  <si>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</si>
  <si>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</si>
  <si>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</si>
  <si>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</si>
  <si>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</si>
  <si>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</si>
  <si>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</si>
  <si>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</si>
  <si>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</si>
  <si>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</si>
  <si>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</si>
  <si>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</si>
  <si>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</si>
  <si>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</si>
  <si>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</si>
  <si>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</si>
  <si>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</si>
  <si>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</si>
  <si>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</si>
  <si>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</si>
  <si>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</si>
  <si>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</si>
  <si>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</si>
  <si>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</si>
  <si>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</si>
  <si>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</si>
  <si>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</si>
  <si>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</si>
  <si>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</si>
  <si>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</si>
  <si>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</si>
  <si>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</si>
  <si>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</si>
  <si>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</si>
  <si>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</si>
  <si>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</si>
  <si>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</si>
  <si>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</si>
  <si>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</si>
  <si>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</si>
  <si>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</si>
  <si>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</si>
  <si>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</si>
  <si>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</si>
  <si>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</si>
  <si>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</si>
  <si>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</si>
  <si>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</si>
  <si>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</si>
  <si>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</si>
  <si>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</si>
  <si>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</si>
  <si>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</si>
  <si>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</si>
  <si>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</si>
  <si>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</si>
  <si>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</si>
  <si>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</si>
  <si>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</si>
  <si>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</si>
  <si>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</si>
  <si>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</si>
  <si>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</si>
  <si>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</si>
  <si>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</si>
  <si>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</si>
  <si>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</si>
  <si>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</si>
  <si>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</si>
  <si>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</si>
  <si>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</si>
  <si>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</si>
  <si>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</si>
  <si>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</si>
  <si>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</si>
  <si>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</si>
  <si>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</si>
  <si>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</si>
  <si>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</si>
  <si>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</si>
  <si>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</si>
  <si>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</si>
  <si>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</si>
  <si>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</si>
  <si>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</si>
  <si>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</si>
  <si>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</si>
  <si>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</si>
  <si>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</si>
  <si>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</si>
  <si>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</si>
  <si>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</si>
  <si>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</si>
  <si>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</si>
  <si>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</si>
  <si>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</si>
  <si>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</si>
  <si>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</si>
  <si>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</si>
  <si>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</si>
  <si>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</si>
  <si>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</si>
  <si>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</si>
  <si>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</si>
  <si>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</si>
  <si>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</si>
  <si>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</si>
  <si>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</si>
  <si>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</si>
  <si>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</si>
  <si>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</si>
  <si>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</si>
  <si>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</si>
  <si>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</si>
  <si>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</si>
  <si>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</si>
  <si>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</si>
  <si>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</si>
  <si>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</si>
  <si>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</si>
  <si>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</si>
  <si>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</si>
  <si>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</si>
  <si>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</si>
  <si>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</si>
  <si>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</si>
  <si>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</si>
  <si>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</si>
  <si>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</si>
  <si>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</si>
  <si>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</si>
  <si>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</si>
  <si>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</si>
  <si>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</si>
  <si>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</si>
  <si>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</si>
  <si>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</si>
  <si>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</si>
  <si>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</si>
  <si>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</si>
  <si>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</si>
  <si>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</si>
  <si>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</si>
  <si>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</si>
  <si>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</si>
  <si>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</si>
  <si>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</si>
  <si>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</si>
  <si>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</si>
  <si>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</si>
  <si>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</si>
  <si>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</si>
  <si>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</si>
  <si>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</si>
  <si>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</si>
  <si>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</si>
  <si>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</si>
  <si>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</si>
  <si>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</si>
  <si>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</si>
  <si>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</si>
  <si>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</si>
  <si>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</si>
  <si>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</si>
  <si>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</si>
  <si>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</si>
  <si>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</si>
  <si>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</si>
  <si>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</si>
  <si>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</si>
  <si>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</si>
  <si>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</si>
  <si>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</si>
  <si>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</si>
  <si>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</si>
  <si>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</si>
  <si>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</si>
  <si>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</si>
  <si>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</si>
  <si>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</si>
  <si>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</si>
  <si>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</si>
  <si>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</si>
  <si>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</si>
  <si>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</si>
  <si>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</si>
  <si>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</si>
  <si>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</si>
  <si>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</si>
  <si>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</si>
  <si>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</si>
  <si>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</si>
  <si>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</si>
  <si>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</si>
  <si>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</si>
  <si>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</si>
  <si>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</si>
  <si>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</si>
  <si>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</si>
  <si>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</si>
  <si>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</si>
  <si>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</si>
  <si>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</si>
  <si>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</si>
  <si>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</si>
  <si>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</si>
  <si>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</si>
  <si>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</si>
  <si>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</si>
  <si>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</si>
  <si>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</si>
  <si>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</si>
  <si>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</si>
  <si>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</si>
  <si>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</si>
  <si>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</si>
  <si>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</si>
  <si>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</si>
  <si>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</si>
  <si>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</si>
  <si>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</si>
  <si>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</si>
  <si>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</si>
  <si>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</si>
  <si>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</si>
  <si>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</si>
  <si>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</si>
  <si>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</si>
  <si>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</si>
  <si>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</si>
  <si>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</si>
  <si>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</si>
  <si>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</si>
  <si>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</si>
  <si>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</si>
  <si>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</si>
  <si>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</si>
  <si>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</si>
  <si>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</si>
  <si>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</si>
  <si>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</si>
  <si>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</si>
  <si>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</si>
  <si>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</si>
  <si>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</si>
  <si>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</si>
  <si>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</si>
  <si>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</si>
  <si>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</si>
  <si>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</si>
  <si>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</si>
  <si>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</si>
  <si>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</si>
  <si>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</si>
  <si>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</si>
  <si>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</si>
  <si>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</si>
  <si>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</si>
  <si>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</si>
  <si>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</si>
  <si>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</si>
  <si>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</si>
  <si>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</si>
  <si>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</si>
  <si>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</si>
  <si>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</si>
  <si>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</si>
  <si>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</si>
  <si>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</si>
  <si>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</si>
  <si>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</si>
  <si>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</si>
  <si>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</si>
  <si>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</si>
  <si>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</si>
  <si>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</si>
  <si>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</si>
  <si>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</si>
  <si>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</si>
  <si>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</si>
  <si>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</si>
  <si>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</si>
  <si>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</si>
  <si>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</si>
  <si>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</si>
  <si>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</si>
  <si>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</si>
  <si>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</si>
  <si>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</si>
  <si>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</si>
  <si>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</si>
  <si>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</si>
  <si>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</si>
  <si>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</si>
  <si>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</si>
  <si>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</si>
  <si>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</si>
  <si>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</si>
  <si>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</si>
  <si>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</si>
  <si>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</si>
  <si>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</si>
  <si>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</si>
  <si>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</si>
  <si>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</si>
  <si>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</si>
  <si>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</si>
  <si>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</si>
  <si>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</si>
  <si>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</si>
  <si>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</si>
  <si>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</si>
  <si>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</si>
  <si>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</si>
  <si>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</si>
  <si>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</si>
  <si>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</si>
  <si>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</si>
  <si>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</si>
  <si>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</si>
  <si>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</si>
  <si>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</si>
  <si>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</si>
  <si>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</si>
  <si>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</si>
  <si>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</si>
  <si>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</si>
  <si>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</si>
  <si>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</si>
  <si>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</si>
  <si>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</si>
  <si>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</si>
  <si>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</si>
  <si>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</si>
  <si>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</si>
  <si>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</si>
  <si>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</si>
  <si>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</si>
  <si>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</si>
  <si>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</si>
  <si>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</si>
  <si>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</si>
  <si>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</si>
  <si>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</si>
  <si>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</si>
  <si>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</si>
  <si>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</si>
  <si>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</si>
  <si>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</si>
  <si>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</si>
  <si>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</si>
  <si>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</si>
  <si>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</si>
  <si>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</si>
  <si>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</si>
  <si>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</si>
  <si>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</si>
  <si>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</si>
  <si>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</si>
  <si>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</si>
  <si>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</si>
  <si>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</si>
  <si>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</si>
  <si>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</si>
  <si>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</si>
  <si>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</si>
  <si>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</si>
  <si>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</si>
  <si>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</si>
  <si>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</si>
  <si>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</si>
  <si>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</si>
  <si>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</si>
  <si>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</si>
  <si>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</si>
  <si>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</si>
  <si>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</si>
  <si>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</si>
  <si>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</si>
  <si>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</si>
  <si>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</si>
  <si>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</si>
  <si>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</si>
  <si>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</si>
  <si>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</si>
  <si>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</si>
  <si>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</si>
  <si>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</si>
  <si>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</si>
  <si>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</si>
  <si>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</si>
  <si>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</si>
  <si>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</si>
  <si>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</si>
  <si>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</si>
  <si>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</si>
  <si>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</si>
  <si>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</si>
  <si>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</si>
  <si>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</si>
  <si>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</si>
  <si>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</si>
  <si>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</si>
  <si>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</si>
  <si>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</si>
  <si>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</si>
  <si>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</si>
  <si>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</si>
  <si>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</si>
  <si>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</si>
  <si>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</si>
  <si>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</si>
  <si>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</si>
  <si>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</si>
  <si>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</si>
  <si>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</si>
  <si>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</si>
  <si>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</si>
  <si>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</si>
  <si>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</si>
  <si>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</si>
  <si>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</si>
  <si>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</si>
  <si>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</si>
  <si>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</si>
  <si>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</si>
  <si>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</si>
  <si>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</si>
  <si>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</si>
  <si>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</si>
  <si>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</si>
  <si>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</si>
  <si>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</si>
  <si>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</si>
  <si>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</si>
  <si>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</si>
  <si>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</si>
  <si>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</si>
  <si>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</si>
  <si>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</si>
  <si>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</si>
  <si>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</si>
  <si>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</si>
  <si>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</si>
  <si>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</si>
  <si>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</si>
  <si>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</si>
  <si>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</si>
  <si>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</si>
  <si>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</si>
  <si>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</si>
  <si>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</si>
  <si>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</si>
  <si>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</si>
  <si>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</si>
  <si>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</si>
  <si>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</si>
  <si>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</si>
  <si>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</si>
  <si>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</si>
  <si>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</si>
  <si>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</si>
  <si>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</si>
  <si>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</si>
  <si>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</si>
  <si>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</si>
  <si>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</si>
  <si>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</si>
  <si>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</si>
  <si>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</si>
  <si>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</si>
  <si>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</si>
  <si>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</si>
  <si>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</si>
  <si>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</si>
  <si>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</si>
  <si>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</si>
  <si>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</si>
  <si>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</si>
  <si>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</si>
  <si>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</si>
  <si>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</si>
  <si>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</si>
  <si>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</si>
  <si>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</si>
  <si>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</si>
  <si>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</si>
  <si>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</si>
  <si>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</si>
  <si>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</si>
  <si>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</si>
  <si>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</si>
  <si>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</si>
  <si>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</si>
  <si>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</si>
  <si>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</si>
  <si>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</si>
  <si>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</si>
  <si>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</si>
  <si>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</si>
  <si>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</si>
  <si>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</si>
  <si>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</si>
  <si>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</si>
  <si>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</si>
  <si>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</si>
  <si>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</si>
  <si>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</si>
  <si>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</si>
  <si>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</si>
  <si>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</si>
  <si>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</si>
  <si>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</si>
  <si>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</si>
  <si>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</si>
  <si>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</si>
  <si>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</si>
  <si>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</si>
  <si>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</si>
  <si>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</si>
  <si>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</si>
  <si>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</si>
  <si>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</si>
  <si>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</si>
  <si>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</si>
  <si>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</si>
  <si>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</si>
  <si>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</si>
  <si>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</si>
  <si>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</si>
  <si>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</si>
  <si>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</si>
  <si>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</si>
  <si>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</si>
  <si>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</si>
  <si>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</si>
  <si>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</si>
  <si>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</si>
  <si>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</si>
  <si>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</si>
  <si>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</si>
  <si>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</si>
  <si>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</si>
  <si>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</si>
  <si>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</si>
  <si>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</si>
  <si>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</si>
  <si>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</si>
  <si>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</si>
  <si>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</si>
  <si>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</si>
  <si>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</si>
  <si>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</si>
  <si>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</si>
  <si>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</si>
  <si>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</si>
  <si>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</si>
  <si>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</si>
  <si>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</si>
  <si>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</si>
  <si>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</si>
  <si>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</si>
  <si>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</si>
  <si>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</si>
  <si>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</si>
  <si>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</si>
  <si>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</si>
  <si>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</si>
  <si>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</si>
  <si>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</si>
  <si>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</si>
  <si>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</si>
  <si>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</si>
  <si>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</si>
  <si>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</si>
  <si>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</si>
  <si>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</si>
  <si>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</si>
  <si>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</si>
  <si>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</si>
  <si>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</si>
  <si>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</si>
  <si>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</si>
  <si>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</si>
  <si>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</si>
  <si>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</si>
  <si>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</si>
  <si>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</si>
  <si>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</si>
  <si>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</si>
  <si>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</si>
  <si>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</si>
  <si>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</si>
  <si>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</si>
  <si>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</si>
  <si>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</si>
  <si>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</si>
  <si>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</si>
  <si>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</si>
  <si>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</si>
  <si>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</si>
  <si>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</si>
  <si>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</si>
  <si>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</si>
  <si>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</si>
  <si>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</si>
  <si>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</si>
  <si>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</si>
  <si>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</si>
  <si>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</si>
  <si>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</si>
  <si>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</si>
  <si>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</si>
  <si>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</si>
  <si>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</si>
  <si>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</si>
  <si>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</si>
  <si>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</si>
  <si>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</si>
  <si>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</si>
  <si>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</si>
  <si>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</si>
  <si>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</si>
  <si>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</si>
  <si>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</si>
  <si>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</si>
  <si>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</si>
  <si>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</si>
  <si>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</si>
  <si>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</si>
  <si>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</si>
  <si>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</si>
  <si>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</si>
  <si>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</si>
  <si>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</si>
  <si>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</si>
  <si>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</si>
  <si>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</si>
  <si>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</si>
  <si>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</si>
  <si>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</si>
  <si>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</si>
  <si>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</si>
  <si>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</si>
  <si>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</si>
  <si>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</si>
  <si>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</si>
  <si>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</si>
  <si>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</si>
  <si>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</si>
  <si>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</si>
  <si>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</si>
  <si>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</si>
  <si>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</si>
  <si>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</si>
  <si>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</si>
  <si>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</si>
  <si>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</si>
  <si>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</si>
  <si>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</si>
  <si>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</si>
  <si>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</si>
  <si>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</si>
  <si>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</si>
  <si>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</si>
  <si>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</si>
  <si>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</si>
  <si>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</si>
  <si>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</si>
  <si>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</si>
  <si>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</si>
  <si>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</si>
  <si>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</si>
  <si>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</si>
  <si>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</si>
  <si>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</si>
  <si>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</si>
  <si>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</si>
  <si>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</si>
  <si>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</si>
  <si>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</si>
  <si>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</si>
  <si>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</si>
  <si>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</si>
  <si>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</si>
  <si>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</si>
  <si>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</si>
  <si>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</si>
  <si>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</si>
  <si>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</si>
  <si>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</si>
  <si>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</si>
  <si>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</si>
  <si>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</si>
  <si>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</si>
  <si>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</si>
  <si>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</si>
  <si>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</si>
  <si>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</si>
  <si>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</si>
  <si>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</si>
  <si>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</si>
  <si>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</si>
  <si>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</si>
  <si>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</si>
  <si>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</si>
  <si>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</si>
  <si>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</si>
  <si>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</si>
  <si>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</si>
  <si>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</si>
  <si>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</si>
  <si>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</si>
  <si>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</si>
  <si>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</si>
  <si>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</si>
  <si>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</si>
  <si>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</si>
  <si>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</si>
  <si>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</si>
  <si>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</si>
  <si>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</si>
  <si>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</si>
  <si>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</si>
  <si>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</si>
  <si>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</si>
  <si>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</si>
  <si>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</si>
  <si>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</si>
  <si>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</si>
  <si>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</si>
  <si>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</si>
  <si>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</si>
  <si>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</si>
  <si>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</si>
  <si>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</si>
  <si>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</si>
  <si>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</si>
  <si>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</si>
  <si>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</si>
  <si>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</si>
  <si>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</si>
  <si>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</si>
  <si>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</si>
  <si>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</si>
  <si>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</si>
  <si>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</si>
  <si>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</si>
  <si>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</si>
  <si>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</si>
  <si>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</si>
  <si>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</si>
  <si>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</si>
  <si>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</si>
  <si>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</si>
  <si>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</si>
  <si>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</si>
  <si>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</si>
  <si>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</si>
  <si>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</si>
  <si>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</si>
  <si>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</si>
  <si>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</si>
  <si>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</si>
  <si>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</si>
  <si>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</si>
  <si>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</si>
  <si>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</si>
  <si>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</si>
  <si>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</si>
  <si>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</si>
  <si>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</si>
  <si>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</si>
  <si>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</si>
  <si>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</si>
  <si>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</si>
  <si>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</si>
  <si>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</si>
  <si>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</si>
  <si>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</si>
  <si>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</si>
  <si>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</si>
  <si>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</si>
  <si>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</si>
  <si>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</si>
  <si>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</si>
  <si>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</si>
  <si>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</si>
  <si>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</si>
  <si>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</si>
  <si>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</si>
  <si>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</si>
  <si>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</si>
  <si>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</si>
  <si>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</si>
  <si>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</si>
  <si>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</si>
  <si>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</si>
  <si>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</si>
  <si>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</si>
  <si>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</si>
  <si>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</si>
  <si>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</si>
  <si>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</si>
  <si>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</si>
  <si>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</si>
  <si>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</si>
  <si>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</si>
  <si>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</si>
  <si>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</si>
  <si>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</si>
  <si>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</si>
  <si>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</si>
  <si>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</si>
  <si>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</si>
  <si>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</si>
  <si>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</si>
  <si>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</si>
  <si>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</si>
  <si>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</si>
  <si>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</si>
  <si>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</si>
  <si>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</si>
  <si>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</si>
  <si>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Page broken (B11)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</si>
  <si>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</si>
  <si>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</si>
  <si>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</si>
  <si>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</si>
  <si>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</si>
  <si>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</si>
  <si>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</si>
  <si>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</si>
  <si>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</si>
  <si>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</si>
  <si>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</si>
  <si>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</si>
  <si>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</si>
  <si>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</si>
  <si>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</si>
  <si>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</si>
  <si>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</si>
  <si>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</si>
  <si>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</si>
  <si>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</si>
  <si>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</si>
  <si>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</si>
  <si>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</si>
  <si>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</si>
  <si>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</si>
  <si>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</si>
  <si>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</si>
  <si>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</si>
  <si>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</si>
  <si>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</si>
  <si>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</si>
  <si>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</si>
  <si>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</si>
  <si>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</si>
  <si>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</si>
  <si>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</si>
  <si>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</si>
  <si>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</si>
  <si>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</si>
  <si>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</si>
  <si>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</si>
  <si>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</si>
  <si>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</si>
  <si>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</si>
  <si>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</si>
  <si>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</si>
  <si>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</si>
  <si>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</si>
  <si>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</si>
  <si>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</si>
  <si>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</si>
  <si>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</si>
  <si>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</si>
  <si>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</si>
  <si>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</si>
  <si>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</si>
  <si>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</si>
  <si>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</si>
  <si>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</si>
  <si>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</si>
  <si>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</si>
  <si>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</si>
  <si>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</si>
  <si>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</si>
  <si>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</si>
  <si>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</si>
  <si>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</si>
  <si>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</si>
  <si>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</si>
  <si>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</si>
  <si>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</si>
  <si>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</si>
  <si>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</si>
  <si>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</si>
  <si>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</si>
  <si>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</si>
  <si>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</si>
  <si>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</si>
  <si>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</si>
  <si>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</si>
  <si>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</si>
  <si>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</si>
  <si>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</si>
  <si>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</si>
  <si>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</si>
  <si>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</si>
  <si>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</si>
  <si>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</si>
  <si>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</si>
  <si>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</si>
  <si>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</si>
  <si>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</si>
  <si>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</si>
  <si>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</si>
  <si>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</si>
  <si>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</si>
  <si>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</si>
  <si>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</si>
  <si>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</si>
  <si>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</si>
  <si>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</si>
  <si>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</si>
  <si>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</si>
  <si>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</si>
  <si>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</si>
  <si>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</si>
  <si>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</si>
  <si>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</si>
  <si>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</si>
  <si>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</si>
  <si>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</si>
  <si>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</si>
  <si>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</si>
  <si>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</si>
  <si>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</si>
  <si>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</si>
  <si>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</si>
  <si>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</si>
  <si>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</si>
  <si>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</si>
  <si>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</si>
  <si>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</si>
  <si>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</si>
  <si>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</si>
  <si>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</si>
  <si>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</si>
  <si>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</si>
  <si>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</si>
  <si>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</si>
  <si>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</si>
  <si>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</si>
  <si>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</si>
  <si>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</si>
  <si>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</si>
  <si>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</si>
  <si>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</si>
  <si>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</si>
  <si>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</si>
  <si>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</si>
  <si>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</si>
  <si>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</si>
  <si>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</si>
  <si>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</si>
  <si>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</si>
  <si>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</si>
  <si>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</si>
  <si>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</si>
  <si>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</si>
  <si>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</si>
  <si>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</si>
  <si>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</si>
  <si>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</si>
  <si>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</si>
  <si>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</si>
  <si>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</si>
  <si>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</si>
  <si>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</si>
  <si>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</si>
  <si>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</si>
  <si>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</si>
  <si>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</si>
  <si>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</si>
  <si>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</si>
  <si>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</si>
  <si>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</si>
  <si>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</si>
  <si>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</si>
  <si>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</si>
  <si>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</si>
  <si>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</si>
  <si>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</si>
  <si>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</si>
  <si>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</si>
  <si>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</si>
  <si>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</si>
  <si>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</si>
  <si>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</si>
  <si>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</si>
  <si>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</si>
  <si>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</si>
  <si>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</si>
  <si>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</si>
  <si>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</si>
  <si>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</si>
  <si>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</si>
  <si>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</si>
  <si>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Page broken (B9)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</si>
  <si>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</si>
  <si>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</si>
  <si>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</si>
  <si>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</si>
  <si>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</si>
  <si>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</si>
  <si>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</si>
  <si>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</si>
  <si>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</si>
  <si>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</si>
  <si>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</si>
  <si>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</si>
  <si>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</si>
  <si>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</si>
  <si>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</si>
  <si>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</si>
  <si>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</si>
  <si>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</si>
  <si>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</si>
  <si>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</si>
  <si>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</si>
  <si>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</si>
  <si>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</si>
  <si>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</si>
  <si>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</si>
  <si>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</si>
  <si>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</si>
  <si>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</si>
  <si>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</si>
  <si>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</si>
  <si>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</si>
  <si>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</si>
  <si>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</si>
  <si>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</si>
  <si>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</si>
  <si>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</si>
  <si>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</si>
  <si>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</si>
  <si>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</si>
  <si>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</si>
  <si>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</si>
  <si>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</si>
  <si>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</si>
  <si>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</si>
  <si>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</si>
  <si>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</si>
  <si>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</si>
  <si>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</si>
  <si>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</si>
  <si>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</si>
  <si>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</si>
  <si>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</si>
  <si>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</si>
  <si>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</si>
  <si>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</si>
  <si>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</si>
  <si>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</si>
  <si>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</si>
  <si>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</si>
  <si>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</si>
  <si>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</si>
  <si>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</si>
  <si>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</si>
  <si>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</si>
  <si>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</si>
  <si>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</si>
  <si>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</si>
  <si>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</si>
  <si>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</si>
  <si>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</si>
  <si>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</si>
  <si>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</si>
  <si>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</si>
  <si>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</si>
  <si>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</si>
  <si>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</si>
  <si>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</si>
  <si>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</si>
  <si>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</si>
  <si>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</si>
  <si>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</si>
  <si>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</si>
  <si>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</si>
  <si>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</si>
  <si>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</si>
  <si>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</si>
  <si>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Page broken (B12)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</si>
  <si>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</si>
  <si>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</si>
  <si>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</si>
  <si>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</si>
  <si>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</si>
  <si>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</si>
  <si>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</si>
  <si>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</si>
  <si>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</si>
  <si>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</si>
  <si>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</si>
  <si>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</si>
  <si>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</si>
  <si>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</si>
  <si>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</si>
  <si>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</si>
  <si>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</si>
  <si>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</si>
  <si>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</si>
  <si>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</si>
  <si>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</si>
  <si>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</si>
  <si>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</si>
  <si>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</si>
  <si>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</si>
  <si>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</si>
  <si>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</si>
  <si>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</si>
  <si>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</si>
  <si>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</si>
  <si>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</si>
  <si>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</si>
  <si>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</si>
  <si>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</si>
  <si>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</si>
  <si>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</si>
  <si>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</si>
  <si>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</si>
  <si>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</si>
  <si>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</si>
  <si>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</si>
  <si>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</si>
  <si>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</si>
  <si>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</si>
  <si>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</si>
  <si>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</si>
  <si>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</si>
  <si>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</si>
  <si>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</si>
  <si>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</si>
  <si>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Sticker to be changed (tiles)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</si>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</sst>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rgb="FFF2F2F2"/>
        <bgColor rgb="FFF2F2F2"/>
      </patternFill>
    </fill>
    <fill>
      <patternFill patternType="solid">
        <fgColor rgb="FFDAE3F3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8D0F0"/>
        <bgColor rgb="FFF2F2F2"/>
      </patternFill>
    </fill>
    <fill>
      <patternFill patternType="solid">
        <fgColor rgb="FFD9F0EF"/>
        <bgColor rgb="FFF2F2F2"/>
      </patternFill>
    </fill>
    <fill>
      <patternFill patternType="solid">
        <fgColor rgb="FFFFFFFF"/>
        <bgColor rgb="FF000000"/>
      </patternFill>
    </fill>
    <fill>
      <patternFill patternType="solid">
        <fgColor rgb="FFDAE3F3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8D0F0"/>
        <bgColor rgb="FF000000"/>
      </patternFill>
    </fill>
    <fill>
      <patternFill patternType="solid">
        <fgColor rgb="FFD9F0E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center" vertical="center"/>
    </xf>
    <xf numFmtId="0" fontId="6" fillId="17" borderId="1" xfId="0" applyFont="1" applyFill="1" applyBorder="1"/>
    <xf numFmtId="0" fontId="7" fillId="17" borderId="1" xfId="0" applyFont="1" applyFill="1" applyBorder="1"/>
    <xf numFmtId="0" fontId="6" fillId="18" borderId="1" xfId="0" applyFont="1" applyFill="1" applyBorder="1"/>
    <xf numFmtId="0" fontId="7" fillId="19" borderId="2" xfId="0" applyFont="1" applyFill="1" applyBorder="1"/>
    <xf numFmtId="0" fontId="6" fillId="20" borderId="1" xfId="0" applyFont="1" applyFill="1" applyBorder="1"/>
    <xf numFmtId="0" fontId="8" fillId="20" borderId="1" xfId="0" applyFont="1" applyFill="1" applyBorder="1"/>
    <xf numFmtId="0" fontId="6" fillId="21" borderId="1" xfId="0" applyFont="1" applyFill="1" applyBorder="1"/>
    <xf numFmtId="0" fontId="8" fillId="21" borderId="1" xfId="0" applyFont="1" applyFill="1" applyBorder="1"/>
    <xf numFmtId="0" fontId="6" fillId="22" borderId="1" xfId="0" applyFont="1" applyFill="1" applyBorder="1"/>
    <xf numFmtId="0" fontId="8" fillId="22" borderId="1" xfId="0" applyFont="1" applyFill="1" applyBorder="1"/>
    <xf numFmtId="0" fontId="6" fillId="23" borderId="3" xfId="0" applyFont="1" applyFill="1" applyBorder="1"/>
    <xf numFmtId="0" fontId="6" fillId="23" borderId="4" xfId="0" applyFont="1" applyFill="1" applyBorder="1"/>
    <xf numFmtId="0" fontId="7" fillId="23" borderId="4" xfId="0" applyFont="1" applyFill="1" applyBorder="1"/>
    <xf numFmtId="0" fontId="7" fillId="25" borderId="5" xfId="0" applyFont="1" applyFill="1" applyBorder="1"/>
    <xf numFmtId="0" fontId="6" fillId="24" borderId="3" xfId="0" applyFont="1" applyFill="1" applyBorder="1"/>
    <xf numFmtId="0" fontId="6" fillId="26" borderId="4" xfId="0" applyFont="1" applyFill="1" applyBorder="1"/>
    <xf numFmtId="0" fontId="6" fillId="26" borderId="3" xfId="0" applyFont="1" applyFill="1" applyBorder="1"/>
    <xf numFmtId="0" fontId="8" fillId="26" borderId="4" xfId="0" applyFont="1" applyFill="1" applyBorder="1"/>
    <xf numFmtId="0" fontId="6" fillId="27" borderId="4" xfId="0" applyFont="1" applyFill="1" applyBorder="1"/>
    <xf numFmtId="0" fontId="6" fillId="27" borderId="3" xfId="0" applyFont="1" applyFill="1" applyBorder="1"/>
    <xf numFmtId="0" fontId="8" fillId="27" borderId="4" xfId="0" applyFont="1" applyFill="1" applyBorder="1"/>
    <xf numFmtId="0" fontId="6" fillId="28" borderId="4" xfId="0" applyFont="1" applyFill="1" applyBorder="1"/>
    <xf numFmtId="0" fontId="6" fillId="28" borderId="3" xfId="0" applyFont="1" applyFill="1" applyBorder="1"/>
    <xf numFmtId="0" fontId="8" fillId="28" borderId="4" xfId="0" applyFont="1" applyFill="1" applyBorder="1"/>
    <xf numFmtId="14" fontId="15" fillId="16" borderId="1" xfId="0" applyNumberFormat="1" applyFont="1" applyFill="1" applyBorder="1" applyAlignment="1">
      <alignment horizontal="center" vertical="center"/>
    </xf>
    <xf numFmtId="164" fontId="6" fillId="12" borderId="1" xfId="0" applyNumberFormat="1" applyFont="1" applyFill="1" applyBorder="1" applyAlignment="1">
      <alignment horizontal="center" vertical="center"/>
    </xf>
    <xf numFmtId="164" fontId="6" fillId="20" borderId="1" xfId="0" applyNumberFormat="1" applyFont="1" applyFill="1" applyBorder="1"/>
    <xf numFmtId="164" fontId="6" fillId="26" borderId="4" xfId="0" applyNumberFormat="1" applyFont="1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84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85" t="s">
        <v>0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</row>
    <row r="2" spans="2:22" ht="15" customHeight="1" x14ac:dyDescent="0.3">
      <c r="B2" s="91" t="s">
        <v>1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</row>
    <row r="3" spans="2:22" ht="7.95" customHeight="1" x14ac:dyDescent="0.3"/>
    <row r="4" spans="2:22" ht="18" customHeight="1" x14ac:dyDescent="0.3">
      <c r="B4" s="1"/>
      <c r="C4" s="92" t="s">
        <v>2</v>
      </c>
      <c r="D4" s="76"/>
      <c r="E4" s="76"/>
      <c r="F4" s="77"/>
      <c r="G4" s="87" t="s">
        <v>3</v>
      </c>
      <c r="H4" s="76"/>
      <c r="I4" s="76"/>
      <c r="J4" s="77"/>
      <c r="K4" s="89" t="s">
        <v>4</v>
      </c>
      <c r="L4" s="76"/>
      <c r="M4" s="76"/>
      <c r="N4" s="77"/>
      <c r="O4" s="90" t="s">
        <v>5</v>
      </c>
      <c r="P4" s="76"/>
      <c r="Q4" s="76"/>
      <c r="R4" s="77"/>
      <c r="S4" s="88" t="s">
        <v>6</v>
      </c>
      <c r="T4" s="76"/>
      <c r="U4" s="76"/>
      <c r="V4" s="77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156</v>
      </c>
      <c r="E6" s="9">
        <f>COUNTIF(Laminates!M5:M296,"⚠ Check")+COUNTIF(Laminates!M5:M296,"⚠ Missing")+COUNTIF(Laminates!M5:M296,"❌ Disc")</f>
        <v>136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170</v>
      </c>
      <c r="I6" s="11">
        <f>COUNTIF(Laminates!V5:V296,"⚠ Check")+COUNTIF(Laminates!V5:V296,"⚠ Missing")+COUNTIF(Laminates!V5:V296,"❌ Disc")</f>
        <v>122</v>
      </c>
      <c r="J6" s="12">
        <f>IFERROR(COUNTIF(Laminates!N5:N296,"&lt;&gt;"&amp;"")/292,"—")</f>
        <v>1</v>
      </c>
      <c r="K6" s="13">
        <v>292</v>
      </c>
      <c r="L6" s="13">
        <f>COUNTIF(Laminates!AE5:AE296,"✓ OK")</f>
        <v>189</v>
      </c>
      <c r="M6" s="13">
        <f>COUNTIF(Laminates!AE5:AE296,"⚠ Check")+COUNTIF(Laminates!AE5:AE296,"⚠ Missing")+COUNTIF(Laminates!AE5:AE296,"❌ Disc")</f>
        <v>103</v>
      </c>
      <c r="N6" s="14">
        <f>IFERROR(COUNTIF(Laminates!W5:W296,"&lt;&gt;"&amp;"")/292,"—")</f>
        <v>1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53</v>
      </c>
      <c r="I7" s="20">
        <f>COUNTIF('Acrylic n Crystal Acrylic'!V5:V67,"⚠ Check")+COUNTIF('Acrylic n Crystal Acrylic'!V5:V67,"⚠ Missing")+COUNTIF('Acrylic n Crystal Acrylic'!V5:V67,"❌ Disc")</f>
        <v>10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72</v>
      </c>
      <c r="E8" s="9">
        <f>COUNTIF('PU and Membrane'!M5:M85,"⚠ Check")+COUNTIF('PU and Membrane'!M5:M85,"⚠ Missing")+COUNTIF('PU and Membrane'!M5:M85,"❌ Disc")</f>
        <v>9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72</v>
      </c>
      <c r="I8" s="11">
        <f>COUNTIF('PU and Membrane'!V5:V85,"⚠ Check")+COUNTIF('PU and Membrane'!V5:V85,"⚠ Missing")+COUNTIF('PU and Membrane'!V5:V85,"❌ Disc")</f>
        <v>9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72</v>
      </c>
      <c r="M8" s="13">
        <f>COUNTIF('PU and Membrane'!AE5:AE85,"⚠ Check")+COUNTIF('PU and Membrane'!AE5:AE85,"⚠ Missing")+COUNTIF('PU and Membrane'!AE5:AE85,"❌ Disc")</f>
        <v>9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153</v>
      </c>
      <c r="E9" s="20">
        <f>COUNTIF(Rafters!M5:M168,"⚠ Check")+COUNTIF(Rafters!M5:M168,"⚠ Missing")+COUNTIF(Rafters!M5:M168,"❌ Disc")</f>
        <v>11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152</v>
      </c>
      <c r="I9" s="20">
        <f>COUNTIF(Rafters!V5:V168,"⚠ Check")+COUNTIF(Rafters!V5:V168,"⚠ Missing")+COUNTIF(Rafters!V5:V168,"❌ Disc")</f>
        <v>12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152</v>
      </c>
      <c r="M9" s="20">
        <f>COUNTIF(Rafters!AE5:AE168,"⚠ Check")+COUNTIF(Rafters!AE5:AE168,"⚠ Missing")+COUNTIF(Rafters!AE5:AE168,"❌ Disc")</f>
        <v>9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1.8292682926829267E-2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1.8292682926829267E-2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916</v>
      </c>
      <c r="E10" s="9">
        <f>COUNTIF(Wallpaper!M5:M1413,"⚠ Check")+COUNTIF(Wallpaper!M5:M1413,"⚠ Missing")+COUNTIF(Wallpaper!M5:M1413,"❌ Disc")</f>
        <v>493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1400</v>
      </c>
      <c r="I10" s="11">
        <f>COUNTIF(Wallpaper!V5:V1413,"⚠ Check")+COUNTIF(Wallpaper!V5:V1413,"⚠ Missing")+COUNTIF(Wallpaper!V5:V1413,"❌ Disc")</f>
        <v>9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1400</v>
      </c>
      <c r="M10" s="13">
        <f>COUNTIF(Wallpaper!AE5:AE1413,"⚠ Check")+COUNTIF(Wallpaper!AE5:AE1413,"⚠ Missing")+COUNTIF(Wallpaper!AE5:AE1413,"❌ Disc")</f>
        <v>9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32</v>
      </c>
      <c r="E11" s="20">
        <f>COUNTIF(Quartz!M5:M77,"⚠ Check")+COUNTIF(Quartz!M5:M77,"⚠ Missing")+COUNTIF(Quartz!M5:M77,"❌ Disc")</f>
        <v>41</v>
      </c>
      <c r="F11" s="21">
        <f>IFERROR(COUNTIF(Quartz!E5:E77,"&lt;&gt;"&amp;"")/73,"—")</f>
        <v>1</v>
      </c>
      <c r="G11" s="20">
        <v>73</v>
      </c>
      <c r="H11" s="20">
        <f>COUNTIF(Quartz!V5:V77,"✓ OK")</f>
        <v>27</v>
      </c>
      <c r="I11" s="20">
        <f>COUNTIF(Quartz!V5:V77,"⚠ Check")+COUNTIF(Quartz!V5:V77,"⚠ Missing")+COUNTIF(Quartz!V5:V77,"❌ Disc")</f>
        <v>46</v>
      </c>
      <c r="J11" s="21">
        <f>IFERROR(COUNTIF(Quartz!N5:N77,"&lt;&gt;"&amp;"")/73,"—")</f>
        <v>1</v>
      </c>
      <c r="K11" s="20">
        <v>73</v>
      </c>
      <c r="L11" s="20">
        <f>COUNTIF(Quartz!AE5:AE77,"✓ OK")</f>
        <v>54</v>
      </c>
      <c r="M11" s="20">
        <f>COUNTIF(Quartz!AE5:AE77,"⚠ Check")+COUNTIF(Quartz!AE5:AE77,"⚠ Missing")+COUNTIF(Quartz!AE5:AE77,"❌ Disc")</f>
        <v>19</v>
      </c>
      <c r="N11" s="21">
        <f>IFERROR(COUNTIF(Quartz!W5:W77,"&lt;&gt;"&amp;"")/73,"—")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IFERROR(COUNTIF(Granite!E5:E15,"&lt;&gt;"&amp;"")/11,"—")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11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IFERROR(COUNTIF(Granite!W5:W15,"&lt;&gt;"&amp;"")/11,"—")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21</v>
      </c>
      <c r="E13" s="20">
        <f>COUNTIF('Wooden Flooring'!M5:M26,"⚠ Check")+COUNTIF('Wooden Flooring'!M5:M26,"⚠ Missing")+COUNTIF('Wooden Flooring'!M5:M26,"❌ Disc")</f>
        <v>1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21</v>
      </c>
      <c r="I13" s="20">
        <f>COUNTIF('Wooden Flooring'!V5:V26,"⚠ Check")+COUNTIF('Wooden Flooring'!V5:V26,"⚠ Missing")+COUNTIF('Wooden Flooring'!V5:V26,"❌ Disc")</f>
        <v>1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21</v>
      </c>
      <c r="M13" s="20">
        <f>COUNTIF('Wooden Flooring'!AE5:AE26,"⚠ Check")+COUNTIF('Wooden Flooring'!AE5:AE26,"⚠ Missing")+COUNTIF('Wooden Flooring'!AE5:AE26,"❌ Disc")</f>
        <v>1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0.60493827160493829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IFERROR(COUNTIF(Fabric!N5:N298,"&lt;&gt;"&amp;"")/486,"—")</f>
        <v>0.60493827160493829</v>
      </c>
      <c r="K17" s="20">
        <v>294</v>
      </c>
      <c r="L17" s="20">
        <f>COUNTIF(Fabric!AE5:AE298,"✓ OK")</f>
        <v>248</v>
      </c>
      <c r="M17" s="20">
        <f>COUNTIF(Fabric!AE5:AE298,"⚠ Check")+COUNTIF(Fabric!AE5:AE298,"⚠ Missing")+COUNTIF(Fabric!AE5:AE298,"❌ Disc")</f>
        <v>46</v>
      </c>
      <c r="N17" s="21">
        <f>IFERROR(COUNTIF(Fabric!W5:W298,"&lt;&gt;"&amp;"")/486,"—")</f>
        <v>0.60493827160493829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84" t="s">
        <v>24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7"/>
    </row>
    <row r="20" spans="2:22" hidden="1" x14ac:dyDescent="0.3">
      <c r="B20" s="88" t="s">
        <v>25</v>
      </c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7"/>
    </row>
    <row r="21" spans="2:22" ht="16.2" hidden="1" customHeight="1" x14ac:dyDescent="0.3">
      <c r="B21" s="86" t="s">
        <v>26</v>
      </c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7"/>
    </row>
    <row r="22" spans="2:22" ht="16.2" hidden="1" customHeight="1" x14ac:dyDescent="0.3">
      <c r="B22" s="83" t="s">
        <v>27</v>
      </c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7"/>
    </row>
    <row r="23" spans="2:22" ht="16.2" hidden="1" customHeight="1" x14ac:dyDescent="0.3">
      <c r="B23" s="86" t="s">
        <v>28</v>
      </c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7"/>
    </row>
    <row r="24" spans="2:22" ht="16.2" hidden="1" customHeight="1" x14ac:dyDescent="0.3">
      <c r="B24" s="83" t="s">
        <v>29</v>
      </c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7"/>
    </row>
    <row r="25" spans="2:22" ht="16.2" hidden="1" customHeight="1" x14ac:dyDescent="0.3">
      <c r="B25" s="86" t="s">
        <v>30</v>
      </c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7"/>
    </row>
    <row r="26" spans="2:22" ht="16.2" hidden="1" customHeight="1" x14ac:dyDescent="0.3">
      <c r="B26" s="83" t="s">
        <v>31</v>
      </c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AB4" sqref="AB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57</v>
      </c>
      <c r="Q5" s="26" t="s">
        <v>56</v>
      </c>
      <c r="R5" s="26" t="s">
        <v>58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70">
        <v>46248</v>
      </c>
      <c r="X5" s="30" t="s">
        <v>60</v>
      </c>
      <c r="Y5" s="30" t="s">
        <v>57</v>
      </c>
      <c r="Z5" s="30" t="s">
        <v>56</v>
      </c>
      <c r="AA5" s="30" t="s">
        <v>61</v>
      </c>
      <c r="AB5" s="30" t="s">
        <v>57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62</v>
      </c>
      <c r="C6" s="41" t="s">
        <v>63</v>
      </c>
      <c r="D6" s="39" t="s">
        <v>54</v>
      </c>
      <c r="E6" s="4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42">
        <v>46193</v>
      </c>
      <c r="O6" s="26" t="s">
        <v>55</v>
      </c>
      <c r="P6" s="26" t="s">
        <v>57</v>
      </c>
      <c r="Q6" s="26" t="s">
        <v>56</v>
      </c>
      <c r="R6" s="26" t="s">
        <v>61</v>
      </c>
      <c r="S6" s="26" t="s">
        <v>57</v>
      </c>
      <c r="T6" s="27"/>
      <c r="U6" s="28" t="s">
        <v>57</v>
      </c>
      <c r="V6" s="29" t="str">
        <f t="shared" si="1"/>
        <v>❌ Disc</v>
      </c>
      <c r="W6" s="70">
        <v>46248</v>
      </c>
      <c r="X6" s="30" t="s">
        <v>60</v>
      </c>
      <c r="Y6" s="30" t="s">
        <v>57</v>
      </c>
      <c r="Z6" s="30" t="s">
        <v>56</v>
      </c>
      <c r="AA6" s="30" t="s">
        <v>61</v>
      </c>
      <c r="AB6" s="30" t="s">
        <v>57</v>
      </c>
      <c r="AC6" s="27"/>
      <c r="AD6" s="31" t="s">
        <v>57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64</v>
      </c>
      <c r="C7" s="25" t="s">
        <v>65</v>
      </c>
      <c r="D7" s="23" t="s">
        <v>54</v>
      </c>
      <c r="E7" s="4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57</v>
      </c>
      <c r="Q7" s="26" t="s">
        <v>56</v>
      </c>
      <c r="R7" s="26" t="s">
        <v>61</v>
      </c>
      <c r="S7" s="26" t="s">
        <v>57</v>
      </c>
      <c r="T7" s="27"/>
      <c r="U7" s="28" t="s">
        <v>57</v>
      </c>
      <c r="V7" s="29" t="str">
        <f t="shared" si="1"/>
        <v>❌ Disc</v>
      </c>
      <c r="W7" s="70">
        <v>46248</v>
      </c>
      <c r="X7" s="30" t="s">
        <v>60</v>
      </c>
      <c r="Y7" s="30" t="s">
        <v>57</v>
      </c>
      <c r="Z7" s="30" t="s">
        <v>56</v>
      </c>
      <c r="AA7" s="30" t="s">
        <v>61</v>
      </c>
      <c r="AB7" s="30" t="s">
        <v>57</v>
      </c>
      <c r="AC7" s="27"/>
      <c r="AD7" s="31" t="s">
        <v>57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66</v>
      </c>
      <c r="C8" s="41" t="s">
        <v>67</v>
      </c>
      <c r="D8" s="39" t="s">
        <v>54</v>
      </c>
      <c r="E8" s="4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57</v>
      </c>
      <c r="Q8" s="26" t="s">
        <v>56</v>
      </c>
      <c r="R8" s="26" t="s">
        <v>61</v>
      </c>
      <c r="S8" s="26" t="s">
        <v>57</v>
      </c>
      <c r="T8" s="27"/>
      <c r="U8" s="28" t="s">
        <v>57</v>
      </c>
      <c r="V8" s="29" t="str">
        <f t="shared" si="1"/>
        <v>❌ Disc</v>
      </c>
      <c r="W8" s="70">
        <v>46248</v>
      </c>
      <c r="X8" s="30" t="s">
        <v>60</v>
      </c>
      <c r="Y8" s="30" t="s">
        <v>57</v>
      </c>
      <c r="Z8" s="30" t="s">
        <v>56</v>
      </c>
      <c r="AA8" s="30" t="s">
        <v>61</v>
      </c>
      <c r="AB8" s="30" t="s">
        <v>57</v>
      </c>
      <c r="AC8" s="27"/>
      <c r="AD8" s="31" t="s">
        <v>57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68</v>
      </c>
      <c r="C9" s="25" t="s">
        <v>69</v>
      </c>
      <c r="D9" s="23" t="s">
        <v>54</v>
      </c>
      <c r="E9" s="4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57</v>
      </c>
      <c r="Q9" s="26" t="s">
        <v>56</v>
      </c>
      <c r="R9" s="26" t="s">
        <v>61</v>
      </c>
      <c r="S9" s="26" t="s">
        <v>57</v>
      </c>
      <c r="T9" s="27"/>
      <c r="U9" s="28" t="s">
        <v>57</v>
      </c>
      <c r="V9" s="29" t="str">
        <f t="shared" si="1"/>
        <v>❌ Disc</v>
      </c>
      <c r="W9" s="70">
        <v>46248</v>
      </c>
      <c r="X9" s="30" t="s">
        <v>60</v>
      </c>
      <c r="Y9" s="30" t="s">
        <v>57</v>
      </c>
      <c r="Z9" s="30" t="s">
        <v>56</v>
      </c>
      <c r="AA9" s="30" t="s">
        <v>61</v>
      </c>
      <c r="AB9" s="30" t="s">
        <v>57</v>
      </c>
      <c r="AC9" s="27"/>
      <c r="AD9" s="31" t="s">
        <v>57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</v>
      </c>
      <c r="C10" s="41" t="s">
        <v>71</v>
      </c>
      <c r="D10" s="39" t="s">
        <v>72</v>
      </c>
      <c r="E10" s="4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73</v>
      </c>
      <c r="L10" s="28" t="s">
        <v>56</v>
      </c>
      <c r="M10" s="29" t="str">
        <f t="shared" si="0"/>
        <v>⚠ Check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73</v>
      </c>
      <c r="U10" s="28" t="s">
        <v>56</v>
      </c>
      <c r="V10" s="29" t="str">
        <f t="shared" si="1"/>
        <v>⚠ Check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57</v>
      </c>
      <c r="AC10" s="27" t="s">
        <v>73</v>
      </c>
      <c r="AD10" s="31" t="s">
        <v>56</v>
      </c>
      <c r="AE10" s="32" t="str">
        <f t="shared" si="2"/>
        <v>⚠ Check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74</v>
      </c>
      <c r="C11" s="25" t="s">
        <v>75</v>
      </c>
      <c r="D11" s="23" t="s">
        <v>72</v>
      </c>
      <c r="E11" s="4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76</v>
      </c>
      <c r="L11" s="28" t="s">
        <v>56</v>
      </c>
      <c r="M11" s="29" t="str">
        <f t="shared" si="0"/>
        <v>⚠ Check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57</v>
      </c>
      <c r="T11" s="27" t="s">
        <v>76</v>
      </c>
      <c r="U11" s="28" t="s">
        <v>56</v>
      </c>
      <c r="V11" s="29" t="str">
        <f t="shared" si="1"/>
        <v>⚠ Check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77</v>
      </c>
      <c r="C12" s="41" t="s">
        <v>78</v>
      </c>
      <c r="D12" s="39" t="s">
        <v>72</v>
      </c>
      <c r="E12" s="4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79</v>
      </c>
      <c r="C13" s="25" t="s">
        <v>80</v>
      </c>
      <c r="D13" s="23" t="s">
        <v>72</v>
      </c>
      <c r="E13" s="4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81</v>
      </c>
      <c r="C14" s="41" t="s">
        <v>82</v>
      </c>
      <c r="D14" s="39" t="s">
        <v>72</v>
      </c>
      <c r="E14" s="4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83</v>
      </c>
      <c r="C15" s="25" t="s">
        <v>84</v>
      </c>
      <c r="D15" s="23" t="s">
        <v>72</v>
      </c>
      <c r="E15" s="4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</v>
      </c>
      <c r="C16" s="41" t="s">
        <v>86</v>
      </c>
      <c r="D16" s="39" t="s">
        <v>72</v>
      </c>
      <c r="E16" s="4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76</v>
      </c>
      <c r="L16" s="28" t="s">
        <v>56</v>
      </c>
      <c r="M16" s="29" t="str">
        <f t="shared" si="0"/>
        <v>⚠ Check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76</v>
      </c>
      <c r="U16" s="28" t="s">
        <v>56</v>
      </c>
      <c r="V16" s="29" t="str">
        <f t="shared" si="1"/>
        <v>⚠ Check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87</v>
      </c>
      <c r="C17" s="25" t="s">
        <v>88</v>
      </c>
      <c r="D17" s="23" t="s">
        <v>72</v>
      </c>
      <c r="E17" s="42">
        <v>46128</v>
      </c>
      <c r="F17" s="26" t="s">
        <v>55</v>
      </c>
      <c r="G17" s="26" t="s">
        <v>57</v>
      </c>
      <c r="H17" s="26" t="s">
        <v>57</v>
      </c>
      <c r="I17" s="26" t="s">
        <v>89</v>
      </c>
      <c r="J17" s="26" t="s">
        <v>57</v>
      </c>
      <c r="K17" s="27" t="s">
        <v>90</v>
      </c>
      <c r="L17" s="28" t="s">
        <v>56</v>
      </c>
      <c r="M17" s="29" t="str">
        <f t="shared" si="0"/>
        <v>⚠ Missing</v>
      </c>
      <c r="N17" s="42">
        <v>46193</v>
      </c>
      <c r="O17" s="26" t="s">
        <v>55</v>
      </c>
      <c r="P17" s="26" t="s">
        <v>57</v>
      </c>
      <c r="Q17" s="26" t="s">
        <v>57</v>
      </c>
      <c r="R17" s="26" t="s">
        <v>89</v>
      </c>
      <c r="S17" s="26" t="s">
        <v>57</v>
      </c>
      <c r="T17" s="27" t="s">
        <v>90</v>
      </c>
      <c r="U17" s="28" t="s">
        <v>56</v>
      </c>
      <c r="V17" s="29" t="str">
        <f t="shared" si="1"/>
        <v>⚠ Missing</v>
      </c>
      <c r="W17" s="70">
        <v>46248</v>
      </c>
      <c r="X17" s="30" t="s">
        <v>55</v>
      </c>
      <c r="Y17" s="30" t="s">
        <v>57</v>
      </c>
      <c r="Z17" s="30" t="s">
        <v>57</v>
      </c>
      <c r="AA17" s="30" t="s">
        <v>89</v>
      </c>
      <c r="AB17" s="30" t="s">
        <v>57</v>
      </c>
      <c r="AC17" s="27" t="s">
        <v>90</v>
      </c>
      <c r="AD17" s="31" t="s">
        <v>56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91</v>
      </c>
      <c r="C18" s="41" t="s">
        <v>92</v>
      </c>
      <c r="D18" s="39" t="s">
        <v>72</v>
      </c>
      <c r="E18" s="42">
        <v>46128</v>
      </c>
      <c r="F18" s="26" t="s">
        <v>55</v>
      </c>
      <c r="G18" s="26" t="s">
        <v>57</v>
      </c>
      <c r="H18" s="26" t="s">
        <v>57</v>
      </c>
      <c r="I18" s="26" t="s">
        <v>89</v>
      </c>
      <c r="J18" s="26" t="s">
        <v>57</v>
      </c>
      <c r="K18" s="27" t="s">
        <v>90</v>
      </c>
      <c r="L18" s="28" t="s">
        <v>56</v>
      </c>
      <c r="M18" s="29" t="str">
        <f t="shared" si="0"/>
        <v>⚠ Missing</v>
      </c>
      <c r="N18" s="42">
        <v>46193</v>
      </c>
      <c r="O18" s="26" t="s">
        <v>55</v>
      </c>
      <c r="P18" s="26" t="s">
        <v>57</v>
      </c>
      <c r="Q18" s="26" t="s">
        <v>57</v>
      </c>
      <c r="R18" s="26" t="s">
        <v>89</v>
      </c>
      <c r="S18" s="26" t="s">
        <v>57</v>
      </c>
      <c r="T18" s="27" t="s">
        <v>90</v>
      </c>
      <c r="U18" s="28" t="s">
        <v>56</v>
      </c>
      <c r="V18" s="29" t="str">
        <f t="shared" si="1"/>
        <v>⚠ Missing</v>
      </c>
      <c r="W18" s="70">
        <v>46248</v>
      </c>
      <c r="X18" s="30" t="s">
        <v>55</v>
      </c>
      <c r="Y18" s="30" t="s">
        <v>57</v>
      </c>
      <c r="Z18" s="30" t="s">
        <v>57</v>
      </c>
      <c r="AA18" s="30" t="s">
        <v>89</v>
      </c>
      <c r="AB18" s="30" t="s">
        <v>57</v>
      </c>
      <c r="AC18" s="27" t="s">
        <v>90</v>
      </c>
      <c r="AD18" s="31" t="s">
        <v>56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93</v>
      </c>
      <c r="C19" s="25" t="s">
        <v>94</v>
      </c>
      <c r="D19" s="23" t="s">
        <v>72</v>
      </c>
      <c r="E19" s="42">
        <v>46128</v>
      </c>
      <c r="F19" s="26" t="s">
        <v>55</v>
      </c>
      <c r="G19" s="26" t="s">
        <v>57</v>
      </c>
      <c r="H19" s="26" t="s">
        <v>57</v>
      </c>
      <c r="I19" s="26" t="s">
        <v>89</v>
      </c>
      <c r="J19" s="26" t="s">
        <v>57</v>
      </c>
      <c r="K19" s="27" t="s">
        <v>90</v>
      </c>
      <c r="L19" s="28" t="s">
        <v>56</v>
      </c>
      <c r="M19" s="29" t="str">
        <f t="shared" si="0"/>
        <v>⚠ Missing</v>
      </c>
      <c r="N19" s="42">
        <v>46193</v>
      </c>
      <c r="O19" s="26" t="s">
        <v>55</v>
      </c>
      <c r="P19" s="26" t="s">
        <v>57</v>
      </c>
      <c r="Q19" s="26" t="s">
        <v>57</v>
      </c>
      <c r="R19" s="26" t="s">
        <v>89</v>
      </c>
      <c r="S19" s="26" t="s">
        <v>57</v>
      </c>
      <c r="T19" s="27" t="s">
        <v>90</v>
      </c>
      <c r="U19" s="28" t="s">
        <v>56</v>
      </c>
      <c r="V19" s="29" t="str">
        <f t="shared" si="1"/>
        <v>⚠ Missing</v>
      </c>
      <c r="W19" s="70">
        <v>46248</v>
      </c>
      <c r="X19" s="30" t="s">
        <v>55</v>
      </c>
      <c r="Y19" s="30" t="s">
        <v>57</v>
      </c>
      <c r="Z19" s="30" t="s">
        <v>57</v>
      </c>
      <c r="AA19" s="30" t="s">
        <v>89</v>
      </c>
      <c r="AB19" s="30" t="s">
        <v>57</v>
      </c>
      <c r="AC19" s="27" t="s">
        <v>90</v>
      </c>
      <c r="AD19" s="31" t="s">
        <v>56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95</v>
      </c>
      <c r="C20" s="41" t="s">
        <v>96</v>
      </c>
      <c r="D20" s="39" t="s">
        <v>72</v>
      </c>
      <c r="E20" s="42">
        <v>46128</v>
      </c>
      <c r="F20" s="26" t="s">
        <v>55</v>
      </c>
      <c r="G20" s="26" t="s">
        <v>57</v>
      </c>
      <c r="H20" s="26" t="s">
        <v>57</v>
      </c>
      <c r="I20" s="26" t="s">
        <v>89</v>
      </c>
      <c r="J20" s="26" t="s">
        <v>57</v>
      </c>
      <c r="K20" s="27" t="s">
        <v>90</v>
      </c>
      <c r="L20" s="28" t="s">
        <v>56</v>
      </c>
      <c r="M20" s="29" t="str">
        <f t="shared" si="0"/>
        <v>⚠ Missing</v>
      </c>
      <c r="N20" s="42">
        <v>46193</v>
      </c>
      <c r="O20" s="26" t="s">
        <v>55</v>
      </c>
      <c r="P20" s="26" t="s">
        <v>57</v>
      </c>
      <c r="Q20" s="26" t="s">
        <v>57</v>
      </c>
      <c r="R20" s="26" t="s">
        <v>89</v>
      </c>
      <c r="S20" s="26" t="s">
        <v>57</v>
      </c>
      <c r="T20" s="27" t="s">
        <v>90</v>
      </c>
      <c r="U20" s="28" t="s">
        <v>56</v>
      </c>
      <c r="V20" s="29" t="str">
        <f t="shared" si="1"/>
        <v>⚠ Missing</v>
      </c>
      <c r="W20" s="70">
        <v>46248</v>
      </c>
      <c r="X20" s="30" t="s">
        <v>55</v>
      </c>
      <c r="Y20" s="30" t="s">
        <v>57</v>
      </c>
      <c r="Z20" s="30" t="s">
        <v>57</v>
      </c>
      <c r="AA20" s="30" t="s">
        <v>89</v>
      </c>
      <c r="AB20" s="30" t="s">
        <v>57</v>
      </c>
      <c r="AC20" s="27" t="s">
        <v>90</v>
      </c>
      <c r="AD20" s="31" t="s">
        <v>56</v>
      </c>
      <c r="AE20" s="32" t="str">
        <f t="shared" si="2"/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97</v>
      </c>
      <c r="C21" s="25" t="s">
        <v>98</v>
      </c>
      <c r="D21" s="23" t="s">
        <v>72</v>
      </c>
      <c r="E21" s="42">
        <v>46128</v>
      </c>
      <c r="F21" s="26" t="s">
        <v>55</v>
      </c>
      <c r="G21" s="26" t="s">
        <v>57</v>
      </c>
      <c r="H21" s="26" t="s">
        <v>57</v>
      </c>
      <c r="I21" s="26" t="s">
        <v>89</v>
      </c>
      <c r="J21" s="26" t="s">
        <v>57</v>
      </c>
      <c r="K21" s="27" t="s">
        <v>90</v>
      </c>
      <c r="L21" s="28" t="s">
        <v>56</v>
      </c>
      <c r="M21" s="29" t="str">
        <f t="shared" si="0"/>
        <v>⚠ Missing</v>
      </c>
      <c r="N21" s="42">
        <v>46193</v>
      </c>
      <c r="O21" s="26" t="s">
        <v>55</v>
      </c>
      <c r="P21" s="26" t="s">
        <v>57</v>
      </c>
      <c r="Q21" s="26" t="s">
        <v>57</v>
      </c>
      <c r="R21" s="26" t="s">
        <v>89</v>
      </c>
      <c r="S21" s="26" t="s">
        <v>57</v>
      </c>
      <c r="T21" s="27" t="s">
        <v>90</v>
      </c>
      <c r="U21" s="28" t="s">
        <v>56</v>
      </c>
      <c r="V21" s="29" t="str">
        <f t="shared" si="1"/>
        <v>⚠ Missing</v>
      </c>
      <c r="W21" s="70">
        <v>46248</v>
      </c>
      <c r="X21" s="30" t="s">
        <v>55</v>
      </c>
      <c r="Y21" s="30" t="s">
        <v>57</v>
      </c>
      <c r="Z21" s="30" t="s">
        <v>57</v>
      </c>
      <c r="AA21" s="30" t="s">
        <v>89</v>
      </c>
      <c r="AB21" s="30" t="s">
        <v>57</v>
      </c>
      <c r="AC21" s="27" t="s">
        <v>90</v>
      </c>
      <c r="AD21" s="31" t="s">
        <v>56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99</v>
      </c>
      <c r="C22" s="41" t="s">
        <v>100</v>
      </c>
      <c r="D22" s="39" t="s">
        <v>72</v>
      </c>
      <c r="E22" s="42">
        <v>46128</v>
      </c>
      <c r="F22" s="26" t="s">
        <v>55</v>
      </c>
      <c r="G22" s="26" t="s">
        <v>57</v>
      </c>
      <c r="H22" s="26" t="s">
        <v>57</v>
      </c>
      <c r="I22" s="26" t="s">
        <v>89</v>
      </c>
      <c r="J22" s="26" t="s">
        <v>57</v>
      </c>
      <c r="K22" s="27" t="s">
        <v>90</v>
      </c>
      <c r="L22" s="28" t="s">
        <v>56</v>
      </c>
      <c r="M22" s="29" t="str">
        <f t="shared" si="0"/>
        <v>⚠ Missing</v>
      </c>
      <c r="N22" s="42">
        <v>46193</v>
      </c>
      <c r="O22" s="26" t="s">
        <v>55</v>
      </c>
      <c r="P22" s="26" t="s">
        <v>57</v>
      </c>
      <c r="Q22" s="26" t="s">
        <v>57</v>
      </c>
      <c r="R22" s="26" t="s">
        <v>89</v>
      </c>
      <c r="S22" s="26" t="s">
        <v>57</v>
      </c>
      <c r="T22" s="27" t="s">
        <v>90</v>
      </c>
      <c r="U22" s="28" t="s">
        <v>56</v>
      </c>
      <c r="V22" s="29" t="str">
        <f t="shared" si="1"/>
        <v>⚠ Missing</v>
      </c>
      <c r="W22" s="70">
        <v>46248</v>
      </c>
      <c r="X22" s="30" t="s">
        <v>55</v>
      </c>
      <c r="Y22" s="30" t="s">
        <v>57</v>
      </c>
      <c r="Z22" s="30" t="s">
        <v>57</v>
      </c>
      <c r="AA22" s="30" t="s">
        <v>89</v>
      </c>
      <c r="AB22" s="30" t="s">
        <v>57</v>
      </c>
      <c r="AC22" s="27" t="s">
        <v>90</v>
      </c>
      <c r="AD22" s="31" t="s">
        <v>56</v>
      </c>
      <c r="AE22" s="32" t="str">
        <f t="shared" si="2"/>
        <v>⚠ Missing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101</v>
      </c>
      <c r="C23" s="25" t="s">
        <v>102</v>
      </c>
      <c r="D23" s="23" t="s">
        <v>72</v>
      </c>
      <c r="E23" s="42">
        <v>46128</v>
      </c>
      <c r="F23" s="26" t="s">
        <v>55</v>
      </c>
      <c r="G23" s="26" t="s">
        <v>57</v>
      </c>
      <c r="H23" s="26" t="s">
        <v>57</v>
      </c>
      <c r="I23" s="26" t="s">
        <v>89</v>
      </c>
      <c r="J23" s="26" t="s">
        <v>57</v>
      </c>
      <c r="K23" s="27" t="s">
        <v>90</v>
      </c>
      <c r="L23" s="28" t="s">
        <v>56</v>
      </c>
      <c r="M23" s="29" t="str">
        <f t="shared" si="0"/>
        <v>⚠ Missing</v>
      </c>
      <c r="N23" s="42">
        <v>46193</v>
      </c>
      <c r="O23" s="26" t="s">
        <v>55</v>
      </c>
      <c r="P23" s="26" t="s">
        <v>57</v>
      </c>
      <c r="Q23" s="26" t="s">
        <v>57</v>
      </c>
      <c r="R23" s="26" t="s">
        <v>89</v>
      </c>
      <c r="S23" s="26" t="s">
        <v>57</v>
      </c>
      <c r="T23" s="27" t="s">
        <v>90</v>
      </c>
      <c r="U23" s="28" t="s">
        <v>56</v>
      </c>
      <c r="V23" s="29" t="str">
        <f t="shared" si="1"/>
        <v>⚠ Missing</v>
      </c>
      <c r="W23" s="70">
        <v>46248</v>
      </c>
      <c r="X23" s="30" t="s">
        <v>55</v>
      </c>
      <c r="Y23" s="30" t="s">
        <v>57</v>
      </c>
      <c r="Z23" s="30" t="s">
        <v>57</v>
      </c>
      <c r="AA23" s="30" t="s">
        <v>89</v>
      </c>
      <c r="AB23" s="30" t="s">
        <v>57</v>
      </c>
      <c r="AC23" s="27" t="s">
        <v>90</v>
      </c>
      <c r="AD23" s="31" t="s">
        <v>56</v>
      </c>
      <c r="AE23" s="32" t="str">
        <f t="shared" si="2"/>
        <v>⚠ Missing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103</v>
      </c>
      <c r="C24" s="41" t="s">
        <v>104</v>
      </c>
      <c r="D24" s="39" t="s">
        <v>72</v>
      </c>
      <c r="E24" s="42">
        <v>46128</v>
      </c>
      <c r="F24" s="26" t="s">
        <v>55</v>
      </c>
      <c r="G24" s="26" t="s">
        <v>57</v>
      </c>
      <c r="H24" s="26" t="s">
        <v>57</v>
      </c>
      <c r="I24" s="26" t="s">
        <v>89</v>
      </c>
      <c r="J24" s="26" t="s">
        <v>57</v>
      </c>
      <c r="K24" s="27" t="s">
        <v>90</v>
      </c>
      <c r="L24" s="28" t="s">
        <v>56</v>
      </c>
      <c r="M24" s="29" t="str">
        <f t="shared" si="0"/>
        <v>⚠ Missing</v>
      </c>
      <c r="N24" s="42">
        <v>46193</v>
      </c>
      <c r="O24" s="26" t="s">
        <v>55</v>
      </c>
      <c r="P24" s="26" t="s">
        <v>57</v>
      </c>
      <c r="Q24" s="26" t="s">
        <v>57</v>
      </c>
      <c r="R24" s="26" t="s">
        <v>89</v>
      </c>
      <c r="S24" s="26" t="s">
        <v>57</v>
      </c>
      <c r="T24" s="27" t="s">
        <v>90</v>
      </c>
      <c r="U24" s="28" t="s">
        <v>56</v>
      </c>
      <c r="V24" s="29" t="str">
        <f t="shared" si="1"/>
        <v>⚠ Missing</v>
      </c>
      <c r="W24" s="70">
        <v>46248</v>
      </c>
      <c r="X24" s="30" t="s">
        <v>55</v>
      </c>
      <c r="Y24" s="30" t="s">
        <v>57</v>
      </c>
      <c r="Z24" s="30" t="s">
        <v>57</v>
      </c>
      <c r="AA24" s="30" t="s">
        <v>89</v>
      </c>
      <c r="AB24" s="30" t="s">
        <v>57</v>
      </c>
      <c r="AC24" s="27" t="s">
        <v>90</v>
      </c>
      <c r="AD24" s="31" t="s">
        <v>56</v>
      </c>
      <c r="AE24" s="32" t="str">
        <f t="shared" si="2"/>
        <v>⚠ Missing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105</v>
      </c>
      <c r="C25" s="25" t="s">
        <v>106</v>
      </c>
      <c r="D25" s="23" t="s">
        <v>72</v>
      </c>
      <c r="E25" s="42">
        <v>46128</v>
      </c>
      <c r="F25" s="26" t="s">
        <v>55</v>
      </c>
      <c r="G25" s="26" t="s">
        <v>57</v>
      </c>
      <c r="H25" s="26" t="s">
        <v>57</v>
      </c>
      <c r="I25" s="26" t="s">
        <v>89</v>
      </c>
      <c r="J25" s="26" t="s">
        <v>57</v>
      </c>
      <c r="K25" s="27" t="s">
        <v>90</v>
      </c>
      <c r="L25" s="28" t="s">
        <v>56</v>
      </c>
      <c r="M25" s="29" t="str">
        <f t="shared" si="0"/>
        <v>⚠ Missing</v>
      </c>
      <c r="N25" s="42">
        <v>46193</v>
      </c>
      <c r="O25" s="26" t="s">
        <v>55</v>
      </c>
      <c r="P25" s="26" t="s">
        <v>57</v>
      </c>
      <c r="Q25" s="26" t="s">
        <v>57</v>
      </c>
      <c r="R25" s="26" t="s">
        <v>89</v>
      </c>
      <c r="S25" s="26" t="s">
        <v>57</v>
      </c>
      <c r="T25" s="27" t="s">
        <v>90</v>
      </c>
      <c r="U25" s="28" t="s">
        <v>56</v>
      </c>
      <c r="V25" s="29" t="str">
        <f t="shared" si="1"/>
        <v>⚠ Missing</v>
      </c>
      <c r="W25" s="70">
        <v>46248</v>
      </c>
      <c r="X25" s="30" t="s">
        <v>55</v>
      </c>
      <c r="Y25" s="30" t="s">
        <v>57</v>
      </c>
      <c r="Z25" s="30" t="s">
        <v>57</v>
      </c>
      <c r="AA25" s="30" t="s">
        <v>89</v>
      </c>
      <c r="AB25" s="30" t="s">
        <v>57</v>
      </c>
      <c r="AC25" s="27" t="s">
        <v>90</v>
      </c>
      <c r="AD25" s="31" t="s">
        <v>56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107</v>
      </c>
      <c r="C26" s="41" t="s">
        <v>108</v>
      </c>
      <c r="D26" s="39" t="s">
        <v>72</v>
      </c>
      <c r="E26" s="42">
        <v>46128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 t="shared" si="0"/>
        <v>⚠ Missing</v>
      </c>
      <c r="N26" s="42">
        <v>46193</v>
      </c>
      <c r="O26" s="26" t="s">
        <v>55</v>
      </c>
      <c r="P26" s="26" t="s">
        <v>57</v>
      </c>
      <c r="Q26" s="26" t="s">
        <v>57</v>
      </c>
      <c r="R26" s="26" t="s">
        <v>89</v>
      </c>
      <c r="S26" s="26" t="s">
        <v>57</v>
      </c>
      <c r="T26" s="27" t="s">
        <v>90</v>
      </c>
      <c r="U26" s="28" t="s">
        <v>56</v>
      </c>
      <c r="V26" s="29" t="str">
        <f t="shared" si="1"/>
        <v>⚠ Missing</v>
      </c>
      <c r="W26" s="70">
        <v>46248</v>
      </c>
      <c r="X26" s="30" t="s">
        <v>55</v>
      </c>
      <c r="Y26" s="30" t="s">
        <v>57</v>
      </c>
      <c r="Z26" s="30" t="s">
        <v>57</v>
      </c>
      <c r="AA26" s="30" t="s">
        <v>89</v>
      </c>
      <c r="AB26" s="30" t="s">
        <v>57</v>
      </c>
      <c r="AC26" s="27" t="s">
        <v>90</v>
      </c>
      <c r="AD26" s="31" t="s">
        <v>56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109</v>
      </c>
      <c r="C27" s="25" t="s">
        <v>110</v>
      </c>
      <c r="D27" s="23" t="s">
        <v>72</v>
      </c>
      <c r="E27" s="42">
        <v>46128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 t="shared" si="0"/>
        <v>⚠ Missing</v>
      </c>
      <c r="N27" s="42">
        <v>46193</v>
      </c>
      <c r="O27" s="26" t="s">
        <v>55</v>
      </c>
      <c r="P27" s="26" t="s">
        <v>57</v>
      </c>
      <c r="Q27" s="26" t="s">
        <v>57</v>
      </c>
      <c r="R27" s="26" t="s">
        <v>89</v>
      </c>
      <c r="S27" s="26" t="s">
        <v>57</v>
      </c>
      <c r="T27" s="27" t="s">
        <v>90</v>
      </c>
      <c r="U27" s="28" t="s">
        <v>56</v>
      </c>
      <c r="V27" s="29" t="str">
        <f t="shared" si="1"/>
        <v>⚠ Missing</v>
      </c>
      <c r="W27" s="70">
        <v>46248</v>
      </c>
      <c r="X27" s="30" t="s">
        <v>55</v>
      </c>
      <c r="Y27" s="30" t="s">
        <v>57</v>
      </c>
      <c r="Z27" s="30" t="s">
        <v>57</v>
      </c>
      <c r="AA27" s="30" t="s">
        <v>89</v>
      </c>
      <c r="AB27" s="30" t="s">
        <v>57</v>
      </c>
      <c r="AC27" s="27" t="s">
        <v>90</v>
      </c>
      <c r="AD27" s="31" t="s">
        <v>56</v>
      </c>
      <c r="AE27" s="32" t="str">
        <f t="shared" si="2"/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111</v>
      </c>
      <c r="C28" s="41" t="s">
        <v>112</v>
      </c>
      <c r="D28" s="39" t="s">
        <v>72</v>
      </c>
      <c r="E28" s="42">
        <v>46128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 t="shared" si="0"/>
        <v>⚠ Missing</v>
      </c>
      <c r="N28" s="42">
        <v>46193</v>
      </c>
      <c r="O28" s="26" t="s">
        <v>55</v>
      </c>
      <c r="P28" s="26" t="s">
        <v>57</v>
      </c>
      <c r="Q28" s="26" t="s">
        <v>57</v>
      </c>
      <c r="R28" s="26" t="s">
        <v>89</v>
      </c>
      <c r="S28" s="26" t="s">
        <v>57</v>
      </c>
      <c r="T28" s="27" t="s">
        <v>90</v>
      </c>
      <c r="U28" s="28" t="s">
        <v>56</v>
      </c>
      <c r="V28" s="29" t="str">
        <f t="shared" si="1"/>
        <v>⚠ Missing</v>
      </c>
      <c r="W28" s="70">
        <v>46248</v>
      </c>
      <c r="X28" s="30" t="s">
        <v>55</v>
      </c>
      <c r="Y28" s="30" t="s">
        <v>57</v>
      </c>
      <c r="Z28" s="30" t="s">
        <v>57</v>
      </c>
      <c r="AA28" s="30" t="s">
        <v>89</v>
      </c>
      <c r="AB28" s="30" t="s">
        <v>57</v>
      </c>
      <c r="AC28" s="27" t="s">
        <v>90</v>
      </c>
      <c r="AD28" s="31" t="s">
        <v>56</v>
      </c>
      <c r="AE28" s="32" t="str">
        <f t="shared" si="2"/>
        <v>⚠ Missing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113</v>
      </c>
      <c r="C29" s="25" t="s">
        <v>114</v>
      </c>
      <c r="D29" s="23" t="s">
        <v>72</v>
      </c>
      <c r="E29" s="42">
        <v>46128</v>
      </c>
      <c r="F29" s="26" t="s">
        <v>55</v>
      </c>
      <c r="G29" s="26" t="s">
        <v>57</v>
      </c>
      <c r="H29" s="26" t="s">
        <v>57</v>
      </c>
      <c r="I29" s="26" t="s">
        <v>89</v>
      </c>
      <c r="J29" s="26" t="s">
        <v>57</v>
      </c>
      <c r="K29" s="27" t="s">
        <v>90</v>
      </c>
      <c r="L29" s="28" t="s">
        <v>56</v>
      </c>
      <c r="M29" s="29" t="str">
        <f t="shared" si="0"/>
        <v>⚠ Missing</v>
      </c>
      <c r="N29" s="42">
        <v>46193</v>
      </c>
      <c r="O29" s="26" t="s">
        <v>55</v>
      </c>
      <c r="P29" s="26" t="s">
        <v>57</v>
      </c>
      <c r="Q29" s="26" t="s">
        <v>57</v>
      </c>
      <c r="R29" s="26" t="s">
        <v>89</v>
      </c>
      <c r="S29" s="26" t="s">
        <v>57</v>
      </c>
      <c r="T29" s="27" t="s">
        <v>90</v>
      </c>
      <c r="U29" s="28" t="s">
        <v>56</v>
      </c>
      <c r="V29" s="29" t="str">
        <f t="shared" si="1"/>
        <v>⚠ Missing</v>
      </c>
      <c r="W29" s="70">
        <v>46248</v>
      </c>
      <c r="X29" s="30" t="s">
        <v>55</v>
      </c>
      <c r="Y29" s="30" t="s">
        <v>57</v>
      </c>
      <c r="Z29" s="30" t="s">
        <v>57</v>
      </c>
      <c r="AA29" s="30" t="s">
        <v>89</v>
      </c>
      <c r="AB29" s="30" t="s">
        <v>57</v>
      </c>
      <c r="AC29" s="27" t="s">
        <v>90</v>
      </c>
      <c r="AD29" s="31" t="s">
        <v>56</v>
      </c>
      <c r="AE29" s="32" t="str">
        <f t="shared" si="2"/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115</v>
      </c>
      <c r="C30" s="41" t="s">
        <v>116</v>
      </c>
      <c r="D30" s="39" t="s">
        <v>72</v>
      </c>
      <c r="E30" s="42">
        <v>46128</v>
      </c>
      <c r="F30" s="26" t="s">
        <v>55</v>
      </c>
      <c r="G30" s="26" t="s">
        <v>57</v>
      </c>
      <c r="H30" s="26" t="s">
        <v>57</v>
      </c>
      <c r="I30" s="26" t="s">
        <v>89</v>
      </c>
      <c r="J30" s="26" t="s">
        <v>57</v>
      </c>
      <c r="K30" s="27" t="s">
        <v>90</v>
      </c>
      <c r="L30" s="28" t="s">
        <v>56</v>
      </c>
      <c r="M30" s="29" t="str">
        <f t="shared" si="0"/>
        <v>⚠ Missing</v>
      </c>
      <c r="N30" s="42">
        <v>46193</v>
      </c>
      <c r="O30" s="26" t="s">
        <v>55</v>
      </c>
      <c r="P30" s="26" t="s">
        <v>57</v>
      </c>
      <c r="Q30" s="26" t="s">
        <v>57</v>
      </c>
      <c r="R30" s="26" t="s">
        <v>89</v>
      </c>
      <c r="S30" s="26" t="s">
        <v>57</v>
      </c>
      <c r="T30" s="27" t="s">
        <v>90</v>
      </c>
      <c r="U30" s="28" t="s">
        <v>56</v>
      </c>
      <c r="V30" s="29" t="str">
        <f t="shared" si="1"/>
        <v>⚠ Missing</v>
      </c>
      <c r="W30" s="70">
        <v>46248</v>
      </c>
      <c r="X30" s="30" t="s">
        <v>55</v>
      </c>
      <c r="Y30" s="30" t="s">
        <v>57</v>
      </c>
      <c r="Z30" s="30" t="s">
        <v>57</v>
      </c>
      <c r="AA30" s="30" t="s">
        <v>89</v>
      </c>
      <c r="AB30" s="30" t="s">
        <v>57</v>
      </c>
      <c r="AC30" s="27" t="s">
        <v>90</v>
      </c>
      <c r="AD30" s="31" t="s">
        <v>56</v>
      </c>
      <c r="AE30" s="32" t="str">
        <f t="shared" si="2"/>
        <v>⚠ Missing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117</v>
      </c>
      <c r="C31" s="25" t="s">
        <v>118</v>
      </c>
      <c r="D31" s="23" t="s">
        <v>72</v>
      </c>
      <c r="E31" s="42">
        <v>46128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 t="shared" si="0"/>
        <v>⚠ Missing</v>
      </c>
      <c r="N31" s="42">
        <v>46193</v>
      </c>
      <c r="O31" s="26" t="s">
        <v>55</v>
      </c>
      <c r="P31" s="26" t="s">
        <v>57</v>
      </c>
      <c r="Q31" s="26" t="s">
        <v>57</v>
      </c>
      <c r="R31" s="26" t="s">
        <v>89</v>
      </c>
      <c r="S31" s="26" t="s">
        <v>57</v>
      </c>
      <c r="T31" s="27" t="s">
        <v>90</v>
      </c>
      <c r="U31" s="28" t="s">
        <v>56</v>
      </c>
      <c r="V31" s="29" t="str">
        <f t="shared" si="1"/>
        <v>⚠ Missing</v>
      </c>
      <c r="W31" s="70">
        <v>46248</v>
      </c>
      <c r="X31" s="30" t="s">
        <v>55</v>
      </c>
      <c r="Y31" s="30" t="s">
        <v>57</v>
      </c>
      <c r="Z31" s="30" t="s">
        <v>57</v>
      </c>
      <c r="AA31" s="30" t="s">
        <v>89</v>
      </c>
      <c r="AB31" s="30" t="s">
        <v>57</v>
      </c>
      <c r="AC31" s="27" t="s">
        <v>90</v>
      </c>
      <c r="AD31" s="31" t="s">
        <v>56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119</v>
      </c>
      <c r="C32" s="41" t="s">
        <v>120</v>
      </c>
      <c r="D32" s="39" t="s">
        <v>72</v>
      </c>
      <c r="E32" s="42">
        <v>46128</v>
      </c>
      <c r="F32" s="26" t="s">
        <v>55</v>
      </c>
      <c r="G32" s="26" t="s">
        <v>57</v>
      </c>
      <c r="H32" s="26" t="s">
        <v>57</v>
      </c>
      <c r="I32" s="26" t="s">
        <v>89</v>
      </c>
      <c r="J32" s="26" t="s">
        <v>57</v>
      </c>
      <c r="K32" s="27" t="s">
        <v>90</v>
      </c>
      <c r="L32" s="28" t="s">
        <v>56</v>
      </c>
      <c r="M32" s="29" t="str">
        <f t="shared" si="0"/>
        <v>⚠ Missing</v>
      </c>
      <c r="N32" s="42">
        <v>46193</v>
      </c>
      <c r="O32" s="26" t="s">
        <v>55</v>
      </c>
      <c r="P32" s="26" t="s">
        <v>57</v>
      </c>
      <c r="Q32" s="26" t="s">
        <v>57</v>
      </c>
      <c r="R32" s="26" t="s">
        <v>89</v>
      </c>
      <c r="S32" s="26" t="s">
        <v>57</v>
      </c>
      <c r="T32" s="27" t="s">
        <v>90</v>
      </c>
      <c r="U32" s="28" t="s">
        <v>56</v>
      </c>
      <c r="V32" s="29" t="str">
        <f t="shared" si="1"/>
        <v>⚠ Missing</v>
      </c>
      <c r="W32" s="70">
        <v>46248</v>
      </c>
      <c r="X32" s="30" t="s">
        <v>55</v>
      </c>
      <c r="Y32" s="30" t="s">
        <v>57</v>
      </c>
      <c r="Z32" s="30" t="s">
        <v>57</v>
      </c>
      <c r="AA32" s="30" t="s">
        <v>89</v>
      </c>
      <c r="AB32" s="30" t="s">
        <v>57</v>
      </c>
      <c r="AC32" s="27" t="s">
        <v>90</v>
      </c>
      <c r="AD32" s="31" t="s">
        <v>56</v>
      </c>
      <c r="AE32" s="32" t="str">
        <f t="shared" si="2"/>
        <v>⚠ Missing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121</v>
      </c>
      <c r="C33" s="25" t="s">
        <v>122</v>
      </c>
      <c r="D33" s="23" t="s">
        <v>72</v>
      </c>
      <c r="E33" s="42">
        <v>46128</v>
      </c>
      <c r="F33" s="26" t="s">
        <v>55</v>
      </c>
      <c r="G33" s="26" t="s">
        <v>57</v>
      </c>
      <c r="H33" s="26" t="s">
        <v>57</v>
      </c>
      <c r="I33" s="26" t="s">
        <v>89</v>
      </c>
      <c r="J33" s="26" t="s">
        <v>57</v>
      </c>
      <c r="K33" s="27" t="s">
        <v>90</v>
      </c>
      <c r="L33" s="28" t="s">
        <v>56</v>
      </c>
      <c r="M33" s="29" t="str">
        <f t="shared" si="0"/>
        <v>⚠ Missing</v>
      </c>
      <c r="N33" s="42">
        <v>46193</v>
      </c>
      <c r="O33" s="26" t="s">
        <v>55</v>
      </c>
      <c r="P33" s="26" t="s">
        <v>57</v>
      </c>
      <c r="Q33" s="26" t="s">
        <v>57</v>
      </c>
      <c r="R33" s="26" t="s">
        <v>89</v>
      </c>
      <c r="S33" s="26" t="s">
        <v>57</v>
      </c>
      <c r="T33" s="27" t="s">
        <v>90</v>
      </c>
      <c r="U33" s="28" t="s">
        <v>56</v>
      </c>
      <c r="V33" s="29" t="str">
        <f t="shared" si="1"/>
        <v>⚠ Missing</v>
      </c>
      <c r="W33" s="70">
        <v>46248</v>
      </c>
      <c r="X33" s="30" t="s">
        <v>55</v>
      </c>
      <c r="Y33" s="30" t="s">
        <v>57</v>
      </c>
      <c r="Z33" s="30" t="s">
        <v>57</v>
      </c>
      <c r="AA33" s="30" t="s">
        <v>89</v>
      </c>
      <c r="AB33" s="30" t="s">
        <v>57</v>
      </c>
      <c r="AC33" s="27" t="s">
        <v>90</v>
      </c>
      <c r="AD33" s="31" t="s">
        <v>56</v>
      </c>
      <c r="AE33" s="32" t="str">
        <f t="shared" si="2"/>
        <v>⚠ Missing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123</v>
      </c>
      <c r="C34" s="41" t="s">
        <v>124</v>
      </c>
      <c r="D34" s="39" t="s">
        <v>72</v>
      </c>
      <c r="E34" s="42">
        <v>46128</v>
      </c>
      <c r="F34" s="26" t="s">
        <v>55</v>
      </c>
      <c r="G34" s="26" t="s">
        <v>57</v>
      </c>
      <c r="H34" s="26" t="s">
        <v>57</v>
      </c>
      <c r="I34" s="26" t="s">
        <v>89</v>
      </c>
      <c r="J34" s="26" t="s">
        <v>57</v>
      </c>
      <c r="K34" s="27" t="s">
        <v>90</v>
      </c>
      <c r="L34" s="28" t="s">
        <v>56</v>
      </c>
      <c r="M34" s="29" t="str">
        <f t="shared" si="0"/>
        <v>⚠ Missing</v>
      </c>
      <c r="N34" s="42">
        <v>46193</v>
      </c>
      <c r="O34" s="26" t="s">
        <v>55</v>
      </c>
      <c r="P34" s="26" t="s">
        <v>57</v>
      </c>
      <c r="Q34" s="26" t="s">
        <v>57</v>
      </c>
      <c r="R34" s="26" t="s">
        <v>89</v>
      </c>
      <c r="S34" s="26" t="s">
        <v>57</v>
      </c>
      <c r="T34" s="27" t="s">
        <v>90</v>
      </c>
      <c r="U34" s="28" t="s">
        <v>56</v>
      </c>
      <c r="V34" s="29" t="str">
        <f t="shared" si="1"/>
        <v>⚠ Missing</v>
      </c>
      <c r="W34" s="70">
        <v>46248</v>
      </c>
      <c r="X34" s="30" t="s">
        <v>55</v>
      </c>
      <c r="Y34" s="30" t="s">
        <v>57</v>
      </c>
      <c r="Z34" s="30" t="s">
        <v>57</v>
      </c>
      <c r="AA34" s="30" t="s">
        <v>89</v>
      </c>
      <c r="AB34" s="30" t="s">
        <v>57</v>
      </c>
      <c r="AC34" s="27" t="s">
        <v>90</v>
      </c>
      <c r="AD34" s="31" t="s">
        <v>56</v>
      </c>
      <c r="AE34" s="32" t="str">
        <f t="shared" si="2"/>
        <v>⚠ Missing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125</v>
      </c>
      <c r="C35" s="25" t="s">
        <v>126</v>
      </c>
      <c r="D35" s="23" t="s">
        <v>72</v>
      </c>
      <c r="E35" s="42">
        <v>46128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 t="shared" si="0"/>
        <v>⚠ Missing</v>
      </c>
      <c r="N35" s="42">
        <v>46193</v>
      </c>
      <c r="O35" s="26" t="s">
        <v>55</v>
      </c>
      <c r="P35" s="26" t="s">
        <v>57</v>
      </c>
      <c r="Q35" s="26" t="s">
        <v>57</v>
      </c>
      <c r="R35" s="26" t="s">
        <v>89</v>
      </c>
      <c r="S35" s="26" t="s">
        <v>57</v>
      </c>
      <c r="T35" s="27" t="s">
        <v>90</v>
      </c>
      <c r="U35" s="28" t="s">
        <v>56</v>
      </c>
      <c r="V35" s="29" t="str">
        <f t="shared" si="1"/>
        <v>⚠ Missing</v>
      </c>
      <c r="W35" s="70">
        <v>46248</v>
      </c>
      <c r="X35" s="30" t="s">
        <v>55</v>
      </c>
      <c r="Y35" s="30" t="s">
        <v>57</v>
      </c>
      <c r="Z35" s="30" t="s">
        <v>57</v>
      </c>
      <c r="AA35" s="30" t="s">
        <v>89</v>
      </c>
      <c r="AB35" s="30" t="s">
        <v>57</v>
      </c>
      <c r="AC35" s="27" t="s">
        <v>90</v>
      </c>
      <c r="AD35" s="31" t="s">
        <v>56</v>
      </c>
      <c r="AE35" s="32" t="str">
        <f t="shared" si="2"/>
        <v>⚠ Missing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127</v>
      </c>
      <c r="C36" s="41" t="s">
        <v>128</v>
      </c>
      <c r="D36" s="39" t="s">
        <v>72</v>
      </c>
      <c r="E36" s="42">
        <v>46128</v>
      </c>
      <c r="F36" s="26" t="s">
        <v>55</v>
      </c>
      <c r="G36" s="26" t="s">
        <v>57</v>
      </c>
      <c r="H36" s="26" t="s">
        <v>57</v>
      </c>
      <c r="I36" s="26" t="s">
        <v>89</v>
      </c>
      <c r="J36" s="26" t="s">
        <v>57</v>
      </c>
      <c r="K36" s="27" t="s">
        <v>90</v>
      </c>
      <c r="L36" s="28" t="s">
        <v>56</v>
      </c>
      <c r="M36" s="29" t="str">
        <f t="shared" si="0"/>
        <v>⚠ Missing</v>
      </c>
      <c r="N36" s="42">
        <v>46193</v>
      </c>
      <c r="O36" s="26" t="s">
        <v>55</v>
      </c>
      <c r="P36" s="26" t="s">
        <v>57</v>
      </c>
      <c r="Q36" s="26" t="s">
        <v>57</v>
      </c>
      <c r="R36" s="26" t="s">
        <v>89</v>
      </c>
      <c r="S36" s="26" t="s">
        <v>57</v>
      </c>
      <c r="T36" s="27" t="s">
        <v>90</v>
      </c>
      <c r="U36" s="28" t="s">
        <v>56</v>
      </c>
      <c r="V36" s="29" t="str">
        <f t="shared" si="1"/>
        <v>⚠ Missing</v>
      </c>
      <c r="W36" s="70">
        <v>46248</v>
      </c>
      <c r="X36" s="30" t="s">
        <v>55</v>
      </c>
      <c r="Y36" s="30" t="s">
        <v>57</v>
      </c>
      <c r="Z36" s="30" t="s">
        <v>57</v>
      </c>
      <c r="AA36" s="30" t="s">
        <v>89</v>
      </c>
      <c r="AB36" s="30" t="s">
        <v>57</v>
      </c>
      <c r="AC36" s="27" t="s">
        <v>90</v>
      </c>
      <c r="AD36" s="31" t="s">
        <v>56</v>
      </c>
      <c r="AE36" s="32" t="str">
        <f t="shared" si="2"/>
        <v>⚠ Missing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129</v>
      </c>
      <c r="C37" s="25" t="s">
        <v>130</v>
      </c>
      <c r="D37" s="23" t="s">
        <v>72</v>
      </c>
      <c r="E37" s="42">
        <v>46128</v>
      </c>
      <c r="F37" s="26" t="s">
        <v>55</v>
      </c>
      <c r="G37" s="26" t="s">
        <v>57</v>
      </c>
      <c r="H37" s="26" t="s">
        <v>57</v>
      </c>
      <c r="I37" s="26" t="s">
        <v>89</v>
      </c>
      <c r="J37" s="26" t="s">
        <v>57</v>
      </c>
      <c r="K37" s="27" t="s">
        <v>90</v>
      </c>
      <c r="L37" s="28" t="s">
        <v>56</v>
      </c>
      <c r="M37" s="29" t="str">
        <f t="shared" si="0"/>
        <v>⚠ Missing</v>
      </c>
      <c r="N37" s="42">
        <v>46193</v>
      </c>
      <c r="O37" s="26" t="s">
        <v>55</v>
      </c>
      <c r="P37" s="26" t="s">
        <v>57</v>
      </c>
      <c r="Q37" s="26" t="s">
        <v>57</v>
      </c>
      <c r="R37" s="26" t="s">
        <v>89</v>
      </c>
      <c r="S37" s="26" t="s">
        <v>57</v>
      </c>
      <c r="T37" s="27" t="s">
        <v>90</v>
      </c>
      <c r="U37" s="28" t="s">
        <v>56</v>
      </c>
      <c r="V37" s="29" t="str">
        <f t="shared" si="1"/>
        <v>⚠ Missing</v>
      </c>
      <c r="W37" s="70">
        <v>46248</v>
      </c>
      <c r="X37" s="30" t="s">
        <v>55</v>
      </c>
      <c r="Y37" s="30" t="s">
        <v>57</v>
      </c>
      <c r="Z37" s="30" t="s">
        <v>57</v>
      </c>
      <c r="AA37" s="30" t="s">
        <v>89</v>
      </c>
      <c r="AB37" s="30" t="s">
        <v>57</v>
      </c>
      <c r="AC37" s="27" t="s">
        <v>90</v>
      </c>
      <c r="AD37" s="31" t="s">
        <v>56</v>
      </c>
      <c r="AE37" s="32" t="str">
        <f t="shared" si="2"/>
        <v>⚠ Missing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131</v>
      </c>
      <c r="C38" s="41" t="s">
        <v>132</v>
      </c>
      <c r="D38" s="39" t="s">
        <v>72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0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 t="shared" si="1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89</v>
      </c>
      <c r="AB38" s="30" t="s">
        <v>57</v>
      </c>
      <c r="AC38" s="27" t="s">
        <v>90</v>
      </c>
      <c r="AD38" s="31" t="s">
        <v>56</v>
      </c>
      <c r="AE38" s="32" t="str">
        <f t="shared" si="2"/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133</v>
      </c>
      <c r="C39" s="25" t="s">
        <v>134</v>
      </c>
      <c r="D39" s="23" t="s">
        <v>72</v>
      </c>
      <c r="E39" s="4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135</v>
      </c>
      <c r="C40" s="41" t="s">
        <v>136</v>
      </c>
      <c r="D40" s="39" t="s">
        <v>72</v>
      </c>
      <c r="E40" s="4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76</v>
      </c>
      <c r="L40" s="28" t="s">
        <v>56</v>
      </c>
      <c r="M40" s="29" t="str">
        <f t="shared" si="0"/>
        <v>⚠ Check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76</v>
      </c>
      <c r="U40" s="28" t="s">
        <v>56</v>
      </c>
      <c r="V40" s="29" t="str">
        <f t="shared" si="1"/>
        <v>⚠ Check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137</v>
      </c>
      <c r="C41" s="25" t="s">
        <v>138</v>
      </c>
      <c r="D41" s="23" t="s">
        <v>72</v>
      </c>
      <c r="E41" s="4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139</v>
      </c>
      <c r="L41" s="28" t="s">
        <v>56</v>
      </c>
      <c r="M41" s="29" t="str">
        <f t="shared" si="0"/>
        <v>⚠ Check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139</v>
      </c>
      <c r="U41" s="28" t="s">
        <v>56</v>
      </c>
      <c r="V41" s="29" t="str">
        <f t="shared" si="1"/>
        <v>⚠ Check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140</v>
      </c>
      <c r="C42" s="41" t="s">
        <v>141</v>
      </c>
      <c r="D42" s="39" t="s">
        <v>72</v>
      </c>
      <c r="E42" s="4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76</v>
      </c>
      <c r="L42" s="28" t="s">
        <v>56</v>
      </c>
      <c r="M42" s="29" t="str">
        <f t="shared" si="0"/>
        <v>⚠ Check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142</v>
      </c>
      <c r="C43" s="25" t="s">
        <v>143</v>
      </c>
      <c r="D43" s="23" t="s">
        <v>72</v>
      </c>
      <c r="E43" s="4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144</v>
      </c>
      <c r="C44" s="41" t="s">
        <v>145</v>
      </c>
      <c r="D44" s="39" t="s">
        <v>72</v>
      </c>
      <c r="E44" s="4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146</v>
      </c>
      <c r="C45" s="25" t="s">
        <v>147</v>
      </c>
      <c r="D45" s="23" t="s">
        <v>72</v>
      </c>
      <c r="E45" s="4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148</v>
      </c>
      <c r="C46" s="41" t="s">
        <v>149</v>
      </c>
      <c r="D46" s="39" t="s">
        <v>72</v>
      </c>
      <c r="E46" s="4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150</v>
      </c>
      <c r="C47" s="25" t="s">
        <v>151</v>
      </c>
      <c r="D47" s="23" t="s">
        <v>72</v>
      </c>
      <c r="E47" s="4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76</v>
      </c>
      <c r="L47" s="28" t="s">
        <v>56</v>
      </c>
      <c r="M47" s="29" t="str">
        <f t="shared" si="0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76</v>
      </c>
      <c r="U47" s="28" t="s">
        <v>56</v>
      </c>
      <c r="V47" s="29" t="str">
        <f t="shared" si="1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152</v>
      </c>
      <c r="C48" s="41" t="s">
        <v>153</v>
      </c>
      <c r="D48" s="39" t="s">
        <v>72</v>
      </c>
      <c r="E48" s="4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154</v>
      </c>
      <c r="C49" s="25" t="s">
        <v>155</v>
      </c>
      <c r="D49" s="23" t="s">
        <v>156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56</v>
      </c>
      <c r="M49" s="29" t="str">
        <f t="shared" si="0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56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157</v>
      </c>
      <c r="C50" s="41" t="s">
        <v>158</v>
      </c>
      <c r="D50" s="39" t="s">
        <v>156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159</v>
      </c>
      <c r="C51" s="25" t="s">
        <v>160</v>
      </c>
      <c r="D51" s="23" t="s">
        <v>156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161</v>
      </c>
      <c r="C52" s="41" t="s">
        <v>162</v>
      </c>
      <c r="D52" s="39" t="s">
        <v>156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163</v>
      </c>
      <c r="C53" s="25" t="s">
        <v>164</v>
      </c>
      <c r="D53" s="23" t="s">
        <v>156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165</v>
      </c>
      <c r="C54" s="41" t="s">
        <v>166</v>
      </c>
      <c r="D54" s="39" t="s">
        <v>156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167</v>
      </c>
      <c r="C55" s="25" t="s">
        <v>168</v>
      </c>
      <c r="D55" s="23" t="s">
        <v>156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169</v>
      </c>
      <c r="C56" s="41" t="s">
        <v>170</v>
      </c>
      <c r="D56" s="39" t="s">
        <v>156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171</v>
      </c>
      <c r="C57" s="25" t="s">
        <v>172</v>
      </c>
      <c r="D57" s="23" t="s">
        <v>173</v>
      </c>
      <c r="E57" s="4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174</v>
      </c>
      <c r="L57" s="28" t="s">
        <v>56</v>
      </c>
      <c r="M57" s="29" t="str">
        <f t="shared" si="0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175</v>
      </c>
      <c r="C58" s="41" t="s">
        <v>176</v>
      </c>
      <c r="D58" s="39" t="s">
        <v>173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177</v>
      </c>
      <c r="C59" s="25" t="s">
        <v>178</v>
      </c>
      <c r="D59" s="23" t="s">
        <v>173</v>
      </c>
      <c r="E59" s="4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179</v>
      </c>
      <c r="C60" s="41" t="s">
        <v>180</v>
      </c>
      <c r="D60" s="39" t="s">
        <v>173</v>
      </c>
      <c r="E60" s="4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181</v>
      </c>
      <c r="C61" s="25" t="s">
        <v>182</v>
      </c>
      <c r="D61" s="23" t="s">
        <v>173</v>
      </c>
      <c r="E61" s="4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183</v>
      </c>
      <c r="L61" s="28" t="s">
        <v>56</v>
      </c>
      <c r="M61" s="29" t="str">
        <f t="shared" si="0"/>
        <v>⚠ Check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57</v>
      </c>
      <c r="T61" s="27" t="s">
        <v>183</v>
      </c>
      <c r="U61" s="28" t="s">
        <v>56</v>
      </c>
      <c r="V61" s="29" t="str">
        <f t="shared" si="1"/>
        <v>⚠ Check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184</v>
      </c>
      <c r="C62" s="41" t="s">
        <v>185</v>
      </c>
      <c r="D62" s="39" t="s">
        <v>173</v>
      </c>
      <c r="E62" s="4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174</v>
      </c>
      <c r="L62" s="28" t="s">
        <v>56</v>
      </c>
      <c r="M62" s="29" t="str">
        <f t="shared" si="0"/>
        <v>⚠ Check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57</v>
      </c>
      <c r="T62" s="27" t="s">
        <v>174</v>
      </c>
      <c r="U62" s="28" t="s">
        <v>56</v>
      </c>
      <c r="V62" s="29" t="str">
        <f t="shared" si="1"/>
        <v>⚠ Check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57</v>
      </c>
      <c r="AC62" s="27" t="s">
        <v>174</v>
      </c>
      <c r="AD62" s="31" t="s">
        <v>56</v>
      </c>
      <c r="AE62" s="32" t="str">
        <f t="shared" si="2"/>
        <v>⚠ Check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186</v>
      </c>
      <c r="C63" s="25" t="s">
        <v>187</v>
      </c>
      <c r="D63" s="23" t="s">
        <v>173</v>
      </c>
      <c r="E63" s="4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188</v>
      </c>
      <c r="C64" s="41" t="s">
        <v>189</v>
      </c>
      <c r="D64" s="39" t="s">
        <v>173</v>
      </c>
      <c r="E64" s="4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183</v>
      </c>
      <c r="L64" s="28" t="s">
        <v>56</v>
      </c>
      <c r="M64" s="29" t="str">
        <f t="shared" si="0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183</v>
      </c>
      <c r="U64" s="28" t="s">
        <v>56</v>
      </c>
      <c r="V64" s="29" t="str">
        <f t="shared" si="1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56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190</v>
      </c>
      <c r="C65" s="25" t="s">
        <v>191</v>
      </c>
      <c r="D65" s="23" t="s">
        <v>173</v>
      </c>
      <c r="E65" s="4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183</v>
      </c>
      <c r="L65" s="28" t="s">
        <v>56</v>
      </c>
      <c r="M65" s="29" t="str">
        <f t="shared" si="0"/>
        <v>⚠ Check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57</v>
      </c>
      <c r="T65" s="27" t="s">
        <v>183</v>
      </c>
      <c r="U65" s="28" t="s">
        <v>56</v>
      </c>
      <c r="V65" s="29" t="str">
        <f t="shared" si="1"/>
        <v>⚠ Check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56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192</v>
      </c>
      <c r="C66" s="41" t="s">
        <v>193</v>
      </c>
      <c r="D66" s="39" t="s">
        <v>173</v>
      </c>
      <c r="E66" s="4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194</v>
      </c>
      <c r="C67" s="25" t="s">
        <v>195</v>
      </c>
      <c r="D67" s="23" t="s">
        <v>173</v>
      </c>
      <c r="E67" s="4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183</v>
      </c>
      <c r="L67" s="28" t="s">
        <v>56</v>
      </c>
      <c r="M67" s="29" t="str">
        <f t="shared" si="0"/>
        <v>⚠ Check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57</v>
      </c>
      <c r="T67" s="27" t="s">
        <v>183</v>
      </c>
      <c r="U67" s="28" t="s">
        <v>56</v>
      </c>
      <c r="V67" s="29" t="str">
        <f t="shared" si="1"/>
        <v>⚠ Check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196</v>
      </c>
      <c r="C68" s="41" t="s">
        <v>197</v>
      </c>
      <c r="D68" s="39" t="s">
        <v>173</v>
      </c>
      <c r="E68" s="4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183</v>
      </c>
      <c r="L68" s="28" t="s">
        <v>56</v>
      </c>
      <c r="M68" s="29" t="str">
        <f t="shared" si="0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183</v>
      </c>
      <c r="U68" s="28" t="s">
        <v>56</v>
      </c>
      <c r="V68" s="29" t="str">
        <f t="shared" si="1"/>
        <v>⚠ Check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198</v>
      </c>
      <c r="C69" s="25" t="s">
        <v>199</v>
      </c>
      <c r="D69" s="23" t="s">
        <v>173</v>
      </c>
      <c r="E69" s="4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200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201</v>
      </c>
      <c r="C70" s="41" t="s">
        <v>202</v>
      </c>
      <c r="D70" s="39" t="s">
        <v>173</v>
      </c>
      <c r="E70" s="4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200</v>
      </c>
      <c r="L70" s="28" t="s">
        <v>56</v>
      </c>
      <c r="M70" s="29" t="str">
        <f t="shared" si="5"/>
        <v>⚠ Check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200</v>
      </c>
      <c r="U70" s="28" t="s">
        <v>56</v>
      </c>
      <c r="V70" s="29" t="str">
        <f t="shared" si="6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57</v>
      </c>
      <c r="AC70" s="27" t="s">
        <v>200</v>
      </c>
      <c r="AD70" s="31" t="s">
        <v>56</v>
      </c>
      <c r="AE70" s="32" t="str">
        <f t="shared" si="7"/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203</v>
      </c>
      <c r="C71" s="25" t="s">
        <v>204</v>
      </c>
      <c r="D71" s="23" t="s">
        <v>173</v>
      </c>
      <c r="E71" s="4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205</v>
      </c>
      <c r="C72" s="41" t="s">
        <v>206</v>
      </c>
      <c r="D72" s="39" t="s">
        <v>173</v>
      </c>
      <c r="E72" s="4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174</v>
      </c>
      <c r="L72" s="28" t="s">
        <v>56</v>
      </c>
      <c r="M72" s="29" t="str">
        <f t="shared" si="5"/>
        <v>⚠ Check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207</v>
      </c>
      <c r="C73" s="25" t="s">
        <v>208</v>
      </c>
      <c r="D73" s="23" t="s">
        <v>209</v>
      </c>
      <c r="E73" s="4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70">
        <v>46248</v>
      </c>
      <c r="X73" s="30" t="s">
        <v>60</v>
      </c>
      <c r="Y73" s="30" t="s">
        <v>57</v>
      </c>
      <c r="Z73" s="30" t="s">
        <v>56</v>
      </c>
      <c r="AA73" s="30" t="s">
        <v>61</v>
      </c>
      <c r="AB73" s="30" t="s">
        <v>57</v>
      </c>
      <c r="AC73" s="27"/>
      <c r="AD73" s="31" t="s">
        <v>57</v>
      </c>
      <c r="AE73" s="32" t="str">
        <f t="shared" si="7"/>
        <v>❌ Disc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210</v>
      </c>
      <c r="C74" s="41" t="s">
        <v>211</v>
      </c>
      <c r="D74" s="39" t="s">
        <v>209</v>
      </c>
      <c r="E74" s="4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212</v>
      </c>
      <c r="C75" s="25" t="s">
        <v>213</v>
      </c>
      <c r="D75" s="23" t="s">
        <v>209</v>
      </c>
      <c r="E75" s="4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214</v>
      </c>
      <c r="C76" s="41" t="s">
        <v>215</v>
      </c>
      <c r="D76" s="39" t="s">
        <v>209</v>
      </c>
      <c r="E76" s="4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216</v>
      </c>
      <c r="C77" s="25" t="s">
        <v>217</v>
      </c>
      <c r="D77" s="23" t="s">
        <v>209</v>
      </c>
      <c r="E77" s="4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218</v>
      </c>
      <c r="C78" s="41" t="s">
        <v>219</v>
      </c>
      <c r="D78" s="39" t="s">
        <v>209</v>
      </c>
      <c r="E78" s="4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220</v>
      </c>
      <c r="L78" s="28" t="s">
        <v>56</v>
      </c>
      <c r="M78" s="29" t="str">
        <f t="shared" si="5"/>
        <v>⚠ Check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57</v>
      </c>
      <c r="T78" s="27" t="s">
        <v>220</v>
      </c>
      <c r="U78" s="28" t="s">
        <v>56</v>
      </c>
      <c r="V78" s="29" t="str">
        <f t="shared" si="6"/>
        <v>⚠ Check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57</v>
      </c>
      <c r="AC78" s="27" t="s">
        <v>220</v>
      </c>
      <c r="AD78" s="31" t="s">
        <v>56</v>
      </c>
      <c r="AE78" s="32" t="str">
        <f t="shared" si="7"/>
        <v>⚠ Check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221</v>
      </c>
      <c r="C79" s="25" t="s">
        <v>222</v>
      </c>
      <c r="D79" s="23" t="s">
        <v>209</v>
      </c>
      <c r="E79" s="4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223</v>
      </c>
      <c r="L79" s="28" t="s">
        <v>56</v>
      </c>
      <c r="M79" s="29" t="str">
        <f t="shared" si="5"/>
        <v>⚠ Check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224</v>
      </c>
      <c r="C80" s="41" t="s">
        <v>225</v>
      </c>
      <c r="D80" s="39" t="s">
        <v>209</v>
      </c>
      <c r="E80" s="4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226</v>
      </c>
      <c r="C81" s="25" t="s">
        <v>227</v>
      </c>
      <c r="D81" s="23" t="s">
        <v>209</v>
      </c>
      <c r="E81" s="4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220</v>
      </c>
      <c r="L81" s="28" t="s">
        <v>56</v>
      </c>
      <c r="M81" s="29" t="str">
        <f t="shared" si="5"/>
        <v>⚠ Check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57</v>
      </c>
      <c r="T81" s="27" t="s">
        <v>220</v>
      </c>
      <c r="U81" s="28" t="s">
        <v>56</v>
      </c>
      <c r="V81" s="29" t="str">
        <f t="shared" si="6"/>
        <v>⚠ Check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57</v>
      </c>
      <c r="AC81" s="27" t="s">
        <v>220</v>
      </c>
      <c r="AD81" s="31" t="s">
        <v>56</v>
      </c>
      <c r="AE81" s="32" t="str">
        <f t="shared" si="7"/>
        <v>⚠ Check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228</v>
      </c>
      <c r="C82" s="41" t="s">
        <v>229</v>
      </c>
      <c r="D82" s="39" t="s">
        <v>209</v>
      </c>
      <c r="E82" s="4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220</v>
      </c>
      <c r="L82" s="28" t="s">
        <v>56</v>
      </c>
      <c r="M82" s="29" t="str">
        <f t="shared" si="5"/>
        <v>⚠ Check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57</v>
      </c>
      <c r="T82" s="27" t="s">
        <v>220</v>
      </c>
      <c r="U82" s="28" t="s">
        <v>56</v>
      </c>
      <c r="V82" s="29" t="str">
        <f t="shared" si="6"/>
        <v>⚠ Check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57</v>
      </c>
      <c r="AC82" s="27" t="s">
        <v>220</v>
      </c>
      <c r="AD82" s="31" t="s">
        <v>56</v>
      </c>
      <c r="AE82" s="32" t="str">
        <f t="shared" si="7"/>
        <v>⚠ Check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230</v>
      </c>
      <c r="C83" s="25" t="s">
        <v>231</v>
      </c>
      <c r="D83" s="23" t="s">
        <v>209</v>
      </c>
      <c r="E83" s="42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232</v>
      </c>
      <c r="C84" s="41" t="s">
        <v>233</v>
      </c>
      <c r="D84" s="39" t="s">
        <v>209</v>
      </c>
      <c r="E84" s="4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220</v>
      </c>
      <c r="L84" s="28" t="s">
        <v>56</v>
      </c>
      <c r="M84" s="29" t="str">
        <f t="shared" si="5"/>
        <v>⚠ Check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57</v>
      </c>
      <c r="T84" s="27" t="s">
        <v>220</v>
      </c>
      <c r="U84" s="28" t="s">
        <v>56</v>
      </c>
      <c r="V84" s="29" t="str">
        <f t="shared" si="6"/>
        <v>⚠ Check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57</v>
      </c>
      <c r="AC84" s="27" t="s">
        <v>220</v>
      </c>
      <c r="AD84" s="31" t="s">
        <v>56</v>
      </c>
      <c r="AE84" s="32" t="str">
        <f t="shared" si="7"/>
        <v>⚠ Check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234</v>
      </c>
      <c r="C85" s="25" t="s">
        <v>235</v>
      </c>
      <c r="D85" s="23" t="s">
        <v>209</v>
      </c>
      <c r="E85" s="4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236</v>
      </c>
      <c r="C86" s="41" t="s">
        <v>237</v>
      </c>
      <c r="D86" s="39" t="s">
        <v>209</v>
      </c>
      <c r="E86" s="4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220</v>
      </c>
      <c r="L86" s="28" t="s">
        <v>56</v>
      </c>
      <c r="M86" s="29" t="str">
        <f t="shared" si="5"/>
        <v>⚠ Check</v>
      </c>
      <c r="N86" s="42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57</v>
      </c>
      <c r="T86" s="27" t="s">
        <v>220</v>
      </c>
      <c r="U86" s="28" t="s">
        <v>56</v>
      </c>
      <c r="V86" s="29" t="str">
        <f t="shared" si="6"/>
        <v>⚠ Check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57</v>
      </c>
      <c r="AC86" s="27" t="s">
        <v>220</v>
      </c>
      <c r="AD86" s="31" t="s">
        <v>56</v>
      </c>
      <c r="AE86" s="32" t="str">
        <f t="shared" si="7"/>
        <v>⚠ Check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238</v>
      </c>
      <c r="C87" s="25" t="s">
        <v>239</v>
      </c>
      <c r="D87" s="23" t="s">
        <v>209</v>
      </c>
      <c r="E87" s="4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220</v>
      </c>
      <c r="L87" s="28" t="s">
        <v>56</v>
      </c>
      <c r="M87" s="29" t="str">
        <f t="shared" si="5"/>
        <v>⚠ Check</v>
      </c>
      <c r="N87" s="42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57</v>
      </c>
      <c r="T87" s="27" t="s">
        <v>220</v>
      </c>
      <c r="U87" s="28" t="s">
        <v>56</v>
      </c>
      <c r="V87" s="29" t="str">
        <f t="shared" si="6"/>
        <v>⚠ Check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57</v>
      </c>
      <c r="AC87" s="27" t="s">
        <v>220</v>
      </c>
      <c r="AD87" s="31" t="s">
        <v>56</v>
      </c>
      <c r="AE87" s="32" t="str">
        <f t="shared" si="7"/>
        <v>⚠ Check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240</v>
      </c>
      <c r="C88" s="41" t="s">
        <v>241</v>
      </c>
      <c r="D88" s="39" t="s">
        <v>209</v>
      </c>
      <c r="E88" s="4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2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242</v>
      </c>
      <c r="C89" s="25" t="s">
        <v>243</v>
      </c>
      <c r="D89" s="23" t="s">
        <v>209</v>
      </c>
      <c r="E89" s="4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2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244</v>
      </c>
      <c r="C90" s="41" t="s">
        <v>245</v>
      </c>
      <c r="D90" s="39" t="s">
        <v>209</v>
      </c>
      <c r="E90" s="4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220</v>
      </c>
      <c r="L90" s="28" t="s">
        <v>56</v>
      </c>
      <c r="M90" s="29" t="str">
        <f t="shared" si="5"/>
        <v>⚠ Check</v>
      </c>
      <c r="N90" s="42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57</v>
      </c>
      <c r="T90" s="27" t="s">
        <v>220</v>
      </c>
      <c r="U90" s="28" t="s">
        <v>56</v>
      </c>
      <c r="V90" s="29" t="str">
        <f t="shared" si="6"/>
        <v>⚠ Check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57</v>
      </c>
      <c r="AC90" s="27" t="s">
        <v>220</v>
      </c>
      <c r="AD90" s="31" t="s">
        <v>56</v>
      </c>
      <c r="AE90" s="32" t="str">
        <f t="shared" si="7"/>
        <v>⚠ Check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246</v>
      </c>
      <c r="C91" s="25" t="s">
        <v>247</v>
      </c>
      <c r="D91" s="23" t="s">
        <v>209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248</v>
      </c>
      <c r="C92" s="41" t="s">
        <v>249</v>
      </c>
      <c r="D92" s="39" t="s">
        <v>209</v>
      </c>
      <c r="E92" s="4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220</v>
      </c>
      <c r="L92" s="28" t="s">
        <v>56</v>
      </c>
      <c r="M92" s="29" t="str">
        <f t="shared" si="5"/>
        <v>⚠ Check</v>
      </c>
      <c r="N92" s="42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57</v>
      </c>
      <c r="T92" s="27" t="s">
        <v>220</v>
      </c>
      <c r="U92" s="28" t="s">
        <v>56</v>
      </c>
      <c r="V92" s="29" t="str">
        <f t="shared" si="6"/>
        <v>⚠ Check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57</v>
      </c>
      <c r="AC92" s="27" t="s">
        <v>220</v>
      </c>
      <c r="AD92" s="31" t="s">
        <v>56</v>
      </c>
      <c r="AE92" s="32" t="str">
        <f t="shared" si="7"/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250</v>
      </c>
      <c r="C93" s="25" t="s">
        <v>251</v>
      </c>
      <c r="D93" s="23" t="s">
        <v>209</v>
      </c>
      <c r="E93" s="4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252</v>
      </c>
      <c r="C94" s="41" t="s">
        <v>253</v>
      </c>
      <c r="D94" s="39" t="s">
        <v>209</v>
      </c>
      <c r="E94" s="4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254</v>
      </c>
      <c r="C95" s="25" t="s">
        <v>255</v>
      </c>
      <c r="D95" s="23" t="s">
        <v>209</v>
      </c>
      <c r="E95" s="4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256</v>
      </c>
      <c r="C96" s="41" t="s">
        <v>257</v>
      </c>
      <c r="D96" s="39" t="s">
        <v>209</v>
      </c>
      <c r="E96" s="4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220</v>
      </c>
      <c r="L96" s="28" t="s">
        <v>56</v>
      </c>
      <c r="M96" s="29" t="str">
        <f t="shared" si="5"/>
        <v>⚠ Check</v>
      </c>
      <c r="N96" s="42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57</v>
      </c>
      <c r="T96" s="27" t="s">
        <v>220</v>
      </c>
      <c r="U96" s="28" t="s">
        <v>56</v>
      </c>
      <c r="V96" s="29" t="str">
        <f t="shared" si="6"/>
        <v>⚠ Check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57</v>
      </c>
      <c r="AC96" s="27" t="s">
        <v>220</v>
      </c>
      <c r="AD96" s="31" t="s">
        <v>56</v>
      </c>
      <c r="AE96" s="32" t="str">
        <f t="shared" si="7"/>
        <v>⚠ Check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258</v>
      </c>
      <c r="C97" s="25" t="s">
        <v>259</v>
      </c>
      <c r="D97" s="23" t="s">
        <v>209</v>
      </c>
      <c r="E97" s="4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260</v>
      </c>
      <c r="L97" s="28" t="s">
        <v>56</v>
      </c>
      <c r="M97" s="29" t="str">
        <f t="shared" si="5"/>
        <v>⚠ Check</v>
      </c>
      <c r="N97" s="42">
        <v>46193</v>
      </c>
      <c r="O97" s="26" t="s">
        <v>55</v>
      </c>
      <c r="P97" s="26" t="s">
        <v>57</v>
      </c>
      <c r="Q97" s="26" t="s">
        <v>56</v>
      </c>
      <c r="R97" s="26" t="s">
        <v>61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70">
        <v>46248</v>
      </c>
      <c r="X97" s="30" t="s">
        <v>60</v>
      </c>
      <c r="Y97" s="30" t="s">
        <v>57</v>
      </c>
      <c r="Z97" s="30" t="s">
        <v>56</v>
      </c>
      <c r="AA97" s="30" t="s">
        <v>61</v>
      </c>
      <c r="AB97" s="30" t="s">
        <v>57</v>
      </c>
      <c r="AC97" s="27"/>
      <c r="AD97" s="31" t="s">
        <v>57</v>
      </c>
      <c r="AE97" s="32" t="str">
        <f t="shared" si="7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261</v>
      </c>
      <c r="C98" s="41" t="s">
        <v>262</v>
      </c>
      <c r="D98" s="39" t="s">
        <v>209</v>
      </c>
      <c r="E98" s="42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43"/>
      <c r="L98" s="28" t="s">
        <v>57</v>
      </c>
      <c r="M98" s="29" t="str">
        <f t="shared" si="5"/>
        <v>✓ OK</v>
      </c>
      <c r="N98" s="42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43"/>
      <c r="U98" s="28" t="s">
        <v>57</v>
      </c>
      <c r="V98" s="29" t="str">
        <f t="shared" si="6"/>
        <v>✓ OK</v>
      </c>
      <c r="W98" s="70">
        <v>46248</v>
      </c>
      <c r="X98" s="30" t="s">
        <v>60</v>
      </c>
      <c r="Y98" s="30" t="s">
        <v>57</v>
      </c>
      <c r="Z98" s="30" t="s">
        <v>56</v>
      </c>
      <c r="AA98" s="30" t="s">
        <v>61</v>
      </c>
      <c r="AB98" s="30" t="s">
        <v>57</v>
      </c>
      <c r="AC98" s="27"/>
      <c r="AD98" s="31" t="s">
        <v>57</v>
      </c>
      <c r="AE98" s="32" t="str">
        <f t="shared" si="7"/>
        <v>❌ Disc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263</v>
      </c>
      <c r="C99" s="25" t="s">
        <v>264</v>
      </c>
      <c r="D99" s="23" t="s">
        <v>209</v>
      </c>
      <c r="E99" s="4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265</v>
      </c>
      <c r="L99" s="28" t="s">
        <v>56</v>
      </c>
      <c r="M99" s="29" t="str">
        <f t="shared" si="5"/>
        <v>⚠ Check</v>
      </c>
      <c r="N99" s="42">
        <v>46193</v>
      </c>
      <c r="O99" s="26" t="s">
        <v>55</v>
      </c>
      <c r="P99" s="26" t="s">
        <v>57</v>
      </c>
      <c r="Q99" s="26" t="s">
        <v>56</v>
      </c>
      <c r="R99" s="26" t="s">
        <v>61</v>
      </c>
      <c r="S99" s="26" t="s">
        <v>57</v>
      </c>
      <c r="T99" s="27"/>
      <c r="U99" s="28" t="s">
        <v>57</v>
      </c>
      <c r="V99" s="29" t="str">
        <f t="shared" si="6"/>
        <v>❌ Disc</v>
      </c>
      <c r="W99" s="70">
        <v>46248</v>
      </c>
      <c r="X99" s="30" t="s">
        <v>60</v>
      </c>
      <c r="Y99" s="30" t="s">
        <v>57</v>
      </c>
      <c r="Z99" s="30" t="s">
        <v>56</v>
      </c>
      <c r="AA99" s="30" t="s">
        <v>61</v>
      </c>
      <c r="AB99" s="30" t="s">
        <v>57</v>
      </c>
      <c r="AC99" s="27"/>
      <c r="AD99" s="31" t="s">
        <v>57</v>
      </c>
      <c r="AE99" s="32" t="str">
        <f t="shared" si="7"/>
        <v>❌ Disc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266</v>
      </c>
      <c r="C100" s="41" t="s">
        <v>267</v>
      </c>
      <c r="D100" s="39" t="s">
        <v>209</v>
      </c>
      <c r="E100" s="4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268</v>
      </c>
      <c r="L100" s="28" t="s">
        <v>56</v>
      </c>
      <c r="M100" s="29" t="str">
        <f t="shared" si="5"/>
        <v>⚠ Check</v>
      </c>
      <c r="N100" s="42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269</v>
      </c>
      <c r="C101" s="25" t="s">
        <v>270</v>
      </c>
      <c r="D101" s="23" t="s">
        <v>209</v>
      </c>
      <c r="E101" s="4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3" t="s">
        <v>260</v>
      </c>
      <c r="L101" s="28" t="s">
        <v>56</v>
      </c>
      <c r="M101" s="29" t="str">
        <f t="shared" si="5"/>
        <v>⚠ Check</v>
      </c>
      <c r="N101" s="42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57</v>
      </c>
      <c r="T101" s="43" t="s">
        <v>260</v>
      </c>
      <c r="U101" s="28" t="s">
        <v>56</v>
      </c>
      <c r="V101" s="29" t="str">
        <f t="shared" si="6"/>
        <v>⚠ Check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271</v>
      </c>
      <c r="C102" s="41" t="s">
        <v>272</v>
      </c>
      <c r="D102" s="39" t="s">
        <v>209</v>
      </c>
      <c r="E102" s="4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3" t="s">
        <v>260</v>
      </c>
      <c r="L102" s="28" t="s">
        <v>56</v>
      </c>
      <c r="M102" s="29" t="str">
        <f t="shared" si="5"/>
        <v>⚠ Check</v>
      </c>
      <c r="N102" s="42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273</v>
      </c>
      <c r="C103" s="25" t="s">
        <v>274</v>
      </c>
      <c r="D103" s="23" t="s">
        <v>209</v>
      </c>
      <c r="E103" s="4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42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60</v>
      </c>
      <c r="Y103" s="30" t="s">
        <v>57</v>
      </c>
      <c r="Z103" s="30" t="s">
        <v>56</v>
      </c>
      <c r="AA103" s="30" t="s">
        <v>61</v>
      </c>
      <c r="AB103" s="30" t="s">
        <v>57</v>
      </c>
      <c r="AC103" s="27"/>
      <c r="AD103" s="31" t="s">
        <v>57</v>
      </c>
      <c r="AE103" s="32" t="str">
        <f t="shared" si="7"/>
        <v>❌ Disc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275</v>
      </c>
      <c r="C104" s="41" t="s">
        <v>276</v>
      </c>
      <c r="D104" s="39" t="s">
        <v>209</v>
      </c>
      <c r="E104" s="42">
        <v>46127</v>
      </c>
      <c r="F104" s="26" t="s">
        <v>55</v>
      </c>
      <c r="G104" s="26" t="s">
        <v>56</v>
      </c>
      <c r="H104" s="26" t="s">
        <v>57</v>
      </c>
      <c r="I104" s="26" t="s">
        <v>277</v>
      </c>
      <c r="J104" s="26" t="s">
        <v>57</v>
      </c>
      <c r="K104" s="27" t="s">
        <v>278</v>
      </c>
      <c r="L104" s="28" t="s">
        <v>56</v>
      </c>
      <c r="M104" s="29" t="str">
        <f t="shared" si="5"/>
        <v>⚠ Check</v>
      </c>
      <c r="N104" s="42">
        <v>46193</v>
      </c>
      <c r="O104" s="26" t="s">
        <v>55</v>
      </c>
      <c r="P104" s="26" t="s">
        <v>57</v>
      </c>
      <c r="Q104" s="26" t="s">
        <v>56</v>
      </c>
      <c r="R104" s="26" t="s">
        <v>61</v>
      </c>
      <c r="S104" s="26" t="s">
        <v>57</v>
      </c>
      <c r="T104" s="27"/>
      <c r="U104" s="28" t="s">
        <v>57</v>
      </c>
      <c r="V104" s="29" t="str">
        <f t="shared" si="6"/>
        <v>❌ Disc</v>
      </c>
      <c r="W104" s="70">
        <v>46248</v>
      </c>
      <c r="X104" s="30" t="s">
        <v>60</v>
      </c>
      <c r="Y104" s="30" t="s">
        <v>57</v>
      </c>
      <c r="Z104" s="30" t="s">
        <v>56</v>
      </c>
      <c r="AA104" s="30" t="s">
        <v>61</v>
      </c>
      <c r="AB104" s="30" t="s">
        <v>57</v>
      </c>
      <c r="AC104" s="27"/>
      <c r="AD104" s="31" t="s">
        <v>57</v>
      </c>
      <c r="AE104" s="32" t="str">
        <f t="shared" si="7"/>
        <v>❌ Disc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279</v>
      </c>
      <c r="C105" s="25" t="s">
        <v>280</v>
      </c>
      <c r="D105" s="23" t="s">
        <v>209</v>
      </c>
      <c r="E105" s="42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281</v>
      </c>
      <c r="C106" s="41" t="s">
        <v>282</v>
      </c>
      <c r="D106" s="39" t="s">
        <v>209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46193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283</v>
      </c>
      <c r="C107" s="25" t="s">
        <v>284</v>
      </c>
      <c r="D107" s="23" t="s">
        <v>209</v>
      </c>
      <c r="E107" s="4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285</v>
      </c>
      <c r="C108" s="41" t="s">
        <v>286</v>
      </c>
      <c r="D108" s="39" t="s">
        <v>209</v>
      </c>
      <c r="E108" s="4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287</v>
      </c>
      <c r="C109" s="25" t="s">
        <v>288</v>
      </c>
      <c r="D109" s="23" t="s">
        <v>209</v>
      </c>
      <c r="E109" s="4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289</v>
      </c>
      <c r="C110" s="41" t="s">
        <v>290</v>
      </c>
      <c r="D110" s="39" t="s">
        <v>209</v>
      </c>
      <c r="E110" s="4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291</v>
      </c>
      <c r="C111" s="25" t="s">
        <v>292</v>
      </c>
      <c r="D111" s="23" t="s">
        <v>209</v>
      </c>
      <c r="E111" s="4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174</v>
      </c>
      <c r="L111" s="28" t="s">
        <v>56</v>
      </c>
      <c r="M111" s="29" t="str">
        <f t="shared" si="5"/>
        <v>⚠ Check</v>
      </c>
      <c r="N111" s="42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57</v>
      </c>
      <c r="T111" s="27" t="s">
        <v>174</v>
      </c>
      <c r="U111" s="28" t="s">
        <v>56</v>
      </c>
      <c r="V111" s="29" t="str">
        <f t="shared" si="6"/>
        <v>⚠ Check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57</v>
      </c>
      <c r="AC111" s="27" t="s">
        <v>174</v>
      </c>
      <c r="AD111" s="31" t="s">
        <v>56</v>
      </c>
      <c r="AE111" s="32" t="str">
        <f t="shared" si="7"/>
        <v>⚠ Check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293</v>
      </c>
      <c r="C112" s="41" t="s">
        <v>294</v>
      </c>
      <c r="D112" s="39" t="s">
        <v>209</v>
      </c>
      <c r="E112" s="4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295</v>
      </c>
      <c r="L112" s="28" t="s">
        <v>56</v>
      </c>
      <c r="M112" s="29" t="str">
        <f t="shared" si="5"/>
        <v>⚠ Check</v>
      </c>
      <c r="N112" s="42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296</v>
      </c>
      <c r="C113" s="25" t="s">
        <v>297</v>
      </c>
      <c r="D113" s="23" t="s">
        <v>209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298</v>
      </c>
      <c r="C114" s="41" t="s">
        <v>299</v>
      </c>
      <c r="D114" s="39" t="s">
        <v>209</v>
      </c>
      <c r="E114" s="4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3" t="s">
        <v>260</v>
      </c>
      <c r="L114" s="28" t="s">
        <v>56</v>
      </c>
      <c r="M114" s="29" t="str">
        <f t="shared" si="5"/>
        <v>⚠ Check</v>
      </c>
      <c r="N114" s="42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300</v>
      </c>
      <c r="C115" s="25" t="s">
        <v>301</v>
      </c>
      <c r="D115" s="23" t="s">
        <v>209</v>
      </c>
      <c r="E115" s="42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302</v>
      </c>
      <c r="L115" s="28" t="s">
        <v>56</v>
      </c>
      <c r="M115" s="29" t="str">
        <f t="shared" si="5"/>
        <v>⚠ Check</v>
      </c>
      <c r="N115" s="42">
        <v>46193</v>
      </c>
      <c r="O115" s="26" t="s">
        <v>55</v>
      </c>
      <c r="P115" s="26" t="s">
        <v>57</v>
      </c>
      <c r="Q115" s="26" t="s">
        <v>56</v>
      </c>
      <c r="R115" s="26" t="s">
        <v>61</v>
      </c>
      <c r="S115" s="26" t="s">
        <v>57</v>
      </c>
      <c r="T115" s="27"/>
      <c r="U115" s="28" t="s">
        <v>57</v>
      </c>
      <c r="V115" s="29" t="str">
        <f t="shared" si="6"/>
        <v>❌ Disc</v>
      </c>
      <c r="W115" s="70">
        <v>46248</v>
      </c>
      <c r="X115" s="30" t="s">
        <v>60</v>
      </c>
      <c r="Y115" s="30" t="s">
        <v>57</v>
      </c>
      <c r="Z115" s="30" t="s">
        <v>56</v>
      </c>
      <c r="AA115" s="30" t="s">
        <v>61</v>
      </c>
      <c r="AB115" s="30" t="s">
        <v>57</v>
      </c>
      <c r="AC115" s="27"/>
      <c r="AD115" s="31" t="s">
        <v>57</v>
      </c>
      <c r="AE115" s="32" t="str">
        <f t="shared" si="7"/>
        <v>❌ Disc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303</v>
      </c>
      <c r="C116" s="41" t="s">
        <v>304</v>
      </c>
      <c r="D116" s="39" t="s">
        <v>209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305</v>
      </c>
      <c r="C117" s="25" t="s">
        <v>306</v>
      </c>
      <c r="D117" s="23" t="s">
        <v>209</v>
      </c>
      <c r="E117" s="4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307</v>
      </c>
      <c r="C118" s="41" t="s">
        <v>308</v>
      </c>
      <c r="D118" s="39" t="s">
        <v>209</v>
      </c>
      <c r="E118" s="4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60</v>
      </c>
      <c r="Y118" s="30" t="s">
        <v>57</v>
      </c>
      <c r="Z118" s="30" t="s">
        <v>56</v>
      </c>
      <c r="AA118" s="30" t="s">
        <v>61</v>
      </c>
      <c r="AB118" s="30" t="s">
        <v>57</v>
      </c>
      <c r="AC118" s="27"/>
      <c r="AD118" s="31" t="s">
        <v>57</v>
      </c>
      <c r="AE118" s="32" t="str">
        <f t="shared" si="7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309</v>
      </c>
      <c r="C119" s="25" t="s">
        <v>310</v>
      </c>
      <c r="D119" s="23" t="s">
        <v>209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311</v>
      </c>
      <c r="C120" s="41" t="s">
        <v>312</v>
      </c>
      <c r="D120" s="39" t="s">
        <v>209</v>
      </c>
      <c r="E120" s="4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60</v>
      </c>
      <c r="Y120" s="30" t="s">
        <v>57</v>
      </c>
      <c r="Z120" s="30" t="s">
        <v>56</v>
      </c>
      <c r="AA120" s="30" t="s">
        <v>61</v>
      </c>
      <c r="AB120" s="30" t="s">
        <v>57</v>
      </c>
      <c r="AC120" s="27"/>
      <c r="AD120" s="31" t="s">
        <v>57</v>
      </c>
      <c r="AE120" s="32" t="str">
        <f t="shared" si="7"/>
        <v>❌ Disc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313</v>
      </c>
      <c r="C121" s="25" t="s">
        <v>314</v>
      </c>
      <c r="D121" s="23" t="s">
        <v>209</v>
      </c>
      <c r="E121" s="4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3" t="s">
        <v>260</v>
      </c>
      <c r="L121" s="28" t="s">
        <v>56</v>
      </c>
      <c r="M121" s="29" t="str">
        <f t="shared" si="5"/>
        <v>⚠ Check</v>
      </c>
      <c r="N121" s="42">
        <v>46193</v>
      </c>
      <c r="O121" s="26" t="s">
        <v>55</v>
      </c>
      <c r="P121" s="26" t="s">
        <v>57</v>
      </c>
      <c r="Q121" s="26" t="s">
        <v>56</v>
      </c>
      <c r="R121" s="26" t="s">
        <v>61</v>
      </c>
      <c r="S121" s="26" t="s">
        <v>57</v>
      </c>
      <c r="T121" s="43"/>
      <c r="U121" s="28" t="s">
        <v>57</v>
      </c>
      <c r="V121" s="29" t="str">
        <f t="shared" si="6"/>
        <v>❌ Disc</v>
      </c>
      <c r="W121" s="70">
        <v>46248</v>
      </c>
      <c r="X121" s="30" t="s">
        <v>60</v>
      </c>
      <c r="Y121" s="30" t="s">
        <v>57</v>
      </c>
      <c r="Z121" s="30" t="s">
        <v>56</v>
      </c>
      <c r="AA121" s="30" t="s">
        <v>61</v>
      </c>
      <c r="AB121" s="30" t="s">
        <v>57</v>
      </c>
      <c r="AC121" s="27"/>
      <c r="AD121" s="31" t="s">
        <v>57</v>
      </c>
      <c r="AE121" s="32" t="str">
        <f t="shared" si="7"/>
        <v>❌ Disc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315</v>
      </c>
      <c r="C122" s="41" t="s">
        <v>316</v>
      </c>
      <c r="D122" s="39" t="s">
        <v>209</v>
      </c>
      <c r="E122" s="42">
        <v>46127</v>
      </c>
      <c r="F122" s="26" t="s">
        <v>55</v>
      </c>
      <c r="G122" s="26" t="s">
        <v>56</v>
      </c>
      <c r="H122" s="26" t="s">
        <v>57</v>
      </c>
      <c r="I122" s="26" t="s">
        <v>277</v>
      </c>
      <c r="J122" s="26" t="s">
        <v>57</v>
      </c>
      <c r="K122" s="27" t="s">
        <v>317</v>
      </c>
      <c r="L122" s="28" t="s">
        <v>56</v>
      </c>
      <c r="M122" s="29" t="str">
        <f t="shared" si="5"/>
        <v>⚠ Check</v>
      </c>
      <c r="N122" s="42">
        <v>46193</v>
      </c>
      <c r="O122" s="26" t="s">
        <v>55</v>
      </c>
      <c r="P122" s="26" t="s">
        <v>57</v>
      </c>
      <c r="Q122" s="26" t="s">
        <v>56</v>
      </c>
      <c r="R122" s="26" t="s">
        <v>61</v>
      </c>
      <c r="S122" s="26" t="s">
        <v>57</v>
      </c>
      <c r="T122" s="27"/>
      <c r="U122" s="28" t="s">
        <v>57</v>
      </c>
      <c r="V122" s="29" t="str">
        <f t="shared" si="6"/>
        <v>❌ Disc</v>
      </c>
      <c r="W122" s="70">
        <v>46248</v>
      </c>
      <c r="X122" s="30" t="s">
        <v>60</v>
      </c>
      <c r="Y122" s="30" t="s">
        <v>57</v>
      </c>
      <c r="Z122" s="30" t="s">
        <v>56</v>
      </c>
      <c r="AA122" s="30" t="s">
        <v>61</v>
      </c>
      <c r="AB122" s="30" t="s">
        <v>57</v>
      </c>
      <c r="AC122" s="27"/>
      <c r="AD122" s="31" t="s">
        <v>57</v>
      </c>
      <c r="AE122" s="32" t="str">
        <f t="shared" si="7"/>
        <v>❌ Disc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318</v>
      </c>
      <c r="C123" s="25" t="s">
        <v>319</v>
      </c>
      <c r="D123" s="23" t="s">
        <v>209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320</v>
      </c>
      <c r="C124" s="41" t="s">
        <v>321</v>
      </c>
      <c r="D124" s="39" t="s">
        <v>209</v>
      </c>
      <c r="E124" s="4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322</v>
      </c>
      <c r="C125" s="25" t="s">
        <v>323</v>
      </c>
      <c r="D125" s="23" t="s">
        <v>209</v>
      </c>
      <c r="E125" s="4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57</v>
      </c>
      <c r="T125" s="27" t="s">
        <v>59</v>
      </c>
      <c r="U125" s="28" t="s">
        <v>56</v>
      </c>
      <c r="V125" s="29" t="str">
        <f t="shared" si="6"/>
        <v>⚠ Check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324</v>
      </c>
      <c r="C126" s="41" t="s">
        <v>325</v>
      </c>
      <c r="D126" s="39" t="s">
        <v>209</v>
      </c>
      <c r="E126" s="4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326</v>
      </c>
      <c r="L126" s="28" t="s">
        <v>56</v>
      </c>
      <c r="M126" s="29" t="str">
        <f t="shared" si="5"/>
        <v>⚠ Check</v>
      </c>
      <c r="N126" s="42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57</v>
      </c>
      <c r="T126" s="27" t="s">
        <v>326</v>
      </c>
      <c r="U126" s="28" t="s">
        <v>56</v>
      </c>
      <c r="V126" s="29" t="str">
        <f t="shared" si="6"/>
        <v>⚠ Check</v>
      </c>
      <c r="W126" s="70">
        <v>46248</v>
      </c>
      <c r="X126" s="30" t="s">
        <v>60</v>
      </c>
      <c r="Y126" s="30" t="s">
        <v>57</v>
      </c>
      <c r="Z126" s="30" t="s">
        <v>56</v>
      </c>
      <c r="AA126" s="30" t="s">
        <v>61</v>
      </c>
      <c r="AB126" s="30" t="s">
        <v>57</v>
      </c>
      <c r="AC126" s="27" t="s">
        <v>326</v>
      </c>
      <c r="AD126" s="31" t="s">
        <v>57</v>
      </c>
      <c r="AE126" s="32" t="str">
        <f t="shared" si="7"/>
        <v>❌ Disc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327</v>
      </c>
      <c r="C127" s="25" t="s">
        <v>328</v>
      </c>
      <c r="D127" s="23" t="s">
        <v>209</v>
      </c>
      <c r="E127" s="4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3" t="s">
        <v>260</v>
      </c>
      <c r="L127" s="28" t="s">
        <v>56</v>
      </c>
      <c r="M127" s="29" t="str">
        <f t="shared" si="5"/>
        <v>⚠ Check</v>
      </c>
      <c r="N127" s="42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60</v>
      </c>
      <c r="Y127" s="30" t="s">
        <v>57</v>
      </c>
      <c r="Z127" s="30" t="s">
        <v>56</v>
      </c>
      <c r="AA127" s="30" t="s">
        <v>61</v>
      </c>
      <c r="AB127" s="30" t="s">
        <v>57</v>
      </c>
      <c r="AC127" s="27"/>
      <c r="AD127" s="31" t="s">
        <v>57</v>
      </c>
      <c r="AE127" s="32" t="str">
        <f t="shared" si="7"/>
        <v>❌ Disc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329</v>
      </c>
      <c r="C128" s="41" t="s">
        <v>330</v>
      </c>
      <c r="D128" s="39" t="s">
        <v>209</v>
      </c>
      <c r="E128" s="4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331</v>
      </c>
      <c r="C129" s="25" t="s">
        <v>332</v>
      </c>
      <c r="D129" s="23" t="s">
        <v>209</v>
      </c>
      <c r="E129" s="4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3" t="s">
        <v>260</v>
      </c>
      <c r="L129" s="28" t="s">
        <v>56</v>
      </c>
      <c r="M129" s="29" t="str">
        <f t="shared" si="5"/>
        <v>⚠ Check</v>
      </c>
      <c r="N129" s="42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333</v>
      </c>
      <c r="C130" s="41" t="s">
        <v>334</v>
      </c>
      <c r="D130" s="39" t="s">
        <v>209</v>
      </c>
      <c r="E130" s="4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335</v>
      </c>
      <c r="C131" s="25" t="s">
        <v>336</v>
      </c>
      <c r="D131" s="23" t="s">
        <v>209</v>
      </c>
      <c r="E131" s="4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337</v>
      </c>
      <c r="C132" s="41" t="s">
        <v>338</v>
      </c>
      <c r="D132" s="39" t="s">
        <v>209</v>
      </c>
      <c r="E132" s="4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339</v>
      </c>
      <c r="C133" s="25" t="s">
        <v>340</v>
      </c>
      <c r="D133" s="23" t="s">
        <v>209</v>
      </c>
      <c r="E133" s="4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260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42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341</v>
      </c>
      <c r="C134" s="41" t="s">
        <v>342</v>
      </c>
      <c r="D134" s="39" t="s">
        <v>209</v>
      </c>
      <c r="E134" s="4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343</v>
      </c>
      <c r="L134" s="28" t="s">
        <v>56</v>
      </c>
      <c r="M134" s="29" t="str">
        <f t="shared" si="10"/>
        <v>⚠ Check</v>
      </c>
      <c r="N134" s="42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344</v>
      </c>
      <c r="C135" s="25" t="s">
        <v>345</v>
      </c>
      <c r="D135" s="23" t="s">
        <v>209</v>
      </c>
      <c r="E135" s="4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346</v>
      </c>
      <c r="C136" s="41" t="s">
        <v>347</v>
      </c>
      <c r="D136" s="39" t="s">
        <v>209</v>
      </c>
      <c r="E136" s="4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3" t="s">
        <v>260</v>
      </c>
      <c r="L136" s="28" t="s">
        <v>56</v>
      </c>
      <c r="M136" s="29" t="str">
        <f t="shared" si="10"/>
        <v>⚠ Check</v>
      </c>
      <c r="N136" s="42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348</v>
      </c>
      <c r="C137" s="25" t="s">
        <v>349</v>
      </c>
      <c r="D137" s="23" t="s">
        <v>209</v>
      </c>
      <c r="E137" s="4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3" t="s">
        <v>350</v>
      </c>
      <c r="L137" s="28" t="s">
        <v>56</v>
      </c>
      <c r="M137" s="29" t="str">
        <f t="shared" si="10"/>
        <v>⚠ Check</v>
      </c>
      <c r="N137" s="42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57</v>
      </c>
      <c r="T137" s="43" t="s">
        <v>350</v>
      </c>
      <c r="U137" s="28" t="s">
        <v>56</v>
      </c>
      <c r="V137" s="29" t="str">
        <f t="shared" si="11"/>
        <v>⚠ Check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57</v>
      </c>
      <c r="AC137" s="27" t="s">
        <v>350</v>
      </c>
      <c r="AD137" s="31" t="s">
        <v>56</v>
      </c>
      <c r="AE137" s="32" t="str">
        <f t="shared" si="12"/>
        <v>⚠ Check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351</v>
      </c>
      <c r="C138" s="41" t="s">
        <v>352</v>
      </c>
      <c r="D138" s="39" t="s">
        <v>209</v>
      </c>
      <c r="E138" s="4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3" t="s">
        <v>260</v>
      </c>
      <c r="L138" s="28" t="s">
        <v>56</v>
      </c>
      <c r="M138" s="29" t="str">
        <f t="shared" si="10"/>
        <v>⚠ Check</v>
      </c>
      <c r="N138" s="42">
        <v>46193</v>
      </c>
      <c r="O138" s="26" t="s">
        <v>55</v>
      </c>
      <c r="P138" s="26" t="s">
        <v>57</v>
      </c>
      <c r="Q138" s="26" t="s">
        <v>56</v>
      </c>
      <c r="R138" s="26" t="s">
        <v>61</v>
      </c>
      <c r="S138" s="26" t="s">
        <v>57</v>
      </c>
      <c r="T138" s="43"/>
      <c r="U138" s="28" t="s">
        <v>57</v>
      </c>
      <c r="V138" s="29" t="str">
        <f t="shared" si="11"/>
        <v>❌ Disc</v>
      </c>
      <c r="W138" s="70">
        <v>46248</v>
      </c>
      <c r="X138" s="30" t="s">
        <v>60</v>
      </c>
      <c r="Y138" s="30" t="s">
        <v>57</v>
      </c>
      <c r="Z138" s="30" t="s">
        <v>56</v>
      </c>
      <c r="AA138" s="30" t="s">
        <v>61</v>
      </c>
      <c r="AB138" s="30" t="s">
        <v>57</v>
      </c>
      <c r="AC138" s="27"/>
      <c r="AD138" s="31" t="s">
        <v>57</v>
      </c>
      <c r="AE138" s="32" t="str">
        <f t="shared" si="12"/>
        <v>❌ Disc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353</v>
      </c>
      <c r="C139" s="25" t="s">
        <v>354</v>
      </c>
      <c r="D139" s="23" t="s">
        <v>209</v>
      </c>
      <c r="E139" s="4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3" t="s">
        <v>260</v>
      </c>
      <c r="L139" s="28" t="s">
        <v>56</v>
      </c>
      <c r="M139" s="29" t="str">
        <f t="shared" si="10"/>
        <v>⚠ Check</v>
      </c>
      <c r="N139" s="42">
        <v>46193</v>
      </c>
      <c r="O139" s="26" t="s">
        <v>55</v>
      </c>
      <c r="P139" s="26" t="s">
        <v>57</v>
      </c>
      <c r="Q139" s="26" t="s">
        <v>56</v>
      </c>
      <c r="R139" s="26" t="s">
        <v>61</v>
      </c>
      <c r="S139" s="26" t="s">
        <v>57</v>
      </c>
      <c r="T139" s="43"/>
      <c r="U139" s="28" t="s">
        <v>57</v>
      </c>
      <c r="V139" s="29" t="str">
        <f t="shared" si="11"/>
        <v>❌ Disc</v>
      </c>
      <c r="W139" s="70">
        <v>46248</v>
      </c>
      <c r="X139" s="30" t="s">
        <v>60</v>
      </c>
      <c r="Y139" s="30" t="s">
        <v>57</v>
      </c>
      <c r="Z139" s="30" t="s">
        <v>56</v>
      </c>
      <c r="AA139" s="30" t="s">
        <v>61</v>
      </c>
      <c r="AB139" s="30" t="s">
        <v>57</v>
      </c>
      <c r="AC139" s="27"/>
      <c r="AD139" s="31" t="s">
        <v>57</v>
      </c>
      <c r="AE139" s="32" t="str">
        <f t="shared" si="12"/>
        <v>❌ Disc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355</v>
      </c>
      <c r="C140" s="41" t="s">
        <v>356</v>
      </c>
      <c r="D140" s="39" t="s">
        <v>209</v>
      </c>
      <c r="E140" s="4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3" t="s">
        <v>260</v>
      </c>
      <c r="L140" s="28" t="s">
        <v>56</v>
      </c>
      <c r="M140" s="29" t="str">
        <f t="shared" si="10"/>
        <v>⚠ Check</v>
      </c>
      <c r="N140" s="42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43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357</v>
      </c>
      <c r="C141" s="25" t="s">
        <v>358</v>
      </c>
      <c r="D141" s="23" t="s">
        <v>209</v>
      </c>
      <c r="E141" s="4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359</v>
      </c>
      <c r="L141" s="28" t="s">
        <v>56</v>
      </c>
      <c r="M141" s="29" t="str">
        <f t="shared" si="10"/>
        <v>⚠ Check</v>
      </c>
      <c r="N141" s="42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57</v>
      </c>
      <c r="T141" s="27" t="s">
        <v>76</v>
      </c>
      <c r="U141" s="28" t="s">
        <v>56</v>
      </c>
      <c r="V141" s="29" t="str">
        <f t="shared" si="11"/>
        <v>⚠ Check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360</v>
      </c>
      <c r="C142" s="41" t="s">
        <v>361</v>
      </c>
      <c r="D142" s="39" t="s">
        <v>209</v>
      </c>
      <c r="E142" s="4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362</v>
      </c>
      <c r="L142" s="28" t="s">
        <v>56</v>
      </c>
      <c r="M142" s="29" t="str">
        <f t="shared" si="10"/>
        <v>⚠ Check</v>
      </c>
      <c r="N142" s="42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57</v>
      </c>
      <c r="T142" s="27" t="s">
        <v>363</v>
      </c>
      <c r="U142" s="28" t="s">
        <v>56</v>
      </c>
      <c r="V142" s="29" t="str">
        <f t="shared" si="11"/>
        <v>⚠ Check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57</v>
      </c>
      <c r="AC142" s="27" t="s">
        <v>363</v>
      </c>
      <c r="AD142" s="31" t="s">
        <v>56</v>
      </c>
      <c r="AE142" s="32" t="str">
        <f t="shared" si="12"/>
        <v>⚠ Check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364</v>
      </c>
      <c r="C143" s="25" t="s">
        <v>365</v>
      </c>
      <c r="D143" s="23" t="s">
        <v>209</v>
      </c>
      <c r="E143" s="4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260</v>
      </c>
      <c r="L143" s="28" t="s">
        <v>56</v>
      </c>
      <c r="M143" s="29" t="str">
        <f t="shared" si="10"/>
        <v>⚠ Check</v>
      </c>
      <c r="N143" s="42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43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366</v>
      </c>
      <c r="C144" s="41" t="s">
        <v>367</v>
      </c>
      <c r="D144" s="39" t="s">
        <v>209</v>
      </c>
      <c r="E144" s="4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3" t="s">
        <v>260</v>
      </c>
      <c r="L144" s="28" t="s">
        <v>56</v>
      </c>
      <c r="M144" s="29" t="str">
        <f t="shared" si="10"/>
        <v>⚠ Check</v>
      </c>
      <c r="N144" s="42">
        <v>46193</v>
      </c>
      <c r="O144" s="26" t="s">
        <v>55</v>
      </c>
      <c r="P144" s="26" t="s">
        <v>57</v>
      </c>
      <c r="Q144" s="26" t="s">
        <v>56</v>
      </c>
      <c r="R144" s="26" t="s">
        <v>61</v>
      </c>
      <c r="S144" s="26" t="s">
        <v>57</v>
      </c>
      <c r="T144" s="43"/>
      <c r="U144" s="28" t="s">
        <v>57</v>
      </c>
      <c r="V144" s="29" t="str">
        <f t="shared" si="11"/>
        <v>❌ Disc</v>
      </c>
      <c r="W144" s="70">
        <v>46248</v>
      </c>
      <c r="X144" s="30" t="s">
        <v>60</v>
      </c>
      <c r="Y144" s="30" t="s">
        <v>57</v>
      </c>
      <c r="Z144" s="30" t="s">
        <v>56</v>
      </c>
      <c r="AA144" s="30" t="s">
        <v>61</v>
      </c>
      <c r="AB144" s="30" t="s">
        <v>57</v>
      </c>
      <c r="AC144" s="27"/>
      <c r="AD144" s="31" t="s">
        <v>57</v>
      </c>
      <c r="AE144" s="32" t="str">
        <f t="shared" si="12"/>
        <v>❌ Disc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368</v>
      </c>
      <c r="C145" s="25" t="s">
        <v>369</v>
      </c>
      <c r="D145" s="23" t="s">
        <v>209</v>
      </c>
      <c r="E145" s="4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370</v>
      </c>
      <c r="L145" s="28" t="s">
        <v>56</v>
      </c>
      <c r="M145" s="29" t="str">
        <f t="shared" si="10"/>
        <v>⚠ Check</v>
      </c>
      <c r="N145" s="42">
        <v>46193</v>
      </c>
      <c r="O145" s="26" t="s">
        <v>55</v>
      </c>
      <c r="P145" s="26" t="s">
        <v>57</v>
      </c>
      <c r="Q145" s="26" t="s">
        <v>56</v>
      </c>
      <c r="R145" s="26" t="s">
        <v>61</v>
      </c>
      <c r="S145" s="26" t="s">
        <v>57</v>
      </c>
      <c r="T145" s="27"/>
      <c r="U145" s="28" t="s">
        <v>57</v>
      </c>
      <c r="V145" s="29" t="str">
        <f t="shared" si="11"/>
        <v>❌ Disc</v>
      </c>
      <c r="W145" s="70">
        <v>46248</v>
      </c>
      <c r="X145" s="30" t="s">
        <v>60</v>
      </c>
      <c r="Y145" s="30" t="s">
        <v>57</v>
      </c>
      <c r="Z145" s="30" t="s">
        <v>56</v>
      </c>
      <c r="AA145" s="30" t="s">
        <v>61</v>
      </c>
      <c r="AB145" s="30" t="s">
        <v>57</v>
      </c>
      <c r="AC145" s="27"/>
      <c r="AD145" s="31" t="s">
        <v>57</v>
      </c>
      <c r="AE145" s="32" t="str">
        <f t="shared" si="12"/>
        <v>❌ Disc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371</v>
      </c>
      <c r="C146" s="41" t="s">
        <v>372</v>
      </c>
      <c r="D146" s="39" t="s">
        <v>209</v>
      </c>
      <c r="E146" s="4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260</v>
      </c>
      <c r="L146" s="28" t="s">
        <v>56</v>
      </c>
      <c r="M146" s="29" t="str">
        <f t="shared" si="10"/>
        <v>⚠ Check</v>
      </c>
      <c r="N146" s="42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373</v>
      </c>
      <c r="C147" s="25" t="s">
        <v>374</v>
      </c>
      <c r="D147" s="23" t="s">
        <v>209</v>
      </c>
      <c r="E147" s="4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260</v>
      </c>
      <c r="L147" s="28" t="s">
        <v>56</v>
      </c>
      <c r="M147" s="29" t="str">
        <f t="shared" si="10"/>
        <v>⚠ Check</v>
      </c>
      <c r="N147" s="42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375</v>
      </c>
      <c r="C148" s="41" t="s">
        <v>376</v>
      </c>
      <c r="D148" s="39" t="s">
        <v>209</v>
      </c>
      <c r="E148" s="4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260</v>
      </c>
      <c r="L148" s="28" t="s">
        <v>56</v>
      </c>
      <c r="M148" s="29" t="str">
        <f t="shared" si="10"/>
        <v>⚠ Check</v>
      </c>
      <c r="N148" s="42">
        <v>46193</v>
      </c>
      <c r="O148" s="26" t="s">
        <v>55</v>
      </c>
      <c r="P148" s="26" t="s">
        <v>57</v>
      </c>
      <c r="Q148" s="26" t="s">
        <v>56</v>
      </c>
      <c r="R148" s="26" t="s">
        <v>61</v>
      </c>
      <c r="S148" s="26" t="s">
        <v>57</v>
      </c>
      <c r="T148" s="27"/>
      <c r="U148" s="28" t="s">
        <v>57</v>
      </c>
      <c r="V148" s="29" t="str">
        <f t="shared" si="11"/>
        <v>❌ Disc</v>
      </c>
      <c r="W148" s="70">
        <v>46248</v>
      </c>
      <c r="X148" s="30" t="s">
        <v>60</v>
      </c>
      <c r="Y148" s="30" t="s">
        <v>57</v>
      </c>
      <c r="Z148" s="30" t="s">
        <v>56</v>
      </c>
      <c r="AA148" s="30" t="s">
        <v>61</v>
      </c>
      <c r="AB148" s="30" t="s">
        <v>57</v>
      </c>
      <c r="AC148" s="27"/>
      <c r="AD148" s="31" t="s">
        <v>57</v>
      </c>
      <c r="AE148" s="32" t="str">
        <f t="shared" si="12"/>
        <v>❌ Disc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377</v>
      </c>
      <c r="C149" s="25" t="s">
        <v>378</v>
      </c>
      <c r="D149" s="23" t="s">
        <v>209</v>
      </c>
      <c r="E149" s="4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260</v>
      </c>
      <c r="L149" s="28" t="s">
        <v>56</v>
      </c>
      <c r="M149" s="29" t="str">
        <f t="shared" si="10"/>
        <v>⚠ Check</v>
      </c>
      <c r="N149" s="42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57</v>
      </c>
      <c r="T149" s="27" t="s">
        <v>260</v>
      </c>
      <c r="U149" s="28" t="s">
        <v>56</v>
      </c>
      <c r="V149" s="29" t="str">
        <f t="shared" si="11"/>
        <v>⚠ Check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379</v>
      </c>
      <c r="C150" s="41" t="s">
        <v>380</v>
      </c>
      <c r="D150" s="39" t="s">
        <v>209</v>
      </c>
      <c r="E150" s="4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3" t="s">
        <v>260</v>
      </c>
      <c r="L150" s="28" t="s">
        <v>56</v>
      </c>
      <c r="M150" s="29" t="str">
        <f t="shared" si="10"/>
        <v>⚠ Check</v>
      </c>
      <c r="N150" s="42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381</v>
      </c>
      <c r="C151" s="25" t="s">
        <v>382</v>
      </c>
      <c r="D151" s="23" t="s">
        <v>209</v>
      </c>
      <c r="E151" s="4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3" t="s">
        <v>260</v>
      </c>
      <c r="L151" s="28" t="s">
        <v>56</v>
      </c>
      <c r="M151" s="29" t="str">
        <f t="shared" si="10"/>
        <v>⚠ Check</v>
      </c>
      <c r="N151" s="42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383</v>
      </c>
      <c r="C152" s="41" t="s">
        <v>384</v>
      </c>
      <c r="D152" s="39" t="s">
        <v>209</v>
      </c>
      <c r="E152" s="4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3" t="s">
        <v>260</v>
      </c>
      <c r="L152" s="28" t="s">
        <v>56</v>
      </c>
      <c r="M152" s="29" t="str">
        <f t="shared" si="10"/>
        <v>⚠ Check</v>
      </c>
      <c r="N152" s="42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385</v>
      </c>
      <c r="C153" s="25" t="s">
        <v>386</v>
      </c>
      <c r="D153" s="23" t="s">
        <v>209</v>
      </c>
      <c r="E153" s="4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387</v>
      </c>
      <c r="C154" s="41" t="s">
        <v>388</v>
      </c>
      <c r="D154" s="39" t="s">
        <v>209</v>
      </c>
      <c r="E154" s="4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2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389</v>
      </c>
      <c r="C155" s="25" t="s">
        <v>390</v>
      </c>
      <c r="D155" s="23" t="s">
        <v>209</v>
      </c>
      <c r="E155" s="4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2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391</v>
      </c>
      <c r="C156" s="41" t="s">
        <v>392</v>
      </c>
      <c r="D156" s="39" t="s">
        <v>209</v>
      </c>
      <c r="E156" s="4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2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393</v>
      </c>
      <c r="C157" s="25" t="s">
        <v>394</v>
      </c>
      <c r="D157" s="23" t="s">
        <v>209</v>
      </c>
      <c r="E157" s="4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2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395</v>
      </c>
      <c r="C158" s="41" t="s">
        <v>396</v>
      </c>
      <c r="D158" s="39" t="s">
        <v>209</v>
      </c>
      <c r="E158" s="4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42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57</v>
      </c>
      <c r="T158" s="27" t="s">
        <v>59</v>
      </c>
      <c r="U158" s="28" t="s">
        <v>56</v>
      </c>
      <c r="V158" s="29" t="str">
        <f t="shared" si="11"/>
        <v>⚠ Check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56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397</v>
      </c>
      <c r="C159" s="25" t="s">
        <v>398</v>
      </c>
      <c r="D159" s="23" t="s">
        <v>209</v>
      </c>
      <c r="E159" s="4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399</v>
      </c>
      <c r="L159" s="28" t="s">
        <v>56</v>
      </c>
      <c r="M159" s="29" t="str">
        <f t="shared" si="10"/>
        <v>⚠ Check</v>
      </c>
      <c r="N159" s="42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57</v>
      </c>
      <c r="T159" s="27" t="s">
        <v>399</v>
      </c>
      <c r="U159" s="28" t="s">
        <v>56</v>
      </c>
      <c r="V159" s="29" t="str">
        <f t="shared" si="11"/>
        <v>⚠ Check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56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400</v>
      </c>
      <c r="C160" s="41" t="s">
        <v>401</v>
      </c>
      <c r="D160" s="39" t="s">
        <v>209</v>
      </c>
      <c r="E160" s="4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402</v>
      </c>
      <c r="C161" s="25" t="s">
        <v>403</v>
      </c>
      <c r="D161" s="23" t="s">
        <v>209</v>
      </c>
      <c r="E161" s="4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57</v>
      </c>
      <c r="T161" s="27" t="s">
        <v>76</v>
      </c>
      <c r="U161" s="28" t="s">
        <v>56</v>
      </c>
      <c r="V161" s="29" t="str">
        <f t="shared" si="11"/>
        <v>⚠ Check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404</v>
      </c>
      <c r="C162" s="41" t="s">
        <v>405</v>
      </c>
      <c r="D162" s="39" t="s">
        <v>209</v>
      </c>
      <c r="E162" s="4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406</v>
      </c>
      <c r="C163" s="25" t="s">
        <v>407</v>
      </c>
      <c r="D163" s="23" t="s">
        <v>209</v>
      </c>
      <c r="E163" s="4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174</v>
      </c>
      <c r="L163" s="28" t="s">
        <v>56</v>
      </c>
      <c r="M163" s="29" t="str">
        <f t="shared" si="10"/>
        <v>⚠ Check</v>
      </c>
      <c r="N163" s="42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408</v>
      </c>
      <c r="C164" s="41" t="s">
        <v>409</v>
      </c>
      <c r="D164" s="39" t="s">
        <v>209</v>
      </c>
      <c r="E164" s="4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410</v>
      </c>
      <c r="C165" s="25" t="s">
        <v>411</v>
      </c>
      <c r="D165" s="23" t="s">
        <v>209</v>
      </c>
      <c r="E165" s="4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412</v>
      </c>
      <c r="C166" s="41" t="s">
        <v>413</v>
      </c>
      <c r="D166" s="39" t="s">
        <v>209</v>
      </c>
      <c r="E166" s="4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76</v>
      </c>
      <c r="L166" s="28" t="s">
        <v>56</v>
      </c>
      <c r="M166" s="29" t="str">
        <f t="shared" si="10"/>
        <v>⚠ Check</v>
      </c>
      <c r="N166" s="42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57</v>
      </c>
      <c r="T166" s="27" t="s">
        <v>76</v>
      </c>
      <c r="U166" s="28" t="s">
        <v>56</v>
      </c>
      <c r="V166" s="29" t="str">
        <f t="shared" si="11"/>
        <v>⚠ Check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414</v>
      </c>
      <c r="C167" s="25" t="s">
        <v>415</v>
      </c>
      <c r="D167" s="23" t="s">
        <v>209</v>
      </c>
      <c r="E167" s="4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416</v>
      </c>
      <c r="C168" s="41" t="s">
        <v>417</v>
      </c>
      <c r="D168" s="39" t="s">
        <v>209</v>
      </c>
      <c r="E168" s="4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418</v>
      </c>
      <c r="C169" s="25" t="s">
        <v>419</v>
      </c>
      <c r="D169" s="23" t="s">
        <v>209</v>
      </c>
      <c r="E169" s="4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420</v>
      </c>
      <c r="C170" s="41" t="s">
        <v>421</v>
      </c>
      <c r="D170" s="39" t="s">
        <v>209</v>
      </c>
      <c r="E170" s="4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46193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422</v>
      </c>
      <c r="C171" s="25" t="s">
        <v>423</v>
      </c>
      <c r="D171" s="23" t="s">
        <v>209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46193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424</v>
      </c>
      <c r="C172" s="41" t="s">
        <v>425</v>
      </c>
      <c r="D172" s="39" t="s">
        <v>209</v>
      </c>
      <c r="E172" s="4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426</v>
      </c>
      <c r="C173" s="25" t="s">
        <v>427</v>
      </c>
      <c r="D173" s="23" t="s">
        <v>209</v>
      </c>
      <c r="E173" s="4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76</v>
      </c>
      <c r="L173" s="28" t="s">
        <v>56</v>
      </c>
      <c r="M173" s="29" t="str">
        <f t="shared" si="10"/>
        <v>⚠ Check</v>
      </c>
      <c r="N173" s="42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57</v>
      </c>
      <c r="T173" s="27" t="s">
        <v>76</v>
      </c>
      <c r="U173" s="28" t="s">
        <v>56</v>
      </c>
      <c r="V173" s="29" t="str">
        <f t="shared" si="11"/>
        <v>⚠ Check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428</v>
      </c>
      <c r="C174" s="41" t="s">
        <v>429</v>
      </c>
      <c r="D174" s="39" t="s">
        <v>209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430</v>
      </c>
      <c r="C175" s="25" t="s">
        <v>431</v>
      </c>
      <c r="D175" s="23" t="s">
        <v>209</v>
      </c>
      <c r="E175" s="4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432</v>
      </c>
      <c r="C176" s="41" t="s">
        <v>433</v>
      </c>
      <c r="D176" s="39" t="s">
        <v>209</v>
      </c>
      <c r="E176" s="4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46193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434</v>
      </c>
      <c r="C177" s="25" t="s">
        <v>435</v>
      </c>
      <c r="D177" s="23" t="s">
        <v>209</v>
      </c>
      <c r="E177" s="4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46193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436</v>
      </c>
      <c r="C178" s="41" t="s">
        <v>437</v>
      </c>
      <c r="D178" s="39" t="s">
        <v>209</v>
      </c>
      <c r="E178" s="4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260</v>
      </c>
      <c r="L178" s="28" t="s">
        <v>56</v>
      </c>
      <c r="M178" s="29" t="str">
        <f t="shared" si="10"/>
        <v>⚠ Check</v>
      </c>
      <c r="N178" s="42">
        <v>46193</v>
      </c>
      <c r="O178" s="26" t="s">
        <v>55</v>
      </c>
      <c r="P178" s="26" t="s">
        <v>57</v>
      </c>
      <c r="Q178" s="26" t="s">
        <v>56</v>
      </c>
      <c r="R178" s="26" t="s">
        <v>61</v>
      </c>
      <c r="S178" s="26" t="s">
        <v>57</v>
      </c>
      <c r="T178" s="27"/>
      <c r="U178" s="28" t="s">
        <v>57</v>
      </c>
      <c r="V178" s="29" t="str">
        <f t="shared" si="11"/>
        <v>❌ Disc</v>
      </c>
      <c r="W178" s="70">
        <v>46248</v>
      </c>
      <c r="X178" s="30" t="s">
        <v>60</v>
      </c>
      <c r="Y178" s="30" t="s">
        <v>57</v>
      </c>
      <c r="Z178" s="30" t="s">
        <v>56</v>
      </c>
      <c r="AA178" s="30" t="s">
        <v>61</v>
      </c>
      <c r="AB178" s="30" t="s">
        <v>57</v>
      </c>
      <c r="AC178" s="27"/>
      <c r="AD178" s="31" t="s">
        <v>57</v>
      </c>
      <c r="AE178" s="32" t="str">
        <f t="shared" si="12"/>
        <v>❌ Disc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438</v>
      </c>
      <c r="C179" s="25" t="s">
        <v>439</v>
      </c>
      <c r="D179" s="23" t="s">
        <v>209</v>
      </c>
      <c r="E179" s="4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3" t="s">
        <v>260</v>
      </c>
      <c r="L179" s="28" t="s">
        <v>56</v>
      </c>
      <c r="M179" s="29" t="str">
        <f t="shared" si="10"/>
        <v>⚠ Check</v>
      </c>
      <c r="N179" s="42">
        <v>46193</v>
      </c>
      <c r="O179" s="26" t="s">
        <v>55</v>
      </c>
      <c r="P179" s="26" t="s">
        <v>57</v>
      </c>
      <c r="Q179" s="26" t="s">
        <v>56</v>
      </c>
      <c r="R179" s="26" t="s">
        <v>61</v>
      </c>
      <c r="S179" s="26" t="s">
        <v>57</v>
      </c>
      <c r="T179" s="43"/>
      <c r="U179" s="28" t="s">
        <v>57</v>
      </c>
      <c r="V179" s="29" t="str">
        <f t="shared" si="11"/>
        <v>❌ Disc</v>
      </c>
      <c r="W179" s="70">
        <v>46248</v>
      </c>
      <c r="X179" s="30" t="s">
        <v>60</v>
      </c>
      <c r="Y179" s="30" t="s">
        <v>57</v>
      </c>
      <c r="Z179" s="30" t="s">
        <v>56</v>
      </c>
      <c r="AA179" s="30" t="s">
        <v>61</v>
      </c>
      <c r="AB179" s="30" t="s">
        <v>57</v>
      </c>
      <c r="AC179" s="27"/>
      <c r="AD179" s="31" t="s">
        <v>57</v>
      </c>
      <c r="AE179" s="32" t="str">
        <f t="shared" si="12"/>
        <v>❌ Disc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440</v>
      </c>
      <c r="C180" s="41" t="s">
        <v>441</v>
      </c>
      <c r="D180" s="39" t="s">
        <v>209</v>
      </c>
      <c r="E180" s="4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350</v>
      </c>
      <c r="L180" s="28" t="s">
        <v>56</v>
      </c>
      <c r="M180" s="29" t="str">
        <f t="shared" si="10"/>
        <v>⚠ Check</v>
      </c>
      <c r="N180" s="42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442</v>
      </c>
      <c r="C181" s="25" t="s">
        <v>443</v>
      </c>
      <c r="D181" s="23" t="s">
        <v>209</v>
      </c>
      <c r="E181" s="42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3" t="s">
        <v>260</v>
      </c>
      <c r="L181" s="28" t="s">
        <v>56</v>
      </c>
      <c r="M181" s="29" t="str">
        <f t="shared" si="10"/>
        <v>⚠ Check</v>
      </c>
      <c r="N181" s="42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60</v>
      </c>
      <c r="Y181" s="30" t="s">
        <v>57</v>
      </c>
      <c r="Z181" s="30" t="s">
        <v>56</v>
      </c>
      <c r="AA181" s="30" t="s">
        <v>61</v>
      </c>
      <c r="AB181" s="30" t="s">
        <v>57</v>
      </c>
      <c r="AC181" s="27"/>
      <c r="AD181" s="31" t="s">
        <v>57</v>
      </c>
      <c r="AE181" s="32" t="str">
        <f t="shared" si="12"/>
        <v>❌ Disc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444</v>
      </c>
      <c r="C182" s="41" t="s">
        <v>445</v>
      </c>
      <c r="D182" s="39" t="s">
        <v>209</v>
      </c>
      <c r="E182" s="4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260</v>
      </c>
      <c r="L182" s="28" t="s">
        <v>56</v>
      </c>
      <c r="M182" s="29" t="str">
        <f t="shared" si="10"/>
        <v>⚠ Check</v>
      </c>
      <c r="N182" s="42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446</v>
      </c>
      <c r="C183" s="25" t="s">
        <v>447</v>
      </c>
      <c r="D183" s="23" t="s">
        <v>209</v>
      </c>
      <c r="E183" s="4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3" t="s">
        <v>260</v>
      </c>
      <c r="L183" s="28" t="s">
        <v>56</v>
      </c>
      <c r="M183" s="29" t="str">
        <f t="shared" si="10"/>
        <v>⚠ Check</v>
      </c>
      <c r="N183" s="42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60</v>
      </c>
      <c r="Y183" s="30" t="s">
        <v>57</v>
      </c>
      <c r="Z183" s="30" t="s">
        <v>56</v>
      </c>
      <c r="AA183" s="30" t="s">
        <v>61</v>
      </c>
      <c r="AB183" s="30" t="s">
        <v>57</v>
      </c>
      <c r="AC183" s="27"/>
      <c r="AD183" s="31" t="s">
        <v>57</v>
      </c>
      <c r="AE183" s="32" t="str">
        <f t="shared" si="12"/>
        <v>❌ Disc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448</v>
      </c>
      <c r="C184" s="41" t="s">
        <v>449</v>
      </c>
      <c r="D184" s="39" t="s">
        <v>209</v>
      </c>
      <c r="E184" s="4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450</v>
      </c>
      <c r="L184" s="28" t="s">
        <v>56</v>
      </c>
      <c r="M184" s="29" t="str">
        <f t="shared" si="10"/>
        <v>⚠ Check</v>
      </c>
      <c r="N184" s="42">
        <v>46193</v>
      </c>
      <c r="O184" s="26" t="s">
        <v>55</v>
      </c>
      <c r="P184" s="26" t="s">
        <v>57</v>
      </c>
      <c r="Q184" s="26" t="s">
        <v>56</v>
      </c>
      <c r="R184" s="26" t="s">
        <v>61</v>
      </c>
      <c r="S184" s="26" t="s">
        <v>57</v>
      </c>
      <c r="T184" s="27"/>
      <c r="U184" s="28" t="s">
        <v>57</v>
      </c>
      <c r="V184" s="29" t="str">
        <f t="shared" si="11"/>
        <v>❌ Disc</v>
      </c>
      <c r="W184" s="70">
        <v>46248</v>
      </c>
      <c r="X184" s="30" t="s">
        <v>60</v>
      </c>
      <c r="Y184" s="30" t="s">
        <v>57</v>
      </c>
      <c r="Z184" s="30" t="s">
        <v>56</v>
      </c>
      <c r="AA184" s="30" t="s">
        <v>61</v>
      </c>
      <c r="AB184" s="30" t="s">
        <v>57</v>
      </c>
      <c r="AC184" s="27"/>
      <c r="AD184" s="31" t="s">
        <v>57</v>
      </c>
      <c r="AE184" s="32" t="str">
        <f t="shared" si="12"/>
        <v>❌ Disc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451</v>
      </c>
      <c r="C185" s="25" t="s">
        <v>452</v>
      </c>
      <c r="D185" s="23" t="s">
        <v>209</v>
      </c>
      <c r="E185" s="42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453</v>
      </c>
      <c r="L185" s="28" t="s">
        <v>56</v>
      </c>
      <c r="M185" s="29" t="str">
        <f t="shared" si="10"/>
        <v>⚠ Check</v>
      </c>
      <c r="N185" s="42">
        <v>46193</v>
      </c>
      <c r="O185" s="26" t="s">
        <v>55</v>
      </c>
      <c r="P185" s="26" t="s">
        <v>57</v>
      </c>
      <c r="Q185" s="26" t="s">
        <v>56</v>
      </c>
      <c r="R185" s="26" t="s">
        <v>61</v>
      </c>
      <c r="S185" s="26" t="s">
        <v>57</v>
      </c>
      <c r="T185" s="27"/>
      <c r="U185" s="28" t="s">
        <v>57</v>
      </c>
      <c r="V185" s="29" t="str">
        <f t="shared" si="11"/>
        <v>❌ Disc</v>
      </c>
      <c r="W185" s="70">
        <v>46248</v>
      </c>
      <c r="X185" s="30" t="s">
        <v>60</v>
      </c>
      <c r="Y185" s="30" t="s">
        <v>57</v>
      </c>
      <c r="Z185" s="30" t="s">
        <v>56</v>
      </c>
      <c r="AA185" s="30" t="s">
        <v>61</v>
      </c>
      <c r="AB185" s="30" t="s">
        <v>57</v>
      </c>
      <c r="AC185" s="27"/>
      <c r="AD185" s="31" t="s">
        <v>57</v>
      </c>
      <c r="AE185" s="32" t="str">
        <f t="shared" si="12"/>
        <v>❌ Disc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454</v>
      </c>
      <c r="C186" s="41" t="s">
        <v>455</v>
      </c>
      <c r="D186" s="39" t="s">
        <v>209</v>
      </c>
      <c r="E186" s="4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46193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456</v>
      </c>
      <c r="C187" s="25" t="s">
        <v>457</v>
      </c>
      <c r="D187" s="23" t="s">
        <v>209</v>
      </c>
      <c r="E187" s="4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46193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458</v>
      </c>
      <c r="C188" s="41" t="s">
        <v>459</v>
      </c>
      <c r="D188" s="39" t="s">
        <v>209</v>
      </c>
      <c r="E188" s="4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460</v>
      </c>
      <c r="C189" s="25" t="s">
        <v>461</v>
      </c>
      <c r="D189" s="23" t="s">
        <v>209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462</v>
      </c>
      <c r="C190" s="41" t="s">
        <v>463</v>
      </c>
      <c r="D190" s="39" t="s">
        <v>209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464</v>
      </c>
      <c r="C191" s="25" t="s">
        <v>465</v>
      </c>
      <c r="D191" s="23" t="s">
        <v>209</v>
      </c>
      <c r="E191" s="4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3" t="s">
        <v>260</v>
      </c>
      <c r="L191" s="28" t="s">
        <v>56</v>
      </c>
      <c r="M191" s="29" t="str">
        <f t="shared" si="10"/>
        <v>⚠ Check</v>
      </c>
      <c r="N191" s="42">
        <v>46193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466</v>
      </c>
      <c r="C192" s="41" t="s">
        <v>467</v>
      </c>
      <c r="D192" s="39" t="s">
        <v>209</v>
      </c>
      <c r="E192" s="4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468</v>
      </c>
      <c r="C193" s="25" t="s">
        <v>469</v>
      </c>
      <c r="D193" s="23" t="s">
        <v>209</v>
      </c>
      <c r="E193" s="4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3" t="s">
        <v>260</v>
      </c>
      <c r="L193" s="28" t="s">
        <v>56</v>
      </c>
      <c r="M193" s="29" t="str">
        <f t="shared" si="10"/>
        <v>⚠ Check</v>
      </c>
      <c r="N193" s="42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470</v>
      </c>
      <c r="C194" s="41" t="s">
        <v>471</v>
      </c>
      <c r="D194" s="39" t="s">
        <v>209</v>
      </c>
      <c r="E194" s="4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3" t="s">
        <v>260</v>
      </c>
      <c r="L194" s="28" t="s">
        <v>56</v>
      </c>
      <c r="M194" s="29" t="str">
        <f t="shared" si="10"/>
        <v>⚠ Check</v>
      </c>
      <c r="N194" s="42">
        <v>46193</v>
      </c>
      <c r="O194" s="26" t="s">
        <v>55</v>
      </c>
      <c r="P194" s="26" t="s">
        <v>57</v>
      </c>
      <c r="Q194" s="26" t="s">
        <v>56</v>
      </c>
      <c r="R194" s="26" t="s">
        <v>61</v>
      </c>
      <c r="S194" s="26" t="s">
        <v>57</v>
      </c>
      <c r="T194" s="43"/>
      <c r="U194" s="28" t="s">
        <v>57</v>
      </c>
      <c r="V194" s="29" t="str">
        <f t="shared" si="11"/>
        <v>❌ Disc</v>
      </c>
      <c r="W194" s="70">
        <v>46248</v>
      </c>
      <c r="X194" s="30" t="s">
        <v>60</v>
      </c>
      <c r="Y194" s="30" t="s">
        <v>57</v>
      </c>
      <c r="Z194" s="30" t="s">
        <v>56</v>
      </c>
      <c r="AA194" s="30" t="s">
        <v>61</v>
      </c>
      <c r="AB194" s="30" t="s">
        <v>57</v>
      </c>
      <c r="AC194" s="27"/>
      <c r="AD194" s="31" t="s">
        <v>57</v>
      </c>
      <c r="AE194" s="32" t="str">
        <f t="shared" si="12"/>
        <v>❌ Disc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472</v>
      </c>
      <c r="C195" s="25" t="s">
        <v>473</v>
      </c>
      <c r="D195" s="23" t="s">
        <v>209</v>
      </c>
      <c r="E195" s="4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46193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474</v>
      </c>
      <c r="C196" s="41" t="s">
        <v>475</v>
      </c>
      <c r="D196" s="39" t="s">
        <v>209</v>
      </c>
      <c r="E196" s="4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476</v>
      </c>
      <c r="L196" s="28" t="s">
        <v>56</v>
      </c>
      <c r="M196" s="29" t="str">
        <f t="shared" si="10"/>
        <v>⚠ Check</v>
      </c>
      <c r="N196" s="42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57</v>
      </c>
      <c r="T196" s="27" t="s">
        <v>326</v>
      </c>
      <c r="U196" s="28" t="s">
        <v>56</v>
      </c>
      <c r="V196" s="29" t="str">
        <f t="shared" si="11"/>
        <v>⚠ Check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57</v>
      </c>
      <c r="AC196" s="27" t="s">
        <v>326</v>
      </c>
      <c r="AD196" s="31" t="s">
        <v>56</v>
      </c>
      <c r="AE196" s="32" t="str">
        <f t="shared" si="12"/>
        <v>⚠ Check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477</v>
      </c>
      <c r="C197" s="25" t="s">
        <v>478</v>
      </c>
      <c r="D197" s="23" t="s">
        <v>209</v>
      </c>
      <c r="E197" s="4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479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42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480</v>
      </c>
      <c r="C198" s="41" t="s">
        <v>481</v>
      </c>
      <c r="D198" s="39" t="s">
        <v>209</v>
      </c>
      <c r="E198" s="4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482</v>
      </c>
      <c r="C199" s="25" t="s">
        <v>483</v>
      </c>
      <c r="D199" s="23" t="s">
        <v>209</v>
      </c>
      <c r="E199" s="4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484</v>
      </c>
      <c r="C200" s="41" t="s">
        <v>485</v>
      </c>
      <c r="D200" s="39" t="s">
        <v>209</v>
      </c>
      <c r="E200" s="4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486</v>
      </c>
      <c r="C201" s="25" t="s">
        <v>487</v>
      </c>
      <c r="D201" s="23" t="s">
        <v>209</v>
      </c>
      <c r="E201" s="4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46193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488</v>
      </c>
      <c r="C202" s="41" t="s">
        <v>489</v>
      </c>
      <c r="D202" s="39" t="s">
        <v>209</v>
      </c>
      <c r="E202" s="4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174</v>
      </c>
      <c r="L202" s="28" t="s">
        <v>56</v>
      </c>
      <c r="M202" s="29" t="str">
        <f t="shared" si="15"/>
        <v>⚠ Check</v>
      </c>
      <c r="N202" s="42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57</v>
      </c>
      <c r="T202" s="27" t="s">
        <v>174</v>
      </c>
      <c r="U202" s="28" t="s">
        <v>56</v>
      </c>
      <c r="V202" s="29" t="str">
        <f t="shared" si="16"/>
        <v>⚠ Check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57</v>
      </c>
      <c r="AC202" s="27" t="s">
        <v>174</v>
      </c>
      <c r="AD202" s="31" t="s">
        <v>56</v>
      </c>
      <c r="AE202" s="32" t="str">
        <f t="shared" si="17"/>
        <v>⚠ Check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490</v>
      </c>
      <c r="C203" s="25" t="s">
        <v>491</v>
      </c>
      <c r="D203" s="23" t="s">
        <v>209</v>
      </c>
      <c r="E203" s="4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492</v>
      </c>
      <c r="C204" s="41" t="s">
        <v>493</v>
      </c>
      <c r="D204" s="39" t="s">
        <v>209</v>
      </c>
      <c r="E204" s="4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494</v>
      </c>
      <c r="C205" s="25" t="s">
        <v>495</v>
      </c>
      <c r="D205" s="23" t="s">
        <v>209</v>
      </c>
      <c r="E205" s="4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496</v>
      </c>
      <c r="C206" s="41" t="s">
        <v>497</v>
      </c>
      <c r="D206" s="39" t="s">
        <v>209</v>
      </c>
      <c r="E206" s="42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498</v>
      </c>
      <c r="C207" s="25" t="s">
        <v>499</v>
      </c>
      <c r="D207" s="23" t="s">
        <v>209</v>
      </c>
      <c r="E207" s="4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500</v>
      </c>
      <c r="L207" s="28" t="s">
        <v>56</v>
      </c>
      <c r="M207" s="29" t="str">
        <f t="shared" si="15"/>
        <v>⚠ Check</v>
      </c>
      <c r="N207" s="42">
        <v>46193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57</v>
      </c>
      <c r="T207" s="27" t="s">
        <v>500</v>
      </c>
      <c r="U207" s="28" t="s">
        <v>56</v>
      </c>
      <c r="V207" s="29" t="str">
        <f t="shared" si="16"/>
        <v>⚠ Check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501</v>
      </c>
      <c r="C208" s="41" t="s">
        <v>502</v>
      </c>
      <c r="D208" s="39" t="s">
        <v>209</v>
      </c>
      <c r="E208" s="4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503</v>
      </c>
      <c r="C209" s="25" t="s">
        <v>504</v>
      </c>
      <c r="D209" s="23" t="s">
        <v>209</v>
      </c>
      <c r="E209" s="4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46193</v>
      </c>
      <c r="O209" s="26" t="s">
        <v>55</v>
      </c>
      <c r="P209" s="26" t="s">
        <v>57</v>
      </c>
      <c r="Q209" s="26" t="s">
        <v>56</v>
      </c>
      <c r="R209" s="26" t="s">
        <v>61</v>
      </c>
      <c r="S209" s="26" t="s">
        <v>57</v>
      </c>
      <c r="T209" s="27"/>
      <c r="U209" s="28" t="s">
        <v>57</v>
      </c>
      <c r="V209" s="29" t="str">
        <f t="shared" si="16"/>
        <v>❌ Disc</v>
      </c>
      <c r="W209" s="70">
        <v>46248</v>
      </c>
      <c r="X209" s="30" t="s">
        <v>60</v>
      </c>
      <c r="Y209" s="30" t="s">
        <v>57</v>
      </c>
      <c r="Z209" s="30" t="s">
        <v>56</v>
      </c>
      <c r="AA209" s="30" t="s">
        <v>61</v>
      </c>
      <c r="AB209" s="30" t="s">
        <v>57</v>
      </c>
      <c r="AC209" s="27"/>
      <c r="AD209" s="31" t="s">
        <v>57</v>
      </c>
      <c r="AE209" s="32" t="str">
        <f t="shared" si="17"/>
        <v>❌ Disc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505</v>
      </c>
      <c r="C210" s="41" t="s">
        <v>506</v>
      </c>
      <c r="D210" s="39" t="s">
        <v>209</v>
      </c>
      <c r="E210" s="4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46193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507</v>
      </c>
      <c r="C211" s="25" t="s">
        <v>508</v>
      </c>
      <c r="D211" s="23" t="s">
        <v>209</v>
      </c>
      <c r="E211" s="4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46193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509</v>
      </c>
      <c r="C212" s="41" t="s">
        <v>510</v>
      </c>
      <c r="D212" s="39" t="s">
        <v>209</v>
      </c>
      <c r="E212" s="4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42">
        <v>46193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511</v>
      </c>
      <c r="C213" s="25" t="s">
        <v>512</v>
      </c>
      <c r="D213" s="23" t="s">
        <v>209</v>
      </c>
      <c r="E213" s="4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76</v>
      </c>
      <c r="L213" s="28" t="s">
        <v>56</v>
      </c>
      <c r="M213" s="29" t="str">
        <f t="shared" si="15"/>
        <v>⚠ Check</v>
      </c>
      <c r="N213" s="42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57</v>
      </c>
      <c r="T213" s="27" t="s">
        <v>76</v>
      </c>
      <c r="U213" s="28" t="s">
        <v>56</v>
      </c>
      <c r="V213" s="29" t="str">
        <f t="shared" si="16"/>
        <v>⚠ Check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513</v>
      </c>
      <c r="C214" s="41" t="s">
        <v>514</v>
      </c>
      <c r="D214" s="39" t="s">
        <v>209</v>
      </c>
      <c r="E214" s="4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515</v>
      </c>
      <c r="C215" s="25" t="s">
        <v>516</v>
      </c>
      <c r="D215" s="23" t="s">
        <v>209</v>
      </c>
      <c r="E215" s="4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46193</v>
      </c>
      <c r="O215" s="26" t="s">
        <v>55</v>
      </c>
      <c r="P215" s="26" t="s">
        <v>57</v>
      </c>
      <c r="Q215" s="26" t="s">
        <v>56</v>
      </c>
      <c r="R215" s="26" t="s">
        <v>61</v>
      </c>
      <c r="S215" s="26" t="s">
        <v>57</v>
      </c>
      <c r="T215" s="27"/>
      <c r="U215" s="28" t="s">
        <v>57</v>
      </c>
      <c r="V215" s="29" t="str">
        <f t="shared" si="16"/>
        <v>❌ Disc</v>
      </c>
      <c r="W215" s="70">
        <v>46248</v>
      </c>
      <c r="X215" s="30" t="s">
        <v>60</v>
      </c>
      <c r="Y215" s="30" t="s">
        <v>57</v>
      </c>
      <c r="Z215" s="30" t="s">
        <v>56</v>
      </c>
      <c r="AA215" s="30" t="s">
        <v>61</v>
      </c>
      <c r="AB215" s="30" t="s">
        <v>57</v>
      </c>
      <c r="AC215" s="27"/>
      <c r="AD215" s="31" t="s">
        <v>57</v>
      </c>
      <c r="AE215" s="32" t="str">
        <f t="shared" si="17"/>
        <v>❌ Disc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517</v>
      </c>
      <c r="C216" s="41" t="s">
        <v>518</v>
      </c>
      <c r="D216" s="39" t="s">
        <v>209</v>
      </c>
      <c r="E216" s="4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519</v>
      </c>
      <c r="C217" s="25" t="s">
        <v>520</v>
      </c>
      <c r="D217" s="23" t="s">
        <v>209</v>
      </c>
      <c r="E217" s="4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521</v>
      </c>
      <c r="C218" s="41" t="s">
        <v>522</v>
      </c>
      <c r="D218" s="39" t="s">
        <v>209</v>
      </c>
      <c r="E218" s="4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523</v>
      </c>
      <c r="L218" s="28" t="s">
        <v>56</v>
      </c>
      <c r="M218" s="29" t="str">
        <f t="shared" si="15"/>
        <v>⚠ Check</v>
      </c>
      <c r="N218" s="42">
        <v>46193</v>
      </c>
      <c r="O218" s="26" t="s">
        <v>55</v>
      </c>
      <c r="P218" s="26" t="s">
        <v>57</v>
      </c>
      <c r="Q218" s="26" t="s">
        <v>56</v>
      </c>
      <c r="R218" s="26" t="s">
        <v>61</v>
      </c>
      <c r="S218" s="26" t="s">
        <v>57</v>
      </c>
      <c r="T218" s="27"/>
      <c r="U218" s="28" t="s">
        <v>57</v>
      </c>
      <c r="V218" s="29" t="str">
        <f t="shared" si="16"/>
        <v>❌ Disc</v>
      </c>
      <c r="W218" s="70">
        <v>46248</v>
      </c>
      <c r="X218" s="30" t="s">
        <v>60</v>
      </c>
      <c r="Y218" s="30" t="s">
        <v>57</v>
      </c>
      <c r="Z218" s="30" t="s">
        <v>56</v>
      </c>
      <c r="AA218" s="30" t="s">
        <v>61</v>
      </c>
      <c r="AB218" s="30" t="s">
        <v>57</v>
      </c>
      <c r="AC218" s="27"/>
      <c r="AD218" s="31" t="s">
        <v>57</v>
      </c>
      <c r="AE218" s="32" t="str">
        <f t="shared" si="17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524</v>
      </c>
      <c r="C219" s="25" t="s">
        <v>525</v>
      </c>
      <c r="D219" s="23" t="s">
        <v>209</v>
      </c>
      <c r="E219" s="4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46193</v>
      </c>
      <c r="O219" s="26" t="s">
        <v>55</v>
      </c>
      <c r="P219" s="26" t="s">
        <v>57</v>
      </c>
      <c r="Q219" s="26" t="s">
        <v>56</v>
      </c>
      <c r="R219" s="26" t="s">
        <v>61</v>
      </c>
      <c r="S219" s="26" t="s">
        <v>57</v>
      </c>
      <c r="T219" s="27"/>
      <c r="U219" s="28" t="s">
        <v>57</v>
      </c>
      <c r="V219" s="29" t="str">
        <f t="shared" si="16"/>
        <v>❌ Disc</v>
      </c>
      <c r="W219" s="70">
        <v>46248</v>
      </c>
      <c r="X219" s="30" t="s">
        <v>60</v>
      </c>
      <c r="Y219" s="30" t="s">
        <v>57</v>
      </c>
      <c r="Z219" s="30" t="s">
        <v>56</v>
      </c>
      <c r="AA219" s="30" t="s">
        <v>61</v>
      </c>
      <c r="AB219" s="30" t="s">
        <v>57</v>
      </c>
      <c r="AC219" s="27"/>
      <c r="AD219" s="31" t="s">
        <v>57</v>
      </c>
      <c r="AE219" s="32" t="str">
        <f t="shared" si="17"/>
        <v>❌ Disc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526</v>
      </c>
      <c r="C220" s="41" t="s">
        <v>527</v>
      </c>
      <c r="D220" s="39" t="s">
        <v>209</v>
      </c>
      <c r="E220" s="4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46193</v>
      </c>
      <c r="O220" s="26" t="s">
        <v>55</v>
      </c>
      <c r="P220" s="26" t="s">
        <v>57</v>
      </c>
      <c r="Q220" s="26" t="s">
        <v>56</v>
      </c>
      <c r="R220" s="26" t="s">
        <v>61</v>
      </c>
      <c r="S220" s="26" t="s">
        <v>57</v>
      </c>
      <c r="T220" s="27"/>
      <c r="U220" s="28" t="s">
        <v>57</v>
      </c>
      <c r="V220" s="29" t="str">
        <f t="shared" si="16"/>
        <v>❌ Disc</v>
      </c>
      <c r="W220" s="70">
        <v>46248</v>
      </c>
      <c r="X220" s="30" t="s">
        <v>60</v>
      </c>
      <c r="Y220" s="30" t="s">
        <v>57</v>
      </c>
      <c r="Z220" s="30" t="s">
        <v>56</v>
      </c>
      <c r="AA220" s="30" t="s">
        <v>61</v>
      </c>
      <c r="AB220" s="30" t="s">
        <v>57</v>
      </c>
      <c r="AC220" s="27"/>
      <c r="AD220" s="31" t="s">
        <v>57</v>
      </c>
      <c r="AE220" s="32" t="str">
        <f t="shared" si="17"/>
        <v>❌ Disc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528</v>
      </c>
      <c r="C221" s="25" t="s">
        <v>529</v>
      </c>
      <c r="D221" s="23" t="s">
        <v>209</v>
      </c>
      <c r="E221" s="4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76</v>
      </c>
      <c r="L221" s="28" t="s">
        <v>56</v>
      </c>
      <c r="M221" s="29" t="str">
        <f t="shared" si="15"/>
        <v>⚠ Check</v>
      </c>
      <c r="N221" s="42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57</v>
      </c>
      <c r="T221" s="27" t="s">
        <v>76</v>
      </c>
      <c r="U221" s="28" t="s">
        <v>56</v>
      </c>
      <c r="V221" s="29" t="str">
        <f t="shared" si="16"/>
        <v>⚠ Check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530</v>
      </c>
      <c r="C222" s="41" t="s">
        <v>531</v>
      </c>
      <c r="D222" s="39" t="s">
        <v>209</v>
      </c>
      <c r="E222" s="4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46193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532</v>
      </c>
      <c r="C223" s="25" t="s">
        <v>533</v>
      </c>
      <c r="D223" s="23" t="s">
        <v>209</v>
      </c>
      <c r="E223" s="4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534</v>
      </c>
      <c r="L223" s="28" t="s">
        <v>56</v>
      </c>
      <c r="M223" s="29" t="str">
        <f t="shared" si="15"/>
        <v>⚠ Check</v>
      </c>
      <c r="N223" s="42">
        <v>46193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57</v>
      </c>
      <c r="T223" s="27" t="s">
        <v>535</v>
      </c>
      <c r="U223" s="28" t="s">
        <v>56</v>
      </c>
      <c r="V223" s="29" t="str">
        <f t="shared" si="16"/>
        <v>⚠ Check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57</v>
      </c>
      <c r="AC223" s="27" t="s">
        <v>535</v>
      </c>
      <c r="AD223" s="31" t="s">
        <v>56</v>
      </c>
      <c r="AE223" s="32" t="str">
        <f t="shared" si="17"/>
        <v>⚠ Check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536</v>
      </c>
      <c r="C224" s="41" t="s">
        <v>537</v>
      </c>
      <c r="D224" s="39" t="s">
        <v>209</v>
      </c>
      <c r="E224" s="4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46193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538</v>
      </c>
      <c r="C225" s="25" t="s">
        <v>539</v>
      </c>
      <c r="D225" s="23" t="s">
        <v>209</v>
      </c>
      <c r="E225" s="4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540</v>
      </c>
      <c r="C226" s="41" t="s">
        <v>541</v>
      </c>
      <c r="D226" s="39" t="s">
        <v>209</v>
      </c>
      <c r="E226" s="4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46193</v>
      </c>
      <c r="O226" s="26" t="s">
        <v>55</v>
      </c>
      <c r="P226" s="26" t="s">
        <v>57</v>
      </c>
      <c r="Q226" s="26" t="s">
        <v>56</v>
      </c>
      <c r="R226" s="26" t="s">
        <v>61</v>
      </c>
      <c r="S226" s="26" t="s">
        <v>57</v>
      </c>
      <c r="T226" s="27"/>
      <c r="U226" s="28" t="s">
        <v>57</v>
      </c>
      <c r="V226" s="29" t="str">
        <f t="shared" si="16"/>
        <v>❌ Disc</v>
      </c>
      <c r="W226" s="70">
        <v>46248</v>
      </c>
      <c r="X226" s="30" t="s">
        <v>60</v>
      </c>
      <c r="Y226" s="30" t="s">
        <v>57</v>
      </c>
      <c r="Z226" s="30" t="s">
        <v>56</v>
      </c>
      <c r="AA226" s="30" t="s">
        <v>61</v>
      </c>
      <c r="AB226" s="30" t="s">
        <v>57</v>
      </c>
      <c r="AC226" s="27"/>
      <c r="AD226" s="31" t="s">
        <v>57</v>
      </c>
      <c r="AE226" s="32" t="str">
        <f t="shared" si="17"/>
        <v>❌ Disc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542</v>
      </c>
      <c r="C227" s="25" t="s">
        <v>543</v>
      </c>
      <c r="D227" s="23" t="s">
        <v>209</v>
      </c>
      <c r="E227" s="4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544</v>
      </c>
      <c r="C228" s="41" t="s">
        <v>545</v>
      </c>
      <c r="D228" s="39" t="s">
        <v>209</v>
      </c>
      <c r="E228" s="4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174</v>
      </c>
      <c r="L228" s="28" t="s">
        <v>56</v>
      </c>
      <c r="M228" s="29" t="str">
        <f t="shared" si="15"/>
        <v>⚠ Check</v>
      </c>
      <c r="N228" s="42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57</v>
      </c>
      <c r="T228" s="27" t="s">
        <v>174</v>
      </c>
      <c r="U228" s="28" t="s">
        <v>56</v>
      </c>
      <c r="V228" s="29" t="str">
        <f t="shared" si="16"/>
        <v>⚠ Check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57</v>
      </c>
      <c r="AC228" s="27" t="s">
        <v>174</v>
      </c>
      <c r="AD228" s="31" t="s">
        <v>56</v>
      </c>
      <c r="AE228" s="32" t="str">
        <f t="shared" si="17"/>
        <v>⚠ Check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546</v>
      </c>
      <c r="C229" s="25" t="s">
        <v>547</v>
      </c>
      <c r="D229" s="23" t="s">
        <v>209</v>
      </c>
      <c r="E229" s="4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548</v>
      </c>
      <c r="L229" s="28" t="s">
        <v>56</v>
      </c>
      <c r="M229" s="29" t="str">
        <f t="shared" si="15"/>
        <v>⚠ Check</v>
      </c>
      <c r="N229" s="42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549</v>
      </c>
      <c r="C230" s="41" t="s">
        <v>550</v>
      </c>
      <c r="D230" s="39" t="s">
        <v>209</v>
      </c>
      <c r="E230" s="4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46193</v>
      </c>
      <c r="O230" s="26" t="s">
        <v>55</v>
      </c>
      <c r="P230" s="26" t="s">
        <v>57</v>
      </c>
      <c r="Q230" s="26" t="s">
        <v>56</v>
      </c>
      <c r="R230" s="26" t="s">
        <v>61</v>
      </c>
      <c r="S230" s="26" t="s">
        <v>57</v>
      </c>
      <c r="T230" s="27"/>
      <c r="U230" s="28" t="s">
        <v>57</v>
      </c>
      <c r="V230" s="29" t="str">
        <f t="shared" si="16"/>
        <v>❌ Disc</v>
      </c>
      <c r="W230" s="70">
        <v>46248</v>
      </c>
      <c r="X230" s="30" t="s">
        <v>60</v>
      </c>
      <c r="Y230" s="30" t="s">
        <v>57</v>
      </c>
      <c r="Z230" s="30" t="s">
        <v>56</v>
      </c>
      <c r="AA230" s="30" t="s">
        <v>61</v>
      </c>
      <c r="AB230" s="30" t="s">
        <v>57</v>
      </c>
      <c r="AC230" s="27"/>
      <c r="AD230" s="31" t="s">
        <v>57</v>
      </c>
      <c r="AE230" s="32" t="str">
        <f t="shared" si="17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551</v>
      </c>
      <c r="C231" s="25" t="s">
        <v>552</v>
      </c>
      <c r="D231" s="23" t="s">
        <v>209</v>
      </c>
      <c r="E231" s="4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46193</v>
      </c>
      <c r="O231" s="26" t="s">
        <v>55</v>
      </c>
      <c r="P231" s="26" t="s">
        <v>57</v>
      </c>
      <c r="Q231" s="26" t="s">
        <v>56</v>
      </c>
      <c r="R231" s="26" t="s">
        <v>61</v>
      </c>
      <c r="S231" s="26" t="s">
        <v>57</v>
      </c>
      <c r="T231" s="27"/>
      <c r="U231" s="28" t="s">
        <v>57</v>
      </c>
      <c r="V231" s="29" t="str">
        <f t="shared" si="16"/>
        <v>❌ Disc</v>
      </c>
      <c r="W231" s="70">
        <v>46248</v>
      </c>
      <c r="X231" s="30" t="s">
        <v>60</v>
      </c>
      <c r="Y231" s="30" t="s">
        <v>57</v>
      </c>
      <c r="Z231" s="30" t="s">
        <v>56</v>
      </c>
      <c r="AA231" s="30" t="s">
        <v>61</v>
      </c>
      <c r="AB231" s="30" t="s">
        <v>57</v>
      </c>
      <c r="AC231" s="27"/>
      <c r="AD231" s="31" t="s">
        <v>57</v>
      </c>
      <c r="AE231" s="32" t="str">
        <f t="shared" si="17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553</v>
      </c>
      <c r="C232" s="41" t="s">
        <v>554</v>
      </c>
      <c r="D232" s="39" t="s">
        <v>209</v>
      </c>
      <c r="E232" s="4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46193</v>
      </c>
      <c r="O232" s="26" t="s">
        <v>55</v>
      </c>
      <c r="P232" s="26" t="s">
        <v>57</v>
      </c>
      <c r="Q232" s="26" t="s">
        <v>56</v>
      </c>
      <c r="R232" s="26" t="s">
        <v>61</v>
      </c>
      <c r="S232" s="26" t="s">
        <v>57</v>
      </c>
      <c r="T232" s="27"/>
      <c r="U232" s="28" t="s">
        <v>57</v>
      </c>
      <c r="V232" s="29" t="str">
        <f t="shared" si="16"/>
        <v>❌ Disc</v>
      </c>
      <c r="W232" s="70">
        <v>46248</v>
      </c>
      <c r="X232" s="30" t="s">
        <v>60</v>
      </c>
      <c r="Y232" s="30" t="s">
        <v>57</v>
      </c>
      <c r="Z232" s="30" t="s">
        <v>56</v>
      </c>
      <c r="AA232" s="30" t="s">
        <v>61</v>
      </c>
      <c r="AB232" s="30" t="s">
        <v>57</v>
      </c>
      <c r="AC232" s="27"/>
      <c r="AD232" s="31" t="s">
        <v>57</v>
      </c>
      <c r="AE232" s="32" t="str">
        <f t="shared" si="17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555</v>
      </c>
      <c r="C233" s="25" t="s">
        <v>556</v>
      </c>
      <c r="D233" s="23" t="s">
        <v>209</v>
      </c>
      <c r="E233" s="4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60</v>
      </c>
      <c r="Y233" s="30" t="s">
        <v>57</v>
      </c>
      <c r="Z233" s="30" t="s">
        <v>56</v>
      </c>
      <c r="AA233" s="30" t="s">
        <v>61</v>
      </c>
      <c r="AB233" s="30" t="s">
        <v>57</v>
      </c>
      <c r="AC233" s="27"/>
      <c r="AD233" s="31" t="s">
        <v>57</v>
      </c>
      <c r="AE233" s="32" t="str">
        <f t="shared" si="17"/>
        <v>❌ Disc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557</v>
      </c>
      <c r="C234" s="41" t="s">
        <v>558</v>
      </c>
      <c r="D234" s="39" t="s">
        <v>209</v>
      </c>
      <c r="E234" s="4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46193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559</v>
      </c>
      <c r="C235" s="25" t="s">
        <v>560</v>
      </c>
      <c r="D235" s="23" t="s">
        <v>209</v>
      </c>
      <c r="E235" s="4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561</v>
      </c>
      <c r="C236" s="41" t="s">
        <v>562</v>
      </c>
      <c r="D236" s="39" t="s">
        <v>209</v>
      </c>
      <c r="E236" s="4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42">
        <v>46193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57</v>
      </c>
      <c r="T236" s="27" t="s">
        <v>59</v>
      </c>
      <c r="U236" s="28" t="s">
        <v>56</v>
      </c>
      <c r="V236" s="29" t="str">
        <f t="shared" si="16"/>
        <v>⚠ Check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563</v>
      </c>
      <c r="C237" s="25" t="s">
        <v>564</v>
      </c>
      <c r="D237" s="23" t="s">
        <v>209</v>
      </c>
      <c r="E237" s="4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565</v>
      </c>
      <c r="C238" s="41" t="s">
        <v>566</v>
      </c>
      <c r="D238" s="39" t="s">
        <v>209</v>
      </c>
      <c r="E238" s="4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60</v>
      </c>
      <c r="Y238" s="30" t="s">
        <v>57</v>
      </c>
      <c r="Z238" s="30" t="s">
        <v>56</v>
      </c>
      <c r="AA238" s="30" t="s">
        <v>61</v>
      </c>
      <c r="AB238" s="30" t="s">
        <v>57</v>
      </c>
      <c r="AC238" s="27"/>
      <c r="AD238" s="31" t="s">
        <v>57</v>
      </c>
      <c r="AE238" s="32" t="str">
        <f t="shared" si="17"/>
        <v>❌ Disc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567</v>
      </c>
      <c r="C239" s="25" t="s">
        <v>568</v>
      </c>
      <c r="D239" s="23" t="s">
        <v>209</v>
      </c>
      <c r="E239" s="4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569</v>
      </c>
      <c r="L239" s="28" t="s">
        <v>56</v>
      </c>
      <c r="M239" s="29" t="str">
        <f t="shared" si="15"/>
        <v>⚠ Check</v>
      </c>
      <c r="N239" s="42">
        <v>46193</v>
      </c>
      <c r="O239" s="26" t="s">
        <v>55</v>
      </c>
      <c r="P239" s="26" t="s">
        <v>57</v>
      </c>
      <c r="Q239" s="26" t="s">
        <v>56</v>
      </c>
      <c r="R239" s="26" t="s">
        <v>61</v>
      </c>
      <c r="S239" s="26" t="s">
        <v>57</v>
      </c>
      <c r="T239" s="27"/>
      <c r="U239" s="28" t="s">
        <v>57</v>
      </c>
      <c r="V239" s="29" t="str">
        <f t="shared" si="16"/>
        <v>❌ Disc</v>
      </c>
      <c r="W239" s="70">
        <v>46248</v>
      </c>
      <c r="X239" s="30" t="s">
        <v>60</v>
      </c>
      <c r="Y239" s="30" t="s">
        <v>57</v>
      </c>
      <c r="Z239" s="30" t="s">
        <v>56</v>
      </c>
      <c r="AA239" s="30" t="s">
        <v>61</v>
      </c>
      <c r="AB239" s="30" t="s">
        <v>57</v>
      </c>
      <c r="AC239" s="27"/>
      <c r="AD239" s="31" t="s">
        <v>57</v>
      </c>
      <c r="AE239" s="32" t="str">
        <f t="shared" si="17"/>
        <v>❌ Disc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570</v>
      </c>
      <c r="C240" s="41" t="s">
        <v>571</v>
      </c>
      <c r="D240" s="39" t="s">
        <v>209</v>
      </c>
      <c r="E240" s="4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572</v>
      </c>
      <c r="L240" s="28" t="s">
        <v>56</v>
      </c>
      <c r="M240" s="29" t="str">
        <f t="shared" si="15"/>
        <v>⚠ Check</v>
      </c>
      <c r="N240" s="42">
        <v>46193</v>
      </c>
      <c r="O240" s="26" t="s">
        <v>55</v>
      </c>
      <c r="P240" s="26" t="s">
        <v>57</v>
      </c>
      <c r="Q240" s="26" t="s">
        <v>56</v>
      </c>
      <c r="R240" s="26" t="s">
        <v>61</v>
      </c>
      <c r="S240" s="26" t="s">
        <v>57</v>
      </c>
      <c r="T240" s="27"/>
      <c r="U240" s="28" t="s">
        <v>57</v>
      </c>
      <c r="V240" s="29" t="str">
        <f t="shared" si="16"/>
        <v>❌ Disc</v>
      </c>
      <c r="W240" s="70">
        <v>46248</v>
      </c>
      <c r="X240" s="30" t="s">
        <v>60</v>
      </c>
      <c r="Y240" s="30" t="s">
        <v>57</v>
      </c>
      <c r="Z240" s="30" t="s">
        <v>56</v>
      </c>
      <c r="AA240" s="30" t="s">
        <v>61</v>
      </c>
      <c r="AB240" s="30" t="s">
        <v>57</v>
      </c>
      <c r="AC240" s="27"/>
      <c r="AD240" s="31" t="s">
        <v>57</v>
      </c>
      <c r="AE240" s="32" t="str">
        <f t="shared" si="17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573</v>
      </c>
      <c r="C241" s="25" t="s">
        <v>574</v>
      </c>
      <c r="D241" s="23" t="s">
        <v>209</v>
      </c>
      <c r="E241" s="4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46193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575</v>
      </c>
      <c r="C242" s="41" t="s">
        <v>576</v>
      </c>
      <c r="D242" s="39" t="s">
        <v>209</v>
      </c>
      <c r="E242" s="4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46193</v>
      </c>
      <c r="O242" s="26" t="s">
        <v>55</v>
      </c>
      <c r="P242" s="26" t="s">
        <v>57</v>
      </c>
      <c r="Q242" s="26" t="s">
        <v>56</v>
      </c>
      <c r="R242" s="26" t="s">
        <v>61</v>
      </c>
      <c r="S242" s="26" t="s">
        <v>57</v>
      </c>
      <c r="T242" s="27"/>
      <c r="U242" s="28" t="s">
        <v>57</v>
      </c>
      <c r="V242" s="29" t="str">
        <f t="shared" si="16"/>
        <v>❌ Disc</v>
      </c>
      <c r="W242" s="70">
        <v>46248</v>
      </c>
      <c r="X242" s="30" t="s">
        <v>60</v>
      </c>
      <c r="Y242" s="30" t="s">
        <v>57</v>
      </c>
      <c r="Z242" s="30" t="s">
        <v>56</v>
      </c>
      <c r="AA242" s="30" t="s">
        <v>61</v>
      </c>
      <c r="AB242" s="30" t="s">
        <v>57</v>
      </c>
      <c r="AC242" s="27"/>
      <c r="AD242" s="31" t="s">
        <v>57</v>
      </c>
      <c r="AE242" s="32" t="str">
        <f t="shared" si="17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577</v>
      </c>
      <c r="C243" s="25" t="s">
        <v>578</v>
      </c>
      <c r="D243" s="23" t="s">
        <v>209</v>
      </c>
      <c r="E243" s="4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60</v>
      </c>
      <c r="Y243" s="30" t="s">
        <v>57</v>
      </c>
      <c r="Z243" s="30" t="s">
        <v>56</v>
      </c>
      <c r="AA243" s="30" t="s">
        <v>61</v>
      </c>
      <c r="AB243" s="30" t="s">
        <v>57</v>
      </c>
      <c r="AC243" s="27"/>
      <c r="AD243" s="31" t="s">
        <v>57</v>
      </c>
      <c r="AE243" s="32" t="str">
        <f t="shared" si="17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579</v>
      </c>
      <c r="C244" s="41" t="s">
        <v>580</v>
      </c>
      <c r="D244" s="39" t="s">
        <v>209</v>
      </c>
      <c r="E244" s="4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46193</v>
      </c>
      <c r="O244" s="26" t="s">
        <v>55</v>
      </c>
      <c r="P244" s="26" t="s">
        <v>57</v>
      </c>
      <c r="Q244" s="26" t="s">
        <v>56</v>
      </c>
      <c r="R244" s="26" t="s">
        <v>61</v>
      </c>
      <c r="S244" s="26" t="s">
        <v>57</v>
      </c>
      <c r="T244" s="27"/>
      <c r="U244" s="28" t="s">
        <v>57</v>
      </c>
      <c r="V244" s="29" t="str">
        <f t="shared" si="16"/>
        <v>❌ Disc</v>
      </c>
      <c r="W244" s="70">
        <v>46248</v>
      </c>
      <c r="X244" s="30" t="s">
        <v>60</v>
      </c>
      <c r="Y244" s="30" t="s">
        <v>57</v>
      </c>
      <c r="Z244" s="30" t="s">
        <v>56</v>
      </c>
      <c r="AA244" s="30" t="s">
        <v>61</v>
      </c>
      <c r="AB244" s="30" t="s">
        <v>57</v>
      </c>
      <c r="AC244" s="27"/>
      <c r="AD244" s="31" t="s">
        <v>57</v>
      </c>
      <c r="AE244" s="32" t="str">
        <f t="shared" si="17"/>
        <v>❌ Disc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581</v>
      </c>
      <c r="C245" s="25" t="s">
        <v>582</v>
      </c>
      <c r="D245" s="23" t="s">
        <v>209</v>
      </c>
      <c r="E245" s="4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583</v>
      </c>
      <c r="C246" s="41" t="s">
        <v>584</v>
      </c>
      <c r="D246" s="39" t="s">
        <v>209</v>
      </c>
      <c r="E246" s="42">
        <v>46127</v>
      </c>
      <c r="F246" s="26" t="s">
        <v>55</v>
      </c>
      <c r="G246" s="26" t="s">
        <v>56</v>
      </c>
      <c r="H246" s="26" t="s">
        <v>57</v>
      </c>
      <c r="I246" s="26" t="s">
        <v>277</v>
      </c>
      <c r="J246" s="26" t="s">
        <v>57</v>
      </c>
      <c r="K246" s="27" t="s">
        <v>572</v>
      </c>
      <c r="L246" s="28" t="s">
        <v>56</v>
      </c>
      <c r="M246" s="29" t="str">
        <f t="shared" si="15"/>
        <v>⚠ Check</v>
      </c>
      <c r="N246" s="42">
        <v>46193</v>
      </c>
      <c r="O246" s="26" t="s">
        <v>55</v>
      </c>
      <c r="P246" s="26" t="s">
        <v>56</v>
      </c>
      <c r="Q246" s="26" t="s">
        <v>57</v>
      </c>
      <c r="R246" s="26" t="s">
        <v>277</v>
      </c>
      <c r="S246" s="26" t="s">
        <v>57</v>
      </c>
      <c r="T246" s="27" t="s">
        <v>572</v>
      </c>
      <c r="U246" s="28" t="s">
        <v>56</v>
      </c>
      <c r="V246" s="29" t="str">
        <f t="shared" si="16"/>
        <v>⚠ Check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277</v>
      </c>
      <c r="AB246" s="30" t="s">
        <v>57</v>
      </c>
      <c r="AC246" s="27" t="s">
        <v>572</v>
      </c>
      <c r="AD246" s="31" t="s">
        <v>56</v>
      </c>
      <c r="AE246" s="32" t="str">
        <f t="shared" si="17"/>
        <v>⚠ Check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585</v>
      </c>
      <c r="C247" s="25" t="s">
        <v>586</v>
      </c>
      <c r="D247" s="23" t="s">
        <v>209</v>
      </c>
      <c r="E247" s="4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587</v>
      </c>
      <c r="C248" s="41" t="s">
        <v>588</v>
      </c>
      <c r="D248" s="39" t="s">
        <v>209</v>
      </c>
      <c r="E248" s="4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46193</v>
      </c>
      <c r="O248" s="26" t="s">
        <v>55</v>
      </c>
      <c r="P248" s="26" t="s">
        <v>57</v>
      </c>
      <c r="Q248" s="26" t="s">
        <v>56</v>
      </c>
      <c r="R248" s="26" t="s">
        <v>61</v>
      </c>
      <c r="S248" s="26" t="s">
        <v>57</v>
      </c>
      <c r="T248" s="27"/>
      <c r="U248" s="28" t="s">
        <v>57</v>
      </c>
      <c r="V248" s="29" t="str">
        <f t="shared" si="16"/>
        <v>❌ Disc</v>
      </c>
      <c r="W248" s="70">
        <v>46248</v>
      </c>
      <c r="X248" s="30" t="s">
        <v>60</v>
      </c>
      <c r="Y248" s="30" t="s">
        <v>57</v>
      </c>
      <c r="Z248" s="30" t="s">
        <v>56</v>
      </c>
      <c r="AA248" s="30" t="s">
        <v>61</v>
      </c>
      <c r="AB248" s="30" t="s">
        <v>57</v>
      </c>
      <c r="AC248" s="27"/>
      <c r="AD248" s="31" t="s">
        <v>57</v>
      </c>
      <c r="AE248" s="32" t="str">
        <f t="shared" si="17"/>
        <v>❌ Disc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589</v>
      </c>
      <c r="C249" s="25" t="s">
        <v>590</v>
      </c>
      <c r="D249" s="23" t="s">
        <v>209</v>
      </c>
      <c r="E249" s="4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46193</v>
      </c>
      <c r="O249" s="26" t="s">
        <v>55</v>
      </c>
      <c r="P249" s="26" t="s">
        <v>57</v>
      </c>
      <c r="Q249" s="26" t="s">
        <v>56</v>
      </c>
      <c r="R249" s="26" t="s">
        <v>61</v>
      </c>
      <c r="S249" s="26" t="s">
        <v>57</v>
      </c>
      <c r="T249" s="27"/>
      <c r="U249" s="28" t="s">
        <v>57</v>
      </c>
      <c r="V249" s="29" t="str">
        <f t="shared" si="16"/>
        <v>❌ Disc</v>
      </c>
      <c r="W249" s="70">
        <v>46248</v>
      </c>
      <c r="X249" s="30" t="s">
        <v>60</v>
      </c>
      <c r="Y249" s="30" t="s">
        <v>57</v>
      </c>
      <c r="Z249" s="30" t="s">
        <v>56</v>
      </c>
      <c r="AA249" s="30" t="s">
        <v>61</v>
      </c>
      <c r="AB249" s="30" t="s">
        <v>57</v>
      </c>
      <c r="AC249" s="27"/>
      <c r="AD249" s="31" t="s">
        <v>57</v>
      </c>
      <c r="AE249" s="32" t="str">
        <f t="shared" si="17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591</v>
      </c>
      <c r="C250" s="41" t="s">
        <v>592</v>
      </c>
      <c r="D250" s="39" t="s">
        <v>209</v>
      </c>
      <c r="E250" s="4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46193</v>
      </c>
      <c r="O250" s="26" t="s">
        <v>55</v>
      </c>
      <c r="P250" s="26" t="s">
        <v>57</v>
      </c>
      <c r="Q250" s="26" t="s">
        <v>56</v>
      </c>
      <c r="R250" s="26" t="s">
        <v>61</v>
      </c>
      <c r="S250" s="26" t="s">
        <v>57</v>
      </c>
      <c r="T250" s="27"/>
      <c r="U250" s="28" t="s">
        <v>57</v>
      </c>
      <c r="V250" s="29" t="str">
        <f t="shared" si="16"/>
        <v>❌ Disc</v>
      </c>
      <c r="W250" s="70">
        <v>46248</v>
      </c>
      <c r="X250" s="30" t="s">
        <v>60</v>
      </c>
      <c r="Y250" s="30" t="s">
        <v>57</v>
      </c>
      <c r="Z250" s="30" t="s">
        <v>56</v>
      </c>
      <c r="AA250" s="30" t="s">
        <v>61</v>
      </c>
      <c r="AB250" s="30" t="s">
        <v>57</v>
      </c>
      <c r="AC250" s="27"/>
      <c r="AD250" s="31" t="s">
        <v>57</v>
      </c>
      <c r="AE250" s="32" t="str">
        <f t="shared" si="17"/>
        <v>❌ Disc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593</v>
      </c>
      <c r="C251" s="25" t="s">
        <v>594</v>
      </c>
      <c r="D251" s="23" t="s">
        <v>209</v>
      </c>
      <c r="E251" s="4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595</v>
      </c>
      <c r="L251" s="28" t="s">
        <v>56</v>
      </c>
      <c r="M251" s="29" t="str">
        <f t="shared" si="15"/>
        <v>⚠ Check</v>
      </c>
      <c r="N251" s="42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57</v>
      </c>
      <c r="T251" s="27" t="s">
        <v>595</v>
      </c>
      <c r="U251" s="28" t="s">
        <v>56</v>
      </c>
      <c r="V251" s="29" t="str">
        <f t="shared" si="16"/>
        <v>⚠ Check</v>
      </c>
      <c r="W251" s="70">
        <v>46248</v>
      </c>
      <c r="X251" s="30" t="s">
        <v>60</v>
      </c>
      <c r="Y251" s="30" t="s">
        <v>57</v>
      </c>
      <c r="Z251" s="30" t="s">
        <v>56</v>
      </c>
      <c r="AA251" s="30" t="s">
        <v>61</v>
      </c>
      <c r="AB251" s="30" t="s">
        <v>56</v>
      </c>
      <c r="AC251" s="27"/>
      <c r="AD251" s="31" t="s">
        <v>57</v>
      </c>
      <c r="AE251" s="32" t="str">
        <f t="shared" si="17"/>
        <v>❌ Disc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596</v>
      </c>
      <c r="C252" s="41" t="s">
        <v>597</v>
      </c>
      <c r="D252" s="39" t="s">
        <v>209</v>
      </c>
      <c r="E252" s="4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598</v>
      </c>
      <c r="C253" s="25" t="s">
        <v>599</v>
      </c>
      <c r="D253" s="23" t="s">
        <v>209</v>
      </c>
      <c r="E253" s="4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600</v>
      </c>
      <c r="C254" s="41" t="s">
        <v>601</v>
      </c>
      <c r="D254" s="39" t="s">
        <v>209</v>
      </c>
      <c r="E254" s="4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548</v>
      </c>
      <c r="L254" s="28" t="s">
        <v>56</v>
      </c>
      <c r="M254" s="29" t="str">
        <f t="shared" si="15"/>
        <v>⚠ Check</v>
      </c>
      <c r="N254" s="42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602</v>
      </c>
      <c r="C255" s="25" t="s">
        <v>603</v>
      </c>
      <c r="D255" s="23" t="s">
        <v>209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604</v>
      </c>
      <c r="C256" s="41" t="s">
        <v>605</v>
      </c>
      <c r="D256" s="39" t="s">
        <v>209</v>
      </c>
      <c r="E256" s="4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606</v>
      </c>
      <c r="C257" s="25" t="s">
        <v>607</v>
      </c>
      <c r="D257" s="23" t="s">
        <v>209</v>
      </c>
      <c r="E257" s="4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46193</v>
      </c>
      <c r="O257" s="26" t="s">
        <v>55</v>
      </c>
      <c r="P257" s="26" t="s">
        <v>57</v>
      </c>
      <c r="Q257" s="26" t="s">
        <v>56</v>
      </c>
      <c r="R257" s="26" t="s">
        <v>61</v>
      </c>
      <c r="S257" s="26" t="s">
        <v>57</v>
      </c>
      <c r="T257" s="27"/>
      <c r="U257" s="28" t="s">
        <v>57</v>
      </c>
      <c r="V257" s="29" t="str">
        <f t="shared" si="16"/>
        <v>❌ Disc</v>
      </c>
      <c r="W257" s="70">
        <v>46248</v>
      </c>
      <c r="X257" s="30" t="s">
        <v>60</v>
      </c>
      <c r="Y257" s="30" t="s">
        <v>57</v>
      </c>
      <c r="Z257" s="30" t="s">
        <v>56</v>
      </c>
      <c r="AA257" s="30" t="s">
        <v>61</v>
      </c>
      <c r="AB257" s="30" t="s">
        <v>57</v>
      </c>
      <c r="AC257" s="27"/>
      <c r="AD257" s="31" t="s">
        <v>57</v>
      </c>
      <c r="AE257" s="32" t="str">
        <f t="shared" si="17"/>
        <v>❌ Disc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608</v>
      </c>
      <c r="C258" s="41" t="s">
        <v>609</v>
      </c>
      <c r="D258" s="39" t="s">
        <v>209</v>
      </c>
      <c r="E258" s="4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610</v>
      </c>
      <c r="C259" s="25" t="s">
        <v>611</v>
      </c>
      <c r="D259" s="23" t="s">
        <v>209</v>
      </c>
      <c r="E259" s="4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76</v>
      </c>
      <c r="L259" s="28" t="s">
        <v>56</v>
      </c>
      <c r="M259" s="29" t="str">
        <f t="shared" si="15"/>
        <v>⚠ Check</v>
      </c>
      <c r="N259" s="42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57</v>
      </c>
      <c r="T259" s="27" t="s">
        <v>76</v>
      </c>
      <c r="U259" s="28" t="s">
        <v>56</v>
      </c>
      <c r="V259" s="29" t="str">
        <f t="shared" si="16"/>
        <v>⚠ Check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612</v>
      </c>
      <c r="C260" s="41" t="s">
        <v>613</v>
      </c>
      <c r="D260" s="39" t="s">
        <v>209</v>
      </c>
      <c r="E260" s="4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614</v>
      </c>
      <c r="L260" s="28" t="s">
        <v>56</v>
      </c>
      <c r="M260" s="29" t="str">
        <f t="shared" si="15"/>
        <v>⚠ Check</v>
      </c>
      <c r="N260" s="42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57</v>
      </c>
      <c r="T260" s="27" t="s">
        <v>614</v>
      </c>
      <c r="U260" s="28" t="s">
        <v>56</v>
      </c>
      <c r="V260" s="29" t="str">
        <f t="shared" si="16"/>
        <v>⚠ Check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57</v>
      </c>
      <c r="AC260" s="27" t="s">
        <v>614</v>
      </c>
      <c r="AD260" s="31" t="s">
        <v>56</v>
      </c>
      <c r="AE260" s="32" t="str">
        <f t="shared" si="17"/>
        <v>⚠ Check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615</v>
      </c>
      <c r="C261" s="25" t="s">
        <v>616</v>
      </c>
      <c r="D261" s="23" t="s">
        <v>209</v>
      </c>
      <c r="E261" s="4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42">
        <v>46193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6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296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6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617</v>
      </c>
      <c r="C262" s="41" t="s">
        <v>618</v>
      </c>
      <c r="D262" s="39" t="s">
        <v>209</v>
      </c>
      <c r="E262" s="4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619</v>
      </c>
      <c r="L262" s="28" t="s">
        <v>56</v>
      </c>
      <c r="M262" s="29" t="str">
        <f t="shared" si="20"/>
        <v>⚠ Check</v>
      </c>
      <c r="N262" s="42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57</v>
      </c>
      <c r="T262" s="27" t="s">
        <v>620</v>
      </c>
      <c r="U262" s="28" t="s">
        <v>56</v>
      </c>
      <c r="V262" s="29" t="str">
        <f t="shared" si="21"/>
        <v>⚠ Check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57</v>
      </c>
      <c r="AC262" s="27" t="s">
        <v>620</v>
      </c>
      <c r="AD262" s="31" t="s">
        <v>56</v>
      </c>
      <c r="AE262" s="32" t="str">
        <f t="shared" si="22"/>
        <v>⚠ Check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621</v>
      </c>
      <c r="C263" s="25" t="s">
        <v>622</v>
      </c>
      <c r="D263" s="23" t="s">
        <v>209</v>
      </c>
      <c r="E263" s="4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623</v>
      </c>
      <c r="L263" s="28" t="s">
        <v>56</v>
      </c>
      <c r="M263" s="29" t="str">
        <f t="shared" si="20"/>
        <v>⚠ Check</v>
      </c>
      <c r="N263" s="42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624</v>
      </c>
      <c r="C264" s="41" t="s">
        <v>625</v>
      </c>
      <c r="D264" s="39" t="s">
        <v>209</v>
      </c>
      <c r="E264" s="4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626</v>
      </c>
      <c r="L264" s="28" t="s">
        <v>56</v>
      </c>
      <c r="M264" s="29" t="str">
        <f t="shared" si="20"/>
        <v>⚠ Check</v>
      </c>
      <c r="N264" s="42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57</v>
      </c>
      <c r="T264" s="27" t="s">
        <v>626</v>
      </c>
      <c r="U264" s="28" t="s">
        <v>56</v>
      </c>
      <c r="V264" s="29" t="str">
        <f t="shared" si="21"/>
        <v>⚠ Check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627</v>
      </c>
      <c r="C265" s="25" t="s">
        <v>628</v>
      </c>
      <c r="D265" s="23" t="s">
        <v>209</v>
      </c>
      <c r="E265" s="4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629</v>
      </c>
      <c r="C266" s="41" t="s">
        <v>630</v>
      </c>
      <c r="D266" s="39" t="s">
        <v>209</v>
      </c>
      <c r="E266" s="4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631</v>
      </c>
      <c r="C267" s="25" t="s">
        <v>632</v>
      </c>
      <c r="D267" s="23" t="s">
        <v>209</v>
      </c>
      <c r="E267" s="4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46193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633</v>
      </c>
      <c r="C268" s="41" t="s">
        <v>634</v>
      </c>
      <c r="D268" s="39" t="s">
        <v>209</v>
      </c>
      <c r="E268" s="4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46193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635</v>
      </c>
      <c r="C269" s="25" t="s">
        <v>636</v>
      </c>
      <c r="D269" s="23" t="s">
        <v>209</v>
      </c>
      <c r="E269" s="4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46193</v>
      </c>
      <c r="O269" s="26" t="s">
        <v>55</v>
      </c>
      <c r="P269" s="26" t="s">
        <v>57</v>
      </c>
      <c r="Q269" s="26" t="s">
        <v>56</v>
      </c>
      <c r="R269" s="26" t="s">
        <v>61</v>
      </c>
      <c r="S269" s="26" t="s">
        <v>57</v>
      </c>
      <c r="T269" s="27"/>
      <c r="U269" s="28" t="s">
        <v>57</v>
      </c>
      <c r="V269" s="29" t="str">
        <f t="shared" si="21"/>
        <v>❌ Disc</v>
      </c>
      <c r="W269" s="70">
        <v>46248</v>
      </c>
      <c r="X269" s="30" t="s">
        <v>60</v>
      </c>
      <c r="Y269" s="30" t="s">
        <v>57</v>
      </c>
      <c r="Z269" s="30" t="s">
        <v>56</v>
      </c>
      <c r="AA269" s="30" t="s">
        <v>61</v>
      </c>
      <c r="AB269" s="30" t="s">
        <v>57</v>
      </c>
      <c r="AC269" s="27"/>
      <c r="AD269" s="31" t="s">
        <v>57</v>
      </c>
      <c r="AE269" s="32" t="str">
        <f t="shared" si="22"/>
        <v>❌ Disc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637</v>
      </c>
      <c r="C270" s="41" t="s">
        <v>638</v>
      </c>
      <c r="D270" s="39" t="s">
        <v>209</v>
      </c>
      <c r="E270" s="42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46193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639</v>
      </c>
      <c r="C271" s="25" t="s">
        <v>640</v>
      </c>
      <c r="D271" s="23" t="s">
        <v>209</v>
      </c>
      <c r="E271" s="4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641</v>
      </c>
      <c r="C272" s="41" t="s">
        <v>642</v>
      </c>
      <c r="D272" s="39" t="s">
        <v>209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643</v>
      </c>
      <c r="C273" s="25" t="s">
        <v>644</v>
      </c>
      <c r="D273" s="23" t="s">
        <v>209</v>
      </c>
      <c r="E273" s="4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645</v>
      </c>
      <c r="C274" s="41" t="s">
        <v>646</v>
      </c>
      <c r="D274" s="39" t="s">
        <v>209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647</v>
      </c>
      <c r="C275" s="25" t="s">
        <v>648</v>
      </c>
      <c r="D275" s="23" t="s">
        <v>209</v>
      </c>
      <c r="E275" s="4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649</v>
      </c>
      <c r="L275" s="28" t="s">
        <v>56</v>
      </c>
      <c r="M275" s="29" t="str">
        <f t="shared" si="20"/>
        <v>⚠ Check</v>
      </c>
      <c r="N275" s="42">
        <v>46193</v>
      </c>
      <c r="O275" s="26" t="s">
        <v>55</v>
      </c>
      <c r="P275" s="26" t="s">
        <v>57</v>
      </c>
      <c r="Q275" s="26" t="s">
        <v>56</v>
      </c>
      <c r="R275" s="26" t="s">
        <v>61</v>
      </c>
      <c r="S275" s="26" t="s">
        <v>57</v>
      </c>
      <c r="T275" s="27"/>
      <c r="U275" s="28" t="s">
        <v>57</v>
      </c>
      <c r="V275" s="29" t="str">
        <f t="shared" si="21"/>
        <v>❌ Disc</v>
      </c>
      <c r="W275" s="70">
        <v>46248</v>
      </c>
      <c r="X275" s="30" t="s">
        <v>60</v>
      </c>
      <c r="Y275" s="30" t="s">
        <v>57</v>
      </c>
      <c r="Z275" s="30" t="s">
        <v>56</v>
      </c>
      <c r="AA275" s="30" t="s">
        <v>61</v>
      </c>
      <c r="AB275" s="30" t="s">
        <v>57</v>
      </c>
      <c r="AC275" s="27"/>
      <c r="AD275" s="31" t="s">
        <v>57</v>
      </c>
      <c r="AE275" s="32" t="str">
        <f t="shared" si="22"/>
        <v>❌ Disc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650</v>
      </c>
      <c r="C276" s="41" t="s">
        <v>651</v>
      </c>
      <c r="D276" s="39" t="s">
        <v>209</v>
      </c>
      <c r="E276" s="42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302</v>
      </c>
      <c r="L276" s="28" t="s">
        <v>56</v>
      </c>
      <c r="M276" s="29" t="str">
        <f t="shared" si="20"/>
        <v>⚠ Check</v>
      </c>
      <c r="N276" s="42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57</v>
      </c>
      <c r="T276" s="27" t="s">
        <v>302</v>
      </c>
      <c r="U276" s="28" t="s">
        <v>56</v>
      </c>
      <c r="V276" s="29" t="str">
        <f t="shared" si="21"/>
        <v>⚠ Check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652</v>
      </c>
      <c r="C277" s="25" t="s">
        <v>653</v>
      </c>
      <c r="D277" s="23" t="s">
        <v>209</v>
      </c>
      <c r="E277" s="4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46193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654</v>
      </c>
      <c r="C278" s="41" t="s">
        <v>655</v>
      </c>
      <c r="D278" s="39" t="s">
        <v>209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46193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656</v>
      </c>
      <c r="C279" s="25" t="s">
        <v>657</v>
      </c>
      <c r="D279" s="23" t="s">
        <v>209</v>
      </c>
      <c r="E279" s="4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658</v>
      </c>
      <c r="C280" s="41" t="s">
        <v>659</v>
      </c>
      <c r="D280" s="39" t="s">
        <v>209</v>
      </c>
      <c r="E280" s="4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46193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660</v>
      </c>
      <c r="C281" s="25" t="s">
        <v>661</v>
      </c>
      <c r="D281" s="23" t="s">
        <v>209</v>
      </c>
      <c r="E281" s="42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662</v>
      </c>
      <c r="C282" s="41" t="s">
        <v>663</v>
      </c>
      <c r="D282" s="39" t="s">
        <v>209</v>
      </c>
      <c r="E282" s="4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46193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664</v>
      </c>
      <c r="C283" s="25" t="s">
        <v>665</v>
      </c>
      <c r="D283" s="23" t="s">
        <v>209</v>
      </c>
      <c r="E283" s="4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76</v>
      </c>
      <c r="L283" s="28" t="s">
        <v>56</v>
      </c>
      <c r="M283" s="29" t="str">
        <f t="shared" si="20"/>
        <v>⚠ Check</v>
      </c>
      <c r="N283" s="42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57</v>
      </c>
      <c r="T283" s="27" t="s">
        <v>76</v>
      </c>
      <c r="U283" s="28" t="s">
        <v>56</v>
      </c>
      <c r="V283" s="29" t="str">
        <f t="shared" si="21"/>
        <v>⚠ Check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666</v>
      </c>
      <c r="C284" s="41" t="s">
        <v>667</v>
      </c>
      <c r="D284" s="39" t="s">
        <v>209</v>
      </c>
      <c r="E284" s="4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46193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668</v>
      </c>
      <c r="C285" s="25" t="s">
        <v>669</v>
      </c>
      <c r="D285" s="23" t="s">
        <v>209</v>
      </c>
      <c r="E285" s="42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670</v>
      </c>
      <c r="L285" s="28" t="s">
        <v>56</v>
      </c>
      <c r="M285" s="29" t="str">
        <f t="shared" si="20"/>
        <v>⚠ Check</v>
      </c>
      <c r="N285" s="42">
        <v>46193</v>
      </c>
      <c r="O285" s="26" t="s">
        <v>55</v>
      </c>
      <c r="P285" s="26" t="s">
        <v>57</v>
      </c>
      <c r="Q285" s="26" t="s">
        <v>56</v>
      </c>
      <c r="R285" s="26" t="s">
        <v>61</v>
      </c>
      <c r="S285" s="26" t="s">
        <v>57</v>
      </c>
      <c r="T285" s="27"/>
      <c r="U285" s="28" t="s">
        <v>57</v>
      </c>
      <c r="V285" s="29" t="str">
        <f t="shared" si="21"/>
        <v>❌ Disc</v>
      </c>
      <c r="W285" s="70">
        <v>46248</v>
      </c>
      <c r="X285" s="30" t="s">
        <v>60</v>
      </c>
      <c r="Y285" s="30" t="s">
        <v>57</v>
      </c>
      <c r="Z285" s="30" t="s">
        <v>56</v>
      </c>
      <c r="AA285" s="30" t="s">
        <v>61</v>
      </c>
      <c r="AB285" s="30" t="s">
        <v>57</v>
      </c>
      <c r="AC285" s="27"/>
      <c r="AD285" s="31" t="s">
        <v>57</v>
      </c>
      <c r="AE285" s="32" t="str">
        <f t="shared" si="22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671</v>
      </c>
      <c r="C286" s="41" t="s">
        <v>672</v>
      </c>
      <c r="D286" s="39" t="s">
        <v>209</v>
      </c>
      <c r="E286" s="42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3" t="s">
        <v>260</v>
      </c>
      <c r="L286" s="28" t="s">
        <v>56</v>
      </c>
      <c r="M286" s="29" t="str">
        <f t="shared" si="20"/>
        <v>⚠ Check</v>
      </c>
      <c r="N286" s="42">
        <v>46193</v>
      </c>
      <c r="O286" s="26" t="s">
        <v>55</v>
      </c>
      <c r="P286" s="26" t="s">
        <v>57</v>
      </c>
      <c r="Q286" s="26" t="s">
        <v>56</v>
      </c>
      <c r="R286" s="26" t="s">
        <v>61</v>
      </c>
      <c r="S286" s="26" t="s">
        <v>57</v>
      </c>
      <c r="T286" s="43"/>
      <c r="U286" s="28" t="s">
        <v>57</v>
      </c>
      <c r="V286" s="29" t="str">
        <f t="shared" si="21"/>
        <v>❌ Disc</v>
      </c>
      <c r="W286" s="70">
        <v>46248</v>
      </c>
      <c r="X286" s="30" t="s">
        <v>60</v>
      </c>
      <c r="Y286" s="30" t="s">
        <v>57</v>
      </c>
      <c r="Z286" s="30" t="s">
        <v>56</v>
      </c>
      <c r="AA286" s="30" t="s">
        <v>61</v>
      </c>
      <c r="AB286" s="30" t="s">
        <v>57</v>
      </c>
      <c r="AC286" s="27"/>
      <c r="AD286" s="31" t="s">
        <v>57</v>
      </c>
      <c r="AE286" s="32" t="str">
        <f t="shared" si="22"/>
        <v>❌ Disc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673</v>
      </c>
      <c r="C287" s="25" t="s">
        <v>674</v>
      </c>
      <c r="D287" s="23" t="s">
        <v>209</v>
      </c>
      <c r="E287" s="4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675</v>
      </c>
      <c r="L287" s="28" t="s">
        <v>56</v>
      </c>
      <c r="M287" s="29" t="str">
        <f t="shared" si="20"/>
        <v>⚠ Check</v>
      </c>
      <c r="N287" s="42">
        <v>46193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57</v>
      </c>
      <c r="T287" s="27" t="s">
        <v>260</v>
      </c>
      <c r="U287" s="28" t="s">
        <v>56</v>
      </c>
      <c r="V287" s="29" t="str">
        <f t="shared" si="21"/>
        <v>⚠ Check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676</v>
      </c>
      <c r="C288" s="41" t="s">
        <v>677</v>
      </c>
      <c r="D288" s="39" t="s">
        <v>209</v>
      </c>
      <c r="E288" s="4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76</v>
      </c>
      <c r="L288" s="28" t="s">
        <v>56</v>
      </c>
      <c r="M288" s="29" t="str">
        <f t="shared" si="20"/>
        <v>⚠ Check</v>
      </c>
      <c r="N288" s="42">
        <v>46193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57</v>
      </c>
      <c r="T288" s="27" t="s">
        <v>76</v>
      </c>
      <c r="U288" s="28" t="s">
        <v>56</v>
      </c>
      <c r="V288" s="29" t="str">
        <f t="shared" si="21"/>
        <v>⚠ Check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678</v>
      </c>
      <c r="C289" s="25" t="s">
        <v>679</v>
      </c>
      <c r="D289" s="23" t="s">
        <v>209</v>
      </c>
      <c r="E289" s="42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46193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680</v>
      </c>
      <c r="C290" s="41" t="s">
        <v>681</v>
      </c>
      <c r="D290" s="39" t="s">
        <v>209</v>
      </c>
      <c r="E290" s="42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682</v>
      </c>
      <c r="L290" s="28" t="s">
        <v>56</v>
      </c>
      <c r="M290" s="29" t="str">
        <f t="shared" si="20"/>
        <v>⚠ Check</v>
      </c>
      <c r="N290" s="42">
        <v>46193</v>
      </c>
      <c r="O290" s="26" t="s">
        <v>55</v>
      </c>
      <c r="P290" s="26" t="s">
        <v>57</v>
      </c>
      <c r="Q290" s="26" t="s">
        <v>56</v>
      </c>
      <c r="R290" s="26" t="s">
        <v>61</v>
      </c>
      <c r="S290" s="26" t="s">
        <v>57</v>
      </c>
      <c r="T290" s="27"/>
      <c r="U290" s="28" t="s">
        <v>57</v>
      </c>
      <c r="V290" s="29" t="str">
        <f t="shared" si="21"/>
        <v>❌ Disc</v>
      </c>
      <c r="W290" s="70">
        <v>46248</v>
      </c>
      <c r="X290" s="30" t="s">
        <v>60</v>
      </c>
      <c r="Y290" s="30" t="s">
        <v>57</v>
      </c>
      <c r="Z290" s="30" t="s">
        <v>56</v>
      </c>
      <c r="AA290" s="30" t="s">
        <v>61</v>
      </c>
      <c r="AB290" s="30" t="s">
        <v>57</v>
      </c>
      <c r="AC290" s="27"/>
      <c r="AD290" s="31" t="s">
        <v>57</v>
      </c>
      <c r="AE290" s="32" t="str">
        <f t="shared" si="22"/>
        <v>❌ Disc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683</v>
      </c>
      <c r="C291" s="25" t="s">
        <v>684</v>
      </c>
      <c r="D291" s="23" t="s">
        <v>209</v>
      </c>
      <c r="E291" s="42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260</v>
      </c>
      <c r="L291" s="28" t="s">
        <v>56</v>
      </c>
      <c r="M291" s="29" t="str">
        <f t="shared" si="20"/>
        <v>⚠ Check</v>
      </c>
      <c r="N291" s="42">
        <v>46193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57</v>
      </c>
      <c r="T291" s="27" t="s">
        <v>260</v>
      </c>
      <c r="U291" s="28" t="s">
        <v>56</v>
      </c>
      <c r="V291" s="29" t="str">
        <f t="shared" si="21"/>
        <v>⚠ Check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685</v>
      </c>
      <c r="C292" s="41" t="s">
        <v>686</v>
      </c>
      <c r="D292" s="39" t="s">
        <v>209</v>
      </c>
      <c r="E292" s="42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670</v>
      </c>
      <c r="L292" s="28" t="s">
        <v>56</v>
      </c>
      <c r="M292" s="29" t="str">
        <f t="shared" si="20"/>
        <v>⚠ Check</v>
      </c>
      <c r="N292" s="42">
        <v>46193</v>
      </c>
      <c r="O292" s="26" t="s">
        <v>55</v>
      </c>
      <c r="P292" s="26" t="s">
        <v>57</v>
      </c>
      <c r="Q292" s="26" t="s">
        <v>56</v>
      </c>
      <c r="R292" s="26" t="s">
        <v>61</v>
      </c>
      <c r="S292" s="26" t="s">
        <v>57</v>
      </c>
      <c r="T292" s="27"/>
      <c r="U292" s="28" t="s">
        <v>57</v>
      </c>
      <c r="V292" s="29" t="str">
        <f t="shared" si="21"/>
        <v>❌ Disc</v>
      </c>
      <c r="W292" s="70">
        <v>46248</v>
      </c>
      <c r="X292" s="30" t="s">
        <v>60</v>
      </c>
      <c r="Y292" s="30" t="s">
        <v>57</v>
      </c>
      <c r="Z292" s="30" t="s">
        <v>56</v>
      </c>
      <c r="AA292" s="30" t="s">
        <v>61</v>
      </c>
      <c r="AB292" s="30" t="s">
        <v>57</v>
      </c>
      <c r="AC292" s="27"/>
      <c r="AD292" s="31" t="s">
        <v>57</v>
      </c>
      <c r="AE292" s="32" t="str">
        <f t="shared" si="22"/>
        <v>❌ Disc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687</v>
      </c>
      <c r="C293" s="25" t="s">
        <v>688</v>
      </c>
      <c r="D293" s="23" t="s">
        <v>209</v>
      </c>
      <c r="E293" s="42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670</v>
      </c>
      <c r="L293" s="28" t="s">
        <v>56</v>
      </c>
      <c r="M293" s="29" t="str">
        <f t="shared" si="20"/>
        <v>⚠ Check</v>
      </c>
      <c r="N293" s="42">
        <v>46193</v>
      </c>
      <c r="O293" s="26" t="s">
        <v>55</v>
      </c>
      <c r="P293" s="26" t="s">
        <v>57</v>
      </c>
      <c r="Q293" s="26" t="s">
        <v>56</v>
      </c>
      <c r="R293" s="26" t="s">
        <v>61</v>
      </c>
      <c r="S293" s="26" t="s">
        <v>57</v>
      </c>
      <c r="T293" s="27"/>
      <c r="U293" s="28" t="s">
        <v>57</v>
      </c>
      <c r="V293" s="29" t="str">
        <f t="shared" si="21"/>
        <v>❌ Disc</v>
      </c>
      <c r="W293" s="70">
        <v>46248</v>
      </c>
      <c r="X293" s="30" t="s">
        <v>60</v>
      </c>
      <c r="Y293" s="30" t="s">
        <v>57</v>
      </c>
      <c r="Z293" s="30" t="s">
        <v>56</v>
      </c>
      <c r="AA293" s="30" t="s">
        <v>61</v>
      </c>
      <c r="AB293" s="30" t="s">
        <v>57</v>
      </c>
      <c r="AC293" s="27"/>
      <c r="AD293" s="31" t="s">
        <v>57</v>
      </c>
      <c r="AE293" s="32" t="str">
        <f t="shared" si="22"/>
        <v>❌ Disc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689</v>
      </c>
      <c r="C294" s="41" t="s">
        <v>690</v>
      </c>
      <c r="D294" s="39" t="s">
        <v>209</v>
      </c>
      <c r="E294" s="42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46193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691</v>
      </c>
      <c r="C295" s="25" t="s">
        <v>692</v>
      </c>
      <c r="D295" s="23" t="s">
        <v>209</v>
      </c>
      <c r="E295" s="42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42">
        <v>46193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56</v>
      </c>
      <c r="Z295" s="30" t="s">
        <v>57</v>
      </c>
      <c r="AA295" s="30" t="s">
        <v>58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693</v>
      </c>
      <c r="C296" s="41" t="s">
        <v>694</v>
      </c>
      <c r="D296" s="39" t="s">
        <v>209</v>
      </c>
      <c r="E296" s="42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649</v>
      </c>
      <c r="L296" s="28" t="s">
        <v>56</v>
      </c>
      <c r="M296" s="29" t="str">
        <f t="shared" si="20"/>
        <v>⚠ Check</v>
      </c>
      <c r="N296" s="42">
        <v>46193</v>
      </c>
      <c r="O296" s="26" t="s">
        <v>55</v>
      </c>
      <c r="P296" s="26" t="s">
        <v>57</v>
      </c>
      <c r="Q296" s="26" t="s">
        <v>56</v>
      </c>
      <c r="R296" s="26" t="s">
        <v>61</v>
      </c>
      <c r="S296" s="26" t="s">
        <v>57</v>
      </c>
      <c r="T296" s="27"/>
      <c r="U296" s="28" t="s">
        <v>57</v>
      </c>
      <c r="V296" s="29" t="str">
        <f t="shared" si="21"/>
        <v>❌ Disc</v>
      </c>
      <c r="W296" s="70">
        <v>46248</v>
      </c>
      <c r="X296" s="30" t="s">
        <v>60</v>
      </c>
      <c r="Y296" s="30" t="s">
        <v>57</v>
      </c>
      <c r="Z296" s="30" t="s">
        <v>56</v>
      </c>
      <c r="AA296" s="30" t="s">
        <v>61</v>
      </c>
      <c r="AB296" s="30" t="s">
        <v>57</v>
      </c>
      <c r="AC296" s="27"/>
      <c r="AD296" s="31" t="s">
        <v>57</v>
      </c>
      <c r="AE296" s="32" t="str">
        <f t="shared" si="22"/>
        <v>❌ Disc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</sheetData>
  <autoFilter ref="A4:AW296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83" priority="84">
      <formula>MOD(ROW(),2)=0</formula>
    </cfRule>
  </conditionalFormatting>
  <conditionalFormatting sqref="G5:G296">
    <cfRule type="expression" dxfId="682" priority="43">
      <formula>G5="Yes"</formula>
    </cfRule>
    <cfRule type="expression" dxfId="681" priority="44">
      <formula>G5="No"</formula>
    </cfRule>
  </conditionalFormatting>
  <conditionalFormatting sqref="H5:H296">
    <cfRule type="expression" dxfId="680" priority="45">
      <formula>H5="Yes"</formula>
    </cfRule>
  </conditionalFormatting>
  <conditionalFormatting sqref="J5:J296">
    <cfRule type="expression" dxfId="679" priority="46">
      <formula>J5="Yes"</formula>
    </cfRule>
    <cfRule type="expression" dxfId="678" priority="47">
      <formula>J5="No"</formula>
    </cfRule>
  </conditionalFormatting>
  <conditionalFormatting sqref="M5:M296">
    <cfRule type="expression" dxfId="677" priority="40">
      <formula>M5="❌ Disc"</formula>
    </cfRule>
    <cfRule type="expression" dxfId="676" priority="39">
      <formula>M5="✓ OK"</formula>
    </cfRule>
    <cfRule type="expression" dxfId="675" priority="41">
      <formula>M5="⚠ Missing"</formula>
    </cfRule>
    <cfRule type="expression" dxfId="674" priority="42">
      <formula>M5="⚠ Check"</formula>
    </cfRule>
  </conditionalFormatting>
  <conditionalFormatting sqref="P5:P296">
    <cfRule type="expression" dxfId="673" priority="5">
      <formula>P5="Yes"</formula>
    </cfRule>
    <cfRule type="expression" dxfId="672" priority="6">
      <formula>P5="No"</formula>
    </cfRule>
  </conditionalFormatting>
  <conditionalFormatting sqref="Q5:Q296">
    <cfRule type="expression" dxfId="671" priority="7">
      <formula>Q5="Yes"</formula>
    </cfRule>
  </conditionalFormatting>
  <conditionalFormatting sqref="S5:S296">
    <cfRule type="expression" dxfId="670" priority="8">
      <formula>S5="Yes"</formula>
    </cfRule>
    <cfRule type="expression" dxfId="669" priority="9">
      <formula>S5="No"</formula>
    </cfRule>
  </conditionalFormatting>
  <conditionalFormatting sqref="V5:V296">
    <cfRule type="expression" dxfId="668" priority="2">
      <formula>V5="❌ Disc"</formula>
    </cfRule>
    <cfRule type="expression" dxfId="667" priority="3">
      <formula>V5="⚠ Missing"</formula>
    </cfRule>
    <cfRule type="expression" dxfId="666" priority="4">
      <formula>V5="⚠ Check"</formula>
    </cfRule>
    <cfRule type="expression" dxfId="665" priority="1">
      <formula>V5="✓ OK"</formula>
    </cfRule>
  </conditionalFormatting>
  <conditionalFormatting sqref="Y5:Y296">
    <cfRule type="expression" dxfId="664" priority="62">
      <formula>Y5="No"</formula>
    </cfRule>
    <cfRule type="expression" dxfId="663" priority="61">
      <formula>Y5="Yes"</formula>
    </cfRule>
  </conditionalFormatting>
  <conditionalFormatting sqref="Z5:Z296">
    <cfRule type="expression" dxfId="662" priority="63">
      <formula>Z5="Yes"</formula>
    </cfRule>
  </conditionalFormatting>
  <conditionalFormatting sqref="AB5:AB296">
    <cfRule type="expression" dxfId="661" priority="64">
      <formula>AB5="Yes"</formula>
    </cfRule>
    <cfRule type="expression" dxfId="660" priority="65">
      <formula>AB5="No"</formula>
    </cfRule>
  </conditionalFormatting>
  <conditionalFormatting sqref="AE5:AE296">
    <cfRule type="expression" dxfId="659" priority="58">
      <formula>AE5="❌ Disc"</formula>
    </cfRule>
    <cfRule type="expression" dxfId="658" priority="59">
      <formula>AE5="⚠ Missing"</formula>
    </cfRule>
    <cfRule type="expression" dxfId="657" priority="60">
      <formula>AE5="⚠ Check"</formula>
    </cfRule>
    <cfRule type="expression" dxfId="656" priority="57">
      <formula>AE5="✓ OK"</formula>
    </cfRule>
  </conditionalFormatting>
  <conditionalFormatting sqref="AH5:AH296">
    <cfRule type="expression" dxfId="655" priority="70">
      <formula>AH5="Yes"</formula>
    </cfRule>
    <cfRule type="expression" dxfId="654" priority="71">
      <formula>AH5="No"</formula>
    </cfRule>
  </conditionalFormatting>
  <conditionalFormatting sqref="AI5:AI296">
    <cfRule type="expression" dxfId="653" priority="72">
      <formula>AI5="Yes"</formula>
    </cfRule>
  </conditionalFormatting>
  <conditionalFormatting sqref="AK5:AK296">
    <cfRule type="expression" dxfId="652" priority="73">
      <formula>AK5="Yes"</formula>
    </cfRule>
    <cfRule type="expression" dxfId="651" priority="74">
      <formula>AK5="No"</formula>
    </cfRule>
  </conditionalFormatting>
  <conditionalFormatting sqref="AN5:AN296">
    <cfRule type="expression" dxfId="650" priority="67">
      <formula>AN5="❌ Disc"</formula>
    </cfRule>
    <cfRule type="expression" dxfId="649" priority="68">
      <formula>AN5="⚠ Missing"</formula>
    </cfRule>
    <cfRule type="expression" dxfId="648" priority="69">
      <formula>AN5="⚠ Check"</formula>
    </cfRule>
    <cfRule type="expression" dxfId="647" priority="66">
      <formula>AN5="✓ OK"</formula>
    </cfRule>
  </conditionalFormatting>
  <conditionalFormatting sqref="AQ5:AQ296">
    <cfRule type="expression" dxfId="646" priority="80">
      <formula>AQ5="No"</formula>
    </cfRule>
    <cfRule type="expression" dxfId="645" priority="79">
      <formula>AQ5="Yes"</formula>
    </cfRule>
  </conditionalFormatting>
  <conditionalFormatting sqref="AR5:AR296">
    <cfRule type="expression" dxfId="644" priority="81">
      <formula>AR5="Yes"</formula>
    </cfRule>
  </conditionalFormatting>
  <conditionalFormatting sqref="AT5:AT296">
    <cfRule type="expression" dxfId="643" priority="82">
      <formula>AT5="Yes"</formula>
    </cfRule>
    <cfRule type="expression" dxfId="642" priority="83">
      <formula>AT5="No"</formula>
    </cfRule>
  </conditionalFormatting>
  <conditionalFormatting sqref="AW5:AW296">
    <cfRule type="expression" dxfId="641" priority="75">
      <formula>AW5="✓ OK"</formula>
    </cfRule>
    <cfRule type="expression" dxfId="640" priority="76">
      <formula>AW5="❌ Disc"</formula>
    </cfRule>
    <cfRule type="expression" dxfId="639" priority="77">
      <formula>AW5="⚠ Missing"</formula>
    </cfRule>
    <cfRule type="expression" dxfId="638" priority="78">
      <formula>AW5="⚠ Check"</formula>
    </cfRule>
  </conditionalFormatting>
  <dataValidations count="2">
    <dataValidation type="list" allowBlank="1" sqref="G5:H296 J5:J296 P5:Q296 S5:S296 AT5:AT296 Y5:Z296 AH5:AI296 AK5:AK296 AQ5:AR296 AB5:AB296" xr:uid="{00000000-0002-0000-0100-000000000000}">
      <formula1>"Yes,No"</formula1>
    </dataValidation>
    <dataValidation type="list" allowBlank="1" sqref="I5:I296 R5:R296 AA5:AA296 AJ5:AJ296 AS5:AS296" xr:uid="{00000000-0002-0000-01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AB5" sqref="AB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695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696</v>
      </c>
      <c r="C5" s="25" t="s">
        <v>697</v>
      </c>
      <c r="D5" s="23" t="s">
        <v>698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699</v>
      </c>
      <c r="C6" s="41" t="s">
        <v>700</v>
      </c>
      <c r="D6" s="39" t="s">
        <v>698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701</v>
      </c>
      <c r="C7" s="25" t="s">
        <v>702</v>
      </c>
      <c r="D7" s="23" t="s">
        <v>698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703</v>
      </c>
      <c r="C8" s="41" t="s">
        <v>704</v>
      </c>
      <c r="D8" s="39" t="s">
        <v>698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705</v>
      </c>
      <c r="C9" s="25" t="s">
        <v>706</v>
      </c>
      <c r="D9" s="23" t="s">
        <v>698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707</v>
      </c>
      <c r="C10" s="41" t="s">
        <v>708</v>
      </c>
      <c r="D10" s="39" t="s">
        <v>698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709</v>
      </c>
      <c r="C11" s="25" t="s">
        <v>710</v>
      </c>
      <c r="D11" s="23" t="s">
        <v>698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711</v>
      </c>
      <c r="C12" s="41" t="s">
        <v>712</v>
      </c>
      <c r="D12" s="39" t="s">
        <v>698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713</v>
      </c>
      <c r="C13" s="25" t="s">
        <v>714</v>
      </c>
      <c r="D13" s="23" t="s">
        <v>698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715</v>
      </c>
      <c r="C14" s="41" t="s">
        <v>716</v>
      </c>
      <c r="D14" s="39" t="s">
        <v>698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717</v>
      </c>
      <c r="C15" s="25" t="s">
        <v>718</v>
      </c>
      <c r="D15" s="23" t="s">
        <v>698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719</v>
      </c>
      <c r="C16" s="41" t="s">
        <v>720</v>
      </c>
      <c r="D16" s="39" t="s">
        <v>698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721</v>
      </c>
      <c r="C17" s="25" t="s">
        <v>722</v>
      </c>
      <c r="D17" s="23" t="s">
        <v>698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723</v>
      </c>
      <c r="C18" s="41" t="s">
        <v>724</v>
      </c>
      <c r="D18" s="39" t="s">
        <v>698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725</v>
      </c>
      <c r="C19" s="25" t="s">
        <v>726</v>
      </c>
      <c r="D19" s="23" t="s">
        <v>698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727</v>
      </c>
      <c r="C20" s="41" t="s">
        <v>728</v>
      </c>
      <c r="D20" s="39" t="s">
        <v>698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729</v>
      </c>
      <c r="C21" s="25" t="s">
        <v>730</v>
      </c>
      <c r="D21" s="23" t="s">
        <v>698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731</v>
      </c>
      <c r="C22" s="41" t="s">
        <v>732</v>
      </c>
      <c r="D22" s="39" t="s">
        <v>698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733</v>
      </c>
      <c r="C23" s="25" t="s">
        <v>734</v>
      </c>
      <c r="D23" s="23" t="s">
        <v>698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735</v>
      </c>
      <c r="C24" s="41" t="s">
        <v>736</v>
      </c>
      <c r="D24" s="39" t="s">
        <v>698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737</v>
      </c>
      <c r="C25" s="25" t="s">
        <v>738</v>
      </c>
      <c r="D25" s="23" t="s">
        <v>698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739</v>
      </c>
      <c r="C26" s="41" t="s">
        <v>740</v>
      </c>
      <c r="D26" s="39" t="s">
        <v>698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741</v>
      </c>
      <c r="C27" s="25" t="s">
        <v>742</v>
      </c>
      <c r="D27" s="23" t="s">
        <v>698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743</v>
      </c>
      <c r="C28" s="41" t="s">
        <v>744</v>
      </c>
      <c r="D28" s="39" t="s">
        <v>698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745</v>
      </c>
      <c r="C29" s="25" t="s">
        <v>746</v>
      </c>
      <c r="D29" s="23" t="s">
        <v>747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748</v>
      </c>
      <c r="L29" s="28" t="s">
        <v>56</v>
      </c>
      <c r="M29" s="29" t="str">
        <f t="shared" si="0"/>
        <v>⚠ Check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57</v>
      </c>
      <c r="T29" s="27" t="s">
        <v>748</v>
      </c>
      <c r="U29" s="28" t="s">
        <v>56</v>
      </c>
      <c r="V29" s="29" t="str">
        <f t="shared" si="1"/>
        <v>⚠ Check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749</v>
      </c>
      <c r="C30" s="41" t="s">
        <v>750</v>
      </c>
      <c r="D30" s="39" t="s">
        <v>747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751</v>
      </c>
      <c r="C31" s="25" t="s">
        <v>752</v>
      </c>
      <c r="D31" s="23" t="s">
        <v>747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753</v>
      </c>
      <c r="C32" s="41" t="s">
        <v>754</v>
      </c>
      <c r="D32" s="39" t="s">
        <v>747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755</v>
      </c>
      <c r="C33" s="25" t="s">
        <v>756</v>
      </c>
      <c r="D33" s="23" t="s">
        <v>747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757</v>
      </c>
      <c r="C34" s="41" t="s">
        <v>758</v>
      </c>
      <c r="D34" s="39" t="s">
        <v>747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759</v>
      </c>
      <c r="C35" s="25" t="s">
        <v>760</v>
      </c>
      <c r="D35" s="23" t="s">
        <v>747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761</v>
      </c>
      <c r="C36" s="41" t="s">
        <v>762</v>
      </c>
      <c r="D36" s="39" t="s">
        <v>747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763</v>
      </c>
      <c r="C37" s="25" t="s">
        <v>764</v>
      </c>
      <c r="D37" s="23" t="s">
        <v>747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7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67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765</v>
      </c>
      <c r="C38" s="41" t="s">
        <v>766</v>
      </c>
      <c r="D38" s="39" t="s">
        <v>747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5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 t="shared" si="6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89</v>
      </c>
      <c r="AB38" s="30" t="s">
        <v>57</v>
      </c>
      <c r="AC38" s="27" t="s">
        <v>90</v>
      </c>
      <c r="AD38" s="31" t="s">
        <v>56</v>
      </c>
      <c r="AE38" s="32" t="str">
        <f t="shared" si="7"/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767</v>
      </c>
      <c r="C39" s="25" t="s">
        <v>768</v>
      </c>
      <c r="D39" s="23" t="s">
        <v>747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748</v>
      </c>
      <c r="L39" s="28" t="s">
        <v>56</v>
      </c>
      <c r="M39" s="29" t="str">
        <f t="shared" si="5"/>
        <v>⚠ Check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748</v>
      </c>
      <c r="U39" s="28" t="s">
        <v>56</v>
      </c>
      <c r="V39" s="29" t="str">
        <f t="shared" si="6"/>
        <v>⚠ Check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769</v>
      </c>
      <c r="C40" s="41" t="s">
        <v>770</v>
      </c>
      <c r="D40" s="39" t="s">
        <v>747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771</v>
      </c>
      <c r="C41" s="25" t="s">
        <v>772</v>
      </c>
      <c r="D41" s="23" t="s">
        <v>747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773</v>
      </c>
      <c r="C42" s="41" t="s">
        <v>774</v>
      </c>
      <c r="D42" s="39" t="s">
        <v>747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775</v>
      </c>
      <c r="C43" s="25" t="s">
        <v>776</v>
      </c>
      <c r="D43" s="23" t="s">
        <v>747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777</v>
      </c>
      <c r="C44" s="41" t="s">
        <v>778</v>
      </c>
      <c r="D44" s="39" t="s">
        <v>747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779</v>
      </c>
      <c r="C45" s="25" t="s">
        <v>780</v>
      </c>
      <c r="D45" s="23" t="s">
        <v>747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781</v>
      </c>
      <c r="C46" s="41" t="s">
        <v>782</v>
      </c>
      <c r="D46" s="39" t="s">
        <v>747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783</v>
      </c>
      <c r="C47" s="25" t="s">
        <v>784</v>
      </c>
      <c r="D47" s="23" t="s">
        <v>747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748</v>
      </c>
      <c r="L47" s="28" t="s">
        <v>56</v>
      </c>
      <c r="M47" s="29" t="str">
        <f t="shared" si="5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748</v>
      </c>
      <c r="U47" s="28" t="s">
        <v>56</v>
      </c>
      <c r="V47" s="29" t="str">
        <f t="shared" si="6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785</v>
      </c>
      <c r="C48" s="41" t="s">
        <v>786</v>
      </c>
      <c r="D48" s="39" t="s">
        <v>747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787</v>
      </c>
      <c r="C49" s="25" t="s">
        <v>788</v>
      </c>
      <c r="D49" s="23" t="s">
        <v>747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748</v>
      </c>
      <c r="L49" s="28" t="s">
        <v>56</v>
      </c>
      <c r="M49" s="29" t="str">
        <f t="shared" si="5"/>
        <v>⚠ Check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57</v>
      </c>
      <c r="T49" s="27" t="s">
        <v>748</v>
      </c>
      <c r="U49" s="28" t="s">
        <v>56</v>
      </c>
      <c r="V49" s="29" t="str">
        <f t="shared" si="6"/>
        <v>⚠ Check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789</v>
      </c>
      <c r="C50" s="41" t="s">
        <v>790</v>
      </c>
      <c r="D50" s="39" t="s">
        <v>747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791</v>
      </c>
      <c r="C51" s="25" t="s">
        <v>792</v>
      </c>
      <c r="D51" s="23" t="s">
        <v>747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793</v>
      </c>
      <c r="C52" s="41" t="s">
        <v>794</v>
      </c>
      <c r="D52" s="39" t="s">
        <v>747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795</v>
      </c>
      <c r="C53" s="25" t="s">
        <v>796</v>
      </c>
      <c r="D53" s="23" t="s">
        <v>747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748</v>
      </c>
      <c r="L53" s="28" t="s">
        <v>56</v>
      </c>
      <c r="M53" s="29" t="str">
        <f t="shared" si="5"/>
        <v>⚠ Check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57</v>
      </c>
      <c r="T53" s="27" t="s">
        <v>748</v>
      </c>
      <c r="U53" s="28" t="s">
        <v>56</v>
      </c>
      <c r="V53" s="29" t="str">
        <f t="shared" si="6"/>
        <v>⚠ Check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797</v>
      </c>
      <c r="C54" s="41" t="s">
        <v>798</v>
      </c>
      <c r="D54" s="39" t="s">
        <v>747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799</v>
      </c>
      <c r="C55" s="25" t="s">
        <v>800</v>
      </c>
      <c r="D55" s="23" t="s">
        <v>747</v>
      </c>
      <c r="E55" s="42">
        <v>46128</v>
      </c>
      <c r="F55" s="26" t="s">
        <v>55</v>
      </c>
      <c r="G55" s="26" t="s">
        <v>57</v>
      </c>
      <c r="H55" s="26" t="s">
        <v>57</v>
      </c>
      <c r="I55" s="26" t="s">
        <v>89</v>
      </c>
      <c r="J55" s="26" t="s">
        <v>57</v>
      </c>
      <c r="K55" s="27" t="s">
        <v>90</v>
      </c>
      <c r="L55" s="28" t="s">
        <v>56</v>
      </c>
      <c r="M55" s="29" t="str">
        <f t="shared" si="5"/>
        <v>⚠ Missing</v>
      </c>
      <c r="N55" s="42">
        <v>46193</v>
      </c>
      <c r="O55" s="26" t="s">
        <v>55</v>
      </c>
      <c r="P55" s="26" t="s">
        <v>57</v>
      </c>
      <c r="Q55" s="26" t="s">
        <v>57</v>
      </c>
      <c r="R55" s="26" t="s">
        <v>89</v>
      </c>
      <c r="S55" s="26" t="s">
        <v>57</v>
      </c>
      <c r="T55" s="27" t="s">
        <v>90</v>
      </c>
      <c r="U55" s="28" t="s">
        <v>56</v>
      </c>
      <c r="V55" s="29" t="str">
        <f t="shared" si="6"/>
        <v>⚠ Missing</v>
      </c>
      <c r="W55" s="70">
        <v>46248</v>
      </c>
      <c r="X55" s="30" t="s">
        <v>55</v>
      </c>
      <c r="Y55" s="30" t="s">
        <v>57</v>
      </c>
      <c r="Z55" s="30" t="s">
        <v>57</v>
      </c>
      <c r="AA55" s="30" t="s">
        <v>89</v>
      </c>
      <c r="AB55" s="30" t="s">
        <v>57</v>
      </c>
      <c r="AC55" s="27" t="s">
        <v>90</v>
      </c>
      <c r="AD55" s="31" t="s">
        <v>56</v>
      </c>
      <c r="AE55" s="32" t="str">
        <f t="shared" si="7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801</v>
      </c>
      <c r="C56" s="41" t="s">
        <v>802</v>
      </c>
      <c r="D56" s="39" t="s">
        <v>747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803</v>
      </c>
      <c r="C57" s="25" t="s">
        <v>804</v>
      </c>
      <c r="D57" s="23" t="s">
        <v>747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805</v>
      </c>
      <c r="C58" s="41" t="s">
        <v>806</v>
      </c>
      <c r="D58" s="39" t="s">
        <v>747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807</v>
      </c>
      <c r="C59" s="25" t="s">
        <v>808</v>
      </c>
      <c r="D59" s="23" t="s">
        <v>747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 t="shared" si="5"/>
        <v>⚠ Check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/>
      <c r="U59" s="28" t="s">
        <v>57</v>
      </c>
      <c r="V59" s="29" t="str">
        <f t="shared" si="6"/>
        <v>⚠ Check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57</v>
      </c>
      <c r="AC59" s="27"/>
      <c r="AD59" s="31" t="s">
        <v>57</v>
      </c>
      <c r="AE59" s="32" t="str">
        <f t="shared" si="7"/>
        <v>⚠ Check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809</v>
      </c>
      <c r="C60" s="41" t="s">
        <v>810</v>
      </c>
      <c r="D60" s="39" t="s">
        <v>747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811</v>
      </c>
      <c r="C61" s="25" t="s">
        <v>812</v>
      </c>
      <c r="D61" s="23" t="s">
        <v>747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813</v>
      </c>
      <c r="C62" s="41" t="s">
        <v>814</v>
      </c>
      <c r="D62" s="39" t="s">
        <v>747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815</v>
      </c>
      <c r="C63" s="25" t="s">
        <v>816</v>
      </c>
      <c r="D63" s="23" t="s">
        <v>747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817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817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818</v>
      </c>
      <c r="C64" s="41" t="s">
        <v>819</v>
      </c>
      <c r="D64" s="39" t="s">
        <v>747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817</v>
      </c>
      <c r="L64" s="28" t="s">
        <v>56</v>
      </c>
      <c r="M64" s="29" t="str">
        <f t="shared" si="5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817</v>
      </c>
      <c r="U64" s="28" t="s">
        <v>56</v>
      </c>
      <c r="V64" s="29" t="str">
        <f t="shared" si="6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820</v>
      </c>
      <c r="C65" s="25" t="s">
        <v>821</v>
      </c>
      <c r="D65" s="23" t="s">
        <v>747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822</v>
      </c>
      <c r="C66" s="41" t="s">
        <v>823</v>
      </c>
      <c r="D66" s="39" t="s">
        <v>747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824</v>
      </c>
      <c r="C67" s="25" t="s">
        <v>825</v>
      </c>
      <c r="D67" s="23" t="s">
        <v>747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37" priority="15">
      <formula>G5="Yes"</formula>
    </cfRule>
    <cfRule type="expression" dxfId="636" priority="16">
      <formula>G5="No"</formula>
    </cfRule>
  </conditionalFormatting>
  <conditionalFormatting sqref="H5:H67">
    <cfRule type="expression" dxfId="635" priority="17">
      <formula>H5="Yes"</formula>
    </cfRule>
  </conditionalFormatting>
  <conditionalFormatting sqref="J5:J67">
    <cfRule type="expression" dxfId="634" priority="18">
      <formula>J5="Yes"</formula>
    </cfRule>
    <cfRule type="expression" dxfId="633" priority="19">
      <formula>J5="No"</formula>
    </cfRule>
  </conditionalFormatting>
  <conditionalFormatting sqref="M5:M67">
    <cfRule type="expression" dxfId="632" priority="13">
      <formula>M5="⚠ Missing"</formula>
    </cfRule>
    <cfRule type="expression" dxfId="631" priority="11">
      <formula>M5="✓ OK"</formula>
    </cfRule>
    <cfRule type="expression" dxfId="630" priority="12">
      <formula>M5="❌ Disc"</formula>
    </cfRule>
    <cfRule type="expression" dxfId="629" priority="14">
      <formula>M5="⚠ Check"</formula>
    </cfRule>
  </conditionalFormatting>
  <conditionalFormatting sqref="N5:N67">
    <cfRule type="expression" dxfId="628" priority="1">
      <formula>MOD(ROW(),2)=0</formula>
    </cfRule>
  </conditionalFormatting>
  <conditionalFormatting sqref="A5:M67 O5:AW67">
    <cfRule type="expression" dxfId="627" priority="56">
      <formula>MOD(ROW(),2)=0</formula>
    </cfRule>
  </conditionalFormatting>
  <conditionalFormatting sqref="P5:P67">
    <cfRule type="expression" dxfId="626" priority="6">
      <formula>P5="Yes"</formula>
    </cfRule>
    <cfRule type="expression" dxfId="625" priority="7">
      <formula>P5="No"</formula>
    </cfRule>
    <cfRule type="expression" dxfId="624" priority="24">
      <formula>P5="Yes"</formula>
    </cfRule>
    <cfRule type="expression" dxfId="623" priority="25">
      <formula>P5="No"</formula>
    </cfRule>
  </conditionalFormatting>
  <conditionalFormatting sqref="Q5:Q67">
    <cfRule type="expression" dxfId="622" priority="8">
      <formula>Q5="Yes"</formula>
    </cfRule>
  </conditionalFormatting>
  <conditionalFormatting sqref="S5:S67">
    <cfRule type="expression" dxfId="621" priority="9">
      <formula>S5="Yes"</formula>
    </cfRule>
    <cfRule type="expression" dxfId="620" priority="10">
      <formula>S5="No"</formula>
    </cfRule>
    <cfRule type="expression" dxfId="619" priority="27">
      <formula>S5="Yes"</formula>
    </cfRule>
    <cfRule type="expression" dxfId="618" priority="28">
      <formula>S5="No"</formula>
    </cfRule>
  </conditionalFormatting>
  <conditionalFormatting sqref="V5:V67">
    <cfRule type="expression" dxfId="617" priority="2">
      <formula>V5="✓ OK"</formula>
    </cfRule>
    <cfRule type="expression" dxfId="616" priority="3">
      <formula>V5="❌ Disc"</formula>
    </cfRule>
    <cfRule type="expression" dxfId="615" priority="4">
      <formula>V5="⚠ Missing"</formula>
    </cfRule>
    <cfRule type="expression" dxfId="614" priority="5">
      <formula>V5="⚠ Check"</formula>
    </cfRule>
    <cfRule type="expression" dxfId="613" priority="20">
      <formula>V5="✓ OK"</formula>
    </cfRule>
    <cfRule type="expression" dxfId="612" priority="21">
      <formula>V5="❌ Disc"</formula>
    </cfRule>
    <cfRule type="expression" dxfId="611" priority="22">
      <formula>V5="⚠ Missing"</formula>
    </cfRule>
    <cfRule type="expression" dxfId="610" priority="23">
      <formula>V5="⚠ Check"</formula>
    </cfRule>
  </conditionalFormatting>
  <conditionalFormatting sqref="Y5:Y67">
    <cfRule type="expression" dxfId="609" priority="33">
      <formula>Y5="Yes"</formula>
    </cfRule>
    <cfRule type="expression" dxfId="608" priority="34">
      <formula>Y5="No"</formula>
    </cfRule>
  </conditionalFormatting>
  <conditionalFormatting sqref="Z5:Z67">
    <cfRule type="expression" dxfId="607" priority="35">
      <formula>Z5="Yes"</formula>
    </cfRule>
  </conditionalFormatting>
  <conditionalFormatting sqref="AB5:AB67">
    <cfRule type="expression" dxfId="606" priority="36">
      <formula>AB5="Yes"</formula>
    </cfRule>
    <cfRule type="expression" dxfId="605" priority="37">
      <formula>AB5="No"</formula>
    </cfRule>
  </conditionalFormatting>
  <conditionalFormatting sqref="AE5:AE67">
    <cfRule type="expression" dxfId="604" priority="30">
      <formula>AE5="❌ Disc"</formula>
    </cfRule>
    <cfRule type="expression" dxfId="603" priority="31">
      <formula>AE5="⚠ Missing"</formula>
    </cfRule>
    <cfRule type="expression" dxfId="602" priority="29">
      <formula>AE5="✓ OK"</formula>
    </cfRule>
    <cfRule type="expression" dxfId="601" priority="32">
      <formula>AE5="⚠ Check"</formula>
    </cfRule>
  </conditionalFormatting>
  <conditionalFormatting sqref="AH5:AH67">
    <cfRule type="expression" dxfId="600" priority="42">
      <formula>AH5="Yes"</formula>
    </cfRule>
    <cfRule type="expression" dxfId="599" priority="43">
      <formula>AH5="No"</formula>
    </cfRule>
  </conditionalFormatting>
  <conditionalFormatting sqref="AI5:AI67">
    <cfRule type="expression" dxfId="598" priority="44">
      <formula>AI5="Yes"</formula>
    </cfRule>
  </conditionalFormatting>
  <conditionalFormatting sqref="AK5:AK67">
    <cfRule type="expression" dxfId="597" priority="45">
      <formula>AK5="Yes"</formula>
    </cfRule>
    <cfRule type="expression" dxfId="596" priority="46">
      <formula>AK5="No"</formula>
    </cfRule>
  </conditionalFormatting>
  <conditionalFormatting sqref="AN5:AN67">
    <cfRule type="expression" dxfId="595" priority="38">
      <formula>AN5="✓ OK"</formula>
    </cfRule>
    <cfRule type="expression" dxfId="594" priority="39">
      <formula>AN5="❌ Disc"</formula>
    </cfRule>
    <cfRule type="expression" dxfId="593" priority="40">
      <formula>AN5="⚠ Missing"</formula>
    </cfRule>
    <cfRule type="expression" dxfId="592" priority="41">
      <formula>AN5="⚠ Check"</formula>
    </cfRule>
  </conditionalFormatting>
  <conditionalFormatting sqref="AQ5:AQ67">
    <cfRule type="expression" dxfId="591" priority="51">
      <formula>AQ5="Yes"</formula>
    </cfRule>
    <cfRule type="expression" dxfId="590" priority="52">
      <formula>AQ5="No"</formula>
    </cfRule>
  </conditionalFormatting>
  <conditionalFormatting sqref="AR5:AR67">
    <cfRule type="expression" dxfId="589" priority="53">
      <formula>AR5="Yes"</formula>
    </cfRule>
  </conditionalFormatting>
  <conditionalFormatting sqref="AT5:AT67">
    <cfRule type="expression" dxfId="588" priority="54">
      <formula>AT5="Yes"</formula>
    </cfRule>
    <cfRule type="expression" dxfId="587" priority="55">
      <formula>AT5="No"</formula>
    </cfRule>
  </conditionalFormatting>
  <conditionalFormatting sqref="AW5:AW67">
    <cfRule type="expression" dxfId="586" priority="47">
      <formula>AW5="✓ OK"</formula>
    </cfRule>
    <cfRule type="expression" dxfId="585" priority="48">
      <formula>AW5="❌ Disc"</formula>
    </cfRule>
    <cfRule type="expression" dxfId="584" priority="49">
      <formula>AW5="⚠ Missing"</formula>
    </cfRule>
    <cfRule type="expression" dxfId="583" priority="50">
      <formula>AW5="⚠ Check"</formula>
    </cfRule>
  </conditionalFormatting>
  <dataValidations count="2">
    <dataValidation type="list" allowBlank="1" sqref="G5:H67 J5:J67 P5:Q67 S5:S67 AT5:AT67 Y5:Z67 AH5:AI67 AK5:AK67 AQ5:AR67 AB5:AB67" xr:uid="{00000000-0002-0000-0200-000000000000}">
      <formula1>"Yes,No"</formula1>
    </dataValidation>
    <dataValidation type="list" allowBlank="1" sqref="I5:I67 R5:R67 AA5:AA67 AJ5:AJ67 AS5:AS67" xr:uid="{00000000-0002-0000-02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AB4" sqref="AB4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826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827</v>
      </c>
      <c r="C5" s="25" t="s">
        <v>828</v>
      </c>
      <c r="D5" s="23" t="s">
        <v>829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183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183</v>
      </c>
      <c r="U5" s="28" t="s">
        <v>56</v>
      </c>
      <c r="V5" s="29" t="str">
        <f t="shared" ref="V5:V36" si="1"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57</v>
      </c>
      <c r="AC5" s="27" t="s">
        <v>183</v>
      </c>
      <c r="AD5" s="31" t="s">
        <v>56</v>
      </c>
      <c r="AE5" s="32" t="str">
        <f t="shared" ref="AE5:AE36" si="2">IF(W5="","",IF(Z5="Yes","❌ Disc",IF(Y5="No","⚠ Missing",IF(AB5="Yes","✓ OK","⚠ Check"))))</f>
        <v>⚠ Check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830</v>
      </c>
      <c r="C6" s="41" t="s">
        <v>831</v>
      </c>
      <c r="D6" s="39" t="s">
        <v>829</v>
      </c>
      <c r="E6" s="42">
        <v>46128</v>
      </c>
      <c r="F6" s="26" t="s">
        <v>55</v>
      </c>
      <c r="G6" s="44" t="s">
        <v>832</v>
      </c>
      <c r="H6" s="26" t="s">
        <v>57</v>
      </c>
      <c r="I6" s="44" t="s">
        <v>832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44" t="s">
        <v>832</v>
      </c>
      <c r="Q6" s="26" t="s">
        <v>57</v>
      </c>
      <c r="R6" s="44" t="s">
        <v>832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832</v>
      </c>
      <c r="Z6" s="30"/>
      <c r="AA6" s="30" t="s">
        <v>832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833</v>
      </c>
      <c r="C7" s="25" t="s">
        <v>834</v>
      </c>
      <c r="D7" s="23" t="s">
        <v>829</v>
      </c>
      <c r="E7" s="42">
        <v>46128</v>
      </c>
      <c r="F7" s="26" t="s">
        <v>55</v>
      </c>
      <c r="G7" s="26" t="s">
        <v>57</v>
      </c>
      <c r="H7" s="26" t="s">
        <v>57</v>
      </c>
      <c r="I7" s="26" t="s">
        <v>89</v>
      </c>
      <c r="J7" s="26" t="s">
        <v>57</v>
      </c>
      <c r="K7" s="27" t="s">
        <v>90</v>
      </c>
      <c r="L7" s="28" t="s">
        <v>56</v>
      </c>
      <c r="M7" s="29" t="str">
        <f t="shared" si="0"/>
        <v>⚠ Missing</v>
      </c>
      <c r="N7" s="42">
        <v>46193</v>
      </c>
      <c r="O7" s="26" t="s">
        <v>55</v>
      </c>
      <c r="P7" s="26" t="s">
        <v>57</v>
      </c>
      <c r="Q7" s="26" t="s">
        <v>57</v>
      </c>
      <c r="R7" s="26" t="s">
        <v>89</v>
      </c>
      <c r="S7" s="26" t="s">
        <v>57</v>
      </c>
      <c r="T7" s="27" t="s">
        <v>90</v>
      </c>
      <c r="U7" s="28" t="s">
        <v>56</v>
      </c>
      <c r="V7" s="29" t="str">
        <f t="shared" si="1"/>
        <v>⚠ Missing</v>
      </c>
      <c r="W7" s="70">
        <v>46248</v>
      </c>
      <c r="X7" s="30" t="s">
        <v>55</v>
      </c>
      <c r="Y7" s="30" t="s">
        <v>57</v>
      </c>
      <c r="Z7" s="30"/>
      <c r="AA7" s="30" t="s">
        <v>89</v>
      </c>
      <c r="AB7" s="30" t="s">
        <v>57</v>
      </c>
      <c r="AC7" s="27" t="s">
        <v>90</v>
      </c>
      <c r="AD7" s="31" t="s">
        <v>56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835</v>
      </c>
      <c r="C8" s="41" t="s">
        <v>836</v>
      </c>
      <c r="D8" s="39" t="s">
        <v>829</v>
      </c>
      <c r="E8" s="42">
        <v>46128</v>
      </c>
      <c r="F8" s="26" t="s">
        <v>55</v>
      </c>
      <c r="G8" s="26" t="s">
        <v>57</v>
      </c>
      <c r="H8" s="26" t="s">
        <v>57</v>
      </c>
      <c r="I8" s="26" t="s">
        <v>89</v>
      </c>
      <c r="J8" s="26" t="s">
        <v>57</v>
      </c>
      <c r="K8" s="27" t="s">
        <v>90</v>
      </c>
      <c r="L8" s="28" t="s">
        <v>56</v>
      </c>
      <c r="M8" s="29" t="str">
        <f t="shared" si="0"/>
        <v>⚠ Missing</v>
      </c>
      <c r="N8" s="42">
        <v>46193</v>
      </c>
      <c r="O8" s="26" t="s">
        <v>55</v>
      </c>
      <c r="P8" s="26" t="s">
        <v>57</v>
      </c>
      <c r="Q8" s="26" t="s">
        <v>57</v>
      </c>
      <c r="R8" s="26" t="s">
        <v>89</v>
      </c>
      <c r="S8" s="26" t="s">
        <v>57</v>
      </c>
      <c r="T8" s="27" t="s">
        <v>90</v>
      </c>
      <c r="U8" s="28" t="s">
        <v>56</v>
      </c>
      <c r="V8" s="29" t="str">
        <f t="shared" si="1"/>
        <v>⚠ Missing</v>
      </c>
      <c r="W8" s="70">
        <v>46248</v>
      </c>
      <c r="X8" s="30" t="s">
        <v>55</v>
      </c>
      <c r="Y8" s="30" t="s">
        <v>57</v>
      </c>
      <c r="Z8" s="30"/>
      <c r="AA8" s="30" t="s">
        <v>89</v>
      </c>
      <c r="AB8" s="30" t="s">
        <v>57</v>
      </c>
      <c r="AC8" s="27" t="s">
        <v>90</v>
      </c>
      <c r="AD8" s="31" t="s">
        <v>56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837</v>
      </c>
      <c r="C9" s="25" t="s">
        <v>838</v>
      </c>
      <c r="D9" s="23" t="s">
        <v>829</v>
      </c>
      <c r="E9" s="42">
        <v>46128</v>
      </c>
      <c r="F9" s="26" t="s">
        <v>55</v>
      </c>
      <c r="G9" s="44" t="s">
        <v>832</v>
      </c>
      <c r="H9" s="26" t="s">
        <v>57</v>
      </c>
      <c r="I9" s="44" t="s">
        <v>832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44" t="s">
        <v>832</v>
      </c>
      <c r="Q9" s="26" t="s">
        <v>57</v>
      </c>
      <c r="R9" s="44" t="s">
        <v>832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832</v>
      </c>
      <c r="Z9" s="30"/>
      <c r="AA9" s="30" t="s">
        <v>832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839</v>
      </c>
      <c r="C10" s="41" t="s">
        <v>840</v>
      </c>
      <c r="D10" s="39" t="s">
        <v>829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841</v>
      </c>
      <c r="C11" s="25" t="s">
        <v>842</v>
      </c>
      <c r="D11" s="23" t="s">
        <v>829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843</v>
      </c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843</v>
      </c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 t="s">
        <v>843</v>
      </c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844</v>
      </c>
      <c r="C12" s="41" t="s">
        <v>845</v>
      </c>
      <c r="D12" s="39" t="s">
        <v>829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846</v>
      </c>
      <c r="C13" s="25" t="s">
        <v>847</v>
      </c>
      <c r="D13" s="23" t="s">
        <v>829</v>
      </c>
      <c r="E13" s="42">
        <v>46128</v>
      </c>
      <c r="F13" s="26" t="s">
        <v>55</v>
      </c>
      <c r="G13" s="44" t="s">
        <v>832</v>
      </c>
      <c r="H13" s="26" t="s">
        <v>57</v>
      </c>
      <c r="I13" s="44" t="s">
        <v>832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44" t="s">
        <v>832</v>
      </c>
      <c r="Q13" s="26" t="s">
        <v>57</v>
      </c>
      <c r="R13" s="44" t="s">
        <v>832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832</v>
      </c>
      <c r="Z13" s="30"/>
      <c r="AA13" s="30" t="s">
        <v>832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848</v>
      </c>
      <c r="C14" s="41" t="s">
        <v>849</v>
      </c>
      <c r="D14" s="39" t="s">
        <v>829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850</v>
      </c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850</v>
      </c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 t="s">
        <v>850</v>
      </c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851</v>
      </c>
      <c r="C15" s="25" t="s">
        <v>852</v>
      </c>
      <c r="D15" s="23" t="s">
        <v>829</v>
      </c>
      <c r="E15" s="42">
        <v>46128</v>
      </c>
      <c r="F15" s="26" t="s">
        <v>55</v>
      </c>
      <c r="G15" s="44" t="s">
        <v>832</v>
      </c>
      <c r="H15" s="26" t="s">
        <v>57</v>
      </c>
      <c r="I15" s="44" t="s">
        <v>832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44" t="s">
        <v>832</v>
      </c>
      <c r="Q15" s="26" t="s">
        <v>57</v>
      </c>
      <c r="R15" s="44" t="s">
        <v>832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832</v>
      </c>
      <c r="Z15" s="30"/>
      <c r="AA15" s="30" t="s">
        <v>832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853</v>
      </c>
      <c r="C16" s="41" t="s">
        <v>854</v>
      </c>
      <c r="D16" s="39" t="s">
        <v>829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843</v>
      </c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843</v>
      </c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 t="s">
        <v>843</v>
      </c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855</v>
      </c>
      <c r="C17" s="25" t="s">
        <v>856</v>
      </c>
      <c r="D17" s="23" t="s">
        <v>829</v>
      </c>
      <c r="E17" s="42">
        <v>46128</v>
      </c>
      <c r="F17" s="26" t="s">
        <v>55</v>
      </c>
      <c r="G17" s="44" t="s">
        <v>832</v>
      </c>
      <c r="H17" s="26" t="s">
        <v>57</v>
      </c>
      <c r="I17" s="44" t="s">
        <v>832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44" t="s">
        <v>832</v>
      </c>
      <c r="Q17" s="26" t="s">
        <v>57</v>
      </c>
      <c r="R17" s="44" t="s">
        <v>832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832</v>
      </c>
      <c r="Z17" s="30"/>
      <c r="AA17" s="30" t="s">
        <v>832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857</v>
      </c>
      <c r="C18" s="41" t="s">
        <v>858</v>
      </c>
      <c r="D18" s="39" t="s">
        <v>829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859</v>
      </c>
      <c r="C19" s="25" t="s">
        <v>860</v>
      </c>
      <c r="D19" s="23" t="s">
        <v>829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861</v>
      </c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861</v>
      </c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 t="s">
        <v>861</v>
      </c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862</v>
      </c>
      <c r="C20" s="41" t="s">
        <v>863</v>
      </c>
      <c r="D20" s="39" t="s">
        <v>829</v>
      </c>
      <c r="E20" s="42">
        <v>46128</v>
      </c>
      <c r="F20" s="26" t="s">
        <v>55</v>
      </c>
      <c r="G20" s="44" t="s">
        <v>832</v>
      </c>
      <c r="H20" s="26" t="s">
        <v>57</v>
      </c>
      <c r="I20" s="44" t="s">
        <v>832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44" t="s">
        <v>832</v>
      </c>
      <c r="Q20" s="26" t="s">
        <v>57</v>
      </c>
      <c r="R20" s="44" t="s">
        <v>832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832</v>
      </c>
      <c r="Z20" s="30"/>
      <c r="AA20" s="30" t="s">
        <v>832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864</v>
      </c>
      <c r="C21" s="25" t="s">
        <v>865</v>
      </c>
      <c r="D21" s="23" t="s">
        <v>829</v>
      </c>
      <c r="E21" s="42">
        <v>46128</v>
      </c>
      <c r="F21" s="26" t="s">
        <v>55</v>
      </c>
      <c r="G21" s="44" t="s">
        <v>832</v>
      </c>
      <c r="H21" s="26" t="s">
        <v>57</v>
      </c>
      <c r="I21" s="44" t="s">
        <v>832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44" t="s">
        <v>832</v>
      </c>
      <c r="Q21" s="26" t="s">
        <v>57</v>
      </c>
      <c r="R21" s="44" t="s">
        <v>832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832</v>
      </c>
      <c r="Z21" s="30"/>
      <c r="AA21" s="30" t="s">
        <v>832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866</v>
      </c>
      <c r="C22" s="41" t="s">
        <v>867</v>
      </c>
      <c r="D22" s="39" t="s">
        <v>829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868</v>
      </c>
      <c r="C23" s="25" t="s">
        <v>869</v>
      </c>
      <c r="D23" s="23" t="s">
        <v>829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843</v>
      </c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843</v>
      </c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 t="s">
        <v>843</v>
      </c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870</v>
      </c>
      <c r="C24" s="41" t="s">
        <v>871</v>
      </c>
      <c r="D24" s="39" t="s">
        <v>829</v>
      </c>
      <c r="E24" s="42">
        <v>46128</v>
      </c>
      <c r="F24" s="26" t="s">
        <v>55</v>
      </c>
      <c r="G24" s="44" t="s">
        <v>832</v>
      </c>
      <c r="H24" s="26" t="s">
        <v>57</v>
      </c>
      <c r="I24" s="44" t="s">
        <v>832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44" t="s">
        <v>832</v>
      </c>
      <c r="Q24" s="26" t="s">
        <v>57</v>
      </c>
      <c r="R24" s="44" t="s">
        <v>832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832</v>
      </c>
      <c r="Z24" s="30"/>
      <c r="AA24" s="30" t="s">
        <v>832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872</v>
      </c>
      <c r="C25" s="25" t="s">
        <v>873</v>
      </c>
      <c r="D25" s="23" t="s">
        <v>829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874</v>
      </c>
      <c r="C26" s="41" t="s">
        <v>875</v>
      </c>
      <c r="D26" s="39" t="s">
        <v>829</v>
      </c>
      <c r="E26" s="42">
        <v>46128</v>
      </c>
      <c r="F26" s="26" t="s">
        <v>55</v>
      </c>
      <c r="G26" s="44" t="s">
        <v>832</v>
      </c>
      <c r="H26" s="26" t="s">
        <v>57</v>
      </c>
      <c r="I26" s="44" t="s">
        <v>832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44" t="s">
        <v>832</v>
      </c>
      <c r="Q26" s="26" t="s">
        <v>57</v>
      </c>
      <c r="R26" s="44" t="s">
        <v>832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832</v>
      </c>
      <c r="Z26" s="30"/>
      <c r="AA26" s="30" t="s">
        <v>832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876</v>
      </c>
      <c r="C27" s="25" t="s">
        <v>877</v>
      </c>
      <c r="D27" s="23" t="s">
        <v>829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878</v>
      </c>
      <c r="C28" s="41" t="s">
        <v>879</v>
      </c>
      <c r="D28" s="39" t="s">
        <v>829</v>
      </c>
      <c r="E28" s="42">
        <v>46128</v>
      </c>
      <c r="F28" s="26" t="s">
        <v>55</v>
      </c>
      <c r="G28" s="44" t="s">
        <v>832</v>
      </c>
      <c r="H28" s="26" t="s">
        <v>57</v>
      </c>
      <c r="I28" s="44" t="s">
        <v>832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44" t="s">
        <v>832</v>
      </c>
      <c r="Q28" s="26" t="s">
        <v>57</v>
      </c>
      <c r="R28" s="44" t="s">
        <v>832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832</v>
      </c>
      <c r="Z28" s="30"/>
      <c r="AA28" s="30" t="s">
        <v>832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880</v>
      </c>
      <c r="C29" s="25" t="s">
        <v>881</v>
      </c>
      <c r="D29" s="23" t="s">
        <v>829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850</v>
      </c>
      <c r="L29" s="28" t="s">
        <v>57</v>
      </c>
      <c r="M29" s="29" t="str">
        <f t="shared" si="0"/>
        <v>✓ OK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850</v>
      </c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 t="s">
        <v>850</v>
      </c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882</v>
      </c>
      <c r="C30" s="41" t="s">
        <v>883</v>
      </c>
      <c r="D30" s="39" t="s">
        <v>829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884</v>
      </c>
      <c r="C31" s="25" t="s">
        <v>885</v>
      </c>
      <c r="D31" s="23" t="s">
        <v>886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887</v>
      </c>
      <c r="C32" s="41" t="s">
        <v>888</v>
      </c>
      <c r="D32" s="39" t="s">
        <v>886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889</v>
      </c>
      <c r="C33" s="25" t="s">
        <v>890</v>
      </c>
      <c r="D33" s="23" t="s">
        <v>886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891</v>
      </c>
      <c r="C34" s="41" t="s">
        <v>892</v>
      </c>
      <c r="D34" s="39" t="s">
        <v>886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893</v>
      </c>
      <c r="C35" s="25" t="s">
        <v>894</v>
      </c>
      <c r="D35" s="23" t="s">
        <v>886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895</v>
      </c>
      <c r="C36" s="41" t="s">
        <v>896</v>
      </c>
      <c r="D36" s="39" t="s">
        <v>886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897</v>
      </c>
      <c r="C37" s="25" t="s">
        <v>898</v>
      </c>
      <c r="D37" s="23" t="s">
        <v>886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899</v>
      </c>
      <c r="C38" s="41" t="s">
        <v>900</v>
      </c>
      <c r="D38" s="39" t="s">
        <v>886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901</v>
      </c>
      <c r="C39" s="25" t="s">
        <v>902</v>
      </c>
      <c r="D39" s="23" t="s">
        <v>886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903</v>
      </c>
      <c r="C40" s="41" t="s">
        <v>904</v>
      </c>
      <c r="D40" s="39" t="s">
        <v>886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905</v>
      </c>
      <c r="C41" s="25" t="s">
        <v>906</v>
      </c>
      <c r="D41" s="23" t="s">
        <v>886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907</v>
      </c>
      <c r="C42" s="41" t="s">
        <v>908</v>
      </c>
      <c r="D42" s="39" t="s">
        <v>886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909</v>
      </c>
      <c r="C43" s="25" t="s">
        <v>910</v>
      </c>
      <c r="D43" s="23" t="s">
        <v>886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911</v>
      </c>
      <c r="C44" s="41" t="s">
        <v>912</v>
      </c>
      <c r="D44" s="39" t="s">
        <v>886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913</v>
      </c>
      <c r="C45" s="25" t="s">
        <v>914</v>
      </c>
      <c r="D45" s="23" t="s">
        <v>886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915</v>
      </c>
      <c r="C46" s="41" t="s">
        <v>916</v>
      </c>
      <c r="D46" s="39" t="s">
        <v>886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917</v>
      </c>
      <c r="C47" s="25" t="s">
        <v>918</v>
      </c>
      <c r="D47" s="23" t="s">
        <v>886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919</v>
      </c>
      <c r="C48" s="41" t="s">
        <v>920</v>
      </c>
      <c r="D48" s="39" t="s">
        <v>886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921</v>
      </c>
      <c r="C49" s="25" t="s">
        <v>922</v>
      </c>
      <c r="D49" s="23" t="s">
        <v>886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923</v>
      </c>
      <c r="C50" s="41" t="s">
        <v>924</v>
      </c>
      <c r="D50" s="39" t="s">
        <v>886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925</v>
      </c>
      <c r="C51" s="25" t="s">
        <v>926</v>
      </c>
      <c r="D51" s="23" t="s">
        <v>886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927</v>
      </c>
      <c r="C52" s="41" t="s">
        <v>928</v>
      </c>
      <c r="D52" s="39" t="s">
        <v>886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183</v>
      </c>
      <c r="L52" s="28" t="s">
        <v>56</v>
      </c>
      <c r="M52" s="29" t="str">
        <f t="shared" si="5"/>
        <v>⚠ Check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57</v>
      </c>
      <c r="T52" s="27" t="s">
        <v>183</v>
      </c>
      <c r="U52" s="28" t="s">
        <v>56</v>
      </c>
      <c r="V52" s="29" t="str">
        <f t="shared" si="6"/>
        <v>⚠ Check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57</v>
      </c>
      <c r="AC52" s="27" t="s">
        <v>183</v>
      </c>
      <c r="AD52" s="31" t="s">
        <v>56</v>
      </c>
      <c r="AE52" s="32" t="str">
        <f t="shared" si="7"/>
        <v>⚠ Check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929</v>
      </c>
      <c r="C53" s="25" t="s">
        <v>930</v>
      </c>
      <c r="D53" s="23" t="s">
        <v>886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931</v>
      </c>
      <c r="C54" s="41" t="s">
        <v>932</v>
      </c>
      <c r="D54" s="39" t="s">
        <v>886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933</v>
      </c>
      <c r="C55" s="25" t="s">
        <v>933</v>
      </c>
      <c r="D55" s="23" t="s">
        <v>886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934</v>
      </c>
      <c r="C56" s="41" t="s">
        <v>935</v>
      </c>
      <c r="D56" s="39" t="s">
        <v>886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936</v>
      </c>
      <c r="C57" s="25" t="s">
        <v>937</v>
      </c>
      <c r="D57" s="23" t="s">
        <v>886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183</v>
      </c>
      <c r="L57" s="28" t="s">
        <v>56</v>
      </c>
      <c r="M57" s="29" t="str">
        <f t="shared" si="5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57</v>
      </c>
      <c r="T57" s="27" t="s">
        <v>183</v>
      </c>
      <c r="U57" s="28" t="s">
        <v>56</v>
      </c>
      <c r="V57" s="29" t="str">
        <f t="shared" si="6"/>
        <v>⚠ Check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57</v>
      </c>
      <c r="AC57" s="27" t="s">
        <v>183</v>
      </c>
      <c r="AD57" s="31" t="s">
        <v>56</v>
      </c>
      <c r="AE57" s="32" t="str">
        <f t="shared" si="7"/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938</v>
      </c>
      <c r="C58" s="41" t="s">
        <v>939</v>
      </c>
      <c r="D58" s="39" t="s">
        <v>886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940</v>
      </c>
      <c r="C59" s="25" t="s">
        <v>941</v>
      </c>
      <c r="D59" s="23" t="s">
        <v>886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942</v>
      </c>
      <c r="C60" s="41" t="s">
        <v>943</v>
      </c>
      <c r="D60" s="39" t="s">
        <v>886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183</v>
      </c>
      <c r="L60" s="28" t="s">
        <v>56</v>
      </c>
      <c r="M60" s="29" t="str">
        <f t="shared" si="5"/>
        <v>⚠ Check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57</v>
      </c>
      <c r="T60" s="27" t="s">
        <v>183</v>
      </c>
      <c r="U60" s="28" t="s">
        <v>56</v>
      </c>
      <c r="V60" s="29" t="str">
        <f t="shared" si="6"/>
        <v>⚠ Check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57</v>
      </c>
      <c r="AC60" s="27" t="s">
        <v>183</v>
      </c>
      <c r="AD60" s="31" t="s">
        <v>56</v>
      </c>
      <c r="AE60" s="32" t="str">
        <f t="shared" si="7"/>
        <v>⚠ Check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944</v>
      </c>
      <c r="C61" s="25" t="s">
        <v>945</v>
      </c>
      <c r="D61" s="23" t="s">
        <v>886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946</v>
      </c>
      <c r="C62" s="41" t="s">
        <v>947</v>
      </c>
      <c r="D62" s="39" t="s">
        <v>886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948</v>
      </c>
      <c r="C63" s="25" t="s">
        <v>949</v>
      </c>
      <c r="D63" s="23" t="s">
        <v>886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183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183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57</v>
      </c>
      <c r="AC63" s="27" t="s">
        <v>183</v>
      </c>
      <c r="AD63" s="31" t="s">
        <v>56</v>
      </c>
      <c r="AE63" s="32" t="str">
        <f t="shared" si="7"/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950</v>
      </c>
      <c r="C64" s="41" t="s">
        <v>951</v>
      </c>
      <c r="D64" s="39" t="s">
        <v>886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952</v>
      </c>
      <c r="C65" s="25" t="s">
        <v>952</v>
      </c>
      <c r="D65" s="23" t="s">
        <v>886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953</v>
      </c>
      <c r="C66" s="41" t="s">
        <v>954</v>
      </c>
      <c r="D66" s="39" t="s">
        <v>886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955</v>
      </c>
      <c r="C67" s="25" t="s">
        <v>956</v>
      </c>
      <c r="D67" s="23" t="s">
        <v>886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957</v>
      </c>
      <c r="C68" s="41" t="s">
        <v>958</v>
      </c>
      <c r="D68" s="39" t="s">
        <v>886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183</v>
      </c>
      <c r="L68" s="28" t="s">
        <v>56</v>
      </c>
      <c r="M68" s="29" t="str">
        <f t="shared" si="5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183</v>
      </c>
      <c r="U68" s="28" t="s">
        <v>56</v>
      </c>
      <c r="V68" s="29" t="str">
        <f t="shared" si="6"/>
        <v>⚠ Check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57</v>
      </c>
      <c r="AC68" s="27" t="s">
        <v>183</v>
      </c>
      <c r="AD68" s="31" t="s">
        <v>56</v>
      </c>
      <c r="AE68" s="32" t="str">
        <f t="shared" si="7"/>
        <v>⚠ Check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959</v>
      </c>
      <c r="C69" s="25" t="s">
        <v>960</v>
      </c>
      <c r="D69" s="23" t="s">
        <v>886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10">IF(E69="","",IF(H69="Yes","❌ Disc",IF(G69="No","⚠ Missing",IF(J69="Yes","✓ OK","⚠ Check"))))</f>
        <v>✓ OK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961</v>
      </c>
      <c r="C70" s="41" t="s">
        <v>962</v>
      </c>
      <c r="D70" s="39" t="s">
        <v>886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1"/>
        <v>✓ OK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56</v>
      </c>
      <c r="AC70" s="27"/>
      <c r="AD70" s="31" t="s">
        <v>57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963</v>
      </c>
      <c r="C71" s="25" t="s">
        <v>964</v>
      </c>
      <c r="D71" s="23" t="s">
        <v>886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965</v>
      </c>
      <c r="C72" s="41" t="s">
        <v>966</v>
      </c>
      <c r="D72" s="39" t="s">
        <v>886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967</v>
      </c>
      <c r="C73" s="25" t="s">
        <v>968</v>
      </c>
      <c r="D73" s="23" t="s">
        <v>886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1"/>
        <v>✓ OK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56</v>
      </c>
      <c r="AC73" s="27"/>
      <c r="AD73" s="31" t="s">
        <v>57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969</v>
      </c>
      <c r="C74" s="41" t="s">
        <v>970</v>
      </c>
      <c r="D74" s="39" t="s">
        <v>886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183</v>
      </c>
      <c r="L74" s="28" t="s">
        <v>56</v>
      </c>
      <c r="M74" s="29" t="str">
        <f t="shared" si="10"/>
        <v>⚠ Check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57</v>
      </c>
      <c r="T74" s="27" t="s">
        <v>183</v>
      </c>
      <c r="U74" s="28" t="s">
        <v>56</v>
      </c>
      <c r="V74" s="29" t="str">
        <f t="shared" si="11"/>
        <v>⚠ Check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57</v>
      </c>
      <c r="AC74" s="27" t="s">
        <v>183</v>
      </c>
      <c r="AD74" s="31" t="s">
        <v>56</v>
      </c>
      <c r="AE74" s="32" t="str">
        <f t="shared" si="12"/>
        <v>⚠ Check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971</v>
      </c>
      <c r="C75" s="25" t="s">
        <v>971</v>
      </c>
      <c r="D75" s="23" t="s">
        <v>886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972</v>
      </c>
      <c r="C76" s="41" t="s">
        <v>973</v>
      </c>
      <c r="D76" s="39" t="s">
        <v>886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974</v>
      </c>
      <c r="C77" s="25" t="s">
        <v>975</v>
      </c>
      <c r="D77" s="23" t="s">
        <v>886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40" t="s">
        <v>976</v>
      </c>
      <c r="C78" s="41" t="s">
        <v>977</v>
      </c>
      <c r="D78" s="39" t="s">
        <v>886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1"/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978</v>
      </c>
      <c r="C79" s="25" t="s">
        <v>979</v>
      </c>
      <c r="D79" s="23" t="s">
        <v>886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1"/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980</v>
      </c>
      <c r="C80" s="41" t="s">
        <v>981</v>
      </c>
      <c r="D80" s="39" t="s">
        <v>886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1"/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8" customHeight="1" x14ac:dyDescent="0.3">
      <c r="A81" s="23">
        <v>77</v>
      </c>
      <c r="B81" s="24" t="s">
        <v>982</v>
      </c>
      <c r="C81" s="25" t="s">
        <v>983</v>
      </c>
      <c r="D81" s="23" t="s">
        <v>886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1"/>
        <v>✓ OK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56</v>
      </c>
      <c r="AC81" s="27"/>
      <c r="AD81" s="31" t="s">
        <v>57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8" customHeight="1" x14ac:dyDescent="0.3">
      <c r="A82" s="39">
        <v>78</v>
      </c>
      <c r="B82" s="40" t="s">
        <v>984</v>
      </c>
      <c r="C82" s="41" t="s">
        <v>985</v>
      </c>
      <c r="D82" s="39" t="s">
        <v>886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1"/>
        <v>✓ OK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56</v>
      </c>
      <c r="AC82" s="27"/>
      <c r="AD82" s="31" t="s">
        <v>57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8" customHeight="1" x14ac:dyDescent="0.3">
      <c r="A83" s="23">
        <v>79</v>
      </c>
      <c r="B83" s="24" t="s">
        <v>986</v>
      </c>
      <c r="C83" s="25" t="s">
        <v>987</v>
      </c>
      <c r="D83" s="23" t="s">
        <v>886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1"/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8" customHeight="1" x14ac:dyDescent="0.3">
      <c r="A84" s="39">
        <v>80</v>
      </c>
      <c r="B84" s="40" t="s">
        <v>988</v>
      </c>
      <c r="C84" s="41" t="s">
        <v>989</v>
      </c>
      <c r="D84" s="39" t="s">
        <v>886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1"/>
        <v>✓ OK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56</v>
      </c>
      <c r="AC84" s="27"/>
      <c r="AD84" s="31" t="s">
        <v>57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8" customHeight="1" x14ac:dyDescent="0.3">
      <c r="A85" s="23">
        <v>81</v>
      </c>
      <c r="B85" s="24" t="s">
        <v>990</v>
      </c>
      <c r="C85" s="25" t="s">
        <v>991</v>
      </c>
      <c r="D85" s="23" t="s">
        <v>886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1"/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autoFilter ref="A4:AW4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 G16 G18:G19 G22:G23 G25 G27 G29:G85">
    <cfRule type="expression" dxfId="582" priority="140">
      <formula>G5="Yes"</formula>
    </cfRule>
    <cfRule type="expression" dxfId="581" priority="141">
      <formula>G5="No"</formula>
    </cfRule>
  </conditionalFormatting>
  <conditionalFormatting sqref="G6">
    <cfRule type="expression" dxfId="580" priority="132">
      <formula>G6="Yes"</formula>
    </cfRule>
    <cfRule type="expression" dxfId="579" priority="134">
      <formula>MOD(ROW(),2)=0</formula>
    </cfRule>
    <cfRule type="expression" dxfId="578" priority="133">
      <formula>G6="No"</formula>
    </cfRule>
  </conditionalFormatting>
  <conditionalFormatting sqref="G9">
    <cfRule type="expression" dxfId="577" priority="126">
      <formula>MOD(ROW(),2)=0</formula>
    </cfRule>
    <cfRule type="expression" dxfId="576" priority="125">
      <formula>G9="No"</formula>
    </cfRule>
    <cfRule type="expression" dxfId="575" priority="124">
      <formula>G9="Yes"</formula>
    </cfRule>
  </conditionalFormatting>
  <conditionalFormatting sqref="G13">
    <cfRule type="expression" dxfId="574" priority="118">
      <formula>MOD(ROW(),2)=0</formula>
    </cfRule>
    <cfRule type="expression" dxfId="573" priority="117">
      <formula>G13="No"</formula>
    </cfRule>
    <cfRule type="expression" dxfId="572" priority="116">
      <formula>G13="Yes"</formula>
    </cfRule>
  </conditionalFormatting>
  <conditionalFormatting sqref="G15">
    <cfRule type="expression" dxfId="571" priority="108">
      <formula>G15="Yes"</formula>
    </cfRule>
    <cfRule type="expression" dxfId="570" priority="110">
      <formula>MOD(ROW(),2)=0</formula>
    </cfRule>
    <cfRule type="expression" dxfId="569" priority="109">
      <formula>G15="No"</formula>
    </cfRule>
  </conditionalFormatting>
  <conditionalFormatting sqref="G17">
    <cfRule type="expression" dxfId="568" priority="102">
      <formula>MOD(ROW(),2)=0</formula>
    </cfRule>
    <cfRule type="expression" dxfId="567" priority="101">
      <formula>G17="No"</formula>
    </cfRule>
    <cfRule type="expression" dxfId="566" priority="100">
      <formula>G17="Yes"</formula>
    </cfRule>
  </conditionalFormatting>
  <conditionalFormatting sqref="G20:G21">
    <cfRule type="expression" dxfId="565" priority="84">
      <formula>G20="Yes"</formula>
    </cfRule>
    <cfRule type="expression" dxfId="564" priority="85">
      <formula>G20="No"</formula>
    </cfRule>
    <cfRule type="expression" dxfId="563" priority="86">
      <formula>MOD(ROW(),2)=0</formula>
    </cfRule>
  </conditionalFormatting>
  <conditionalFormatting sqref="G24">
    <cfRule type="expression" dxfId="562" priority="76">
      <formula>G24="Yes"</formula>
    </cfRule>
    <cfRule type="expression" dxfId="561" priority="77">
      <formula>G24="No"</formula>
    </cfRule>
    <cfRule type="expression" dxfId="560" priority="78">
      <formula>MOD(ROW(),2)=0</formula>
    </cfRule>
  </conditionalFormatting>
  <conditionalFormatting sqref="G26">
    <cfRule type="expression" dxfId="559" priority="70">
      <formula>MOD(ROW(),2)=0</formula>
    </cfRule>
    <cfRule type="expression" dxfId="558" priority="68">
      <formula>G26="Yes"</formula>
    </cfRule>
    <cfRule type="expression" dxfId="557" priority="69">
      <formula>G26="No"</formula>
    </cfRule>
  </conditionalFormatting>
  <conditionalFormatting sqref="G28">
    <cfRule type="expression" dxfId="556" priority="62">
      <formula>MOD(ROW(),2)=0</formula>
    </cfRule>
    <cfRule type="expression" dxfId="555" priority="61">
      <formula>G28="No"</formula>
    </cfRule>
    <cfRule type="expression" dxfId="554" priority="60">
      <formula>G28="Yes"</formula>
    </cfRule>
  </conditionalFormatting>
  <conditionalFormatting sqref="H5:H85">
    <cfRule type="expression" dxfId="553" priority="56">
      <formula>H5="Yes"</formula>
    </cfRule>
  </conditionalFormatting>
  <conditionalFormatting sqref="I6">
    <cfRule type="expression" dxfId="552" priority="131">
      <formula>MOD(ROW(),2)=0</formula>
    </cfRule>
  </conditionalFormatting>
  <conditionalFormatting sqref="I9">
    <cfRule type="expression" dxfId="551" priority="123">
      <formula>MOD(ROW(),2)=0</formula>
    </cfRule>
  </conditionalFormatting>
  <conditionalFormatting sqref="I13">
    <cfRule type="expression" dxfId="550" priority="115">
      <formula>MOD(ROW(),2)=0</formula>
    </cfRule>
  </conditionalFormatting>
  <conditionalFormatting sqref="I15">
    <cfRule type="expression" dxfId="549" priority="107">
      <formula>MOD(ROW(),2)=0</formula>
    </cfRule>
  </conditionalFormatting>
  <conditionalFormatting sqref="I17">
    <cfRule type="expression" dxfId="548" priority="99">
      <formula>MOD(ROW(),2)=0</formula>
    </cfRule>
  </conditionalFormatting>
  <conditionalFormatting sqref="I20:I21">
    <cfRule type="expression" dxfId="547" priority="83">
      <formula>MOD(ROW(),2)=0</formula>
    </cfRule>
  </conditionalFormatting>
  <conditionalFormatting sqref="I24">
    <cfRule type="expression" dxfId="546" priority="75">
      <formula>MOD(ROW(),2)=0</formula>
    </cfRule>
  </conditionalFormatting>
  <conditionalFormatting sqref="I26">
    <cfRule type="expression" dxfId="545" priority="67">
      <formula>MOD(ROW(),2)=0</formula>
    </cfRule>
  </conditionalFormatting>
  <conditionalFormatting sqref="I28">
    <cfRule type="expression" dxfId="544" priority="59">
      <formula>MOD(ROW(),2)=0</formula>
    </cfRule>
  </conditionalFormatting>
  <conditionalFormatting sqref="J5:J85">
    <cfRule type="expression" dxfId="543" priority="57">
      <formula>J5="Yes"</formula>
    </cfRule>
    <cfRule type="expression" dxfId="542" priority="58">
      <formula>J5="No"</formula>
    </cfRule>
  </conditionalFormatting>
  <conditionalFormatting sqref="J6:L6">
    <cfRule type="expression" dxfId="541" priority="135">
      <formula>MOD(ROW(),2)=0</formula>
    </cfRule>
  </conditionalFormatting>
  <conditionalFormatting sqref="J9:L9 H6:H9">
    <cfRule type="expression" dxfId="540" priority="127">
      <formula>MOD(ROW(),2)=0</formula>
    </cfRule>
  </conditionalFormatting>
  <conditionalFormatting sqref="J13:L13 H13">
    <cfRule type="expression" dxfId="539" priority="119">
      <formula>MOD(ROW(),2)=0</formula>
    </cfRule>
  </conditionalFormatting>
  <conditionalFormatting sqref="J15:L15 H15">
    <cfRule type="expression" dxfId="538" priority="111">
      <formula>MOD(ROW(),2)=0</formula>
    </cfRule>
  </conditionalFormatting>
  <conditionalFormatting sqref="J17:L17 H17">
    <cfRule type="expression" dxfId="537" priority="103">
      <formula>MOD(ROW(),2)=0</formula>
    </cfRule>
  </conditionalFormatting>
  <conditionalFormatting sqref="J20:L21 H20:H21">
    <cfRule type="expression" dxfId="536" priority="87">
      <formula>MOD(ROW(),2)=0</formula>
    </cfRule>
  </conditionalFormatting>
  <conditionalFormatting sqref="J24:L24 H24">
    <cfRule type="expression" dxfId="535" priority="79">
      <formula>MOD(ROW(),2)=0</formula>
    </cfRule>
  </conditionalFormatting>
  <conditionalFormatting sqref="J26:L26 H26">
    <cfRule type="expression" dxfId="534" priority="71">
      <formula>MOD(ROW(),2)=0</formula>
    </cfRule>
  </conditionalFormatting>
  <conditionalFormatting sqref="J28:L28 H28">
    <cfRule type="expression" dxfId="533" priority="63">
      <formula>MOD(ROW(),2)=0</formula>
    </cfRule>
  </conditionalFormatting>
  <conditionalFormatting sqref="M5:M85">
    <cfRule type="expression" dxfId="532" priority="136">
      <formula>M5="✓ OK"</formula>
    </cfRule>
    <cfRule type="expression" dxfId="531" priority="137">
      <formula>M5="❌ Disc"</formula>
    </cfRule>
    <cfRule type="expression" dxfId="530" priority="138">
      <formula>M5="⚠ Missing"</formula>
    </cfRule>
    <cfRule type="expression" dxfId="529" priority="139">
      <formula>M5="⚠ Check"</formula>
    </cfRule>
  </conditionalFormatting>
  <conditionalFormatting sqref="N5:N85">
    <cfRule type="expression" dxfId="528" priority="1">
      <formula>MOD(ROW(),2)=0</formula>
    </cfRule>
  </conditionalFormatting>
  <conditionalFormatting sqref="P5 P7:P8 P10:P12 P14 P16 P18:P19 P22:P23 P25 P27 P29:P85">
    <cfRule type="expression" dxfId="527" priority="54">
      <formula>P5="Yes"</formula>
    </cfRule>
    <cfRule type="expression" dxfId="526" priority="55">
      <formula>P5="No"</formula>
    </cfRule>
  </conditionalFormatting>
  <conditionalFormatting sqref="P6">
    <cfRule type="expression" dxfId="525" priority="48">
      <formula>MOD(ROW(),2)=0</formula>
    </cfRule>
    <cfRule type="expression" dxfId="524" priority="46">
      <formula>P6="Yes"</formula>
    </cfRule>
    <cfRule type="expression" dxfId="523" priority="47">
      <formula>P6="No"</formula>
    </cfRule>
  </conditionalFormatting>
  <conditionalFormatting sqref="P9">
    <cfRule type="expression" dxfId="522" priority="43">
      <formula>MOD(ROW(),2)=0</formula>
    </cfRule>
    <cfRule type="expression" dxfId="521" priority="42">
      <formula>P9="No"</formula>
    </cfRule>
    <cfRule type="expression" dxfId="520" priority="41">
      <formula>P9="Yes"</formula>
    </cfRule>
  </conditionalFormatting>
  <conditionalFormatting sqref="P13">
    <cfRule type="expression" dxfId="519" priority="38">
      <formula>MOD(ROW(),2)=0</formula>
    </cfRule>
    <cfRule type="expression" dxfId="518" priority="36">
      <formula>P13="Yes"</formula>
    </cfRule>
    <cfRule type="expression" dxfId="517" priority="37">
      <formula>P13="No"</formula>
    </cfRule>
  </conditionalFormatting>
  <conditionalFormatting sqref="P15">
    <cfRule type="expression" dxfId="516" priority="32">
      <formula>P15="No"</formula>
    </cfRule>
    <cfRule type="expression" dxfId="515" priority="31">
      <formula>P15="Yes"</formula>
    </cfRule>
    <cfRule type="expression" dxfId="514" priority="33">
      <formula>MOD(ROW(),2)=0</formula>
    </cfRule>
  </conditionalFormatting>
  <conditionalFormatting sqref="P17">
    <cfRule type="expression" dxfId="513" priority="28">
      <formula>MOD(ROW(),2)=0</formula>
    </cfRule>
    <cfRule type="expression" dxfId="512" priority="27">
      <formula>P17="No"</formula>
    </cfRule>
    <cfRule type="expression" dxfId="511" priority="26">
      <formula>P17="Yes"</formula>
    </cfRule>
  </conditionalFormatting>
  <conditionalFormatting sqref="P20:P21">
    <cfRule type="expression" dxfId="510" priority="21">
      <formula>P20="Yes"</formula>
    </cfRule>
    <cfRule type="expression" dxfId="509" priority="23">
      <formula>MOD(ROW(),2)=0</formula>
    </cfRule>
    <cfRule type="expression" dxfId="508" priority="22">
      <formula>P20="No"</formula>
    </cfRule>
  </conditionalFormatting>
  <conditionalFormatting sqref="P24">
    <cfRule type="expression" dxfId="507" priority="16">
      <formula>P24="Yes"</formula>
    </cfRule>
    <cfRule type="expression" dxfId="506" priority="17">
      <formula>P24="No"</formula>
    </cfRule>
    <cfRule type="expression" dxfId="505" priority="18">
      <formula>MOD(ROW(),2)=0</formula>
    </cfRule>
  </conditionalFormatting>
  <conditionalFormatting sqref="P26">
    <cfRule type="expression" dxfId="504" priority="13">
      <formula>MOD(ROW(),2)=0</formula>
    </cfRule>
    <cfRule type="expression" dxfId="503" priority="12">
      <formula>P26="No"</formula>
    </cfRule>
    <cfRule type="expression" dxfId="502" priority="11">
      <formula>P26="Yes"</formula>
    </cfRule>
  </conditionalFormatting>
  <conditionalFormatting sqref="P28">
    <cfRule type="expression" dxfId="501" priority="8">
      <formula>MOD(ROW(),2)=0</formula>
    </cfRule>
    <cfRule type="expression" dxfId="500" priority="7">
      <formula>P28="No"</formula>
    </cfRule>
    <cfRule type="expression" dxfId="499" priority="6">
      <formula>P28="Yes"</formula>
    </cfRule>
  </conditionalFormatting>
  <conditionalFormatting sqref="Q5:Q85">
    <cfRule type="expression" dxfId="498" priority="2">
      <formula>Q5="Yes"</formula>
    </cfRule>
  </conditionalFormatting>
  <conditionalFormatting sqref="R6">
    <cfRule type="expression" dxfId="497" priority="45">
      <formula>MOD(ROW(),2)=0</formula>
    </cfRule>
  </conditionalFormatting>
  <conditionalFormatting sqref="R9">
    <cfRule type="expression" dxfId="496" priority="40">
      <formula>MOD(ROW(),2)=0</formula>
    </cfRule>
  </conditionalFormatting>
  <conditionalFormatting sqref="R13">
    <cfRule type="expression" dxfId="495" priority="35">
      <formula>MOD(ROW(),2)=0</formula>
    </cfRule>
  </conditionalFormatting>
  <conditionalFormatting sqref="R15">
    <cfRule type="expression" dxfId="494" priority="30">
      <formula>MOD(ROW(),2)=0</formula>
    </cfRule>
  </conditionalFormatting>
  <conditionalFormatting sqref="R17">
    <cfRule type="expression" dxfId="493" priority="25">
      <formula>MOD(ROW(),2)=0</formula>
    </cfRule>
  </conditionalFormatting>
  <conditionalFormatting sqref="R20:R21">
    <cfRule type="expression" dxfId="492" priority="20">
      <formula>MOD(ROW(),2)=0</formula>
    </cfRule>
  </conditionalFormatting>
  <conditionalFormatting sqref="R24">
    <cfRule type="expression" dxfId="491" priority="15">
      <formula>MOD(ROW(),2)=0</formula>
    </cfRule>
  </conditionalFormatting>
  <conditionalFormatting sqref="R26">
    <cfRule type="expression" dxfId="490" priority="10">
      <formula>MOD(ROW(),2)=0</formula>
    </cfRule>
  </conditionalFormatting>
  <conditionalFormatting sqref="R28">
    <cfRule type="expression" dxfId="489" priority="5">
      <formula>MOD(ROW(),2)=0</formula>
    </cfRule>
  </conditionalFormatting>
  <conditionalFormatting sqref="S5:S85">
    <cfRule type="expression" dxfId="488" priority="4">
      <formula>S5="No"</formula>
    </cfRule>
    <cfRule type="expression" dxfId="487" priority="3">
      <formula>S5="Yes"</formula>
    </cfRule>
  </conditionalFormatting>
  <conditionalFormatting sqref="S6:U6">
    <cfRule type="expression" dxfId="486" priority="49">
      <formula>MOD(ROW(),2)=0</formula>
    </cfRule>
  </conditionalFormatting>
  <conditionalFormatting sqref="S9:U9 Q6:Q9">
    <cfRule type="expression" dxfId="485" priority="44">
      <formula>MOD(ROW(),2)=0</formula>
    </cfRule>
  </conditionalFormatting>
  <conditionalFormatting sqref="S13:U13 Q13">
    <cfRule type="expression" dxfId="484" priority="39">
      <formula>MOD(ROW(),2)=0</formula>
    </cfRule>
  </conditionalFormatting>
  <conditionalFormatting sqref="S15:U15 Q15">
    <cfRule type="expression" dxfId="483" priority="34">
      <formula>MOD(ROW(),2)=0</formula>
    </cfRule>
  </conditionalFormatting>
  <conditionalFormatting sqref="S17:U17 Q17">
    <cfRule type="expression" dxfId="482" priority="29">
      <formula>MOD(ROW(),2)=0</formula>
    </cfRule>
  </conditionalFormatting>
  <conditionalFormatting sqref="S20:U21 Q20:Q21">
    <cfRule type="expression" dxfId="481" priority="24">
      <formula>MOD(ROW(),2)=0</formula>
    </cfRule>
  </conditionalFormatting>
  <conditionalFormatting sqref="S24:U24 Q24">
    <cfRule type="expression" dxfId="480" priority="19">
      <formula>MOD(ROW(),2)=0</formula>
    </cfRule>
  </conditionalFormatting>
  <conditionalFormatting sqref="S26:U26 Q26">
    <cfRule type="expression" dxfId="479" priority="14">
      <formula>MOD(ROW(),2)=0</formula>
    </cfRule>
  </conditionalFormatting>
  <conditionalFormatting sqref="S28:U28 Q28">
    <cfRule type="expression" dxfId="478" priority="9">
      <formula>MOD(ROW(),2)=0</formula>
    </cfRule>
  </conditionalFormatting>
  <conditionalFormatting sqref="V5:V85">
    <cfRule type="expression" dxfId="477" priority="51">
      <formula>V5="❌ Disc"</formula>
    </cfRule>
    <cfRule type="expression" dxfId="476" priority="50">
      <formula>V5="✓ OK"</formula>
    </cfRule>
    <cfRule type="expression" dxfId="475" priority="53">
      <formula>V5="⚠ Check"</formula>
    </cfRule>
    <cfRule type="expression" dxfId="474" priority="52">
      <formula>V5="⚠ Missing"</formula>
    </cfRule>
  </conditionalFormatting>
  <conditionalFormatting sqref="W5:AW85 A5:M5 A7:G7 G8 A10:M12 A14:M14 A16:M16 A18:M19 A22:M23 A25:M25 A27:M27 A29:M85 M6 I7:M7 M8:M9 M13 M15 M17 M20:M21 M24 M26 M28 I8:L8 O5:V5 O7:P7 P8 O10:V12 O14:V14 O16:V16 O18:V19 O22:V23 O25:V25 O27:V27 O29:V85 V6 R7:V7 V8:V9 V13 V15 V17 V20:V21 V24 V26 V28 R8:U8 A6:F6 O6 A8:F9 O8:O9 A13:F13 O13 A15:F15 O15 A17:F17 O17 A20:F21 O20:O21 A24:F24 O24 A26:F26 O26 A28:F28 O28">
    <cfRule type="expression" dxfId="473" priority="181">
      <formula>MOD(ROW(),2)=0</formula>
    </cfRule>
  </conditionalFormatting>
  <conditionalFormatting sqref="Y5:Y85">
    <cfRule type="expression" dxfId="472" priority="158">
      <formula>Y5="Yes"</formula>
    </cfRule>
    <cfRule type="expression" dxfId="471" priority="159">
      <formula>Y5="No"</formula>
    </cfRule>
  </conditionalFormatting>
  <conditionalFormatting sqref="Z5:Z85">
    <cfRule type="expression" dxfId="470" priority="160">
      <formula>Z5="Yes"</formula>
    </cfRule>
  </conditionalFormatting>
  <conditionalFormatting sqref="AB5:AB85">
    <cfRule type="expression" dxfId="469" priority="161">
      <formula>AB5="Yes"</formula>
    </cfRule>
    <cfRule type="expression" dxfId="468" priority="162">
      <formula>AB5="No"</formula>
    </cfRule>
  </conditionalFormatting>
  <conditionalFormatting sqref="AE5:AE85">
    <cfRule type="expression" dxfId="467" priority="154">
      <formula>AE5="✓ OK"</formula>
    </cfRule>
    <cfRule type="expression" dxfId="466" priority="155">
      <formula>AE5="❌ Disc"</formula>
    </cfRule>
    <cfRule type="expression" dxfId="465" priority="156">
      <formula>AE5="⚠ Missing"</formula>
    </cfRule>
    <cfRule type="expression" dxfId="464" priority="157">
      <formula>AE5="⚠ Check"</formula>
    </cfRule>
  </conditionalFormatting>
  <conditionalFormatting sqref="AH5:AH85">
    <cfRule type="expression" dxfId="463" priority="167">
      <formula>AH5="Yes"</formula>
    </cfRule>
    <cfRule type="expression" dxfId="462" priority="168">
      <formula>AH5="No"</formula>
    </cfRule>
  </conditionalFormatting>
  <conditionalFormatting sqref="AI5:AI85">
    <cfRule type="expression" dxfId="461" priority="169">
      <formula>AI5="Yes"</formula>
    </cfRule>
  </conditionalFormatting>
  <conditionalFormatting sqref="AK5:AK85">
    <cfRule type="expression" dxfId="460" priority="170">
      <formula>AK5="Yes"</formula>
    </cfRule>
    <cfRule type="expression" dxfId="459" priority="171">
      <formula>AK5="No"</formula>
    </cfRule>
  </conditionalFormatting>
  <conditionalFormatting sqref="AN5:AN85">
    <cfRule type="expression" dxfId="458" priority="163">
      <formula>AN5="✓ OK"</formula>
    </cfRule>
    <cfRule type="expression" dxfId="457" priority="165">
      <formula>AN5="⚠ Missing"</formula>
    </cfRule>
    <cfRule type="expression" dxfId="456" priority="166">
      <formula>AN5="⚠ Check"</formula>
    </cfRule>
    <cfRule type="expression" dxfId="455" priority="164">
      <formula>AN5="❌ Disc"</formula>
    </cfRule>
  </conditionalFormatting>
  <conditionalFormatting sqref="AQ5:AQ85">
    <cfRule type="expression" dxfId="454" priority="176">
      <formula>AQ5="Yes"</formula>
    </cfRule>
    <cfRule type="expression" dxfId="453" priority="177">
      <formula>AQ5="No"</formula>
    </cfRule>
  </conditionalFormatting>
  <conditionalFormatting sqref="AR5:AR85">
    <cfRule type="expression" dxfId="452" priority="178">
      <formula>AR5="Yes"</formula>
    </cfRule>
  </conditionalFormatting>
  <conditionalFormatting sqref="AT5:AT85">
    <cfRule type="expression" dxfId="451" priority="179">
      <formula>AT5="Yes"</formula>
    </cfRule>
    <cfRule type="expression" dxfId="450" priority="180">
      <formula>AT5="No"</formula>
    </cfRule>
  </conditionalFormatting>
  <conditionalFormatting sqref="AW5:AW85">
    <cfRule type="expression" dxfId="449" priority="172">
      <formula>AW5="✓ OK"</formula>
    </cfRule>
    <cfRule type="expression" dxfId="448" priority="173">
      <formula>AW5="❌ Disc"</formula>
    </cfRule>
    <cfRule type="expression" dxfId="447" priority="175">
      <formula>AW5="⚠ Check"</formula>
    </cfRule>
    <cfRule type="expression" dxfId="446" priority="174">
      <formula>AW5="⚠ Missing"</formula>
    </cfRule>
  </conditionalFormatting>
  <dataValidations count="4">
    <dataValidation type="list" allowBlank="1" sqref="G5:H5 G7:G8 G10:H12 G14:H14 G16:H16 G18:H19 G22:H23 G25:H25 G27:H27 G29:H85 H6:H9 H13 H15 H17 H20:H21 H24 H26 H28 J5:J85 P5:Q5 P7:P8 P10:Q12 P14:Q14 P16:Q16 P18:Q19 P22:Q23 P25:Q25 P27:Q27 P29:Q85 Q6:Q9 Q13 Q15 Q17 Q20:Q21 Q24 Q26 Q28 S5:S85 Y5:Z85 AB5:AB85 AH5:AI85 AK5:AK85 AQ5:AR85 AT5:AT85" xr:uid="{00000000-0002-0000-0300-000000000000}">
      <formula1>"Yes,No"</formula1>
    </dataValidation>
    <dataValidation type="list" allowBlank="1" sqref="I5 I7:I8 I10:I12 I14 I16 I18:I19 I22:I23 I25 I27 I29:I85 R5 R7:R8 R10:R12 R14 R16 R18:R19 R22:R23 R25 R27 R29:R85 AA5:AA85 AJ5:AJ85 AS5:AS85" xr:uid="{00000000-0002-0000-0300-000001000000}">
      <formula1>"Good finish,Minor defect,Major defect,Discontinued,Not Available"</formula1>
    </dataValidation>
    <dataValidation type="list" allowBlank="1" sqref="I6 I9 I13 I15 I17 I20:I21 I24 I26 I28 R6 R9 R13 R15 R17 R20:R21 R24 R26 R28" xr:uid="{00000000-0002-0000-0300-000002000000}">
      <formula1>"Represented by Sample,Good finish,Minor defect,Major defect,Discontinued,Not Available"</formula1>
    </dataValidation>
    <dataValidation type="list" allowBlank="1" sqref="G6 G9 G13 G15 G17 G20:G21 G24 G26 G28 P6 P9 P13 P15 P17 P20:P21 P24 P26 P28" xr:uid="{00000000-0002-0000-0300-000003000000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V5" activePane="bottomRight" state="frozen"/>
      <selection pane="topRight" activeCell="H13" sqref="H13"/>
      <selection pane="bottomLeft" activeCell="H13" sqref="H13"/>
      <selection pane="bottomRight" activeCell="AC4" sqref="AC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992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993</v>
      </c>
      <c r="C5" s="25" t="s">
        <v>994</v>
      </c>
      <c r="D5" s="23" t="s">
        <v>995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996</v>
      </c>
      <c r="C6" s="41" t="s">
        <v>997</v>
      </c>
      <c r="D6" s="39" t="s">
        <v>995</v>
      </c>
      <c r="E6" s="42">
        <v>46132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998</v>
      </c>
      <c r="C7" s="25" t="s">
        <v>999</v>
      </c>
      <c r="D7" s="23" t="s">
        <v>995</v>
      </c>
      <c r="E7" s="42">
        <v>46132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1000</v>
      </c>
      <c r="C8" s="41" t="s">
        <v>1001</v>
      </c>
      <c r="D8" s="39" t="s">
        <v>995</v>
      </c>
      <c r="E8" s="42">
        <v>46132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1002</v>
      </c>
      <c r="C9" s="25" t="s">
        <v>1003</v>
      </c>
      <c r="D9" s="23" t="s">
        <v>995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1004</v>
      </c>
      <c r="C10" s="41" t="s">
        <v>1005</v>
      </c>
      <c r="D10" s="39" t="s">
        <v>995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1006</v>
      </c>
      <c r="C11" s="25" t="s">
        <v>1007</v>
      </c>
      <c r="D11" s="23" t="s">
        <v>995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1008</v>
      </c>
      <c r="C12" s="41" t="s">
        <v>1009</v>
      </c>
      <c r="D12" s="39" t="s">
        <v>995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1010</v>
      </c>
      <c r="C13" s="25" t="s">
        <v>1011</v>
      </c>
      <c r="D13" s="23" t="s">
        <v>995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1012</v>
      </c>
      <c r="C14" s="41" t="s">
        <v>1013</v>
      </c>
      <c r="D14" s="39" t="s">
        <v>995</v>
      </c>
      <c r="E14" s="42">
        <v>46132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1014</v>
      </c>
      <c r="C15" s="25" t="s">
        <v>1015</v>
      </c>
      <c r="D15" s="23" t="s">
        <v>995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277</v>
      </c>
      <c r="J15" s="26" t="s">
        <v>57</v>
      </c>
      <c r="K15" s="27" t="s">
        <v>1016</v>
      </c>
      <c r="L15" s="28" t="s">
        <v>57</v>
      </c>
      <c r="M15" s="29" t="str">
        <f t="shared" si="0"/>
        <v>⚠ Check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277</v>
      </c>
      <c r="S15" s="26" t="s">
        <v>57</v>
      </c>
      <c r="T15" s="27" t="s">
        <v>1016</v>
      </c>
      <c r="U15" s="28" t="s">
        <v>57</v>
      </c>
      <c r="V15" s="29" t="str">
        <f t="shared" si="1"/>
        <v>⚠ Check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277</v>
      </c>
      <c r="AB15" s="30" t="s">
        <v>57</v>
      </c>
      <c r="AC15" s="27" t="s">
        <v>1016</v>
      </c>
      <c r="AD15" s="31" t="s">
        <v>57</v>
      </c>
      <c r="AE15" s="32" t="str">
        <f t="shared" si="2"/>
        <v>⚠ Check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1017</v>
      </c>
      <c r="C16" s="41" t="s">
        <v>1018</v>
      </c>
      <c r="D16" s="39" t="s">
        <v>995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46185</v>
      </c>
      <c r="O16" s="26" t="s">
        <v>55</v>
      </c>
      <c r="P16" s="26" t="s">
        <v>57</v>
      </c>
      <c r="Q16" s="26" t="s">
        <v>56</v>
      </c>
      <c r="R16" s="26" t="s">
        <v>61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70">
        <v>46248</v>
      </c>
      <c r="X16" s="30" t="s">
        <v>60</v>
      </c>
      <c r="Y16" s="30" t="s">
        <v>57</v>
      </c>
      <c r="Z16" s="30" t="s">
        <v>56</v>
      </c>
      <c r="AA16" s="30" t="s">
        <v>61</v>
      </c>
      <c r="AB16" s="30" t="s">
        <v>57</v>
      </c>
      <c r="AC16" s="27"/>
      <c r="AD16" s="31" t="s">
        <v>57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1019</v>
      </c>
      <c r="C17" s="25" t="s">
        <v>1020</v>
      </c>
      <c r="D17" s="23" t="s">
        <v>995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1021</v>
      </c>
      <c r="C18" s="41" t="s">
        <v>1022</v>
      </c>
      <c r="D18" s="39" t="s">
        <v>995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1023</v>
      </c>
      <c r="C19" s="25" t="s">
        <v>1024</v>
      </c>
      <c r="D19" s="23" t="s">
        <v>995</v>
      </c>
      <c r="E19" s="42">
        <v>46132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1025</v>
      </c>
      <c r="C20" s="41" t="s">
        <v>1026</v>
      </c>
      <c r="D20" s="39" t="s">
        <v>995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1027</v>
      </c>
      <c r="C21" s="25" t="s">
        <v>1028</v>
      </c>
      <c r="D21" s="23" t="s">
        <v>995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1029</v>
      </c>
      <c r="C22" s="41" t="s">
        <v>1030</v>
      </c>
      <c r="D22" s="39" t="s">
        <v>995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1031</v>
      </c>
      <c r="C23" s="25" t="s">
        <v>1032</v>
      </c>
      <c r="D23" s="23" t="s">
        <v>995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1033</v>
      </c>
      <c r="C24" s="41" t="s">
        <v>1034</v>
      </c>
      <c r="D24" s="39" t="s">
        <v>995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1035</v>
      </c>
      <c r="C25" s="25" t="s">
        <v>1036</v>
      </c>
      <c r="D25" s="23" t="s">
        <v>995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1037</v>
      </c>
      <c r="C26" s="41" t="s">
        <v>1038</v>
      </c>
      <c r="D26" s="39" t="s">
        <v>995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1039</v>
      </c>
      <c r="C27" s="25" t="s">
        <v>1040</v>
      </c>
      <c r="D27" s="23" t="s">
        <v>995</v>
      </c>
      <c r="E27" s="42">
        <v>46129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1041</v>
      </c>
      <c r="C28" s="41" t="s">
        <v>1042</v>
      </c>
      <c r="D28" s="39" t="s">
        <v>995</v>
      </c>
      <c r="E28" s="42">
        <v>46129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1043</v>
      </c>
      <c r="C29" s="25" t="s">
        <v>1044</v>
      </c>
      <c r="D29" s="23" t="s">
        <v>995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1045</v>
      </c>
      <c r="C30" s="41" t="s">
        <v>1046</v>
      </c>
      <c r="D30" s="39" t="s">
        <v>995</v>
      </c>
      <c r="E30" s="42">
        <v>46132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1047</v>
      </c>
      <c r="C31" s="25" t="s">
        <v>1048</v>
      </c>
      <c r="D31" s="23" t="s">
        <v>995</v>
      </c>
      <c r="E31" s="42">
        <v>46129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1049</v>
      </c>
      <c r="C32" s="41" t="s">
        <v>1050</v>
      </c>
      <c r="D32" s="39" t="s">
        <v>995</v>
      </c>
      <c r="E32" s="42">
        <v>46132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1051</v>
      </c>
      <c r="C33" s="25" t="s">
        <v>1052</v>
      </c>
      <c r="D33" s="23" t="s">
        <v>995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1053</v>
      </c>
      <c r="C34" s="41" t="s">
        <v>1054</v>
      </c>
      <c r="D34" s="39" t="s">
        <v>995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1055</v>
      </c>
      <c r="C35" s="25" t="s">
        <v>1056</v>
      </c>
      <c r="D35" s="23" t="s">
        <v>995</v>
      </c>
      <c r="E35" s="42">
        <v>46129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1057</v>
      </c>
      <c r="C36" s="41" t="s">
        <v>1058</v>
      </c>
      <c r="D36" s="39" t="s">
        <v>995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1059</v>
      </c>
      <c r="C37" s="25" t="s">
        <v>1060</v>
      </c>
      <c r="D37" s="23" t="s">
        <v>995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59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59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1061</v>
      </c>
      <c r="C38" s="41" t="s">
        <v>1062</v>
      </c>
      <c r="D38" s="39" t="s">
        <v>995</v>
      </c>
      <c r="E38" s="42">
        <v>46129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1063</v>
      </c>
      <c r="C39" s="25" t="s">
        <v>1064</v>
      </c>
      <c r="D39" s="23" t="s">
        <v>995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1065</v>
      </c>
      <c r="C40" s="41" t="s">
        <v>1066</v>
      </c>
      <c r="D40" s="39" t="s">
        <v>995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1067</v>
      </c>
      <c r="C41" s="25" t="s">
        <v>1068</v>
      </c>
      <c r="D41" s="23" t="s">
        <v>995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1069</v>
      </c>
      <c r="C42" s="41" t="s">
        <v>1070</v>
      </c>
      <c r="D42" s="39" t="s">
        <v>995</v>
      </c>
      <c r="E42" s="42">
        <v>46129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1071</v>
      </c>
      <c r="C43" s="25" t="s">
        <v>1072</v>
      </c>
      <c r="D43" s="23" t="s">
        <v>995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1073</v>
      </c>
      <c r="C44" s="41" t="s">
        <v>1074</v>
      </c>
      <c r="D44" s="39" t="s">
        <v>995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1075</v>
      </c>
      <c r="C45" s="25" t="s">
        <v>1076</v>
      </c>
      <c r="D45" s="23" t="s">
        <v>995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1077</v>
      </c>
      <c r="C46" s="41" t="s">
        <v>1078</v>
      </c>
      <c r="D46" s="39" t="s">
        <v>995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1079</v>
      </c>
      <c r="C47" s="25" t="s">
        <v>1080</v>
      </c>
      <c r="D47" s="23" t="s">
        <v>995</v>
      </c>
      <c r="E47" s="42">
        <v>46132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1081</v>
      </c>
      <c r="C48" s="41" t="s">
        <v>1082</v>
      </c>
      <c r="D48" s="39" t="s">
        <v>995</v>
      </c>
      <c r="E48" s="42">
        <v>46129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1083</v>
      </c>
      <c r="C49" s="25" t="s">
        <v>1084</v>
      </c>
      <c r="D49" s="23" t="s">
        <v>995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1085</v>
      </c>
      <c r="C50" s="41" t="s">
        <v>1086</v>
      </c>
      <c r="D50" s="39" t="s">
        <v>995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1087</v>
      </c>
      <c r="C51" s="25" t="s">
        <v>1088</v>
      </c>
      <c r="D51" s="23" t="s">
        <v>995</v>
      </c>
      <c r="E51" s="42">
        <v>46132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1089</v>
      </c>
      <c r="C52" s="41" t="s">
        <v>1090</v>
      </c>
      <c r="D52" s="39" t="s">
        <v>995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1091</v>
      </c>
      <c r="C53" s="25" t="s">
        <v>1092</v>
      </c>
      <c r="D53" s="23" t="s">
        <v>995</v>
      </c>
      <c r="E53" s="42">
        <v>46132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1093</v>
      </c>
      <c r="C54" s="41" t="s">
        <v>1094</v>
      </c>
      <c r="D54" s="39" t="s">
        <v>1095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1096</v>
      </c>
      <c r="C55" s="25" t="s">
        <v>1097</v>
      </c>
      <c r="D55" s="23" t="s">
        <v>1095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1098</v>
      </c>
      <c r="C56" s="41" t="s">
        <v>1099</v>
      </c>
      <c r="D56" s="39" t="s">
        <v>1095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1100</v>
      </c>
      <c r="C57" s="25" t="s">
        <v>1101</v>
      </c>
      <c r="D57" s="23" t="s">
        <v>1095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1102</v>
      </c>
      <c r="C58" s="41" t="s">
        <v>1103</v>
      </c>
      <c r="D58" s="39" t="s">
        <v>1095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1104</v>
      </c>
      <c r="C59" s="25" t="s">
        <v>1105</v>
      </c>
      <c r="D59" s="23" t="s">
        <v>1095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45">
        <v>56</v>
      </c>
      <c r="B60" s="45" t="s">
        <v>1106</v>
      </c>
      <c r="C60" s="46" t="s">
        <v>1107</v>
      </c>
      <c r="D60" s="23" t="s">
        <v>1095</v>
      </c>
      <c r="E60" s="42">
        <v>46128</v>
      </c>
      <c r="F60" s="26" t="s">
        <v>55</v>
      </c>
      <c r="G60" s="26" t="s">
        <v>57</v>
      </c>
      <c r="H60" s="26" t="s">
        <v>57</v>
      </c>
      <c r="I60" s="26" t="s">
        <v>61</v>
      </c>
      <c r="J60" s="26" t="s">
        <v>57</v>
      </c>
      <c r="K60" s="48" t="s">
        <v>1108</v>
      </c>
      <c r="L60" s="47" t="s">
        <v>57</v>
      </c>
      <c r="M60" s="29" t="str">
        <f t="shared" si="5"/>
        <v>⚠ Missing</v>
      </c>
      <c r="N60" s="42">
        <v>46185</v>
      </c>
      <c r="O60" s="26" t="s">
        <v>55</v>
      </c>
      <c r="P60" s="26" t="s">
        <v>57</v>
      </c>
      <c r="Q60" s="26" t="s">
        <v>56</v>
      </c>
      <c r="R60" s="26" t="s">
        <v>61</v>
      </c>
      <c r="S60" s="26" t="s">
        <v>57</v>
      </c>
      <c r="T60" s="48"/>
      <c r="U60" s="28" t="s">
        <v>57</v>
      </c>
      <c r="V60" s="29" t="str">
        <f t="shared" si="6"/>
        <v>❌ Disc</v>
      </c>
      <c r="W60" s="71">
        <v>46248</v>
      </c>
      <c r="X60" s="49" t="s">
        <v>60</v>
      </c>
      <c r="Y60" s="49" t="s">
        <v>57</v>
      </c>
      <c r="Z60" s="49" t="s">
        <v>56</v>
      </c>
      <c r="AA60" s="49" t="s">
        <v>61</v>
      </c>
      <c r="AB60" s="49" t="s">
        <v>57</v>
      </c>
      <c r="AC60" s="48"/>
      <c r="AD60" s="49" t="s">
        <v>57</v>
      </c>
      <c r="AE60" s="50" t="s">
        <v>1109</v>
      </c>
      <c r="AF60" s="51" t="s">
        <v>1109</v>
      </c>
      <c r="AG60" s="51" t="s">
        <v>1109</v>
      </c>
      <c r="AH60" s="51" t="s">
        <v>1109</v>
      </c>
      <c r="AI60" s="51" t="s">
        <v>1109</v>
      </c>
      <c r="AJ60" s="51" t="s">
        <v>1109</v>
      </c>
      <c r="AK60" s="51" t="s">
        <v>1109</v>
      </c>
      <c r="AL60" s="48" t="s">
        <v>1109</v>
      </c>
      <c r="AM60" s="51" t="s">
        <v>1109</v>
      </c>
      <c r="AN60" s="52" t="s">
        <v>1109</v>
      </c>
      <c r="AO60" s="53" t="s">
        <v>1109</v>
      </c>
      <c r="AP60" s="53" t="s">
        <v>1109</v>
      </c>
      <c r="AQ60" s="53" t="s">
        <v>1109</v>
      </c>
      <c r="AR60" s="53" t="s">
        <v>1109</v>
      </c>
      <c r="AS60" s="53" t="s">
        <v>1109</v>
      </c>
      <c r="AT60" s="53" t="s">
        <v>1109</v>
      </c>
      <c r="AU60" s="48" t="s">
        <v>1109</v>
      </c>
      <c r="AV60" s="53" t="s">
        <v>1109</v>
      </c>
      <c r="AW60" s="54" t="s">
        <v>1109</v>
      </c>
    </row>
    <row r="61" spans="1:49" ht="18" customHeight="1" x14ac:dyDescent="0.3">
      <c r="A61" s="55">
        <v>57</v>
      </c>
      <c r="B61" s="56" t="s">
        <v>1110</v>
      </c>
      <c r="C61" s="57" t="s">
        <v>1111</v>
      </c>
      <c r="D61" s="23" t="s">
        <v>1095</v>
      </c>
      <c r="E61" s="42">
        <v>46128</v>
      </c>
      <c r="F61" s="26" t="s">
        <v>55</v>
      </c>
      <c r="G61" s="26" t="s">
        <v>57</v>
      </c>
      <c r="H61" s="26" t="s">
        <v>57</v>
      </c>
      <c r="I61" s="26" t="s">
        <v>61</v>
      </c>
      <c r="J61" s="26" t="s">
        <v>57</v>
      </c>
      <c r="K61" s="48" t="s">
        <v>1108</v>
      </c>
      <c r="L61" s="59" t="s">
        <v>57</v>
      </c>
      <c r="M61" s="29" t="str">
        <f t="shared" si="5"/>
        <v>⚠ Missing</v>
      </c>
      <c r="N61" s="42">
        <v>46185</v>
      </c>
      <c r="O61" s="26" t="s">
        <v>55</v>
      </c>
      <c r="P61" s="26" t="s">
        <v>57</v>
      </c>
      <c r="Q61" s="26" t="s">
        <v>56</v>
      </c>
      <c r="R61" s="26" t="s">
        <v>61</v>
      </c>
      <c r="S61" s="26" t="s">
        <v>57</v>
      </c>
      <c r="T61" s="48"/>
      <c r="U61" s="28" t="s">
        <v>57</v>
      </c>
      <c r="V61" s="29" t="str">
        <f t="shared" si="6"/>
        <v>❌ Disc</v>
      </c>
      <c r="W61" s="72">
        <v>46248</v>
      </c>
      <c r="X61" s="60" t="s">
        <v>60</v>
      </c>
      <c r="Y61" s="60" t="s">
        <v>57</v>
      </c>
      <c r="Z61" s="60" t="s">
        <v>56</v>
      </c>
      <c r="AA61" s="60" t="s">
        <v>61</v>
      </c>
      <c r="AB61" s="60" t="s">
        <v>57</v>
      </c>
      <c r="AC61" s="58"/>
      <c r="AD61" s="61" t="s">
        <v>57</v>
      </c>
      <c r="AE61" s="62" t="s">
        <v>1109</v>
      </c>
      <c r="AF61" s="63" t="s">
        <v>1109</v>
      </c>
      <c r="AG61" s="63" t="s">
        <v>1109</v>
      </c>
      <c r="AH61" s="63" t="s">
        <v>1109</v>
      </c>
      <c r="AI61" s="63" t="s">
        <v>1109</v>
      </c>
      <c r="AJ61" s="63" t="s">
        <v>1109</v>
      </c>
      <c r="AK61" s="63" t="s">
        <v>1109</v>
      </c>
      <c r="AL61" s="58" t="s">
        <v>1109</v>
      </c>
      <c r="AM61" s="64" t="s">
        <v>1109</v>
      </c>
      <c r="AN61" s="65" t="s">
        <v>1109</v>
      </c>
      <c r="AO61" s="66" t="s">
        <v>1109</v>
      </c>
      <c r="AP61" s="66" t="s">
        <v>1109</v>
      </c>
      <c r="AQ61" s="66" t="s">
        <v>1109</v>
      </c>
      <c r="AR61" s="66" t="s">
        <v>1109</v>
      </c>
      <c r="AS61" s="66" t="s">
        <v>1109</v>
      </c>
      <c r="AT61" s="66" t="s">
        <v>1109</v>
      </c>
      <c r="AU61" s="58" t="s">
        <v>1109</v>
      </c>
      <c r="AV61" s="67" t="s">
        <v>1109</v>
      </c>
      <c r="AW61" s="68" t="s">
        <v>1109</v>
      </c>
    </row>
    <row r="62" spans="1:49" ht="18" customHeight="1" x14ac:dyDescent="0.3">
      <c r="A62" s="45">
        <v>58</v>
      </c>
      <c r="B62" s="45" t="s">
        <v>1112</v>
      </c>
      <c r="C62" s="46" t="s">
        <v>1113</v>
      </c>
      <c r="D62" s="23" t="s">
        <v>1095</v>
      </c>
      <c r="E62" s="42">
        <v>46128</v>
      </c>
      <c r="F62" s="26" t="s">
        <v>55</v>
      </c>
      <c r="G62" s="26" t="s">
        <v>57</v>
      </c>
      <c r="H62" s="26" t="s">
        <v>57</v>
      </c>
      <c r="I62" s="26" t="s">
        <v>61</v>
      </c>
      <c r="J62" s="26" t="s">
        <v>57</v>
      </c>
      <c r="K62" s="48" t="s">
        <v>1108</v>
      </c>
      <c r="L62" s="47" t="s">
        <v>57</v>
      </c>
      <c r="M62" s="29" t="str">
        <f t="shared" si="5"/>
        <v>⚠ Missing</v>
      </c>
      <c r="N62" s="42">
        <v>46185</v>
      </c>
      <c r="O62" s="26" t="s">
        <v>55</v>
      </c>
      <c r="P62" s="26" t="s">
        <v>57</v>
      </c>
      <c r="Q62" s="26" t="s">
        <v>56</v>
      </c>
      <c r="R62" s="26" t="s">
        <v>61</v>
      </c>
      <c r="S62" s="26" t="s">
        <v>57</v>
      </c>
      <c r="T62" s="48"/>
      <c r="U62" s="28" t="s">
        <v>57</v>
      </c>
      <c r="V62" s="29" t="str">
        <f t="shared" si="6"/>
        <v>❌ Disc</v>
      </c>
      <c r="W62" s="71">
        <v>46248</v>
      </c>
      <c r="X62" s="49" t="s">
        <v>60</v>
      </c>
      <c r="Y62" s="49" t="s">
        <v>57</v>
      </c>
      <c r="Z62" s="49" t="s">
        <v>56</v>
      </c>
      <c r="AA62" s="49" t="s">
        <v>61</v>
      </c>
      <c r="AB62" s="49" t="s">
        <v>57</v>
      </c>
      <c r="AC62" s="48"/>
      <c r="AD62" s="49" t="s">
        <v>57</v>
      </c>
      <c r="AE62" s="50" t="s">
        <v>1109</v>
      </c>
      <c r="AF62" s="51" t="s">
        <v>1109</v>
      </c>
      <c r="AG62" s="51" t="s">
        <v>1109</v>
      </c>
      <c r="AH62" s="51" t="s">
        <v>1109</v>
      </c>
      <c r="AI62" s="51" t="s">
        <v>1109</v>
      </c>
      <c r="AJ62" s="51" t="s">
        <v>1109</v>
      </c>
      <c r="AK62" s="51" t="s">
        <v>1109</v>
      </c>
      <c r="AL62" s="48" t="s">
        <v>1109</v>
      </c>
      <c r="AM62" s="51" t="s">
        <v>1109</v>
      </c>
      <c r="AN62" s="52" t="s">
        <v>1109</v>
      </c>
      <c r="AO62" s="53" t="s">
        <v>1109</v>
      </c>
      <c r="AP62" s="53" t="s">
        <v>1109</v>
      </c>
      <c r="AQ62" s="53" t="s">
        <v>1109</v>
      </c>
      <c r="AR62" s="53" t="s">
        <v>1109</v>
      </c>
      <c r="AS62" s="53" t="s">
        <v>1109</v>
      </c>
      <c r="AT62" s="53" t="s">
        <v>1109</v>
      </c>
      <c r="AU62" s="48" t="s">
        <v>1109</v>
      </c>
      <c r="AV62" s="53" t="s">
        <v>1109</v>
      </c>
      <c r="AW62" s="54" t="s">
        <v>1109</v>
      </c>
    </row>
    <row r="63" spans="1:49" ht="18" customHeight="1" x14ac:dyDescent="0.3">
      <c r="A63" s="23">
        <v>59</v>
      </c>
      <c r="B63" s="24" t="s">
        <v>1114</v>
      </c>
      <c r="C63" s="25" t="s">
        <v>1115</v>
      </c>
      <c r="D63" s="23" t="s">
        <v>1095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277</v>
      </c>
      <c r="J63" s="26" t="s">
        <v>57</v>
      </c>
      <c r="K63" s="27" t="s">
        <v>1116</v>
      </c>
      <c r="L63" s="28" t="s">
        <v>56</v>
      </c>
      <c r="M63" s="29" t="str">
        <f t="shared" si="5"/>
        <v>⚠ Check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277</v>
      </c>
      <c r="S63" s="26" t="s">
        <v>57</v>
      </c>
      <c r="T63" s="27" t="s">
        <v>1116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277</v>
      </c>
      <c r="AB63" s="30" t="s">
        <v>57</v>
      </c>
      <c r="AC63" s="27" t="s">
        <v>1116</v>
      </c>
      <c r="AD63" s="31" t="s">
        <v>56</v>
      </c>
      <c r="AE63" s="32" t="str">
        <f t="shared" ref="AE63:AE94" si="10"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ref="AN63:AN94" si="11"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8" customHeight="1" x14ac:dyDescent="0.3">
      <c r="A64" s="39">
        <v>60</v>
      </c>
      <c r="B64" s="40" t="s">
        <v>1117</v>
      </c>
      <c r="C64" s="41" t="s">
        <v>1118</v>
      </c>
      <c r="D64" s="39" t="s">
        <v>1095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10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11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8" customHeight="1" x14ac:dyDescent="0.3">
      <c r="A65" s="23">
        <v>61</v>
      </c>
      <c r="B65" s="24" t="s">
        <v>1119</v>
      </c>
      <c r="C65" s="25" t="s">
        <v>1120</v>
      </c>
      <c r="D65" s="23" t="s">
        <v>1095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10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11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8" customHeight="1" x14ac:dyDescent="0.3">
      <c r="A66" s="39">
        <v>62</v>
      </c>
      <c r="B66" s="40" t="s">
        <v>1121</v>
      </c>
      <c r="C66" s="41" t="s">
        <v>1122</v>
      </c>
      <c r="D66" s="39" t="s">
        <v>1095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10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11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8" customHeight="1" x14ac:dyDescent="0.3">
      <c r="A67" s="23">
        <v>63</v>
      </c>
      <c r="B67" s="24" t="s">
        <v>1123</v>
      </c>
      <c r="C67" s="25" t="s">
        <v>1124</v>
      </c>
      <c r="D67" s="23" t="s">
        <v>1095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10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11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8" customHeight="1" x14ac:dyDescent="0.3">
      <c r="A68" s="39">
        <v>64</v>
      </c>
      <c r="B68" s="40" t="s">
        <v>1125</v>
      </c>
      <c r="C68" s="41" t="s">
        <v>1126</v>
      </c>
      <c r="D68" s="39" t="s">
        <v>1095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10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11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8" customHeight="1" x14ac:dyDescent="0.3">
      <c r="A69" s="23">
        <v>65</v>
      </c>
      <c r="B69" s="24" t="s">
        <v>1127</v>
      </c>
      <c r="C69" s="25" t="s">
        <v>1128</v>
      </c>
      <c r="D69" s="23" t="s">
        <v>1095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13">IF(E69="","",IF(H69="Yes","❌ Disc",IF(G69="No","⚠ Missing",IF(J69="Yes","✓ OK","⚠ Check"))))</f>
        <v>✓ OK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00" si="14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si="10"/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11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8" customHeight="1" x14ac:dyDescent="0.3">
      <c r="A70" s="39">
        <v>66</v>
      </c>
      <c r="B70" s="40" t="s">
        <v>1129</v>
      </c>
      <c r="C70" s="41" t="s">
        <v>1130</v>
      </c>
      <c r="D70" s="39" t="s">
        <v>1095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1131</v>
      </c>
      <c r="J70" s="26" t="s">
        <v>57</v>
      </c>
      <c r="K70" s="27" t="s">
        <v>1116</v>
      </c>
      <c r="L70" s="28" t="s">
        <v>56</v>
      </c>
      <c r="M70" s="29" t="str">
        <f t="shared" si="13"/>
        <v>⚠ Check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1131</v>
      </c>
      <c r="S70" s="26" t="s">
        <v>57</v>
      </c>
      <c r="T70" s="27" t="s">
        <v>1116</v>
      </c>
      <c r="U70" s="28" t="s">
        <v>56</v>
      </c>
      <c r="V70" s="29" t="str">
        <f t="shared" si="14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1131</v>
      </c>
      <c r="AB70" s="30" t="s">
        <v>57</v>
      </c>
      <c r="AC70" s="27" t="s">
        <v>1116</v>
      </c>
      <c r="AD70" s="31" t="s">
        <v>56</v>
      </c>
      <c r="AE70" s="32" t="str">
        <f t="shared" si="10"/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8" customHeight="1" x14ac:dyDescent="0.3">
      <c r="A71" s="23">
        <v>67</v>
      </c>
      <c r="B71" s="24" t="s">
        <v>1132</v>
      </c>
      <c r="C71" s="25" t="s">
        <v>1133</v>
      </c>
      <c r="D71" s="23" t="s">
        <v>1095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3"/>
        <v>✓ OK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4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0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8" customHeight="1" x14ac:dyDescent="0.3">
      <c r="A72" s="39">
        <v>68</v>
      </c>
      <c r="B72" s="40" t="s">
        <v>1134</v>
      </c>
      <c r="C72" s="41" t="s">
        <v>1135</v>
      </c>
      <c r="D72" s="39" t="s">
        <v>1095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3"/>
        <v>✓ OK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4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0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8" customHeight="1" x14ac:dyDescent="0.3">
      <c r="A73" s="23">
        <v>69</v>
      </c>
      <c r="B73" s="24" t="s">
        <v>1136</v>
      </c>
      <c r="C73" s="25" t="s">
        <v>1137</v>
      </c>
      <c r="D73" s="23" t="s">
        <v>1095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3"/>
        <v>✓ OK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4"/>
        <v>✓ OK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57</v>
      </c>
      <c r="AE73" s="32" t="str">
        <f t="shared" si="10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8" customHeight="1" x14ac:dyDescent="0.3">
      <c r="A74" s="39">
        <v>70</v>
      </c>
      <c r="B74" s="40" t="s">
        <v>1138</v>
      </c>
      <c r="C74" s="41" t="s">
        <v>1139</v>
      </c>
      <c r="D74" s="39" t="s">
        <v>1095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3"/>
        <v>✓ OK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4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10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8" customHeight="1" x14ac:dyDescent="0.3">
      <c r="A75" s="23">
        <v>71</v>
      </c>
      <c r="B75" s="24" t="s">
        <v>1140</v>
      </c>
      <c r="C75" s="25" t="s">
        <v>1141</v>
      </c>
      <c r="D75" s="23" t="s">
        <v>1095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3"/>
        <v>✓ OK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4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0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8" customHeight="1" x14ac:dyDescent="0.3">
      <c r="A76" s="39">
        <v>72</v>
      </c>
      <c r="B76" s="40" t="s">
        <v>1142</v>
      </c>
      <c r="C76" s="41" t="s">
        <v>1143</v>
      </c>
      <c r="D76" s="39" t="s">
        <v>1095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3"/>
        <v>✓ OK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4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10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8" customHeight="1" x14ac:dyDescent="0.3">
      <c r="A77" s="23">
        <v>73</v>
      </c>
      <c r="B77" s="24" t="s">
        <v>1144</v>
      </c>
      <c r="C77" s="25" t="s">
        <v>1145</v>
      </c>
      <c r="D77" s="23" t="s">
        <v>1095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3"/>
        <v>✓ OK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4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10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8" customHeight="1" x14ac:dyDescent="0.3">
      <c r="A78" s="39">
        <v>74</v>
      </c>
      <c r="B78" s="40" t="s">
        <v>1146</v>
      </c>
      <c r="C78" s="41" t="s">
        <v>1147</v>
      </c>
      <c r="D78" s="39" t="s">
        <v>1095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3"/>
        <v>✓ OK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4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10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8" customHeight="1" x14ac:dyDescent="0.3">
      <c r="A79" s="23">
        <v>75</v>
      </c>
      <c r="B79" s="24" t="s">
        <v>1148</v>
      </c>
      <c r="C79" s="25" t="s">
        <v>1149</v>
      </c>
      <c r="D79" s="23" t="s">
        <v>1095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3"/>
        <v>✓ OK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4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10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8" customHeight="1" x14ac:dyDescent="0.3">
      <c r="A80" s="39">
        <v>76</v>
      </c>
      <c r="B80" s="40" t="s">
        <v>1150</v>
      </c>
      <c r="C80" s="41" t="s">
        <v>1151</v>
      </c>
      <c r="D80" s="39" t="s">
        <v>1095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3"/>
        <v>✓ OK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4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10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8" customHeight="1" x14ac:dyDescent="0.3">
      <c r="A81" s="23">
        <v>77</v>
      </c>
      <c r="B81" s="24" t="s">
        <v>1152</v>
      </c>
      <c r="C81" s="25" t="s">
        <v>1153</v>
      </c>
      <c r="D81" s="23" t="s">
        <v>1095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3"/>
        <v>✓ OK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4"/>
        <v>✓ OK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56</v>
      </c>
      <c r="AC81" s="27"/>
      <c r="AD81" s="31" t="s">
        <v>57</v>
      </c>
      <c r="AE81" s="32" t="str">
        <f t="shared" si="10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8" customHeight="1" x14ac:dyDescent="0.3">
      <c r="A82" s="39">
        <v>78</v>
      </c>
      <c r="B82" s="40" t="s">
        <v>1154</v>
      </c>
      <c r="C82" s="41" t="s">
        <v>1155</v>
      </c>
      <c r="D82" s="39" t="s">
        <v>1095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3"/>
        <v>✓ OK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4"/>
        <v>✓ OK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56</v>
      </c>
      <c r="AC82" s="27"/>
      <c r="AD82" s="31" t="s">
        <v>57</v>
      </c>
      <c r="AE82" s="32" t="str">
        <f t="shared" si="10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8" customHeight="1" x14ac:dyDescent="0.3">
      <c r="A83" s="23">
        <v>79</v>
      </c>
      <c r="B83" s="24" t="s">
        <v>1156</v>
      </c>
      <c r="C83" s="25" t="s">
        <v>1157</v>
      </c>
      <c r="D83" s="23" t="s">
        <v>1095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3"/>
        <v>✓ OK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4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10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8" customHeight="1" x14ac:dyDescent="0.3">
      <c r="A84" s="39">
        <v>80</v>
      </c>
      <c r="B84" s="40" t="s">
        <v>1158</v>
      </c>
      <c r="C84" s="41" t="s">
        <v>1159</v>
      </c>
      <c r="D84" s="39" t="s">
        <v>1095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3"/>
        <v>✓ OK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4"/>
        <v>✓ OK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56</v>
      </c>
      <c r="AC84" s="27"/>
      <c r="AD84" s="31" t="s">
        <v>57</v>
      </c>
      <c r="AE84" s="32" t="str">
        <f t="shared" si="10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8" customHeight="1" x14ac:dyDescent="0.3">
      <c r="A85" s="23">
        <v>81</v>
      </c>
      <c r="B85" s="24" t="s">
        <v>1160</v>
      </c>
      <c r="C85" s="25" t="s">
        <v>1161</v>
      </c>
      <c r="D85" s="23" t="s">
        <v>1095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3"/>
        <v>✓ OK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4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10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8" customHeight="1" x14ac:dyDescent="0.3">
      <c r="A86" s="39">
        <v>82</v>
      </c>
      <c r="B86" s="40" t="s">
        <v>1162</v>
      </c>
      <c r="C86" s="41" t="s">
        <v>1163</v>
      </c>
      <c r="D86" s="39" t="s">
        <v>1095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3"/>
        <v>✓ OK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4"/>
        <v>✓ OK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56</v>
      </c>
      <c r="AC86" s="27"/>
      <c r="AD86" s="31" t="s">
        <v>57</v>
      </c>
      <c r="AE86" s="32" t="str">
        <f t="shared" si="10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1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8" customHeight="1" x14ac:dyDescent="0.3">
      <c r="A87" s="23">
        <v>83</v>
      </c>
      <c r="B87" s="24" t="s">
        <v>1164</v>
      </c>
      <c r="C87" s="25" t="s">
        <v>1165</v>
      </c>
      <c r="D87" s="23" t="s">
        <v>1095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3"/>
        <v>✓ OK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4"/>
        <v>✓ OK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56</v>
      </c>
      <c r="AC87" s="27"/>
      <c r="AD87" s="31" t="s">
        <v>57</v>
      </c>
      <c r="AE87" s="32" t="str">
        <f t="shared" si="10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1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8" customHeight="1" x14ac:dyDescent="0.3">
      <c r="A88" s="39">
        <v>84</v>
      </c>
      <c r="B88" s="40" t="s">
        <v>1166</v>
      </c>
      <c r="C88" s="41" t="s">
        <v>1167</v>
      </c>
      <c r="D88" s="39" t="s">
        <v>1095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3"/>
        <v>✓ OK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4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10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1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8" customHeight="1" x14ac:dyDescent="0.3">
      <c r="A89" s="23">
        <v>85</v>
      </c>
      <c r="B89" s="24" t="s">
        <v>1168</v>
      </c>
      <c r="C89" s="25" t="s">
        <v>1169</v>
      </c>
      <c r="D89" s="23" t="s">
        <v>1095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3"/>
        <v>✓ OK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4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10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1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8" customHeight="1" x14ac:dyDescent="0.3">
      <c r="A90" s="39">
        <v>86</v>
      </c>
      <c r="B90" s="40" t="s">
        <v>1170</v>
      </c>
      <c r="C90" s="41" t="s">
        <v>1171</v>
      </c>
      <c r="D90" s="39" t="s">
        <v>1095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3"/>
        <v>✓ OK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4"/>
        <v>✓ OK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56</v>
      </c>
      <c r="AC90" s="27"/>
      <c r="AD90" s="31" t="s">
        <v>57</v>
      </c>
      <c r="AE90" s="32" t="str">
        <f t="shared" si="10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1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8" customHeight="1" x14ac:dyDescent="0.3">
      <c r="A91" s="23">
        <v>87</v>
      </c>
      <c r="B91" s="24" t="s">
        <v>1172</v>
      </c>
      <c r="C91" s="25" t="s">
        <v>1173</v>
      </c>
      <c r="D91" s="23" t="s">
        <v>1095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3"/>
        <v>✓ OK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4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10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1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8" customHeight="1" x14ac:dyDescent="0.3">
      <c r="A92" s="39">
        <v>88</v>
      </c>
      <c r="B92" s="40" t="s">
        <v>1174</v>
      </c>
      <c r="C92" s="41" t="s">
        <v>1175</v>
      </c>
      <c r="D92" s="39" t="s">
        <v>1095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3"/>
        <v>✓ OK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4"/>
        <v>✓ OK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56</v>
      </c>
      <c r="AC92" s="27"/>
      <c r="AD92" s="31" t="s">
        <v>57</v>
      </c>
      <c r="AE92" s="32" t="str">
        <f t="shared" si="10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1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8" customHeight="1" x14ac:dyDescent="0.3">
      <c r="A93" s="23">
        <v>89</v>
      </c>
      <c r="B93" s="24" t="s">
        <v>1176</v>
      </c>
      <c r="C93" s="25" t="s">
        <v>1177</v>
      </c>
      <c r="D93" s="23" t="s">
        <v>1095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3"/>
        <v>✓ OK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4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10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1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8" customHeight="1" x14ac:dyDescent="0.3">
      <c r="A94" s="39">
        <v>90</v>
      </c>
      <c r="B94" s="40" t="s">
        <v>1178</v>
      </c>
      <c r="C94" s="41" t="s">
        <v>1179</v>
      </c>
      <c r="D94" s="39" t="s">
        <v>1095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3"/>
        <v>✓ OK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4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10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1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8" customHeight="1" x14ac:dyDescent="0.3">
      <c r="A95" s="23">
        <v>91</v>
      </c>
      <c r="B95" s="24" t="s">
        <v>1180</v>
      </c>
      <c r="C95" s="25" t="s">
        <v>1181</v>
      </c>
      <c r="D95" s="23" t="s">
        <v>1095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3"/>
        <v>✓ OK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4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ref="AE95:AE126" si="15"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ref="AN95:AN126" si="16"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8" customHeight="1" x14ac:dyDescent="0.3">
      <c r="A96" s="39">
        <v>92</v>
      </c>
      <c r="B96" s="40" t="s">
        <v>1182</v>
      </c>
      <c r="C96" s="41" t="s">
        <v>1183</v>
      </c>
      <c r="D96" s="39" t="s">
        <v>1095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3"/>
        <v>✓ OK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4"/>
        <v>✓ OK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56</v>
      </c>
      <c r="AC96" s="27"/>
      <c r="AD96" s="31" t="s">
        <v>57</v>
      </c>
      <c r="AE96" s="32" t="str">
        <f t="shared" si="15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6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8" customHeight="1" x14ac:dyDescent="0.3">
      <c r="A97" s="23">
        <v>93</v>
      </c>
      <c r="B97" s="24" t="s">
        <v>1184</v>
      </c>
      <c r="C97" s="25" t="s">
        <v>1185</v>
      </c>
      <c r="D97" s="23" t="s">
        <v>1095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3"/>
        <v>✓ OK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4"/>
        <v>✓ OK</v>
      </c>
      <c r="W97" s="70">
        <v>46248</v>
      </c>
      <c r="X97" s="30" t="s">
        <v>55</v>
      </c>
      <c r="Y97" s="30" t="s">
        <v>56</v>
      </c>
      <c r="Z97" s="30" t="s">
        <v>57</v>
      </c>
      <c r="AA97" s="30" t="s">
        <v>58</v>
      </c>
      <c r="AB97" s="30" t="s">
        <v>56</v>
      </c>
      <c r="AC97" s="27"/>
      <c r="AD97" s="31" t="s">
        <v>57</v>
      </c>
      <c r="AE97" s="32" t="str">
        <f t="shared" si="15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6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8" customHeight="1" x14ac:dyDescent="0.3">
      <c r="A98" s="39">
        <v>94</v>
      </c>
      <c r="B98" s="40" t="s">
        <v>1186</v>
      </c>
      <c r="C98" s="41" t="s">
        <v>1187</v>
      </c>
      <c r="D98" s="39" t="s">
        <v>1095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3"/>
        <v>✓ OK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4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15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6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8" customHeight="1" x14ac:dyDescent="0.3">
      <c r="A99" s="23">
        <v>95</v>
      </c>
      <c r="B99" s="24" t="s">
        <v>1188</v>
      </c>
      <c r="C99" s="25" t="s">
        <v>1189</v>
      </c>
      <c r="D99" s="23" t="s">
        <v>1095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3"/>
        <v>✓ OK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4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15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6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8" customHeight="1" x14ac:dyDescent="0.3">
      <c r="A100" s="39">
        <v>96</v>
      </c>
      <c r="B100" s="40" t="s">
        <v>1190</v>
      </c>
      <c r="C100" s="41" t="s">
        <v>1191</v>
      </c>
      <c r="D100" s="39" t="s">
        <v>1095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3"/>
        <v>✓ OK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4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15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6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8" customHeight="1" x14ac:dyDescent="0.3">
      <c r="A101" s="23">
        <v>97</v>
      </c>
      <c r="B101" s="24" t="s">
        <v>1192</v>
      </c>
      <c r="C101" s="25" t="s">
        <v>1193</v>
      </c>
      <c r="D101" s="23" t="s">
        <v>1095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8">IF(E101="","",IF(H101="Yes","❌ Disc",IF(G101="No","⚠ Missing",IF(J101="Yes","✓ OK","⚠ Check"))))</f>
        <v>✓ OK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ref="V101:V132" si="19"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15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6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8" customHeight="1" x14ac:dyDescent="0.3">
      <c r="A102" s="39">
        <v>98</v>
      </c>
      <c r="B102" s="40" t="s">
        <v>1194</v>
      </c>
      <c r="C102" s="41" t="s">
        <v>1195</v>
      </c>
      <c r="D102" s="39" t="s">
        <v>1095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8"/>
        <v>✓ OK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19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15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8" customHeight="1" x14ac:dyDescent="0.3">
      <c r="A103" s="23">
        <v>99</v>
      </c>
      <c r="B103" s="24" t="s">
        <v>1196</v>
      </c>
      <c r="C103" s="25" t="s">
        <v>1197</v>
      </c>
      <c r="D103" s="23" t="s">
        <v>1095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8"/>
        <v>✓ OK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9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15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8" customHeight="1" x14ac:dyDescent="0.3">
      <c r="A104" s="39">
        <v>100</v>
      </c>
      <c r="B104" s="40" t="s">
        <v>1198</v>
      </c>
      <c r="C104" s="41" t="s">
        <v>1199</v>
      </c>
      <c r="D104" s="39" t="s">
        <v>1095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8"/>
        <v>✓ OK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9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15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8" customHeight="1" x14ac:dyDescent="0.3">
      <c r="A105" s="23">
        <v>101</v>
      </c>
      <c r="B105" s="24" t="s">
        <v>1200</v>
      </c>
      <c r="C105" s="25" t="s">
        <v>1201</v>
      </c>
      <c r="D105" s="23" t="s">
        <v>1095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8"/>
        <v>✓ OK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9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15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8" customHeight="1" x14ac:dyDescent="0.3">
      <c r="A106" s="39">
        <v>102</v>
      </c>
      <c r="B106" s="40" t="s">
        <v>1202</v>
      </c>
      <c r="C106" s="41" t="s">
        <v>1203</v>
      </c>
      <c r="D106" s="39" t="s">
        <v>1095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8"/>
        <v>✓ OK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19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15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8" customHeight="1" x14ac:dyDescent="0.3">
      <c r="A107" s="23">
        <v>103</v>
      </c>
      <c r="B107" s="24" t="s">
        <v>1204</v>
      </c>
      <c r="C107" s="25" t="s">
        <v>1205</v>
      </c>
      <c r="D107" s="23" t="s">
        <v>1095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8"/>
        <v>✓ OK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9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15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8" customHeight="1" x14ac:dyDescent="0.3">
      <c r="A108" s="39">
        <v>104</v>
      </c>
      <c r="B108" s="40" t="s">
        <v>1206</v>
      </c>
      <c r="C108" s="41" t="s">
        <v>1207</v>
      </c>
      <c r="D108" s="39" t="s">
        <v>1095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8"/>
        <v>✓ OK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9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15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8" customHeight="1" x14ac:dyDescent="0.3">
      <c r="A109" s="23">
        <v>105</v>
      </c>
      <c r="B109" s="24" t="s">
        <v>1208</v>
      </c>
      <c r="C109" s="25" t="s">
        <v>1209</v>
      </c>
      <c r="D109" s="23" t="s">
        <v>1095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8"/>
        <v>✓ OK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9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15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8" customHeight="1" x14ac:dyDescent="0.3">
      <c r="A110" s="39">
        <v>106</v>
      </c>
      <c r="B110" s="40" t="s">
        <v>1210</v>
      </c>
      <c r="C110" s="41" t="s">
        <v>1211</v>
      </c>
      <c r="D110" s="39" t="s">
        <v>1095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8"/>
        <v>✓ OK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9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15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8" customHeight="1" x14ac:dyDescent="0.3">
      <c r="A111" s="23">
        <v>107</v>
      </c>
      <c r="B111" s="24" t="s">
        <v>1212</v>
      </c>
      <c r="C111" s="25" t="s">
        <v>1213</v>
      </c>
      <c r="D111" s="23" t="s">
        <v>1095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8"/>
        <v>✓ OK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9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15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8" customHeight="1" x14ac:dyDescent="0.3">
      <c r="A112" s="39">
        <v>108</v>
      </c>
      <c r="B112" s="40" t="s">
        <v>1214</v>
      </c>
      <c r="C112" s="41" t="s">
        <v>1215</v>
      </c>
      <c r="D112" s="39" t="s">
        <v>1095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8"/>
        <v>✓ OK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9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15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8" customHeight="1" x14ac:dyDescent="0.3">
      <c r="A113" s="23">
        <v>109</v>
      </c>
      <c r="B113" s="24" t="s">
        <v>1216</v>
      </c>
      <c r="C113" s="25" t="s">
        <v>1217</v>
      </c>
      <c r="D113" s="23" t="s">
        <v>1095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8"/>
        <v>✓ OK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9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15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8" customHeight="1" x14ac:dyDescent="0.3">
      <c r="A114" s="39">
        <v>110</v>
      </c>
      <c r="B114" s="40" t="s">
        <v>1218</v>
      </c>
      <c r="C114" s="41" t="s">
        <v>1219</v>
      </c>
      <c r="D114" s="39" t="s">
        <v>1095</v>
      </c>
      <c r="E114" s="42">
        <v>46129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8"/>
        <v>✓ OK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9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15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8" customHeight="1" x14ac:dyDescent="0.3">
      <c r="A115" s="23">
        <v>111</v>
      </c>
      <c r="B115" s="24" t="s">
        <v>1220</v>
      </c>
      <c r="C115" s="25" t="s">
        <v>1221</v>
      </c>
      <c r="D115" s="23" t="s">
        <v>1095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8"/>
        <v>✓ OK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9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15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8" customHeight="1" x14ac:dyDescent="0.3">
      <c r="A116" s="39">
        <v>112</v>
      </c>
      <c r="B116" s="40" t="s">
        <v>1222</v>
      </c>
      <c r="C116" s="41" t="s">
        <v>1223</v>
      </c>
      <c r="D116" s="39" t="s">
        <v>1095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8"/>
        <v>✓ OK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9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15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8" customHeight="1" x14ac:dyDescent="0.3">
      <c r="A117" s="23">
        <v>113</v>
      </c>
      <c r="B117" s="24" t="s">
        <v>1224</v>
      </c>
      <c r="C117" s="25" t="s">
        <v>1225</v>
      </c>
      <c r="D117" s="23" t="s">
        <v>1095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8"/>
        <v>✓ OK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9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15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8" customHeight="1" x14ac:dyDescent="0.3">
      <c r="A118" s="39">
        <v>114</v>
      </c>
      <c r="B118" s="40" t="s">
        <v>1226</v>
      </c>
      <c r="C118" s="41" t="s">
        <v>1227</v>
      </c>
      <c r="D118" s="39" t="s">
        <v>1095</v>
      </c>
      <c r="E118" s="42">
        <v>46129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8"/>
        <v>✓ OK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19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15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8" customHeight="1" x14ac:dyDescent="0.3">
      <c r="A119" s="23">
        <v>115</v>
      </c>
      <c r="B119" s="24" t="s">
        <v>1228</v>
      </c>
      <c r="C119" s="25" t="s">
        <v>1229</v>
      </c>
      <c r="D119" s="23" t="s">
        <v>1095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8"/>
        <v>✓ OK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19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15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8" customHeight="1" x14ac:dyDescent="0.3">
      <c r="A120" s="39">
        <v>116</v>
      </c>
      <c r="B120" s="40" t="s">
        <v>1230</v>
      </c>
      <c r="C120" s="41" t="s">
        <v>1231</v>
      </c>
      <c r="D120" s="39" t="s">
        <v>1095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8"/>
        <v>✓ OK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19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15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8" customHeight="1" x14ac:dyDescent="0.3">
      <c r="A121" s="23">
        <v>117</v>
      </c>
      <c r="B121" s="24" t="s">
        <v>1232</v>
      </c>
      <c r="C121" s="25" t="s">
        <v>1233</v>
      </c>
      <c r="D121" s="23" t="s">
        <v>1095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8"/>
        <v>✓ OK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19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15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8" customHeight="1" x14ac:dyDescent="0.3">
      <c r="A122" s="39">
        <v>118</v>
      </c>
      <c r="B122" s="40" t="s">
        <v>1234</v>
      </c>
      <c r="C122" s="41" t="s">
        <v>1235</v>
      </c>
      <c r="D122" s="39" t="s">
        <v>1095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8"/>
        <v>✓ OK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19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15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8" customHeight="1" x14ac:dyDescent="0.3">
      <c r="A123" s="23">
        <v>119</v>
      </c>
      <c r="B123" s="24" t="s">
        <v>1236</v>
      </c>
      <c r="C123" s="25" t="s">
        <v>1237</v>
      </c>
      <c r="D123" s="23" t="s">
        <v>1095</v>
      </c>
      <c r="E123" s="42">
        <v>46129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8"/>
        <v>✓ OK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19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15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8" customHeight="1" x14ac:dyDescent="0.3">
      <c r="A124" s="39">
        <v>120</v>
      </c>
      <c r="B124" s="40" t="s">
        <v>1238</v>
      </c>
      <c r="C124" s="41" t="s">
        <v>1239</v>
      </c>
      <c r="D124" s="39" t="s">
        <v>1095</v>
      </c>
      <c r="E124" s="42">
        <v>46129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8"/>
        <v>✓ OK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19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15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8" customHeight="1" x14ac:dyDescent="0.3">
      <c r="A125" s="23">
        <v>121</v>
      </c>
      <c r="B125" s="24" t="s">
        <v>1240</v>
      </c>
      <c r="C125" s="25" t="s">
        <v>1241</v>
      </c>
      <c r="D125" s="23" t="s">
        <v>1095</v>
      </c>
      <c r="E125" s="42">
        <v>46129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8"/>
        <v>✓ OK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19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15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8" customHeight="1" x14ac:dyDescent="0.3">
      <c r="A126" s="39">
        <v>122</v>
      </c>
      <c r="B126" s="40" t="s">
        <v>1242</v>
      </c>
      <c r="C126" s="41" t="s">
        <v>1243</v>
      </c>
      <c r="D126" s="39" t="s">
        <v>1095</v>
      </c>
      <c r="E126" s="42">
        <v>46129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8"/>
        <v>✓ OK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19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15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8" customHeight="1" x14ac:dyDescent="0.3">
      <c r="A127" s="23">
        <v>123</v>
      </c>
      <c r="B127" s="24" t="s">
        <v>1244</v>
      </c>
      <c r="C127" s="25" t="s">
        <v>1245</v>
      </c>
      <c r="D127" s="23" t="s">
        <v>1095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8"/>
        <v>✓ OK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19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ref="AE127:AE158" si="20"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ref="AN127:AN158" si="21"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8" customHeight="1" x14ac:dyDescent="0.3">
      <c r="A128" s="39">
        <v>124</v>
      </c>
      <c r="B128" s="40" t="s">
        <v>1246</v>
      </c>
      <c r="C128" s="41" t="s">
        <v>1247</v>
      </c>
      <c r="D128" s="39" t="s">
        <v>1095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8"/>
        <v>✓ OK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19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20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21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8" customHeight="1" x14ac:dyDescent="0.3">
      <c r="A129" s="23">
        <v>125</v>
      </c>
      <c r="B129" s="24" t="s">
        <v>1248</v>
      </c>
      <c r="C129" s="25" t="s">
        <v>1249</v>
      </c>
      <c r="D129" s="23" t="s">
        <v>1095</v>
      </c>
      <c r="E129" s="42">
        <v>46129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8"/>
        <v>✓ OK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19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20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21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8" customHeight="1" x14ac:dyDescent="0.3">
      <c r="A130" s="39">
        <v>126</v>
      </c>
      <c r="B130" s="40" t="s">
        <v>1250</v>
      </c>
      <c r="C130" s="41" t="s">
        <v>1251</v>
      </c>
      <c r="D130" s="39" t="s">
        <v>1095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8"/>
        <v>✓ OK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19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20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21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8" customHeight="1" x14ac:dyDescent="0.3">
      <c r="A131" s="23">
        <v>127</v>
      </c>
      <c r="B131" s="24" t="s">
        <v>1252</v>
      </c>
      <c r="C131" s="25" t="s">
        <v>1253</v>
      </c>
      <c r="D131" s="23" t="s">
        <v>1095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8"/>
        <v>✓ OK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19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20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21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8" customHeight="1" x14ac:dyDescent="0.3">
      <c r="A132" s="39">
        <v>128</v>
      </c>
      <c r="B132" s="40" t="s">
        <v>1254</v>
      </c>
      <c r="C132" s="41" t="s">
        <v>1255</v>
      </c>
      <c r="D132" s="39" t="s">
        <v>1095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8"/>
        <v>✓ OK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19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20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21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8" customHeight="1" x14ac:dyDescent="0.3">
      <c r="A133" s="23">
        <v>129</v>
      </c>
      <c r="B133" s="24" t="s">
        <v>1256</v>
      </c>
      <c r="C133" s="25" t="s">
        <v>1257</v>
      </c>
      <c r="D133" s="23" t="s">
        <v>1095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23">IF(E133="","",IF(H133="Yes","❌ Disc",IF(G133="No","⚠ Missing",IF(J133="Yes","✓ OK","⚠ Check"))))</f>
        <v>✓ OK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24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si="20"/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21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8" customHeight="1" x14ac:dyDescent="0.3">
      <c r="A134" s="39">
        <v>130</v>
      </c>
      <c r="B134" s="40" t="s">
        <v>1258</v>
      </c>
      <c r="C134" s="41" t="s">
        <v>1259</v>
      </c>
      <c r="D134" s="39" t="s">
        <v>1095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23"/>
        <v>✓ OK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24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20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8" customHeight="1" x14ac:dyDescent="0.3">
      <c r="A135" s="23">
        <v>131</v>
      </c>
      <c r="B135" s="24" t="s">
        <v>1260</v>
      </c>
      <c r="C135" s="25" t="s">
        <v>1261</v>
      </c>
      <c r="D135" s="23" t="s">
        <v>1095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23"/>
        <v>✓ OK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24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20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8" customHeight="1" x14ac:dyDescent="0.3">
      <c r="A136" s="39">
        <v>132</v>
      </c>
      <c r="B136" s="40" t="s">
        <v>1262</v>
      </c>
      <c r="C136" s="41" t="s">
        <v>1263</v>
      </c>
      <c r="D136" s="39" t="s">
        <v>1095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23"/>
        <v>✓ OK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24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20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8" customHeight="1" x14ac:dyDescent="0.3">
      <c r="A137" s="23">
        <v>133</v>
      </c>
      <c r="B137" s="24" t="s">
        <v>1264</v>
      </c>
      <c r="C137" s="25" t="s">
        <v>1265</v>
      </c>
      <c r="D137" s="23" t="s">
        <v>1095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23"/>
        <v>✓ OK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24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20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8" customHeight="1" x14ac:dyDescent="0.3">
      <c r="A138" s="39">
        <v>134</v>
      </c>
      <c r="B138" s="40" t="s">
        <v>1266</v>
      </c>
      <c r="C138" s="41" t="s">
        <v>1267</v>
      </c>
      <c r="D138" s="39" t="s">
        <v>1095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277</v>
      </c>
      <c r="J138" s="26" t="s">
        <v>57</v>
      </c>
      <c r="K138" s="27" t="s">
        <v>1116</v>
      </c>
      <c r="L138" s="28" t="s">
        <v>56</v>
      </c>
      <c r="M138" s="29" t="str">
        <f t="shared" si="23"/>
        <v>⚠ Check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277</v>
      </c>
      <c r="S138" s="26" t="s">
        <v>57</v>
      </c>
      <c r="T138" s="27" t="s">
        <v>1116</v>
      </c>
      <c r="U138" s="28" t="s">
        <v>56</v>
      </c>
      <c r="V138" s="29" t="str">
        <f t="shared" si="24"/>
        <v>⚠ Check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277</v>
      </c>
      <c r="AB138" s="30" t="s">
        <v>57</v>
      </c>
      <c r="AC138" s="27" t="s">
        <v>1116</v>
      </c>
      <c r="AD138" s="31" t="s">
        <v>56</v>
      </c>
      <c r="AE138" s="32" t="str">
        <f t="shared" si="20"/>
        <v>⚠ Check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8" customHeight="1" x14ac:dyDescent="0.3">
      <c r="A139" s="23">
        <v>135</v>
      </c>
      <c r="B139" s="24" t="s">
        <v>1268</v>
      </c>
      <c r="C139" s="25" t="s">
        <v>1269</v>
      </c>
      <c r="D139" s="23" t="s">
        <v>1095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1131</v>
      </c>
      <c r="J139" s="26" t="s">
        <v>57</v>
      </c>
      <c r="K139" s="27" t="s">
        <v>1116</v>
      </c>
      <c r="L139" s="28" t="s">
        <v>56</v>
      </c>
      <c r="M139" s="29" t="str">
        <f t="shared" si="23"/>
        <v>⚠ Check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1131</v>
      </c>
      <c r="S139" s="26" t="s">
        <v>57</v>
      </c>
      <c r="T139" s="27" t="s">
        <v>1116</v>
      </c>
      <c r="U139" s="28" t="s">
        <v>56</v>
      </c>
      <c r="V139" s="29" t="str">
        <f t="shared" si="24"/>
        <v>⚠ Check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1131</v>
      </c>
      <c r="AB139" s="30" t="s">
        <v>57</v>
      </c>
      <c r="AC139" s="27" t="s">
        <v>1116</v>
      </c>
      <c r="AD139" s="31" t="s">
        <v>56</v>
      </c>
      <c r="AE139" s="32" t="str">
        <f t="shared" si="20"/>
        <v>⚠ Check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8" customHeight="1" x14ac:dyDescent="0.3">
      <c r="A140" s="39">
        <v>136</v>
      </c>
      <c r="B140" s="40" t="s">
        <v>1270</v>
      </c>
      <c r="C140" s="41" t="s">
        <v>1271</v>
      </c>
      <c r="D140" s="39" t="s">
        <v>1095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23"/>
        <v>✓ OK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24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20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8" customHeight="1" x14ac:dyDescent="0.3">
      <c r="A141" s="23">
        <v>137</v>
      </c>
      <c r="B141" s="24" t="s">
        <v>1272</v>
      </c>
      <c r="C141" s="25" t="s">
        <v>1273</v>
      </c>
      <c r="D141" s="23" t="s">
        <v>1095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23"/>
        <v>✓ OK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24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20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8" customHeight="1" x14ac:dyDescent="0.3">
      <c r="A142" s="39">
        <v>138</v>
      </c>
      <c r="B142" s="40" t="s">
        <v>1274</v>
      </c>
      <c r="C142" s="41" t="s">
        <v>1275</v>
      </c>
      <c r="D142" s="39" t="s">
        <v>1095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23"/>
        <v>✓ OK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24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20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8" customHeight="1" x14ac:dyDescent="0.3">
      <c r="A143" s="23">
        <v>139</v>
      </c>
      <c r="B143" s="24" t="s">
        <v>1276</v>
      </c>
      <c r="C143" s="25" t="s">
        <v>1277</v>
      </c>
      <c r="D143" s="23" t="s">
        <v>1095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23"/>
        <v>✓ OK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24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20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8" customHeight="1" x14ac:dyDescent="0.3">
      <c r="A144" s="39">
        <v>140</v>
      </c>
      <c r="B144" s="40" t="s">
        <v>1278</v>
      </c>
      <c r="C144" s="41" t="s">
        <v>1279</v>
      </c>
      <c r="D144" s="39" t="s">
        <v>1095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23"/>
        <v>✓ OK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24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20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8" customHeight="1" x14ac:dyDescent="0.3">
      <c r="A145" s="23">
        <v>141</v>
      </c>
      <c r="B145" s="24" t="s">
        <v>1280</v>
      </c>
      <c r="C145" s="25" t="s">
        <v>1281</v>
      </c>
      <c r="D145" s="23" t="s">
        <v>1095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23"/>
        <v>✓ OK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24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20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8" customHeight="1" x14ac:dyDescent="0.3">
      <c r="A146" s="39">
        <v>142</v>
      </c>
      <c r="B146" s="40" t="s">
        <v>1282</v>
      </c>
      <c r="C146" s="41" t="s">
        <v>1283</v>
      </c>
      <c r="D146" s="39" t="s">
        <v>1095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23"/>
        <v>✓ OK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24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20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8" customHeight="1" x14ac:dyDescent="0.3">
      <c r="A147" s="23">
        <v>143</v>
      </c>
      <c r="B147" s="24" t="s">
        <v>1284</v>
      </c>
      <c r="C147" s="25" t="s">
        <v>1285</v>
      </c>
      <c r="D147" s="23" t="s">
        <v>1095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23"/>
        <v>✓ OK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24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20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8" customHeight="1" x14ac:dyDescent="0.3">
      <c r="A148" s="39">
        <v>144</v>
      </c>
      <c r="B148" s="40" t="s">
        <v>1286</v>
      </c>
      <c r="C148" s="41" t="s">
        <v>1287</v>
      </c>
      <c r="D148" s="39" t="s">
        <v>1095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23"/>
        <v>✓ OK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24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20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8" customHeight="1" x14ac:dyDescent="0.3">
      <c r="A149" s="23">
        <v>145</v>
      </c>
      <c r="B149" s="24" t="s">
        <v>1288</v>
      </c>
      <c r="C149" s="25" t="s">
        <v>1289</v>
      </c>
      <c r="D149" s="23" t="s">
        <v>1095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277</v>
      </c>
      <c r="J149" s="26" t="s">
        <v>57</v>
      </c>
      <c r="K149" s="27" t="s">
        <v>1116</v>
      </c>
      <c r="L149" s="28" t="s">
        <v>56</v>
      </c>
      <c r="M149" s="29" t="str">
        <f t="shared" si="23"/>
        <v>⚠ Check</v>
      </c>
      <c r="N149" s="42">
        <v>46185</v>
      </c>
      <c r="O149" s="26" t="s">
        <v>55</v>
      </c>
      <c r="P149" s="26" t="s">
        <v>57</v>
      </c>
      <c r="Q149" s="26" t="s">
        <v>56</v>
      </c>
      <c r="R149" s="26" t="s">
        <v>61</v>
      </c>
      <c r="S149" s="26" t="s">
        <v>57</v>
      </c>
      <c r="T149" s="27"/>
      <c r="U149" s="28" t="s">
        <v>57</v>
      </c>
      <c r="V149" s="29" t="str">
        <f t="shared" si="24"/>
        <v>❌ Disc</v>
      </c>
      <c r="W149" s="70">
        <v>46248</v>
      </c>
      <c r="X149" s="30" t="s">
        <v>60</v>
      </c>
      <c r="Y149" s="30" t="s">
        <v>57</v>
      </c>
      <c r="Z149" s="30" t="s">
        <v>56</v>
      </c>
      <c r="AA149" s="30" t="s">
        <v>61</v>
      </c>
      <c r="AB149" s="30" t="s">
        <v>57</v>
      </c>
      <c r="AC149" s="27"/>
      <c r="AD149" s="31" t="s">
        <v>57</v>
      </c>
      <c r="AE149" s="32" t="str">
        <f t="shared" si="20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8" customHeight="1" x14ac:dyDescent="0.3">
      <c r="A150" s="39">
        <v>146</v>
      </c>
      <c r="B150" s="40" t="s">
        <v>1290</v>
      </c>
      <c r="C150" s="41" t="s">
        <v>1291</v>
      </c>
      <c r="D150" s="39" t="s">
        <v>1095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89</v>
      </c>
      <c r="J150" s="26" t="s">
        <v>57</v>
      </c>
      <c r="K150" s="27" t="s">
        <v>90</v>
      </c>
      <c r="L150" s="28" t="s">
        <v>56</v>
      </c>
      <c r="M150" s="29" t="str">
        <f t="shared" si="23"/>
        <v>⚠ Missing</v>
      </c>
      <c r="N150" s="42">
        <v>46185</v>
      </c>
      <c r="O150" s="26" t="s">
        <v>55</v>
      </c>
      <c r="P150" s="26" t="s">
        <v>57</v>
      </c>
      <c r="Q150" s="26" t="s">
        <v>57</v>
      </c>
      <c r="R150" s="26" t="s">
        <v>89</v>
      </c>
      <c r="S150" s="26" t="s">
        <v>57</v>
      </c>
      <c r="T150" s="27" t="s">
        <v>90</v>
      </c>
      <c r="U150" s="28" t="s">
        <v>56</v>
      </c>
      <c r="V150" s="29" t="str">
        <f t="shared" si="24"/>
        <v>⚠ Missing</v>
      </c>
      <c r="W150" s="70">
        <v>46248</v>
      </c>
      <c r="X150" s="30" t="s">
        <v>55</v>
      </c>
      <c r="Y150" s="30" t="s">
        <v>57</v>
      </c>
      <c r="Z150" s="30" t="s">
        <v>57</v>
      </c>
      <c r="AA150" s="30" t="s">
        <v>89</v>
      </c>
      <c r="AB150" s="30" t="s">
        <v>57</v>
      </c>
      <c r="AC150" s="27" t="s">
        <v>90</v>
      </c>
      <c r="AD150" s="31" t="s">
        <v>56</v>
      </c>
      <c r="AE150" s="32" t="str">
        <f t="shared" si="20"/>
        <v>⚠ Missing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8" customHeight="1" x14ac:dyDescent="0.3">
      <c r="A151" s="23">
        <v>147</v>
      </c>
      <c r="B151" s="24" t="s">
        <v>1292</v>
      </c>
      <c r="C151" s="25" t="s">
        <v>1293</v>
      </c>
      <c r="D151" s="23" t="s">
        <v>1095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89</v>
      </c>
      <c r="J151" s="26" t="s">
        <v>57</v>
      </c>
      <c r="K151" s="27" t="s">
        <v>90</v>
      </c>
      <c r="L151" s="28" t="s">
        <v>56</v>
      </c>
      <c r="M151" s="29" t="str">
        <f t="shared" si="23"/>
        <v>⚠ Missing</v>
      </c>
      <c r="N151" s="42">
        <v>46185</v>
      </c>
      <c r="O151" s="26" t="s">
        <v>55</v>
      </c>
      <c r="P151" s="26" t="s">
        <v>57</v>
      </c>
      <c r="Q151" s="26" t="s">
        <v>56</v>
      </c>
      <c r="R151" s="26" t="s">
        <v>61</v>
      </c>
      <c r="S151" s="26" t="s">
        <v>57</v>
      </c>
      <c r="T151" s="27"/>
      <c r="U151" s="28" t="s">
        <v>57</v>
      </c>
      <c r="V151" s="29" t="str">
        <f t="shared" si="24"/>
        <v>❌ Disc</v>
      </c>
      <c r="W151" s="70">
        <v>46248</v>
      </c>
      <c r="X151" s="30" t="s">
        <v>60</v>
      </c>
      <c r="Y151" s="30" t="s">
        <v>57</v>
      </c>
      <c r="Z151" s="30" t="s">
        <v>56</v>
      </c>
      <c r="AA151" s="30" t="s">
        <v>61</v>
      </c>
      <c r="AB151" s="30" t="s">
        <v>57</v>
      </c>
      <c r="AC151" s="27"/>
      <c r="AD151" s="31" t="s">
        <v>57</v>
      </c>
      <c r="AE151" s="32" t="str">
        <f t="shared" si="20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8" customHeight="1" x14ac:dyDescent="0.3">
      <c r="A152" s="39">
        <v>148</v>
      </c>
      <c r="B152" s="40" t="s">
        <v>1294</v>
      </c>
      <c r="C152" s="41" t="s">
        <v>1295</v>
      </c>
      <c r="D152" s="39" t="s">
        <v>1095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23"/>
        <v>✓ OK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24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20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8" customHeight="1" x14ac:dyDescent="0.3">
      <c r="A153" s="23">
        <v>149</v>
      </c>
      <c r="B153" s="24" t="s">
        <v>1296</v>
      </c>
      <c r="C153" s="25" t="s">
        <v>1297</v>
      </c>
      <c r="D153" s="23" t="s">
        <v>1095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23"/>
        <v>✓ OK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24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20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8" customHeight="1" x14ac:dyDescent="0.3">
      <c r="A154" s="39">
        <v>150</v>
      </c>
      <c r="B154" s="40" t="s">
        <v>1298</v>
      </c>
      <c r="C154" s="41" t="s">
        <v>1299</v>
      </c>
      <c r="D154" s="23" t="s">
        <v>1095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23"/>
        <v>✓ OK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24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20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8" customHeight="1" x14ac:dyDescent="0.3">
      <c r="A155" s="23">
        <v>151</v>
      </c>
      <c r="B155" s="24" t="s">
        <v>1300</v>
      </c>
      <c r="C155" s="25" t="s">
        <v>1301</v>
      </c>
      <c r="D155" s="23" t="s">
        <v>1095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23"/>
        <v>✓ OK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24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20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8" customHeight="1" x14ac:dyDescent="0.3">
      <c r="A156" s="39">
        <v>152</v>
      </c>
      <c r="B156" s="40" t="s">
        <v>1302</v>
      </c>
      <c r="C156" s="41" t="s">
        <v>1303</v>
      </c>
      <c r="D156" s="39" t="s">
        <v>1095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23"/>
        <v>✓ OK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24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20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8" customHeight="1" x14ac:dyDescent="0.3">
      <c r="A157" s="23">
        <v>153</v>
      </c>
      <c r="B157" s="24" t="s">
        <v>1304</v>
      </c>
      <c r="C157" s="25" t="s">
        <v>1305</v>
      </c>
      <c r="D157" s="23" t="s">
        <v>1095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23"/>
        <v>✓ OK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24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20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8" customHeight="1" x14ac:dyDescent="0.3">
      <c r="A158" s="39">
        <v>154</v>
      </c>
      <c r="B158" s="40" t="s">
        <v>1306</v>
      </c>
      <c r="C158" s="41" t="s">
        <v>1307</v>
      </c>
      <c r="D158" s="39" t="s">
        <v>1095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23"/>
        <v>✓ OK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24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20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8" customHeight="1" x14ac:dyDescent="0.3">
      <c r="A159" s="23">
        <v>155</v>
      </c>
      <c r="B159" s="24" t="s">
        <v>1308</v>
      </c>
      <c r="C159" s="25" t="s">
        <v>1309</v>
      </c>
      <c r="D159" s="23" t="s">
        <v>1095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23"/>
        <v>✓ OK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24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ref="AE159:AE168" si="25"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ref="AN159:AN168" si="26"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8" customHeight="1" x14ac:dyDescent="0.3">
      <c r="A160" s="39">
        <v>156</v>
      </c>
      <c r="B160" s="40" t="s">
        <v>1310</v>
      </c>
      <c r="C160" s="41" t="s">
        <v>1311</v>
      </c>
      <c r="D160" s="39" t="s">
        <v>1095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23"/>
        <v>✓ OK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24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25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6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8" customHeight="1" x14ac:dyDescent="0.3">
      <c r="A161" s="23">
        <v>157</v>
      </c>
      <c r="B161" s="24" t="s">
        <v>1312</v>
      </c>
      <c r="C161" s="25" t="s">
        <v>1313</v>
      </c>
      <c r="D161" s="23" t="s">
        <v>1095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23"/>
        <v>✓ OK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24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25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6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8" customHeight="1" x14ac:dyDescent="0.3">
      <c r="A162" s="39">
        <v>158</v>
      </c>
      <c r="B162" s="40" t="s">
        <v>1314</v>
      </c>
      <c r="C162" s="41" t="s">
        <v>1315</v>
      </c>
      <c r="D162" s="39" t="s">
        <v>1095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23"/>
        <v>✓ OK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24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25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6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8" customHeight="1" x14ac:dyDescent="0.3">
      <c r="A163" s="23">
        <v>159</v>
      </c>
      <c r="B163" s="24" t="s">
        <v>1316</v>
      </c>
      <c r="C163" s="25" t="s">
        <v>1317</v>
      </c>
      <c r="D163" s="23" t="s">
        <v>1095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23"/>
        <v>✓ OK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24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25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6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8" customHeight="1" x14ac:dyDescent="0.3">
      <c r="A164" s="39">
        <v>160</v>
      </c>
      <c r="B164" s="40" t="s">
        <v>1318</v>
      </c>
      <c r="C164" s="41" t="s">
        <v>1319</v>
      </c>
      <c r="D164" s="39" t="s">
        <v>1095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23"/>
        <v>✓ OK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24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25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6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8" customHeight="1" x14ac:dyDescent="0.3">
      <c r="A165" s="23">
        <v>161</v>
      </c>
      <c r="B165" s="24" t="s">
        <v>1320</v>
      </c>
      <c r="C165" s="25" t="s">
        <v>1321</v>
      </c>
      <c r="D165" s="23" t="s">
        <v>1095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23"/>
        <v>✓ OK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24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25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6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8" customHeight="1" x14ac:dyDescent="0.3">
      <c r="A166" s="39">
        <v>162</v>
      </c>
      <c r="B166" s="40" t="s">
        <v>1322</v>
      </c>
      <c r="C166" s="41" t="s">
        <v>1323</v>
      </c>
      <c r="D166" s="39" t="s">
        <v>1095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23"/>
        <v>✓ OK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24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25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6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8" customHeight="1" x14ac:dyDescent="0.3">
      <c r="A167" s="23">
        <v>163</v>
      </c>
      <c r="B167" s="24" t="s">
        <v>1324</v>
      </c>
      <c r="C167" s="25" t="s">
        <v>1325</v>
      </c>
      <c r="D167" s="23" t="s">
        <v>1095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23"/>
        <v>✓ OK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24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25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6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8" customHeight="1" x14ac:dyDescent="0.3">
      <c r="A168" s="39">
        <v>164</v>
      </c>
      <c r="B168" s="40" t="s">
        <v>1326</v>
      </c>
      <c r="C168" s="41" t="s">
        <v>1327</v>
      </c>
      <c r="D168" s="39" t="s">
        <v>1095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23"/>
        <v>✓ OK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24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25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6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6:M59 O16:Q16 S16:AW16 D60:H62 O60:Q62 A63:M168 O149:Q149 S149:AW149 O151:Q151 S151:AW151 S60:S62 M60:M62 U60:V62 N6:N168 O6:AW15 O17:AW59 O63:AW148 O150:AW150 O152:AW168">
    <cfRule type="expression" dxfId="445" priority="57">
      <formula>MOD(ROW(),2)=0</formula>
    </cfRule>
  </conditionalFormatting>
  <conditionalFormatting sqref="I60:J62">
    <cfRule type="expression" dxfId="444" priority="7">
      <formula>MOD(ROW(),2)=0</formula>
    </cfRule>
  </conditionalFormatting>
  <conditionalFormatting sqref="J5:J168 S5:S168 Y5:Y59 AB5:AB59 AH5:AH59 AK5:AK59 AQ5:AQ59 AT5:AT59 G5:G168 P5:P168 Y63:Y168 AB63:AB168 AH63:AH168 AK63:AK168 AQ63:AQ168 AT63:AT168">
    <cfRule type="expression" dxfId="443" priority="16">
      <formula>G5="Yes"</formula>
    </cfRule>
  </conditionalFormatting>
  <conditionalFormatting sqref="R16 R60:S62 R149 R151">
    <cfRule type="expression" dxfId="442" priority="1">
      <formula>MOD(ROW(),2)=0</formula>
    </cfRule>
  </conditionalFormatting>
  <conditionalFormatting sqref="Y5:Y59 AB5:AB59 AH5:AH59 AK5:AK59 AQ5:AQ59 AT5:AT59 G5:G168 J5:J168 P5:P168 S5:S168 Y63:Y168 AB63:AB168 AH63:AH168 AK63:AK168 AQ63:AQ168 AT63:AT168">
    <cfRule type="expression" dxfId="441" priority="17">
      <formula>G5="No"</formula>
    </cfRule>
  </conditionalFormatting>
  <conditionalFormatting sqref="AI5:AI59 AR5:AR59 H5:H168 Q5:Q168 AI63:AI168 AR63:AR168 Z5:Z59 Z63:Z168">
    <cfRule type="expression" dxfId="440" priority="18">
      <formula>H5="Yes"</formula>
    </cfRule>
  </conditionalFormatting>
  <conditionalFormatting sqref="AE5:AE59 AN5:AN59 AW5:AW59 M5:M168 V5:V168 AE63:AE168 AN63:AN168 AW63:AW168">
    <cfRule type="expression" dxfId="439" priority="12">
      <formula>M5="✓ OK"</formula>
    </cfRule>
    <cfRule type="expression" dxfId="438" priority="13">
      <formula>M5="❌ Disc"</formula>
    </cfRule>
    <cfRule type="expression" dxfId="437" priority="14">
      <formula>M5="⚠ Missing"</formula>
    </cfRule>
    <cfRule type="expression" dxfId="436" priority="15">
      <formula>M5="⚠ Check"</formula>
    </cfRule>
  </conditionalFormatting>
  <dataValidations count="2">
    <dataValidation type="list" allowBlank="1" sqref="G5:H168 J5:J168 P5:Q168 S5:S168 AT63:AT168 Y5:Z59 AB5:AB59 AB63:AB168 AH5:AI59 AH63:AI168 AK5:AK59 AK63:AK168 AQ5:AR59 AQ63:AR168 AT5:AT59 Y63:Z168" xr:uid="{00000000-0002-0000-0400-000000000000}">
      <formula1>"Yes,No"</formula1>
    </dataValidation>
    <dataValidation type="list" allowBlank="1" sqref="I5:I168 R5:R168 AA5:AA59 AA63:AA168 AJ5:AJ59 AJ63:AJ168 AS5:AS59 AS63:AS168" xr:uid="{00000000-0002-0000-04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U5" activePane="bottomRight" state="frozen"/>
      <selection pane="topRight" activeCell="H13" sqref="H13"/>
      <selection pane="bottomLeft" activeCell="H13" sqref="H13"/>
      <selection pane="bottomRight" activeCell="Y4" sqref="Y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1328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1329</v>
      </c>
      <c r="C5" s="25" t="s">
        <v>1330</v>
      </c>
      <c r="D5" s="23" t="s">
        <v>1331</v>
      </c>
      <c r="E5" s="42">
        <v>46132</v>
      </c>
      <c r="F5" s="26" t="s">
        <v>55</v>
      </c>
      <c r="G5" s="26" t="s">
        <v>57</v>
      </c>
      <c r="H5" s="26" t="s">
        <v>57</v>
      </c>
      <c r="I5" s="26" t="s">
        <v>89</v>
      </c>
      <c r="J5" s="26" t="s">
        <v>57</v>
      </c>
      <c r="K5" s="27" t="s">
        <v>90</v>
      </c>
      <c r="L5" s="28" t="s">
        <v>56</v>
      </c>
      <c r="M5" s="29" t="str">
        <f t="shared" ref="M5:M68" si="0">IF(E5="","",IF(H5="Yes","❌ Disc",IF(G5="No","⚠ Missing",IF(J5="Yes","✓ OK","⚠ Check"))))</f>
        <v>⚠ Missing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1332</v>
      </c>
      <c r="C6" s="41" t="s">
        <v>1333</v>
      </c>
      <c r="D6" s="39" t="s">
        <v>1331</v>
      </c>
      <c r="E6" s="42">
        <v>46132</v>
      </c>
      <c r="F6" s="26" t="s">
        <v>55</v>
      </c>
      <c r="G6" s="26" t="s">
        <v>57</v>
      </c>
      <c r="H6" s="26" t="s">
        <v>57</v>
      </c>
      <c r="I6" s="26" t="s">
        <v>89</v>
      </c>
      <c r="J6" s="26" t="s">
        <v>57</v>
      </c>
      <c r="K6" s="27" t="s">
        <v>90</v>
      </c>
      <c r="L6" s="28" t="s">
        <v>56</v>
      </c>
      <c r="M6" s="29" t="str">
        <f t="shared" si="0"/>
        <v>⚠ Missing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1334</v>
      </c>
      <c r="C7" s="25" t="s">
        <v>1335</v>
      </c>
      <c r="D7" s="23" t="s">
        <v>1331</v>
      </c>
      <c r="E7" s="42">
        <v>46132</v>
      </c>
      <c r="F7" s="26" t="s">
        <v>55</v>
      </c>
      <c r="G7" s="26" t="s">
        <v>57</v>
      </c>
      <c r="H7" s="26" t="s">
        <v>57</v>
      </c>
      <c r="I7" s="26" t="s">
        <v>89</v>
      </c>
      <c r="J7" s="26" t="s">
        <v>57</v>
      </c>
      <c r="K7" s="27" t="s">
        <v>90</v>
      </c>
      <c r="L7" s="28" t="s">
        <v>56</v>
      </c>
      <c r="M7" s="29" t="str">
        <f t="shared" si="0"/>
        <v>⚠ Missing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1336</v>
      </c>
      <c r="C8" s="41" t="s">
        <v>1337</v>
      </c>
      <c r="D8" s="39" t="s">
        <v>1331</v>
      </c>
      <c r="E8" s="42">
        <v>46132</v>
      </c>
      <c r="F8" s="26" t="s">
        <v>55</v>
      </c>
      <c r="G8" s="26" t="s">
        <v>57</v>
      </c>
      <c r="H8" s="26" t="s">
        <v>57</v>
      </c>
      <c r="I8" s="26" t="s">
        <v>89</v>
      </c>
      <c r="J8" s="26" t="s">
        <v>57</v>
      </c>
      <c r="K8" s="27" t="s">
        <v>90</v>
      </c>
      <c r="L8" s="28" t="s">
        <v>56</v>
      </c>
      <c r="M8" s="29" t="str">
        <f t="shared" si="0"/>
        <v>⚠ Missing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1338</v>
      </c>
      <c r="C9" s="25" t="s">
        <v>1339</v>
      </c>
      <c r="D9" s="23" t="s">
        <v>1331</v>
      </c>
      <c r="E9" s="42">
        <v>46132</v>
      </c>
      <c r="F9" s="26" t="s">
        <v>55</v>
      </c>
      <c r="G9" s="26" t="s">
        <v>57</v>
      </c>
      <c r="H9" s="26" t="s">
        <v>57</v>
      </c>
      <c r="I9" s="26" t="s">
        <v>89</v>
      </c>
      <c r="J9" s="26" t="s">
        <v>57</v>
      </c>
      <c r="K9" s="27" t="s">
        <v>90</v>
      </c>
      <c r="L9" s="28" t="s">
        <v>56</v>
      </c>
      <c r="M9" s="29" t="str">
        <f t="shared" si="0"/>
        <v>⚠ Missing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1340</v>
      </c>
      <c r="C10" s="41" t="s">
        <v>1341</v>
      </c>
      <c r="D10" s="39" t="s">
        <v>1331</v>
      </c>
      <c r="E10" s="42">
        <v>46132</v>
      </c>
      <c r="F10" s="26" t="s">
        <v>55</v>
      </c>
      <c r="G10" s="26" t="s">
        <v>57</v>
      </c>
      <c r="H10" s="26" t="s">
        <v>57</v>
      </c>
      <c r="I10" s="26" t="s">
        <v>89</v>
      </c>
      <c r="J10" s="26" t="s">
        <v>57</v>
      </c>
      <c r="K10" s="27" t="s">
        <v>90</v>
      </c>
      <c r="L10" s="28" t="s">
        <v>56</v>
      </c>
      <c r="M10" s="29" t="str">
        <f t="shared" si="0"/>
        <v>⚠ Missing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1342</v>
      </c>
      <c r="C11" s="25" t="s">
        <v>1343</v>
      </c>
      <c r="D11" s="23" t="s">
        <v>1331</v>
      </c>
      <c r="E11" s="42">
        <v>46132</v>
      </c>
      <c r="F11" s="26" t="s">
        <v>55</v>
      </c>
      <c r="G11" s="26" t="s">
        <v>57</v>
      </c>
      <c r="H11" s="26" t="s">
        <v>57</v>
      </c>
      <c r="I11" s="26" t="s">
        <v>89</v>
      </c>
      <c r="J11" s="26" t="s">
        <v>57</v>
      </c>
      <c r="K11" s="27" t="s">
        <v>90</v>
      </c>
      <c r="L11" s="28" t="s">
        <v>56</v>
      </c>
      <c r="M11" s="29" t="str">
        <f t="shared" si="0"/>
        <v>⚠ Missing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1344</v>
      </c>
      <c r="C12" s="41" t="s">
        <v>1345</v>
      </c>
      <c r="D12" s="39" t="s">
        <v>1331</v>
      </c>
      <c r="E12" s="42">
        <v>46132</v>
      </c>
      <c r="F12" s="26" t="s">
        <v>55</v>
      </c>
      <c r="G12" s="26" t="s">
        <v>57</v>
      </c>
      <c r="H12" s="26" t="s">
        <v>57</v>
      </c>
      <c r="I12" s="26" t="s">
        <v>89</v>
      </c>
      <c r="J12" s="26" t="s">
        <v>57</v>
      </c>
      <c r="K12" s="27" t="s">
        <v>90</v>
      </c>
      <c r="L12" s="28" t="s">
        <v>56</v>
      </c>
      <c r="M12" s="29" t="str">
        <f t="shared" si="0"/>
        <v>⚠ Missing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1346</v>
      </c>
      <c r="C13" s="25" t="s">
        <v>1347</v>
      </c>
      <c r="D13" s="23" t="s">
        <v>1331</v>
      </c>
      <c r="E13" s="42">
        <v>46132</v>
      </c>
      <c r="F13" s="26" t="s">
        <v>55</v>
      </c>
      <c r="G13" s="26" t="s">
        <v>57</v>
      </c>
      <c r="H13" s="26" t="s">
        <v>57</v>
      </c>
      <c r="I13" s="26" t="s">
        <v>89</v>
      </c>
      <c r="J13" s="26" t="s">
        <v>57</v>
      </c>
      <c r="K13" s="27" t="s">
        <v>90</v>
      </c>
      <c r="L13" s="28" t="s">
        <v>56</v>
      </c>
      <c r="M13" s="29" t="str">
        <f t="shared" si="0"/>
        <v>⚠ Missing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1348</v>
      </c>
      <c r="C14" s="41" t="s">
        <v>1349</v>
      </c>
      <c r="D14" s="39" t="s">
        <v>1331</v>
      </c>
      <c r="E14" s="42">
        <v>46132</v>
      </c>
      <c r="F14" s="26" t="s">
        <v>55</v>
      </c>
      <c r="G14" s="26" t="s">
        <v>57</v>
      </c>
      <c r="H14" s="26" t="s">
        <v>57</v>
      </c>
      <c r="I14" s="26" t="s">
        <v>89</v>
      </c>
      <c r="J14" s="26" t="s">
        <v>57</v>
      </c>
      <c r="K14" s="27" t="s">
        <v>90</v>
      </c>
      <c r="L14" s="28" t="s">
        <v>56</v>
      </c>
      <c r="M14" s="29" t="str">
        <f t="shared" si="0"/>
        <v>⚠ Missing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1350</v>
      </c>
      <c r="C15" s="25" t="s">
        <v>1351</v>
      </c>
      <c r="D15" s="23" t="s">
        <v>1331</v>
      </c>
      <c r="E15" s="42">
        <v>46132</v>
      </c>
      <c r="F15" s="26" t="s">
        <v>55</v>
      </c>
      <c r="G15" s="26" t="s">
        <v>57</v>
      </c>
      <c r="H15" s="26" t="s">
        <v>57</v>
      </c>
      <c r="I15" s="26" t="s">
        <v>89</v>
      </c>
      <c r="J15" s="26" t="s">
        <v>57</v>
      </c>
      <c r="K15" s="27" t="s">
        <v>90</v>
      </c>
      <c r="L15" s="28" t="s">
        <v>56</v>
      </c>
      <c r="M15" s="29" t="str">
        <f t="shared" si="0"/>
        <v>⚠ Missing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1352</v>
      </c>
      <c r="C16" s="41" t="s">
        <v>1353</v>
      </c>
      <c r="D16" s="39" t="s">
        <v>1331</v>
      </c>
      <c r="E16" s="42">
        <v>46132</v>
      </c>
      <c r="F16" s="26" t="s">
        <v>55</v>
      </c>
      <c r="G16" s="26" t="s">
        <v>57</v>
      </c>
      <c r="H16" s="26" t="s">
        <v>57</v>
      </c>
      <c r="I16" s="26" t="s">
        <v>89</v>
      </c>
      <c r="J16" s="26" t="s">
        <v>57</v>
      </c>
      <c r="K16" s="27" t="s">
        <v>90</v>
      </c>
      <c r="L16" s="28" t="s">
        <v>56</v>
      </c>
      <c r="M16" s="29" t="str">
        <f t="shared" si="0"/>
        <v>⚠ Missing</v>
      </c>
      <c r="N16" s="4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1354</v>
      </c>
      <c r="C17" s="25" t="s">
        <v>1355</v>
      </c>
      <c r="D17" s="23" t="s">
        <v>1331</v>
      </c>
      <c r="E17" s="42">
        <v>46132</v>
      </c>
      <c r="F17" s="26" t="s">
        <v>55</v>
      </c>
      <c r="G17" s="26" t="s">
        <v>57</v>
      </c>
      <c r="H17" s="26" t="s">
        <v>57</v>
      </c>
      <c r="I17" s="26" t="s">
        <v>89</v>
      </c>
      <c r="J17" s="26" t="s">
        <v>57</v>
      </c>
      <c r="K17" s="27" t="s">
        <v>90</v>
      </c>
      <c r="L17" s="28" t="s">
        <v>56</v>
      </c>
      <c r="M17" s="29" t="str">
        <f t="shared" si="0"/>
        <v>⚠ Missing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1356</v>
      </c>
      <c r="C18" s="41" t="s">
        <v>1357</v>
      </c>
      <c r="D18" s="39" t="s">
        <v>1331</v>
      </c>
      <c r="E18" s="42">
        <v>46132</v>
      </c>
      <c r="F18" s="26" t="s">
        <v>55</v>
      </c>
      <c r="G18" s="26" t="s">
        <v>57</v>
      </c>
      <c r="H18" s="26" t="s">
        <v>57</v>
      </c>
      <c r="I18" s="26" t="s">
        <v>89</v>
      </c>
      <c r="J18" s="26" t="s">
        <v>57</v>
      </c>
      <c r="K18" s="27" t="s">
        <v>90</v>
      </c>
      <c r="L18" s="28" t="s">
        <v>56</v>
      </c>
      <c r="M18" s="29" t="str">
        <f t="shared" si="0"/>
        <v>⚠ Missing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1358</v>
      </c>
      <c r="C19" s="25" t="s">
        <v>1359</v>
      </c>
      <c r="D19" s="23" t="s">
        <v>1331</v>
      </c>
      <c r="E19" s="42">
        <v>46132</v>
      </c>
      <c r="F19" s="26" t="s">
        <v>55</v>
      </c>
      <c r="G19" s="26" t="s">
        <v>57</v>
      </c>
      <c r="H19" s="26" t="s">
        <v>57</v>
      </c>
      <c r="I19" s="26" t="s">
        <v>89</v>
      </c>
      <c r="J19" s="26" t="s">
        <v>57</v>
      </c>
      <c r="K19" s="27" t="s">
        <v>90</v>
      </c>
      <c r="L19" s="28" t="s">
        <v>56</v>
      </c>
      <c r="M19" s="29" t="str">
        <f t="shared" si="0"/>
        <v>⚠ Missing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1360</v>
      </c>
      <c r="C20" s="41" t="s">
        <v>1361</v>
      </c>
      <c r="D20" s="39" t="s">
        <v>1331</v>
      </c>
      <c r="E20" s="42">
        <v>46132</v>
      </c>
      <c r="F20" s="26" t="s">
        <v>55</v>
      </c>
      <c r="G20" s="26" t="s">
        <v>57</v>
      </c>
      <c r="H20" s="26" t="s">
        <v>57</v>
      </c>
      <c r="I20" s="26" t="s">
        <v>89</v>
      </c>
      <c r="J20" s="26" t="s">
        <v>57</v>
      </c>
      <c r="K20" s="27" t="s">
        <v>90</v>
      </c>
      <c r="L20" s="28" t="s">
        <v>56</v>
      </c>
      <c r="M20" s="29" t="str">
        <f t="shared" si="0"/>
        <v>⚠ Missing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1362</v>
      </c>
      <c r="C21" s="25" t="s">
        <v>1363</v>
      </c>
      <c r="D21" s="23" t="s">
        <v>1331</v>
      </c>
      <c r="E21" s="42">
        <v>46132</v>
      </c>
      <c r="F21" s="26" t="s">
        <v>55</v>
      </c>
      <c r="G21" s="26" t="s">
        <v>57</v>
      </c>
      <c r="H21" s="26" t="s">
        <v>57</v>
      </c>
      <c r="I21" s="26" t="s">
        <v>89</v>
      </c>
      <c r="J21" s="26" t="s">
        <v>57</v>
      </c>
      <c r="K21" s="27" t="s">
        <v>90</v>
      </c>
      <c r="L21" s="28" t="s">
        <v>56</v>
      </c>
      <c r="M21" s="29" t="str">
        <f t="shared" si="0"/>
        <v>⚠ Missing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1364</v>
      </c>
      <c r="C22" s="41" t="s">
        <v>1365</v>
      </c>
      <c r="D22" s="39" t="s">
        <v>1331</v>
      </c>
      <c r="E22" s="42">
        <v>46132</v>
      </c>
      <c r="F22" s="26" t="s">
        <v>55</v>
      </c>
      <c r="G22" s="26" t="s">
        <v>57</v>
      </c>
      <c r="H22" s="26" t="s">
        <v>57</v>
      </c>
      <c r="I22" s="26" t="s">
        <v>89</v>
      </c>
      <c r="J22" s="26" t="s">
        <v>57</v>
      </c>
      <c r="K22" s="27" t="s">
        <v>90</v>
      </c>
      <c r="L22" s="28" t="s">
        <v>56</v>
      </c>
      <c r="M22" s="29" t="str">
        <f t="shared" si="0"/>
        <v>⚠ Missing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1366</v>
      </c>
      <c r="C23" s="25" t="s">
        <v>1367</v>
      </c>
      <c r="D23" s="23" t="s">
        <v>1331</v>
      </c>
      <c r="E23" s="42">
        <v>46132</v>
      </c>
      <c r="F23" s="26" t="s">
        <v>55</v>
      </c>
      <c r="G23" s="26" t="s">
        <v>57</v>
      </c>
      <c r="H23" s="26" t="s">
        <v>57</v>
      </c>
      <c r="I23" s="26" t="s">
        <v>89</v>
      </c>
      <c r="J23" s="26" t="s">
        <v>57</v>
      </c>
      <c r="K23" s="27" t="s">
        <v>90</v>
      </c>
      <c r="L23" s="28" t="s">
        <v>56</v>
      </c>
      <c r="M23" s="29" t="str">
        <f t="shared" si="0"/>
        <v>⚠ Missing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1368</v>
      </c>
      <c r="C24" s="41" t="s">
        <v>1369</v>
      </c>
      <c r="D24" s="39" t="s">
        <v>1331</v>
      </c>
      <c r="E24" s="42">
        <v>46132</v>
      </c>
      <c r="F24" s="26" t="s">
        <v>55</v>
      </c>
      <c r="G24" s="26" t="s">
        <v>57</v>
      </c>
      <c r="H24" s="26" t="s">
        <v>57</v>
      </c>
      <c r="I24" s="26" t="s">
        <v>89</v>
      </c>
      <c r="J24" s="26" t="s">
        <v>57</v>
      </c>
      <c r="K24" s="27" t="s">
        <v>90</v>
      </c>
      <c r="L24" s="28" t="s">
        <v>56</v>
      </c>
      <c r="M24" s="29" t="str">
        <f t="shared" si="0"/>
        <v>⚠ Missing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1370</v>
      </c>
      <c r="C25" s="25" t="s">
        <v>1371</v>
      </c>
      <c r="D25" s="23" t="s">
        <v>1331</v>
      </c>
      <c r="E25" s="42">
        <v>46132</v>
      </c>
      <c r="F25" s="26" t="s">
        <v>55</v>
      </c>
      <c r="G25" s="26" t="s">
        <v>57</v>
      </c>
      <c r="H25" s="26" t="s">
        <v>57</v>
      </c>
      <c r="I25" s="26" t="s">
        <v>89</v>
      </c>
      <c r="J25" s="26" t="s">
        <v>57</v>
      </c>
      <c r="K25" s="27" t="s">
        <v>90</v>
      </c>
      <c r="L25" s="28" t="s">
        <v>56</v>
      </c>
      <c r="M25" s="29" t="str">
        <f t="shared" si="0"/>
        <v>⚠ Missing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1372</v>
      </c>
      <c r="C26" s="41" t="s">
        <v>1373</v>
      </c>
      <c r="D26" s="39" t="s">
        <v>1331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 t="shared" si="0"/>
        <v>⚠ Missing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1374</v>
      </c>
      <c r="C27" s="25" t="s">
        <v>1375</v>
      </c>
      <c r="D27" s="23" t="s">
        <v>1331</v>
      </c>
      <c r="E27" s="42">
        <v>46132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 t="shared" si="0"/>
        <v>⚠ Missing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1376</v>
      </c>
      <c r="C28" s="41" t="s">
        <v>1377</v>
      </c>
      <c r="D28" s="39" t="s">
        <v>1331</v>
      </c>
      <c r="E28" s="42">
        <v>46132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 t="shared" si="0"/>
        <v>⚠ Missing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1378</v>
      </c>
      <c r="C29" s="25" t="s">
        <v>1379</v>
      </c>
      <c r="D29" s="23" t="s">
        <v>1331</v>
      </c>
      <c r="E29" s="42">
        <v>46132</v>
      </c>
      <c r="F29" s="26" t="s">
        <v>55</v>
      </c>
      <c r="G29" s="26" t="s">
        <v>57</v>
      </c>
      <c r="H29" s="26" t="s">
        <v>57</v>
      </c>
      <c r="I29" s="26" t="s">
        <v>89</v>
      </c>
      <c r="J29" s="26" t="s">
        <v>57</v>
      </c>
      <c r="K29" s="27" t="s">
        <v>90</v>
      </c>
      <c r="L29" s="28" t="s">
        <v>56</v>
      </c>
      <c r="M29" s="29" t="str">
        <f t="shared" si="0"/>
        <v>⚠ Missing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1380</v>
      </c>
      <c r="C30" s="41" t="s">
        <v>1381</v>
      </c>
      <c r="D30" s="39" t="s">
        <v>1331</v>
      </c>
      <c r="E30" s="42">
        <v>46132</v>
      </c>
      <c r="F30" s="26" t="s">
        <v>55</v>
      </c>
      <c r="G30" s="26" t="s">
        <v>57</v>
      </c>
      <c r="H30" s="26" t="s">
        <v>57</v>
      </c>
      <c r="I30" s="26" t="s">
        <v>89</v>
      </c>
      <c r="J30" s="26" t="s">
        <v>57</v>
      </c>
      <c r="K30" s="27" t="s">
        <v>90</v>
      </c>
      <c r="L30" s="28" t="s">
        <v>56</v>
      </c>
      <c r="M30" s="29" t="str">
        <f t="shared" si="0"/>
        <v>⚠ Missing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1382</v>
      </c>
      <c r="C31" s="25" t="s">
        <v>1383</v>
      </c>
      <c r="D31" s="23" t="s">
        <v>1331</v>
      </c>
      <c r="E31" s="42">
        <v>46132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 t="shared" si="0"/>
        <v>⚠ Missing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1384</v>
      </c>
      <c r="C32" s="41" t="s">
        <v>1385</v>
      </c>
      <c r="D32" s="39" t="s">
        <v>1331</v>
      </c>
      <c r="E32" s="42">
        <v>46132</v>
      </c>
      <c r="F32" s="26" t="s">
        <v>55</v>
      </c>
      <c r="G32" s="26" t="s">
        <v>57</v>
      </c>
      <c r="H32" s="26" t="s">
        <v>57</v>
      </c>
      <c r="I32" s="26" t="s">
        <v>89</v>
      </c>
      <c r="J32" s="26" t="s">
        <v>57</v>
      </c>
      <c r="K32" s="27" t="s">
        <v>90</v>
      </c>
      <c r="L32" s="28" t="s">
        <v>56</v>
      </c>
      <c r="M32" s="29" t="str">
        <f t="shared" si="0"/>
        <v>⚠ Missing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1386</v>
      </c>
      <c r="C33" s="25" t="s">
        <v>1387</v>
      </c>
      <c r="D33" s="23" t="s">
        <v>1331</v>
      </c>
      <c r="E33" s="42">
        <v>46132</v>
      </c>
      <c r="F33" s="26" t="s">
        <v>55</v>
      </c>
      <c r="G33" s="26" t="s">
        <v>57</v>
      </c>
      <c r="H33" s="26" t="s">
        <v>57</v>
      </c>
      <c r="I33" s="26" t="s">
        <v>89</v>
      </c>
      <c r="J33" s="26" t="s">
        <v>57</v>
      </c>
      <c r="K33" s="27" t="s">
        <v>90</v>
      </c>
      <c r="L33" s="28" t="s">
        <v>56</v>
      </c>
      <c r="M33" s="29" t="str">
        <f t="shared" si="0"/>
        <v>⚠ Missing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1388</v>
      </c>
      <c r="C34" s="41" t="s">
        <v>1389</v>
      </c>
      <c r="D34" s="39" t="s">
        <v>1331</v>
      </c>
      <c r="E34" s="42">
        <v>46132</v>
      </c>
      <c r="F34" s="26" t="s">
        <v>55</v>
      </c>
      <c r="G34" s="26" t="s">
        <v>57</v>
      </c>
      <c r="H34" s="26" t="s">
        <v>57</v>
      </c>
      <c r="I34" s="26" t="s">
        <v>89</v>
      </c>
      <c r="J34" s="26" t="s">
        <v>57</v>
      </c>
      <c r="K34" s="27" t="s">
        <v>90</v>
      </c>
      <c r="L34" s="28" t="s">
        <v>56</v>
      </c>
      <c r="M34" s="29" t="str">
        <f t="shared" si="0"/>
        <v>⚠ Missing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1390</v>
      </c>
      <c r="C35" s="25" t="s">
        <v>1391</v>
      </c>
      <c r="D35" s="23" t="s">
        <v>1331</v>
      </c>
      <c r="E35" s="42">
        <v>46132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 t="shared" si="0"/>
        <v>⚠ Missing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1392</v>
      </c>
      <c r="C36" s="41" t="s">
        <v>1393</v>
      </c>
      <c r="D36" s="39" t="s">
        <v>1331</v>
      </c>
      <c r="E36" s="42">
        <v>46132</v>
      </c>
      <c r="F36" s="26" t="s">
        <v>55</v>
      </c>
      <c r="G36" s="26" t="s">
        <v>57</v>
      </c>
      <c r="H36" s="26" t="s">
        <v>57</v>
      </c>
      <c r="I36" s="26" t="s">
        <v>89</v>
      </c>
      <c r="J36" s="26" t="s">
        <v>57</v>
      </c>
      <c r="K36" s="27" t="s">
        <v>90</v>
      </c>
      <c r="L36" s="28" t="s">
        <v>56</v>
      </c>
      <c r="M36" s="29" t="str">
        <f t="shared" si="0"/>
        <v>⚠ Missing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1394</v>
      </c>
      <c r="C37" s="25" t="s">
        <v>1395</v>
      </c>
      <c r="D37" s="23" t="s">
        <v>1331</v>
      </c>
      <c r="E37" s="42">
        <v>46132</v>
      </c>
      <c r="F37" s="26" t="s">
        <v>55</v>
      </c>
      <c r="G37" s="26" t="s">
        <v>57</v>
      </c>
      <c r="H37" s="26" t="s">
        <v>57</v>
      </c>
      <c r="I37" s="26" t="s">
        <v>89</v>
      </c>
      <c r="J37" s="26" t="s">
        <v>57</v>
      </c>
      <c r="K37" s="27" t="s">
        <v>90</v>
      </c>
      <c r="L37" s="28" t="s">
        <v>56</v>
      </c>
      <c r="M37" s="29" t="str">
        <f t="shared" si="0"/>
        <v>⚠ Missing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1396</v>
      </c>
      <c r="C38" s="41" t="s">
        <v>1397</v>
      </c>
      <c r="D38" s="39" t="s">
        <v>1331</v>
      </c>
      <c r="E38" s="42">
        <v>46132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0"/>
        <v>⚠ Missing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1398</v>
      </c>
      <c r="C39" s="25" t="s">
        <v>1399</v>
      </c>
      <c r="D39" s="23" t="s">
        <v>1331</v>
      </c>
      <c r="E39" s="42">
        <v>46132</v>
      </c>
      <c r="F39" s="26" t="s">
        <v>55</v>
      </c>
      <c r="G39" s="26" t="s">
        <v>57</v>
      </c>
      <c r="H39" s="26" t="s">
        <v>57</v>
      </c>
      <c r="I39" s="26" t="s">
        <v>89</v>
      </c>
      <c r="J39" s="26" t="s">
        <v>57</v>
      </c>
      <c r="K39" s="27" t="s">
        <v>90</v>
      </c>
      <c r="L39" s="28" t="s">
        <v>56</v>
      </c>
      <c r="M39" s="29" t="str">
        <f t="shared" si="0"/>
        <v>⚠ Missing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1400</v>
      </c>
      <c r="C40" s="41" t="s">
        <v>1401</v>
      </c>
      <c r="D40" s="39" t="s">
        <v>1331</v>
      </c>
      <c r="E40" s="42">
        <v>46132</v>
      </c>
      <c r="F40" s="26" t="s">
        <v>55</v>
      </c>
      <c r="G40" s="26" t="s">
        <v>57</v>
      </c>
      <c r="H40" s="26" t="s">
        <v>57</v>
      </c>
      <c r="I40" s="26" t="s">
        <v>89</v>
      </c>
      <c r="J40" s="26" t="s">
        <v>57</v>
      </c>
      <c r="K40" s="27" t="s">
        <v>90</v>
      </c>
      <c r="L40" s="28" t="s">
        <v>56</v>
      </c>
      <c r="M40" s="29" t="str">
        <f t="shared" si="0"/>
        <v>⚠ Missing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1402</v>
      </c>
      <c r="C41" s="25" t="s">
        <v>1403</v>
      </c>
      <c r="D41" s="23" t="s">
        <v>1331</v>
      </c>
      <c r="E41" s="42">
        <v>46132</v>
      </c>
      <c r="F41" s="26" t="s">
        <v>55</v>
      </c>
      <c r="G41" s="26" t="s">
        <v>57</v>
      </c>
      <c r="H41" s="26" t="s">
        <v>57</v>
      </c>
      <c r="I41" s="26" t="s">
        <v>89</v>
      </c>
      <c r="J41" s="26" t="s">
        <v>57</v>
      </c>
      <c r="K41" s="27" t="s">
        <v>90</v>
      </c>
      <c r="L41" s="28" t="s">
        <v>56</v>
      </c>
      <c r="M41" s="29" t="str">
        <f t="shared" si="0"/>
        <v>⚠ Missing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1404</v>
      </c>
      <c r="C42" s="41" t="s">
        <v>1405</v>
      </c>
      <c r="D42" s="39" t="s">
        <v>1331</v>
      </c>
      <c r="E42" s="42">
        <v>46132</v>
      </c>
      <c r="F42" s="26" t="s">
        <v>55</v>
      </c>
      <c r="G42" s="26" t="s">
        <v>57</v>
      </c>
      <c r="H42" s="26" t="s">
        <v>57</v>
      </c>
      <c r="I42" s="26" t="s">
        <v>89</v>
      </c>
      <c r="J42" s="26" t="s">
        <v>57</v>
      </c>
      <c r="K42" s="27" t="s">
        <v>90</v>
      </c>
      <c r="L42" s="28" t="s">
        <v>56</v>
      </c>
      <c r="M42" s="29" t="str">
        <f t="shared" si="0"/>
        <v>⚠ Missing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1406</v>
      </c>
      <c r="C43" s="25" t="s">
        <v>1407</v>
      </c>
      <c r="D43" s="23" t="s">
        <v>1331</v>
      </c>
      <c r="E43" s="42">
        <v>46132</v>
      </c>
      <c r="F43" s="26" t="s">
        <v>55</v>
      </c>
      <c r="G43" s="26" t="s">
        <v>57</v>
      </c>
      <c r="H43" s="26" t="s">
        <v>57</v>
      </c>
      <c r="I43" s="26" t="s">
        <v>89</v>
      </c>
      <c r="J43" s="26" t="s">
        <v>57</v>
      </c>
      <c r="K43" s="27" t="s">
        <v>90</v>
      </c>
      <c r="L43" s="28" t="s">
        <v>56</v>
      </c>
      <c r="M43" s="29" t="str">
        <f t="shared" si="0"/>
        <v>⚠ Missing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1408</v>
      </c>
      <c r="C44" s="41" t="s">
        <v>1409</v>
      </c>
      <c r="D44" s="39" t="s">
        <v>1331</v>
      </c>
      <c r="E44" s="42">
        <v>46132</v>
      </c>
      <c r="F44" s="26" t="s">
        <v>55</v>
      </c>
      <c r="G44" s="26" t="s">
        <v>57</v>
      </c>
      <c r="H44" s="26" t="s">
        <v>57</v>
      </c>
      <c r="I44" s="26" t="s">
        <v>89</v>
      </c>
      <c r="J44" s="26" t="s">
        <v>57</v>
      </c>
      <c r="K44" s="27" t="s">
        <v>90</v>
      </c>
      <c r="L44" s="28" t="s">
        <v>56</v>
      </c>
      <c r="M44" s="29" t="str">
        <f t="shared" si="0"/>
        <v>⚠ Missing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1410</v>
      </c>
      <c r="C45" s="25" t="s">
        <v>1411</v>
      </c>
      <c r="D45" s="23" t="s">
        <v>1331</v>
      </c>
      <c r="E45" s="42">
        <v>46132</v>
      </c>
      <c r="F45" s="26" t="s">
        <v>55</v>
      </c>
      <c r="G45" s="26" t="s">
        <v>57</v>
      </c>
      <c r="H45" s="26" t="s">
        <v>57</v>
      </c>
      <c r="I45" s="26" t="s">
        <v>89</v>
      </c>
      <c r="J45" s="26" t="s">
        <v>57</v>
      </c>
      <c r="K45" s="27" t="s">
        <v>90</v>
      </c>
      <c r="L45" s="28" t="s">
        <v>56</v>
      </c>
      <c r="M45" s="29" t="str">
        <f t="shared" si="0"/>
        <v>⚠ Missing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1412</v>
      </c>
      <c r="C46" s="41" t="s">
        <v>1413</v>
      </c>
      <c r="D46" s="39" t="s">
        <v>1331</v>
      </c>
      <c r="E46" s="42">
        <v>46132</v>
      </c>
      <c r="F46" s="26" t="s">
        <v>55</v>
      </c>
      <c r="G46" s="26" t="s">
        <v>57</v>
      </c>
      <c r="H46" s="26" t="s">
        <v>57</v>
      </c>
      <c r="I46" s="26" t="s">
        <v>89</v>
      </c>
      <c r="J46" s="26" t="s">
        <v>57</v>
      </c>
      <c r="K46" s="27" t="s">
        <v>90</v>
      </c>
      <c r="L46" s="28" t="s">
        <v>56</v>
      </c>
      <c r="M46" s="29" t="str">
        <f t="shared" si="0"/>
        <v>⚠ Missing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1414</v>
      </c>
      <c r="C47" s="25" t="s">
        <v>1415</v>
      </c>
      <c r="D47" s="23" t="s">
        <v>1331</v>
      </c>
      <c r="E47" s="42">
        <v>46132</v>
      </c>
      <c r="F47" s="26" t="s">
        <v>55</v>
      </c>
      <c r="G47" s="26" t="s">
        <v>57</v>
      </c>
      <c r="H47" s="26" t="s">
        <v>57</v>
      </c>
      <c r="I47" s="26" t="s">
        <v>89</v>
      </c>
      <c r="J47" s="26" t="s">
        <v>57</v>
      </c>
      <c r="K47" s="27" t="s">
        <v>90</v>
      </c>
      <c r="L47" s="28" t="s">
        <v>56</v>
      </c>
      <c r="M47" s="29" t="str">
        <f t="shared" si="0"/>
        <v>⚠ Missing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1416</v>
      </c>
      <c r="C48" s="41" t="s">
        <v>1417</v>
      </c>
      <c r="D48" s="39" t="s">
        <v>1331</v>
      </c>
      <c r="E48" s="42">
        <v>46132</v>
      </c>
      <c r="F48" s="26" t="s">
        <v>55</v>
      </c>
      <c r="G48" s="26" t="s">
        <v>57</v>
      </c>
      <c r="H48" s="26" t="s">
        <v>57</v>
      </c>
      <c r="I48" s="26" t="s">
        <v>89</v>
      </c>
      <c r="J48" s="26" t="s">
        <v>57</v>
      </c>
      <c r="K48" s="27" t="s">
        <v>90</v>
      </c>
      <c r="L48" s="28" t="s">
        <v>56</v>
      </c>
      <c r="M48" s="29" t="str">
        <f t="shared" si="0"/>
        <v>⚠ Missing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1418</v>
      </c>
      <c r="C49" s="25" t="s">
        <v>1419</v>
      </c>
      <c r="D49" s="23" t="s">
        <v>1331</v>
      </c>
      <c r="E49" s="42">
        <v>46132</v>
      </c>
      <c r="F49" s="26" t="s">
        <v>55</v>
      </c>
      <c r="G49" s="26" t="s">
        <v>57</v>
      </c>
      <c r="H49" s="26" t="s">
        <v>57</v>
      </c>
      <c r="I49" s="26" t="s">
        <v>89</v>
      </c>
      <c r="J49" s="26" t="s">
        <v>57</v>
      </c>
      <c r="K49" s="27" t="s">
        <v>90</v>
      </c>
      <c r="L49" s="28" t="s">
        <v>56</v>
      </c>
      <c r="M49" s="29" t="str">
        <f t="shared" si="0"/>
        <v>⚠ Missing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1420</v>
      </c>
      <c r="C50" s="41" t="s">
        <v>1421</v>
      </c>
      <c r="D50" s="39" t="s">
        <v>1331</v>
      </c>
      <c r="E50" s="42">
        <v>46132</v>
      </c>
      <c r="F50" s="26" t="s">
        <v>55</v>
      </c>
      <c r="G50" s="26" t="s">
        <v>57</v>
      </c>
      <c r="H50" s="26" t="s">
        <v>57</v>
      </c>
      <c r="I50" s="26" t="s">
        <v>89</v>
      </c>
      <c r="J50" s="26" t="s">
        <v>57</v>
      </c>
      <c r="K50" s="27" t="s">
        <v>90</v>
      </c>
      <c r="L50" s="28" t="s">
        <v>56</v>
      </c>
      <c r="M50" s="29" t="str">
        <f t="shared" si="0"/>
        <v>⚠ Missing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1422</v>
      </c>
      <c r="C51" s="25" t="s">
        <v>1423</v>
      </c>
      <c r="D51" s="23" t="s">
        <v>1331</v>
      </c>
      <c r="E51" s="42">
        <v>46132</v>
      </c>
      <c r="F51" s="26" t="s">
        <v>55</v>
      </c>
      <c r="G51" s="26" t="s">
        <v>57</v>
      </c>
      <c r="H51" s="26" t="s">
        <v>57</v>
      </c>
      <c r="I51" s="26" t="s">
        <v>89</v>
      </c>
      <c r="J51" s="26" t="s">
        <v>57</v>
      </c>
      <c r="K51" s="27" t="s">
        <v>90</v>
      </c>
      <c r="L51" s="28" t="s">
        <v>56</v>
      </c>
      <c r="M51" s="29" t="str">
        <f t="shared" si="0"/>
        <v>⚠ Missing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1424</v>
      </c>
      <c r="C52" s="41" t="s">
        <v>1425</v>
      </c>
      <c r="D52" s="39" t="s">
        <v>1331</v>
      </c>
      <c r="E52" s="42">
        <v>46132</v>
      </c>
      <c r="F52" s="26" t="s">
        <v>55</v>
      </c>
      <c r="G52" s="26" t="s">
        <v>57</v>
      </c>
      <c r="H52" s="26" t="s">
        <v>57</v>
      </c>
      <c r="I52" s="26" t="s">
        <v>89</v>
      </c>
      <c r="J52" s="26" t="s">
        <v>57</v>
      </c>
      <c r="K52" s="27" t="s">
        <v>90</v>
      </c>
      <c r="L52" s="28" t="s">
        <v>56</v>
      </c>
      <c r="M52" s="29" t="str">
        <f t="shared" si="0"/>
        <v>⚠ Missing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1426</v>
      </c>
      <c r="C53" s="25" t="s">
        <v>1427</v>
      </c>
      <c r="D53" s="23" t="s">
        <v>1331</v>
      </c>
      <c r="E53" s="42">
        <v>46132</v>
      </c>
      <c r="F53" s="26" t="s">
        <v>55</v>
      </c>
      <c r="G53" s="26" t="s">
        <v>57</v>
      </c>
      <c r="H53" s="26" t="s">
        <v>57</v>
      </c>
      <c r="I53" s="26" t="s">
        <v>89</v>
      </c>
      <c r="J53" s="26" t="s">
        <v>57</v>
      </c>
      <c r="K53" s="27" t="s">
        <v>90</v>
      </c>
      <c r="L53" s="28" t="s">
        <v>56</v>
      </c>
      <c r="M53" s="29" t="str">
        <f t="shared" si="0"/>
        <v>⚠ Missing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1428</v>
      </c>
      <c r="C54" s="41" t="s">
        <v>1429</v>
      </c>
      <c r="D54" s="39" t="s">
        <v>1331</v>
      </c>
      <c r="E54" s="42">
        <v>46132</v>
      </c>
      <c r="F54" s="26" t="s">
        <v>55</v>
      </c>
      <c r="G54" s="26" t="s">
        <v>57</v>
      </c>
      <c r="H54" s="26" t="s">
        <v>57</v>
      </c>
      <c r="I54" s="26" t="s">
        <v>89</v>
      </c>
      <c r="J54" s="26" t="s">
        <v>57</v>
      </c>
      <c r="K54" s="27" t="s">
        <v>90</v>
      </c>
      <c r="L54" s="28" t="s">
        <v>56</v>
      </c>
      <c r="M54" s="29" t="str">
        <f t="shared" si="0"/>
        <v>⚠ Missing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1430</v>
      </c>
      <c r="C55" s="25" t="s">
        <v>1431</v>
      </c>
      <c r="D55" s="23" t="s">
        <v>1331</v>
      </c>
      <c r="E55" s="42">
        <v>46132</v>
      </c>
      <c r="F55" s="26" t="s">
        <v>55</v>
      </c>
      <c r="G55" s="26" t="s">
        <v>57</v>
      </c>
      <c r="H55" s="26" t="s">
        <v>57</v>
      </c>
      <c r="I55" s="26" t="s">
        <v>89</v>
      </c>
      <c r="J55" s="26" t="s">
        <v>57</v>
      </c>
      <c r="K55" s="27" t="s">
        <v>90</v>
      </c>
      <c r="L55" s="28" t="s">
        <v>56</v>
      </c>
      <c r="M55" s="29" t="str">
        <f t="shared" si="0"/>
        <v>⚠ Missing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1432</v>
      </c>
      <c r="C56" s="41" t="s">
        <v>1433</v>
      </c>
      <c r="D56" s="39" t="s">
        <v>1331</v>
      </c>
      <c r="E56" s="42">
        <v>46132</v>
      </c>
      <c r="F56" s="26" t="s">
        <v>55</v>
      </c>
      <c r="G56" s="26" t="s">
        <v>57</v>
      </c>
      <c r="H56" s="26" t="s">
        <v>57</v>
      </c>
      <c r="I56" s="26" t="s">
        <v>89</v>
      </c>
      <c r="J56" s="26" t="s">
        <v>57</v>
      </c>
      <c r="K56" s="27" t="s">
        <v>90</v>
      </c>
      <c r="L56" s="28" t="s">
        <v>56</v>
      </c>
      <c r="M56" s="29" t="str">
        <f t="shared" si="0"/>
        <v>⚠ Missing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1434</v>
      </c>
      <c r="C57" s="25" t="s">
        <v>1435</v>
      </c>
      <c r="D57" s="23" t="s">
        <v>1331</v>
      </c>
      <c r="E57" s="42">
        <v>46132</v>
      </c>
      <c r="F57" s="26" t="s">
        <v>55</v>
      </c>
      <c r="G57" s="26" t="s">
        <v>57</v>
      </c>
      <c r="H57" s="26" t="s">
        <v>57</v>
      </c>
      <c r="I57" s="26" t="s">
        <v>89</v>
      </c>
      <c r="J57" s="26" t="s">
        <v>57</v>
      </c>
      <c r="K57" s="27" t="s">
        <v>90</v>
      </c>
      <c r="L57" s="28" t="s">
        <v>56</v>
      </c>
      <c r="M57" s="29" t="str">
        <f t="shared" si="0"/>
        <v>⚠ Missing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1436</v>
      </c>
      <c r="C58" s="41" t="s">
        <v>1437</v>
      </c>
      <c r="D58" s="39" t="s">
        <v>1331</v>
      </c>
      <c r="E58" s="42">
        <v>46132</v>
      </c>
      <c r="F58" s="26" t="s">
        <v>55</v>
      </c>
      <c r="G58" s="26" t="s">
        <v>57</v>
      </c>
      <c r="H58" s="26" t="s">
        <v>57</v>
      </c>
      <c r="I58" s="26" t="s">
        <v>89</v>
      </c>
      <c r="J58" s="26" t="s">
        <v>57</v>
      </c>
      <c r="K58" s="27" t="s">
        <v>90</v>
      </c>
      <c r="L58" s="28" t="s">
        <v>56</v>
      </c>
      <c r="M58" s="29" t="str">
        <f t="shared" si="0"/>
        <v>⚠ Missing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1438</v>
      </c>
      <c r="C59" s="25" t="s">
        <v>1439</v>
      </c>
      <c r="D59" s="23" t="s">
        <v>1331</v>
      </c>
      <c r="E59" s="42">
        <v>46132</v>
      </c>
      <c r="F59" s="26" t="s">
        <v>55</v>
      </c>
      <c r="G59" s="26" t="s">
        <v>57</v>
      </c>
      <c r="H59" s="26" t="s">
        <v>57</v>
      </c>
      <c r="I59" s="26" t="s">
        <v>89</v>
      </c>
      <c r="J59" s="26" t="s">
        <v>57</v>
      </c>
      <c r="K59" s="27" t="s">
        <v>90</v>
      </c>
      <c r="L59" s="28" t="s">
        <v>56</v>
      </c>
      <c r="M59" s="29" t="str">
        <f t="shared" si="0"/>
        <v>⚠ Missing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1440</v>
      </c>
      <c r="C60" s="41" t="s">
        <v>1441</v>
      </c>
      <c r="D60" s="39" t="s">
        <v>1331</v>
      </c>
      <c r="E60" s="42">
        <v>46132</v>
      </c>
      <c r="F60" s="26" t="s">
        <v>55</v>
      </c>
      <c r="G60" s="26" t="s">
        <v>57</v>
      </c>
      <c r="H60" s="26" t="s">
        <v>57</v>
      </c>
      <c r="I60" s="26" t="s">
        <v>89</v>
      </c>
      <c r="J60" s="26" t="s">
        <v>57</v>
      </c>
      <c r="K60" s="27" t="s">
        <v>90</v>
      </c>
      <c r="L60" s="28" t="s">
        <v>56</v>
      </c>
      <c r="M60" s="29" t="str">
        <f t="shared" si="0"/>
        <v>⚠ Missing</v>
      </c>
      <c r="N60" s="4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1442</v>
      </c>
      <c r="C61" s="25" t="s">
        <v>1443</v>
      </c>
      <c r="D61" s="23" t="s">
        <v>1331</v>
      </c>
      <c r="E61" s="42">
        <v>46132</v>
      </c>
      <c r="F61" s="26" t="s">
        <v>55</v>
      </c>
      <c r="G61" s="26" t="s">
        <v>57</v>
      </c>
      <c r="H61" s="26" t="s">
        <v>57</v>
      </c>
      <c r="I61" s="26" t="s">
        <v>89</v>
      </c>
      <c r="J61" s="26" t="s">
        <v>57</v>
      </c>
      <c r="K61" s="27" t="s">
        <v>90</v>
      </c>
      <c r="L61" s="28" t="s">
        <v>56</v>
      </c>
      <c r="M61" s="29" t="str">
        <f t="shared" si="0"/>
        <v>⚠ Missing</v>
      </c>
      <c r="N61" s="4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57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1444</v>
      </c>
      <c r="C62" s="41" t="s">
        <v>1445</v>
      </c>
      <c r="D62" s="39" t="s">
        <v>1331</v>
      </c>
      <c r="E62" s="42">
        <v>46132</v>
      </c>
      <c r="F62" s="26" t="s">
        <v>55</v>
      </c>
      <c r="G62" s="26" t="s">
        <v>57</v>
      </c>
      <c r="H62" s="26" t="s">
        <v>57</v>
      </c>
      <c r="I62" s="26" t="s">
        <v>89</v>
      </c>
      <c r="J62" s="26" t="s">
        <v>57</v>
      </c>
      <c r="K62" s="27" t="s">
        <v>90</v>
      </c>
      <c r="L62" s="28" t="s">
        <v>56</v>
      </c>
      <c r="M62" s="29" t="str">
        <f t="shared" si="0"/>
        <v>⚠ Missing</v>
      </c>
      <c r="N62" s="4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1446</v>
      </c>
      <c r="C63" s="25" t="s">
        <v>1447</v>
      </c>
      <c r="D63" s="23" t="s">
        <v>1331</v>
      </c>
      <c r="E63" s="42">
        <v>46132</v>
      </c>
      <c r="F63" s="26" t="s">
        <v>55</v>
      </c>
      <c r="G63" s="26" t="s">
        <v>57</v>
      </c>
      <c r="H63" s="26" t="s">
        <v>57</v>
      </c>
      <c r="I63" s="26" t="s">
        <v>89</v>
      </c>
      <c r="J63" s="26" t="s">
        <v>57</v>
      </c>
      <c r="K63" s="27" t="s">
        <v>90</v>
      </c>
      <c r="L63" s="28" t="s">
        <v>56</v>
      </c>
      <c r="M63" s="29" t="str">
        <f t="shared" si="0"/>
        <v>⚠ Missing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1448</v>
      </c>
      <c r="C64" s="41" t="s">
        <v>1449</v>
      </c>
      <c r="D64" s="39" t="s">
        <v>1331</v>
      </c>
      <c r="E64" s="42">
        <v>46132</v>
      </c>
      <c r="F64" s="26" t="s">
        <v>55</v>
      </c>
      <c r="G64" s="26" t="s">
        <v>57</v>
      </c>
      <c r="H64" s="26" t="s">
        <v>57</v>
      </c>
      <c r="I64" s="26" t="s">
        <v>89</v>
      </c>
      <c r="J64" s="26" t="s">
        <v>57</v>
      </c>
      <c r="K64" s="27" t="s">
        <v>90</v>
      </c>
      <c r="L64" s="28" t="s">
        <v>56</v>
      </c>
      <c r="M64" s="29" t="str">
        <f t="shared" si="0"/>
        <v>⚠ Missing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1450</v>
      </c>
      <c r="C65" s="25" t="s">
        <v>1451</v>
      </c>
      <c r="D65" s="23" t="s">
        <v>1331</v>
      </c>
      <c r="E65" s="42">
        <v>46132</v>
      </c>
      <c r="F65" s="26" t="s">
        <v>55</v>
      </c>
      <c r="G65" s="26" t="s">
        <v>57</v>
      </c>
      <c r="H65" s="26" t="s">
        <v>57</v>
      </c>
      <c r="I65" s="26" t="s">
        <v>89</v>
      </c>
      <c r="J65" s="26" t="s">
        <v>57</v>
      </c>
      <c r="K65" s="27" t="s">
        <v>90</v>
      </c>
      <c r="L65" s="28" t="s">
        <v>56</v>
      </c>
      <c r="M65" s="29" t="str">
        <f t="shared" si="0"/>
        <v>⚠ Missing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1452</v>
      </c>
      <c r="C66" s="41" t="s">
        <v>1453</v>
      </c>
      <c r="D66" s="39" t="s">
        <v>1331</v>
      </c>
      <c r="E66" s="42">
        <v>46132</v>
      </c>
      <c r="F66" s="26" t="s">
        <v>55</v>
      </c>
      <c r="G66" s="26" t="s">
        <v>57</v>
      </c>
      <c r="H66" s="26" t="s">
        <v>57</v>
      </c>
      <c r="I66" s="26" t="s">
        <v>89</v>
      </c>
      <c r="J66" s="26" t="s">
        <v>57</v>
      </c>
      <c r="K66" s="27" t="s">
        <v>90</v>
      </c>
      <c r="L66" s="28" t="s">
        <v>56</v>
      </c>
      <c r="M66" s="29" t="str">
        <f t="shared" si="0"/>
        <v>⚠ Missing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1454</v>
      </c>
      <c r="C67" s="25" t="s">
        <v>1455</v>
      </c>
      <c r="D67" s="23" t="s">
        <v>1331</v>
      </c>
      <c r="E67" s="42">
        <v>46132</v>
      </c>
      <c r="F67" s="26" t="s">
        <v>55</v>
      </c>
      <c r="G67" s="26" t="s">
        <v>57</v>
      </c>
      <c r="H67" s="26" t="s">
        <v>57</v>
      </c>
      <c r="I67" s="26" t="s">
        <v>89</v>
      </c>
      <c r="J67" s="26" t="s">
        <v>57</v>
      </c>
      <c r="K67" s="27" t="s">
        <v>90</v>
      </c>
      <c r="L67" s="28" t="s">
        <v>56</v>
      </c>
      <c r="M67" s="29" t="str">
        <f t="shared" si="0"/>
        <v>⚠ Missing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1456</v>
      </c>
      <c r="C68" s="41" t="s">
        <v>1457</v>
      </c>
      <c r="D68" s="39" t="s">
        <v>1331</v>
      </c>
      <c r="E68" s="42">
        <v>46132</v>
      </c>
      <c r="F68" s="26" t="s">
        <v>55</v>
      </c>
      <c r="G68" s="26" t="s">
        <v>57</v>
      </c>
      <c r="H68" s="26" t="s">
        <v>57</v>
      </c>
      <c r="I68" s="26" t="s">
        <v>89</v>
      </c>
      <c r="J68" s="26" t="s">
        <v>57</v>
      </c>
      <c r="K68" s="27" t="s">
        <v>90</v>
      </c>
      <c r="L68" s="28" t="s">
        <v>56</v>
      </c>
      <c r="M68" s="29" t="str">
        <f t="shared" si="0"/>
        <v>⚠ Missing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1458</v>
      </c>
      <c r="C69" s="25" t="s">
        <v>1459</v>
      </c>
      <c r="D69" s="23" t="s">
        <v>1331</v>
      </c>
      <c r="E69" s="42">
        <v>46132</v>
      </c>
      <c r="F69" s="26" t="s">
        <v>55</v>
      </c>
      <c r="G69" s="26" t="s">
        <v>57</v>
      </c>
      <c r="H69" s="26" t="s">
        <v>57</v>
      </c>
      <c r="I69" s="26" t="s">
        <v>89</v>
      </c>
      <c r="J69" s="26" t="s">
        <v>57</v>
      </c>
      <c r="K69" s="27" t="s">
        <v>90</v>
      </c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1460</v>
      </c>
      <c r="C70" s="41" t="s">
        <v>1461</v>
      </c>
      <c r="D70" s="39" t="s">
        <v>1331</v>
      </c>
      <c r="E70" s="42">
        <v>46132</v>
      </c>
      <c r="F70" s="26" t="s">
        <v>55</v>
      </c>
      <c r="G70" s="26" t="s">
        <v>57</v>
      </c>
      <c r="H70" s="26" t="s">
        <v>57</v>
      </c>
      <c r="I70" s="26" t="s">
        <v>89</v>
      </c>
      <c r="J70" s="26" t="s">
        <v>57</v>
      </c>
      <c r="K70" s="27" t="s">
        <v>90</v>
      </c>
      <c r="L70" s="28" t="s">
        <v>56</v>
      </c>
      <c r="M70" s="29" t="str">
        <f t="shared" si="5"/>
        <v>⚠ Missing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56</v>
      </c>
      <c r="AC70" s="27"/>
      <c r="AD70" s="31" t="s">
        <v>57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1462</v>
      </c>
      <c r="C71" s="25" t="s">
        <v>1463</v>
      </c>
      <c r="D71" s="23" t="s">
        <v>1331</v>
      </c>
      <c r="E71" s="42">
        <v>46132</v>
      </c>
      <c r="F71" s="26" t="s">
        <v>55</v>
      </c>
      <c r="G71" s="26" t="s">
        <v>57</v>
      </c>
      <c r="H71" s="26" t="s">
        <v>57</v>
      </c>
      <c r="I71" s="26" t="s">
        <v>89</v>
      </c>
      <c r="J71" s="26" t="s">
        <v>57</v>
      </c>
      <c r="K71" s="27" t="s">
        <v>90</v>
      </c>
      <c r="L71" s="28" t="s">
        <v>56</v>
      </c>
      <c r="M71" s="29" t="str">
        <f t="shared" si="5"/>
        <v>⚠ Missing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1464</v>
      </c>
      <c r="C72" s="41" t="s">
        <v>1465</v>
      </c>
      <c r="D72" s="39" t="s">
        <v>1331</v>
      </c>
      <c r="E72" s="42">
        <v>46132</v>
      </c>
      <c r="F72" s="26" t="s">
        <v>55</v>
      </c>
      <c r="G72" s="26" t="s">
        <v>57</v>
      </c>
      <c r="H72" s="26" t="s">
        <v>57</v>
      </c>
      <c r="I72" s="26" t="s">
        <v>89</v>
      </c>
      <c r="J72" s="26" t="s">
        <v>57</v>
      </c>
      <c r="K72" s="27" t="s">
        <v>90</v>
      </c>
      <c r="L72" s="28" t="s">
        <v>56</v>
      </c>
      <c r="M72" s="29" t="str">
        <f t="shared" si="5"/>
        <v>⚠ Missing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1466</v>
      </c>
      <c r="C73" s="25" t="s">
        <v>1467</v>
      </c>
      <c r="D73" s="23" t="s">
        <v>1331</v>
      </c>
      <c r="E73" s="42">
        <v>46132</v>
      </c>
      <c r="F73" s="26" t="s">
        <v>55</v>
      </c>
      <c r="G73" s="26" t="s">
        <v>57</v>
      </c>
      <c r="H73" s="26" t="s">
        <v>57</v>
      </c>
      <c r="I73" s="26" t="s">
        <v>89</v>
      </c>
      <c r="J73" s="26" t="s">
        <v>57</v>
      </c>
      <c r="K73" s="27" t="s">
        <v>90</v>
      </c>
      <c r="L73" s="28" t="s">
        <v>56</v>
      </c>
      <c r="M73" s="29" t="str">
        <f t="shared" si="5"/>
        <v>⚠ Missing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57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1468</v>
      </c>
      <c r="C74" s="41" t="s">
        <v>1469</v>
      </c>
      <c r="D74" s="39" t="s">
        <v>1331</v>
      </c>
      <c r="E74" s="42">
        <v>46132</v>
      </c>
      <c r="F74" s="26" t="s">
        <v>55</v>
      </c>
      <c r="G74" s="26" t="s">
        <v>57</v>
      </c>
      <c r="H74" s="26" t="s">
        <v>57</v>
      </c>
      <c r="I74" s="26" t="s">
        <v>89</v>
      </c>
      <c r="J74" s="26" t="s">
        <v>57</v>
      </c>
      <c r="K74" s="27" t="s">
        <v>90</v>
      </c>
      <c r="L74" s="28" t="s">
        <v>56</v>
      </c>
      <c r="M74" s="29" t="str">
        <f t="shared" si="5"/>
        <v>⚠ Missing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1470</v>
      </c>
      <c r="C75" s="25" t="s">
        <v>1471</v>
      </c>
      <c r="D75" s="23" t="s">
        <v>1331</v>
      </c>
      <c r="E75" s="42">
        <v>46132</v>
      </c>
      <c r="F75" s="26" t="s">
        <v>55</v>
      </c>
      <c r="G75" s="26" t="s">
        <v>57</v>
      </c>
      <c r="H75" s="26" t="s">
        <v>57</v>
      </c>
      <c r="I75" s="26" t="s">
        <v>89</v>
      </c>
      <c r="J75" s="26" t="s">
        <v>57</v>
      </c>
      <c r="K75" s="27" t="s">
        <v>90</v>
      </c>
      <c r="L75" s="28" t="s">
        <v>56</v>
      </c>
      <c r="M75" s="29" t="str">
        <f t="shared" si="5"/>
        <v>⚠ Missing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1472</v>
      </c>
      <c r="C76" s="41" t="s">
        <v>1473</v>
      </c>
      <c r="D76" s="39" t="s">
        <v>1331</v>
      </c>
      <c r="E76" s="42">
        <v>46132</v>
      </c>
      <c r="F76" s="26" t="s">
        <v>55</v>
      </c>
      <c r="G76" s="26" t="s">
        <v>57</v>
      </c>
      <c r="H76" s="26" t="s">
        <v>57</v>
      </c>
      <c r="I76" s="26" t="s">
        <v>89</v>
      </c>
      <c r="J76" s="26" t="s">
        <v>57</v>
      </c>
      <c r="K76" s="27" t="s">
        <v>90</v>
      </c>
      <c r="L76" s="28" t="s">
        <v>56</v>
      </c>
      <c r="M76" s="29" t="str">
        <f t="shared" si="5"/>
        <v>⚠ Missing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1474</v>
      </c>
      <c r="C77" s="25" t="s">
        <v>1475</v>
      </c>
      <c r="D77" s="23" t="s">
        <v>1331</v>
      </c>
      <c r="E77" s="42">
        <v>46132</v>
      </c>
      <c r="F77" s="26" t="s">
        <v>55</v>
      </c>
      <c r="G77" s="26" t="s">
        <v>57</v>
      </c>
      <c r="H77" s="26" t="s">
        <v>57</v>
      </c>
      <c r="I77" s="26" t="s">
        <v>89</v>
      </c>
      <c r="J77" s="26" t="s">
        <v>57</v>
      </c>
      <c r="K77" s="27" t="s">
        <v>90</v>
      </c>
      <c r="L77" s="28" t="s">
        <v>56</v>
      </c>
      <c r="M77" s="29" t="str">
        <f t="shared" si="5"/>
        <v>⚠ Missing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1476</v>
      </c>
      <c r="C78" s="41" t="s">
        <v>1477</v>
      </c>
      <c r="D78" s="39" t="s">
        <v>1331</v>
      </c>
      <c r="E78" s="42">
        <v>46132</v>
      </c>
      <c r="F78" s="26" t="s">
        <v>55</v>
      </c>
      <c r="G78" s="26" t="s">
        <v>57</v>
      </c>
      <c r="H78" s="26" t="s">
        <v>57</v>
      </c>
      <c r="I78" s="26" t="s">
        <v>89</v>
      </c>
      <c r="J78" s="26" t="s">
        <v>57</v>
      </c>
      <c r="K78" s="27" t="s">
        <v>90</v>
      </c>
      <c r="L78" s="28" t="s">
        <v>56</v>
      </c>
      <c r="M78" s="29" t="str">
        <f t="shared" si="5"/>
        <v>⚠ Missing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1478</v>
      </c>
      <c r="C79" s="25" t="s">
        <v>1479</v>
      </c>
      <c r="D79" s="23" t="s">
        <v>1331</v>
      </c>
      <c r="E79" s="42">
        <v>46132</v>
      </c>
      <c r="F79" s="26" t="s">
        <v>55</v>
      </c>
      <c r="G79" s="26" t="s">
        <v>57</v>
      </c>
      <c r="H79" s="26" t="s">
        <v>57</v>
      </c>
      <c r="I79" s="26" t="s">
        <v>89</v>
      </c>
      <c r="J79" s="26" t="s">
        <v>57</v>
      </c>
      <c r="K79" s="27" t="s">
        <v>90</v>
      </c>
      <c r="L79" s="28" t="s">
        <v>56</v>
      </c>
      <c r="M79" s="29" t="str">
        <f t="shared" si="5"/>
        <v>⚠ Missing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1480</v>
      </c>
      <c r="C80" s="41" t="s">
        <v>1481</v>
      </c>
      <c r="D80" s="39" t="s">
        <v>1331</v>
      </c>
      <c r="E80" s="42">
        <v>46132</v>
      </c>
      <c r="F80" s="26" t="s">
        <v>55</v>
      </c>
      <c r="G80" s="26" t="s">
        <v>57</v>
      </c>
      <c r="H80" s="26" t="s">
        <v>57</v>
      </c>
      <c r="I80" s="26" t="s">
        <v>89</v>
      </c>
      <c r="J80" s="26" t="s">
        <v>57</v>
      </c>
      <c r="K80" s="27" t="s">
        <v>90</v>
      </c>
      <c r="L80" s="28" t="s">
        <v>56</v>
      </c>
      <c r="M80" s="29" t="str">
        <f t="shared" si="5"/>
        <v>⚠ Missing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1482</v>
      </c>
      <c r="C81" s="25" t="s">
        <v>1483</v>
      </c>
      <c r="D81" s="23" t="s">
        <v>1331</v>
      </c>
      <c r="E81" s="42">
        <v>46132</v>
      </c>
      <c r="F81" s="26" t="s">
        <v>55</v>
      </c>
      <c r="G81" s="26" t="s">
        <v>57</v>
      </c>
      <c r="H81" s="26" t="s">
        <v>57</v>
      </c>
      <c r="I81" s="26" t="s">
        <v>89</v>
      </c>
      <c r="J81" s="26" t="s">
        <v>57</v>
      </c>
      <c r="K81" s="27" t="s">
        <v>90</v>
      </c>
      <c r="L81" s="28" t="s">
        <v>56</v>
      </c>
      <c r="M81" s="29" t="str">
        <f t="shared" si="5"/>
        <v>⚠ Missing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56</v>
      </c>
      <c r="AC81" s="27"/>
      <c r="AD81" s="31" t="s">
        <v>57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1484</v>
      </c>
      <c r="C82" s="41" t="s">
        <v>1485</v>
      </c>
      <c r="D82" s="39" t="s">
        <v>1331</v>
      </c>
      <c r="E82" s="42">
        <v>46132</v>
      </c>
      <c r="F82" s="26" t="s">
        <v>55</v>
      </c>
      <c r="G82" s="26" t="s">
        <v>57</v>
      </c>
      <c r="H82" s="26" t="s">
        <v>57</v>
      </c>
      <c r="I82" s="26" t="s">
        <v>89</v>
      </c>
      <c r="J82" s="26" t="s">
        <v>57</v>
      </c>
      <c r="K82" s="27" t="s">
        <v>90</v>
      </c>
      <c r="L82" s="28" t="s">
        <v>56</v>
      </c>
      <c r="M82" s="29" t="str">
        <f t="shared" si="5"/>
        <v>⚠ Missing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56</v>
      </c>
      <c r="AC82" s="27"/>
      <c r="AD82" s="31" t="s">
        <v>57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1486</v>
      </c>
      <c r="C83" s="25" t="s">
        <v>1487</v>
      </c>
      <c r="D83" s="23" t="s">
        <v>1331</v>
      </c>
      <c r="E83" s="42">
        <v>46132</v>
      </c>
      <c r="F83" s="26" t="s">
        <v>55</v>
      </c>
      <c r="G83" s="26" t="s">
        <v>57</v>
      </c>
      <c r="H83" s="26" t="s">
        <v>57</v>
      </c>
      <c r="I83" s="26" t="s">
        <v>89</v>
      </c>
      <c r="J83" s="26" t="s">
        <v>57</v>
      </c>
      <c r="K83" s="27" t="s">
        <v>90</v>
      </c>
      <c r="L83" s="28" t="s">
        <v>56</v>
      </c>
      <c r="M83" s="29" t="str">
        <f t="shared" si="5"/>
        <v>⚠ Missing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1488</v>
      </c>
      <c r="C84" s="41" t="s">
        <v>1489</v>
      </c>
      <c r="D84" s="39" t="s">
        <v>1331</v>
      </c>
      <c r="E84" s="42">
        <v>46132</v>
      </c>
      <c r="F84" s="26" t="s">
        <v>55</v>
      </c>
      <c r="G84" s="26" t="s">
        <v>57</v>
      </c>
      <c r="H84" s="26" t="s">
        <v>57</v>
      </c>
      <c r="I84" s="26" t="s">
        <v>89</v>
      </c>
      <c r="J84" s="26" t="s">
        <v>57</v>
      </c>
      <c r="K84" s="27" t="s">
        <v>90</v>
      </c>
      <c r="L84" s="28" t="s">
        <v>56</v>
      </c>
      <c r="M84" s="29" t="str">
        <f t="shared" si="5"/>
        <v>⚠ Missing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56</v>
      </c>
      <c r="AC84" s="27"/>
      <c r="AD84" s="31" t="s">
        <v>57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1490</v>
      </c>
      <c r="C85" s="25" t="s">
        <v>1491</v>
      </c>
      <c r="D85" s="23" t="s">
        <v>1331</v>
      </c>
      <c r="E85" s="42">
        <v>46132</v>
      </c>
      <c r="F85" s="26" t="s">
        <v>55</v>
      </c>
      <c r="G85" s="26" t="s">
        <v>57</v>
      </c>
      <c r="H85" s="26" t="s">
        <v>57</v>
      </c>
      <c r="I85" s="26" t="s">
        <v>89</v>
      </c>
      <c r="J85" s="26" t="s">
        <v>57</v>
      </c>
      <c r="K85" s="27" t="s">
        <v>90</v>
      </c>
      <c r="L85" s="28" t="s">
        <v>56</v>
      </c>
      <c r="M85" s="29" t="str">
        <f t="shared" si="5"/>
        <v>⚠ Missing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1492</v>
      </c>
      <c r="C86" s="41" t="s">
        <v>1493</v>
      </c>
      <c r="D86" s="39" t="s">
        <v>1331</v>
      </c>
      <c r="E86" s="42">
        <v>46132</v>
      </c>
      <c r="F86" s="26" t="s">
        <v>55</v>
      </c>
      <c r="G86" s="26" t="s">
        <v>57</v>
      </c>
      <c r="H86" s="26" t="s">
        <v>57</v>
      </c>
      <c r="I86" s="26" t="s">
        <v>89</v>
      </c>
      <c r="J86" s="26" t="s">
        <v>57</v>
      </c>
      <c r="K86" s="27" t="s">
        <v>90</v>
      </c>
      <c r="L86" s="28" t="s">
        <v>56</v>
      </c>
      <c r="M86" s="29" t="str">
        <f t="shared" si="5"/>
        <v>⚠ Missing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56</v>
      </c>
      <c r="AC86" s="27"/>
      <c r="AD86" s="31" t="s">
        <v>57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1494</v>
      </c>
      <c r="C87" s="25" t="s">
        <v>1495</v>
      </c>
      <c r="D87" s="23" t="s">
        <v>1331</v>
      </c>
      <c r="E87" s="42">
        <v>46132</v>
      </c>
      <c r="F87" s="26" t="s">
        <v>55</v>
      </c>
      <c r="G87" s="26" t="s">
        <v>57</v>
      </c>
      <c r="H87" s="26" t="s">
        <v>57</v>
      </c>
      <c r="I87" s="26" t="s">
        <v>89</v>
      </c>
      <c r="J87" s="26" t="s">
        <v>57</v>
      </c>
      <c r="K87" s="27" t="s">
        <v>90</v>
      </c>
      <c r="L87" s="28" t="s">
        <v>56</v>
      </c>
      <c r="M87" s="29" t="str">
        <f t="shared" si="5"/>
        <v>⚠ Missing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56</v>
      </c>
      <c r="AC87" s="27"/>
      <c r="AD87" s="31" t="s">
        <v>57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1496</v>
      </c>
      <c r="C88" s="41" t="s">
        <v>1497</v>
      </c>
      <c r="D88" s="39" t="s">
        <v>1331</v>
      </c>
      <c r="E88" s="42">
        <v>46132</v>
      </c>
      <c r="F88" s="26" t="s">
        <v>55</v>
      </c>
      <c r="G88" s="26" t="s">
        <v>57</v>
      </c>
      <c r="H88" s="26" t="s">
        <v>57</v>
      </c>
      <c r="I88" s="26" t="s">
        <v>89</v>
      </c>
      <c r="J88" s="26" t="s">
        <v>57</v>
      </c>
      <c r="K88" s="27" t="s">
        <v>90</v>
      </c>
      <c r="L88" s="28" t="s">
        <v>56</v>
      </c>
      <c r="M88" s="29" t="str">
        <f t="shared" si="5"/>
        <v>⚠ Missing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1498</v>
      </c>
      <c r="C89" s="25" t="s">
        <v>1499</v>
      </c>
      <c r="D89" s="23" t="s">
        <v>1331</v>
      </c>
      <c r="E89" s="42">
        <v>46132</v>
      </c>
      <c r="F89" s="26" t="s">
        <v>55</v>
      </c>
      <c r="G89" s="26" t="s">
        <v>57</v>
      </c>
      <c r="H89" s="26" t="s">
        <v>57</v>
      </c>
      <c r="I89" s="26" t="s">
        <v>89</v>
      </c>
      <c r="J89" s="26" t="s">
        <v>57</v>
      </c>
      <c r="K89" s="27" t="s">
        <v>90</v>
      </c>
      <c r="L89" s="28" t="s">
        <v>56</v>
      </c>
      <c r="M89" s="29" t="str">
        <f t="shared" si="5"/>
        <v>⚠ Missing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1500</v>
      </c>
      <c r="C90" s="41" t="s">
        <v>1501</v>
      </c>
      <c r="D90" s="39" t="s">
        <v>1331</v>
      </c>
      <c r="E90" s="42">
        <v>46132</v>
      </c>
      <c r="F90" s="26" t="s">
        <v>55</v>
      </c>
      <c r="G90" s="26" t="s">
        <v>57</v>
      </c>
      <c r="H90" s="26" t="s">
        <v>57</v>
      </c>
      <c r="I90" s="26" t="s">
        <v>89</v>
      </c>
      <c r="J90" s="26" t="s">
        <v>57</v>
      </c>
      <c r="K90" s="27" t="s">
        <v>90</v>
      </c>
      <c r="L90" s="28" t="s">
        <v>56</v>
      </c>
      <c r="M90" s="29" t="str">
        <f t="shared" si="5"/>
        <v>⚠ Missing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56</v>
      </c>
      <c r="AC90" s="27"/>
      <c r="AD90" s="31" t="s">
        <v>57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1502</v>
      </c>
      <c r="C91" s="25" t="s">
        <v>1503</v>
      </c>
      <c r="D91" s="23" t="s">
        <v>1331</v>
      </c>
      <c r="E91" s="42">
        <v>46132</v>
      </c>
      <c r="F91" s="26" t="s">
        <v>55</v>
      </c>
      <c r="G91" s="26" t="s">
        <v>57</v>
      </c>
      <c r="H91" s="26" t="s">
        <v>57</v>
      </c>
      <c r="I91" s="26" t="s">
        <v>89</v>
      </c>
      <c r="J91" s="26" t="s">
        <v>57</v>
      </c>
      <c r="K91" s="27" t="s">
        <v>90</v>
      </c>
      <c r="L91" s="28" t="s">
        <v>56</v>
      </c>
      <c r="M91" s="29" t="str">
        <f t="shared" si="5"/>
        <v>⚠ Missing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1504</v>
      </c>
      <c r="C92" s="41" t="s">
        <v>1505</v>
      </c>
      <c r="D92" s="39" t="s">
        <v>1331</v>
      </c>
      <c r="E92" s="42">
        <v>46132</v>
      </c>
      <c r="F92" s="26" t="s">
        <v>55</v>
      </c>
      <c r="G92" s="26" t="s">
        <v>57</v>
      </c>
      <c r="H92" s="26" t="s">
        <v>57</v>
      </c>
      <c r="I92" s="26" t="s">
        <v>89</v>
      </c>
      <c r="J92" s="26" t="s">
        <v>57</v>
      </c>
      <c r="K92" s="27" t="s">
        <v>90</v>
      </c>
      <c r="L92" s="28" t="s">
        <v>56</v>
      </c>
      <c r="M92" s="29" t="str">
        <f t="shared" si="5"/>
        <v>⚠ Missing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56</v>
      </c>
      <c r="AC92" s="27"/>
      <c r="AD92" s="31" t="s">
        <v>57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1506</v>
      </c>
      <c r="C93" s="25" t="s">
        <v>1507</v>
      </c>
      <c r="D93" s="23" t="s">
        <v>1331</v>
      </c>
      <c r="E93" s="42">
        <v>46132</v>
      </c>
      <c r="F93" s="26" t="s">
        <v>55</v>
      </c>
      <c r="G93" s="26" t="s">
        <v>57</v>
      </c>
      <c r="H93" s="26" t="s">
        <v>57</v>
      </c>
      <c r="I93" s="26" t="s">
        <v>89</v>
      </c>
      <c r="J93" s="26" t="s">
        <v>57</v>
      </c>
      <c r="K93" s="27" t="s">
        <v>90</v>
      </c>
      <c r="L93" s="28" t="s">
        <v>56</v>
      </c>
      <c r="M93" s="29" t="str">
        <f t="shared" si="5"/>
        <v>⚠ Missing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1508</v>
      </c>
      <c r="C94" s="41" t="s">
        <v>1509</v>
      </c>
      <c r="D94" s="39" t="s">
        <v>1331</v>
      </c>
      <c r="E94" s="42">
        <v>46132</v>
      </c>
      <c r="F94" s="26" t="s">
        <v>55</v>
      </c>
      <c r="G94" s="26" t="s">
        <v>57</v>
      </c>
      <c r="H94" s="26" t="s">
        <v>57</v>
      </c>
      <c r="I94" s="26" t="s">
        <v>89</v>
      </c>
      <c r="J94" s="26" t="s">
        <v>57</v>
      </c>
      <c r="K94" s="27" t="s">
        <v>90</v>
      </c>
      <c r="L94" s="28" t="s">
        <v>56</v>
      </c>
      <c r="M94" s="29" t="str">
        <f t="shared" si="5"/>
        <v>⚠ Missing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1510</v>
      </c>
      <c r="C95" s="25" t="s">
        <v>1511</v>
      </c>
      <c r="D95" s="23" t="s">
        <v>1331</v>
      </c>
      <c r="E95" s="42">
        <v>46132</v>
      </c>
      <c r="F95" s="26" t="s">
        <v>55</v>
      </c>
      <c r="G95" s="26" t="s">
        <v>57</v>
      </c>
      <c r="H95" s="26" t="s">
        <v>57</v>
      </c>
      <c r="I95" s="26" t="s">
        <v>89</v>
      </c>
      <c r="J95" s="26" t="s">
        <v>57</v>
      </c>
      <c r="K95" s="27" t="s">
        <v>90</v>
      </c>
      <c r="L95" s="28" t="s">
        <v>56</v>
      </c>
      <c r="M95" s="29" t="str">
        <f t="shared" si="5"/>
        <v>⚠ Missing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1512</v>
      </c>
      <c r="C96" s="41" t="s">
        <v>1513</v>
      </c>
      <c r="D96" s="39" t="s">
        <v>1331</v>
      </c>
      <c r="E96" s="42">
        <v>46132</v>
      </c>
      <c r="F96" s="26" t="s">
        <v>55</v>
      </c>
      <c r="G96" s="26" t="s">
        <v>57</v>
      </c>
      <c r="H96" s="26" t="s">
        <v>57</v>
      </c>
      <c r="I96" s="26" t="s">
        <v>89</v>
      </c>
      <c r="J96" s="26" t="s">
        <v>57</v>
      </c>
      <c r="K96" s="27" t="s">
        <v>90</v>
      </c>
      <c r="L96" s="28" t="s">
        <v>56</v>
      </c>
      <c r="M96" s="29" t="str">
        <f t="shared" si="5"/>
        <v>⚠ Missing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56</v>
      </c>
      <c r="AC96" s="27"/>
      <c r="AD96" s="31" t="s">
        <v>57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1514</v>
      </c>
      <c r="C97" s="25" t="s">
        <v>1515</v>
      </c>
      <c r="D97" s="23" t="s">
        <v>1331</v>
      </c>
      <c r="E97" s="42">
        <v>46132</v>
      </c>
      <c r="F97" s="26" t="s">
        <v>55</v>
      </c>
      <c r="G97" s="26" t="s">
        <v>57</v>
      </c>
      <c r="H97" s="26" t="s">
        <v>57</v>
      </c>
      <c r="I97" s="26" t="s">
        <v>89</v>
      </c>
      <c r="J97" s="26" t="s">
        <v>57</v>
      </c>
      <c r="K97" s="27" t="s">
        <v>90</v>
      </c>
      <c r="L97" s="28" t="s">
        <v>56</v>
      </c>
      <c r="M97" s="29" t="str">
        <f t="shared" si="5"/>
        <v>⚠ Missing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70">
        <v>46248</v>
      </c>
      <c r="X97" s="30" t="s">
        <v>55</v>
      </c>
      <c r="Y97" s="30" t="s">
        <v>56</v>
      </c>
      <c r="Z97" s="30" t="s">
        <v>57</v>
      </c>
      <c r="AA97" s="30" t="s">
        <v>58</v>
      </c>
      <c r="AB97" s="30" t="s">
        <v>56</v>
      </c>
      <c r="AC97" s="27"/>
      <c r="AD97" s="31" t="s">
        <v>57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1516</v>
      </c>
      <c r="C98" s="41" t="s">
        <v>1517</v>
      </c>
      <c r="D98" s="39" t="s">
        <v>1331</v>
      </c>
      <c r="E98" s="42">
        <v>46132</v>
      </c>
      <c r="F98" s="26" t="s">
        <v>55</v>
      </c>
      <c r="G98" s="26" t="s">
        <v>57</v>
      </c>
      <c r="H98" s="26" t="s">
        <v>57</v>
      </c>
      <c r="I98" s="26" t="s">
        <v>89</v>
      </c>
      <c r="J98" s="26" t="s">
        <v>57</v>
      </c>
      <c r="K98" s="27" t="s">
        <v>90</v>
      </c>
      <c r="L98" s="28" t="s">
        <v>56</v>
      </c>
      <c r="M98" s="29" t="str">
        <f t="shared" si="5"/>
        <v>⚠ Missing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1518</v>
      </c>
      <c r="C99" s="25" t="s">
        <v>1519</v>
      </c>
      <c r="D99" s="23" t="s">
        <v>1331</v>
      </c>
      <c r="E99" s="42">
        <v>46132</v>
      </c>
      <c r="F99" s="26" t="s">
        <v>55</v>
      </c>
      <c r="G99" s="26" t="s">
        <v>57</v>
      </c>
      <c r="H99" s="26" t="s">
        <v>57</v>
      </c>
      <c r="I99" s="26" t="s">
        <v>89</v>
      </c>
      <c r="J99" s="26" t="s">
        <v>57</v>
      </c>
      <c r="K99" s="27" t="s">
        <v>90</v>
      </c>
      <c r="L99" s="28" t="s">
        <v>56</v>
      </c>
      <c r="M99" s="29" t="str">
        <f t="shared" si="5"/>
        <v>⚠ Missing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1520</v>
      </c>
      <c r="C100" s="41" t="s">
        <v>1521</v>
      </c>
      <c r="D100" s="39" t="s">
        <v>1331</v>
      </c>
      <c r="E100" s="42">
        <v>46132</v>
      </c>
      <c r="F100" s="26" t="s">
        <v>55</v>
      </c>
      <c r="G100" s="26" t="s">
        <v>57</v>
      </c>
      <c r="H100" s="26" t="s">
        <v>57</v>
      </c>
      <c r="I100" s="26" t="s">
        <v>89</v>
      </c>
      <c r="J100" s="26" t="s">
        <v>57</v>
      </c>
      <c r="K100" s="27" t="s">
        <v>90</v>
      </c>
      <c r="L100" s="28" t="s">
        <v>56</v>
      </c>
      <c r="M100" s="29" t="str">
        <f t="shared" si="5"/>
        <v>⚠ Missing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1522</v>
      </c>
      <c r="C101" s="25" t="s">
        <v>1523</v>
      </c>
      <c r="D101" s="23" t="s">
        <v>1331</v>
      </c>
      <c r="E101" s="42">
        <v>46132</v>
      </c>
      <c r="F101" s="26" t="s">
        <v>55</v>
      </c>
      <c r="G101" s="26" t="s">
        <v>57</v>
      </c>
      <c r="H101" s="26" t="s">
        <v>57</v>
      </c>
      <c r="I101" s="26" t="s">
        <v>89</v>
      </c>
      <c r="J101" s="26" t="s">
        <v>57</v>
      </c>
      <c r="K101" s="27" t="s">
        <v>90</v>
      </c>
      <c r="L101" s="28" t="s">
        <v>56</v>
      </c>
      <c r="M101" s="29" t="str">
        <f t="shared" si="5"/>
        <v>⚠ Missing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1524</v>
      </c>
      <c r="C102" s="41" t="s">
        <v>1525</v>
      </c>
      <c r="D102" s="39" t="s">
        <v>1331</v>
      </c>
      <c r="E102" s="42">
        <v>46132</v>
      </c>
      <c r="F102" s="26" t="s">
        <v>55</v>
      </c>
      <c r="G102" s="26" t="s">
        <v>57</v>
      </c>
      <c r="H102" s="26" t="s">
        <v>57</v>
      </c>
      <c r="I102" s="26" t="s">
        <v>89</v>
      </c>
      <c r="J102" s="26" t="s">
        <v>57</v>
      </c>
      <c r="K102" s="27" t="s">
        <v>90</v>
      </c>
      <c r="L102" s="28" t="s">
        <v>56</v>
      </c>
      <c r="M102" s="29" t="str">
        <f t="shared" si="5"/>
        <v>⚠ Missing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1526</v>
      </c>
      <c r="C103" s="25" t="s">
        <v>1527</v>
      </c>
      <c r="D103" s="23" t="s">
        <v>1331</v>
      </c>
      <c r="E103" s="42">
        <v>46132</v>
      </c>
      <c r="F103" s="26" t="s">
        <v>55</v>
      </c>
      <c r="G103" s="26" t="s">
        <v>57</v>
      </c>
      <c r="H103" s="26" t="s">
        <v>57</v>
      </c>
      <c r="I103" s="26" t="s">
        <v>89</v>
      </c>
      <c r="J103" s="26" t="s">
        <v>57</v>
      </c>
      <c r="K103" s="27" t="s">
        <v>90</v>
      </c>
      <c r="L103" s="28" t="s">
        <v>56</v>
      </c>
      <c r="M103" s="29" t="str">
        <f t="shared" si="5"/>
        <v>⚠ Missing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1528</v>
      </c>
      <c r="C104" s="41" t="s">
        <v>1529</v>
      </c>
      <c r="D104" s="39" t="s">
        <v>1331</v>
      </c>
      <c r="E104" s="42">
        <v>46132</v>
      </c>
      <c r="F104" s="26" t="s">
        <v>55</v>
      </c>
      <c r="G104" s="26" t="s">
        <v>57</v>
      </c>
      <c r="H104" s="26" t="s">
        <v>57</v>
      </c>
      <c r="I104" s="26" t="s">
        <v>89</v>
      </c>
      <c r="J104" s="26" t="s">
        <v>57</v>
      </c>
      <c r="K104" s="27" t="s">
        <v>90</v>
      </c>
      <c r="L104" s="28" t="s">
        <v>56</v>
      </c>
      <c r="M104" s="29" t="str">
        <f t="shared" si="5"/>
        <v>⚠ Missing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1530</v>
      </c>
      <c r="C105" s="25" t="s">
        <v>1531</v>
      </c>
      <c r="D105" s="23" t="s">
        <v>1331</v>
      </c>
      <c r="E105" s="42">
        <v>46132</v>
      </c>
      <c r="F105" s="26" t="s">
        <v>55</v>
      </c>
      <c r="G105" s="26" t="s">
        <v>57</v>
      </c>
      <c r="H105" s="26" t="s">
        <v>57</v>
      </c>
      <c r="I105" s="26" t="s">
        <v>89</v>
      </c>
      <c r="J105" s="26" t="s">
        <v>57</v>
      </c>
      <c r="K105" s="27" t="s">
        <v>90</v>
      </c>
      <c r="L105" s="28" t="s">
        <v>56</v>
      </c>
      <c r="M105" s="29" t="str">
        <f t="shared" si="5"/>
        <v>⚠ Missing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1532</v>
      </c>
      <c r="C106" s="41" t="s">
        <v>1533</v>
      </c>
      <c r="D106" s="39" t="s">
        <v>1331</v>
      </c>
      <c r="E106" s="42">
        <v>46132</v>
      </c>
      <c r="F106" s="26" t="s">
        <v>55</v>
      </c>
      <c r="G106" s="26" t="s">
        <v>57</v>
      </c>
      <c r="H106" s="26" t="s">
        <v>57</v>
      </c>
      <c r="I106" s="26" t="s">
        <v>89</v>
      </c>
      <c r="J106" s="26" t="s">
        <v>57</v>
      </c>
      <c r="K106" s="27" t="s">
        <v>90</v>
      </c>
      <c r="L106" s="28" t="s">
        <v>56</v>
      </c>
      <c r="M106" s="29" t="str">
        <f t="shared" si="5"/>
        <v>⚠ Missing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1534</v>
      </c>
      <c r="C107" s="25" t="s">
        <v>1535</v>
      </c>
      <c r="D107" s="23" t="s">
        <v>1331</v>
      </c>
      <c r="E107" s="42">
        <v>46132</v>
      </c>
      <c r="F107" s="26" t="s">
        <v>55</v>
      </c>
      <c r="G107" s="26" t="s">
        <v>57</v>
      </c>
      <c r="H107" s="26" t="s">
        <v>57</v>
      </c>
      <c r="I107" s="26" t="s">
        <v>89</v>
      </c>
      <c r="J107" s="26" t="s">
        <v>57</v>
      </c>
      <c r="K107" s="27" t="s">
        <v>90</v>
      </c>
      <c r="L107" s="28" t="s">
        <v>56</v>
      </c>
      <c r="M107" s="29" t="str">
        <f t="shared" si="5"/>
        <v>⚠ Missing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1536</v>
      </c>
      <c r="C108" s="41" t="s">
        <v>1537</v>
      </c>
      <c r="D108" s="39" t="s">
        <v>1331</v>
      </c>
      <c r="E108" s="42">
        <v>46132</v>
      </c>
      <c r="F108" s="26" t="s">
        <v>55</v>
      </c>
      <c r="G108" s="26" t="s">
        <v>57</v>
      </c>
      <c r="H108" s="26" t="s">
        <v>57</v>
      </c>
      <c r="I108" s="26" t="s">
        <v>89</v>
      </c>
      <c r="J108" s="26" t="s">
        <v>57</v>
      </c>
      <c r="K108" s="27" t="s">
        <v>90</v>
      </c>
      <c r="L108" s="28" t="s">
        <v>56</v>
      </c>
      <c r="M108" s="29" t="str">
        <f t="shared" si="5"/>
        <v>⚠ Missing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1538</v>
      </c>
      <c r="C109" s="25" t="s">
        <v>1539</v>
      </c>
      <c r="D109" s="23" t="s">
        <v>1331</v>
      </c>
      <c r="E109" s="42">
        <v>46132</v>
      </c>
      <c r="F109" s="26" t="s">
        <v>55</v>
      </c>
      <c r="G109" s="26" t="s">
        <v>57</v>
      </c>
      <c r="H109" s="26" t="s">
        <v>57</v>
      </c>
      <c r="I109" s="26" t="s">
        <v>89</v>
      </c>
      <c r="J109" s="26" t="s">
        <v>57</v>
      </c>
      <c r="K109" s="27" t="s">
        <v>90</v>
      </c>
      <c r="L109" s="28" t="s">
        <v>56</v>
      </c>
      <c r="M109" s="29" t="str">
        <f t="shared" si="5"/>
        <v>⚠ Missing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1540</v>
      </c>
      <c r="C110" s="41" t="s">
        <v>1541</v>
      </c>
      <c r="D110" s="39" t="s">
        <v>1331</v>
      </c>
      <c r="E110" s="42">
        <v>46132</v>
      </c>
      <c r="F110" s="26" t="s">
        <v>55</v>
      </c>
      <c r="G110" s="26" t="s">
        <v>57</v>
      </c>
      <c r="H110" s="26" t="s">
        <v>57</v>
      </c>
      <c r="I110" s="26" t="s">
        <v>89</v>
      </c>
      <c r="J110" s="26" t="s">
        <v>57</v>
      </c>
      <c r="K110" s="27" t="s">
        <v>90</v>
      </c>
      <c r="L110" s="28" t="s">
        <v>56</v>
      </c>
      <c r="M110" s="29" t="str">
        <f t="shared" si="5"/>
        <v>⚠ Missing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1542</v>
      </c>
      <c r="C111" s="25" t="s">
        <v>1543</v>
      </c>
      <c r="D111" s="23" t="s">
        <v>1331</v>
      </c>
      <c r="E111" s="42">
        <v>46132</v>
      </c>
      <c r="F111" s="26" t="s">
        <v>55</v>
      </c>
      <c r="G111" s="26" t="s">
        <v>57</v>
      </c>
      <c r="H111" s="26" t="s">
        <v>57</v>
      </c>
      <c r="I111" s="26" t="s">
        <v>89</v>
      </c>
      <c r="J111" s="26" t="s">
        <v>57</v>
      </c>
      <c r="K111" s="27" t="s">
        <v>90</v>
      </c>
      <c r="L111" s="28" t="s">
        <v>56</v>
      </c>
      <c r="M111" s="29" t="str">
        <f t="shared" si="5"/>
        <v>⚠ Missing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1544</v>
      </c>
      <c r="C112" s="41" t="s">
        <v>1545</v>
      </c>
      <c r="D112" s="39" t="s">
        <v>1331</v>
      </c>
      <c r="E112" s="42">
        <v>46132</v>
      </c>
      <c r="F112" s="26" t="s">
        <v>55</v>
      </c>
      <c r="G112" s="26" t="s">
        <v>57</v>
      </c>
      <c r="H112" s="26" t="s">
        <v>57</v>
      </c>
      <c r="I112" s="26" t="s">
        <v>89</v>
      </c>
      <c r="J112" s="26" t="s">
        <v>57</v>
      </c>
      <c r="K112" s="27" t="s">
        <v>90</v>
      </c>
      <c r="L112" s="28" t="s">
        <v>56</v>
      </c>
      <c r="M112" s="29" t="str">
        <f t="shared" si="5"/>
        <v>⚠ Missing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1546</v>
      </c>
      <c r="C113" s="25" t="s">
        <v>1547</v>
      </c>
      <c r="D113" s="23" t="s">
        <v>1331</v>
      </c>
      <c r="E113" s="42">
        <v>46132</v>
      </c>
      <c r="F113" s="26" t="s">
        <v>55</v>
      </c>
      <c r="G113" s="26" t="s">
        <v>57</v>
      </c>
      <c r="H113" s="26" t="s">
        <v>57</v>
      </c>
      <c r="I113" s="26" t="s">
        <v>89</v>
      </c>
      <c r="J113" s="26" t="s">
        <v>57</v>
      </c>
      <c r="K113" s="27" t="s">
        <v>90</v>
      </c>
      <c r="L113" s="28" t="s">
        <v>56</v>
      </c>
      <c r="M113" s="29" t="str">
        <f t="shared" si="5"/>
        <v>⚠ Missing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1548</v>
      </c>
      <c r="C114" s="41" t="s">
        <v>1549</v>
      </c>
      <c r="D114" s="39" t="s">
        <v>1331</v>
      </c>
      <c r="E114" s="42">
        <v>46132</v>
      </c>
      <c r="F114" s="26" t="s">
        <v>55</v>
      </c>
      <c r="G114" s="26" t="s">
        <v>57</v>
      </c>
      <c r="H114" s="26" t="s">
        <v>57</v>
      </c>
      <c r="I114" s="26" t="s">
        <v>89</v>
      </c>
      <c r="J114" s="26" t="s">
        <v>57</v>
      </c>
      <c r="K114" s="27" t="s">
        <v>90</v>
      </c>
      <c r="L114" s="28" t="s">
        <v>56</v>
      </c>
      <c r="M114" s="29" t="str">
        <f t="shared" si="5"/>
        <v>⚠ Missing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1550</v>
      </c>
      <c r="C115" s="25" t="s">
        <v>1551</v>
      </c>
      <c r="D115" s="23" t="s">
        <v>1331</v>
      </c>
      <c r="E115" s="42">
        <v>46132</v>
      </c>
      <c r="F115" s="26" t="s">
        <v>55</v>
      </c>
      <c r="G115" s="26" t="s">
        <v>57</v>
      </c>
      <c r="H115" s="26" t="s">
        <v>57</v>
      </c>
      <c r="I115" s="26" t="s">
        <v>89</v>
      </c>
      <c r="J115" s="26" t="s">
        <v>57</v>
      </c>
      <c r="K115" s="27" t="s">
        <v>90</v>
      </c>
      <c r="L115" s="28" t="s">
        <v>56</v>
      </c>
      <c r="M115" s="29" t="str">
        <f t="shared" si="5"/>
        <v>⚠ Missing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1552</v>
      </c>
      <c r="C116" s="41" t="s">
        <v>1553</v>
      </c>
      <c r="D116" s="39" t="s">
        <v>1331</v>
      </c>
      <c r="E116" s="42">
        <v>46132</v>
      </c>
      <c r="F116" s="26" t="s">
        <v>55</v>
      </c>
      <c r="G116" s="26" t="s">
        <v>57</v>
      </c>
      <c r="H116" s="26" t="s">
        <v>57</v>
      </c>
      <c r="I116" s="26" t="s">
        <v>89</v>
      </c>
      <c r="J116" s="26" t="s">
        <v>57</v>
      </c>
      <c r="K116" s="27" t="s">
        <v>90</v>
      </c>
      <c r="L116" s="28" t="s">
        <v>56</v>
      </c>
      <c r="M116" s="29" t="str">
        <f t="shared" si="5"/>
        <v>⚠ Missing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1554</v>
      </c>
      <c r="C117" s="25" t="s">
        <v>1555</v>
      </c>
      <c r="D117" s="23" t="s">
        <v>1331</v>
      </c>
      <c r="E117" s="42">
        <v>46132</v>
      </c>
      <c r="F117" s="26" t="s">
        <v>55</v>
      </c>
      <c r="G117" s="26" t="s">
        <v>57</v>
      </c>
      <c r="H117" s="26" t="s">
        <v>57</v>
      </c>
      <c r="I117" s="26" t="s">
        <v>89</v>
      </c>
      <c r="J117" s="26" t="s">
        <v>57</v>
      </c>
      <c r="K117" s="27" t="s">
        <v>90</v>
      </c>
      <c r="L117" s="28" t="s">
        <v>56</v>
      </c>
      <c r="M117" s="29" t="str">
        <f t="shared" si="5"/>
        <v>⚠ Missing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1556</v>
      </c>
      <c r="C118" s="41" t="s">
        <v>1557</v>
      </c>
      <c r="D118" s="39" t="s">
        <v>1331</v>
      </c>
      <c r="E118" s="42">
        <v>46132</v>
      </c>
      <c r="F118" s="26" t="s">
        <v>55</v>
      </c>
      <c r="G118" s="26" t="s">
        <v>57</v>
      </c>
      <c r="H118" s="26" t="s">
        <v>57</v>
      </c>
      <c r="I118" s="26" t="s">
        <v>89</v>
      </c>
      <c r="J118" s="26" t="s">
        <v>57</v>
      </c>
      <c r="K118" s="27" t="s">
        <v>90</v>
      </c>
      <c r="L118" s="28" t="s">
        <v>56</v>
      </c>
      <c r="M118" s="29" t="str">
        <f t="shared" si="5"/>
        <v>⚠ Missing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1558</v>
      </c>
      <c r="C119" s="25" t="s">
        <v>1559</v>
      </c>
      <c r="D119" s="23" t="s">
        <v>1331</v>
      </c>
      <c r="E119" s="42">
        <v>46132</v>
      </c>
      <c r="F119" s="26" t="s">
        <v>55</v>
      </c>
      <c r="G119" s="26" t="s">
        <v>57</v>
      </c>
      <c r="H119" s="26" t="s">
        <v>57</v>
      </c>
      <c r="I119" s="26" t="s">
        <v>89</v>
      </c>
      <c r="J119" s="26" t="s">
        <v>57</v>
      </c>
      <c r="K119" s="27" t="s">
        <v>90</v>
      </c>
      <c r="L119" s="28" t="s">
        <v>56</v>
      </c>
      <c r="M119" s="29" t="str">
        <f t="shared" si="5"/>
        <v>⚠ Missing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1560</v>
      </c>
      <c r="C120" s="41" t="s">
        <v>1561</v>
      </c>
      <c r="D120" s="39" t="s">
        <v>1331</v>
      </c>
      <c r="E120" s="42">
        <v>46132</v>
      </c>
      <c r="F120" s="26" t="s">
        <v>55</v>
      </c>
      <c r="G120" s="26" t="s">
        <v>57</v>
      </c>
      <c r="H120" s="26" t="s">
        <v>57</v>
      </c>
      <c r="I120" s="26" t="s">
        <v>89</v>
      </c>
      <c r="J120" s="26" t="s">
        <v>57</v>
      </c>
      <c r="K120" s="27" t="s">
        <v>90</v>
      </c>
      <c r="L120" s="28" t="s">
        <v>56</v>
      </c>
      <c r="M120" s="29" t="str">
        <f t="shared" si="5"/>
        <v>⚠ Missing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1562</v>
      </c>
      <c r="C121" s="25" t="s">
        <v>1563</v>
      </c>
      <c r="D121" s="23" t="s">
        <v>1331</v>
      </c>
      <c r="E121" s="42">
        <v>46132</v>
      </c>
      <c r="F121" s="26" t="s">
        <v>55</v>
      </c>
      <c r="G121" s="26" t="s">
        <v>57</v>
      </c>
      <c r="H121" s="26" t="s">
        <v>57</v>
      </c>
      <c r="I121" s="26" t="s">
        <v>89</v>
      </c>
      <c r="J121" s="26" t="s">
        <v>57</v>
      </c>
      <c r="K121" s="27" t="s">
        <v>90</v>
      </c>
      <c r="L121" s="28" t="s">
        <v>56</v>
      </c>
      <c r="M121" s="29" t="str">
        <f t="shared" si="5"/>
        <v>⚠ Missing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1564</v>
      </c>
      <c r="C122" s="41" t="s">
        <v>1565</v>
      </c>
      <c r="D122" s="39" t="s">
        <v>1331</v>
      </c>
      <c r="E122" s="42">
        <v>46132</v>
      </c>
      <c r="F122" s="26" t="s">
        <v>55</v>
      </c>
      <c r="G122" s="26" t="s">
        <v>57</v>
      </c>
      <c r="H122" s="26" t="s">
        <v>57</v>
      </c>
      <c r="I122" s="26" t="s">
        <v>89</v>
      </c>
      <c r="J122" s="26" t="s">
        <v>57</v>
      </c>
      <c r="K122" s="27" t="s">
        <v>90</v>
      </c>
      <c r="L122" s="28" t="s">
        <v>56</v>
      </c>
      <c r="M122" s="29" t="str">
        <f t="shared" si="5"/>
        <v>⚠ Missing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1566</v>
      </c>
      <c r="C123" s="25" t="s">
        <v>1567</v>
      </c>
      <c r="D123" s="23" t="s">
        <v>1331</v>
      </c>
      <c r="E123" s="42">
        <v>46132</v>
      </c>
      <c r="F123" s="26" t="s">
        <v>55</v>
      </c>
      <c r="G123" s="26" t="s">
        <v>57</v>
      </c>
      <c r="H123" s="26" t="s">
        <v>57</v>
      </c>
      <c r="I123" s="26" t="s">
        <v>89</v>
      </c>
      <c r="J123" s="26" t="s">
        <v>57</v>
      </c>
      <c r="K123" s="27" t="s">
        <v>90</v>
      </c>
      <c r="L123" s="28" t="s">
        <v>56</v>
      </c>
      <c r="M123" s="29" t="str">
        <f t="shared" si="5"/>
        <v>⚠ Missing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1568</v>
      </c>
      <c r="C124" s="41" t="s">
        <v>1569</v>
      </c>
      <c r="D124" s="39" t="s">
        <v>1331</v>
      </c>
      <c r="E124" s="42">
        <v>46132</v>
      </c>
      <c r="F124" s="26" t="s">
        <v>55</v>
      </c>
      <c r="G124" s="26" t="s">
        <v>57</v>
      </c>
      <c r="H124" s="26" t="s">
        <v>57</v>
      </c>
      <c r="I124" s="26" t="s">
        <v>89</v>
      </c>
      <c r="J124" s="26" t="s">
        <v>57</v>
      </c>
      <c r="K124" s="27" t="s">
        <v>90</v>
      </c>
      <c r="L124" s="28" t="s">
        <v>56</v>
      </c>
      <c r="M124" s="29" t="str">
        <f t="shared" si="5"/>
        <v>⚠ Missing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1570</v>
      </c>
      <c r="C125" s="25" t="s">
        <v>1571</v>
      </c>
      <c r="D125" s="23" t="s">
        <v>1331</v>
      </c>
      <c r="E125" s="42">
        <v>46132</v>
      </c>
      <c r="F125" s="26" t="s">
        <v>55</v>
      </c>
      <c r="G125" s="26" t="s">
        <v>57</v>
      </c>
      <c r="H125" s="26" t="s">
        <v>57</v>
      </c>
      <c r="I125" s="26" t="s">
        <v>89</v>
      </c>
      <c r="J125" s="26" t="s">
        <v>57</v>
      </c>
      <c r="K125" s="27" t="s">
        <v>90</v>
      </c>
      <c r="L125" s="28" t="s">
        <v>56</v>
      </c>
      <c r="M125" s="29" t="str">
        <f t="shared" si="5"/>
        <v>⚠ Missing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1572</v>
      </c>
      <c r="C126" s="41" t="s">
        <v>1573</v>
      </c>
      <c r="D126" s="39" t="s">
        <v>1331</v>
      </c>
      <c r="E126" s="42">
        <v>46132</v>
      </c>
      <c r="F126" s="26" t="s">
        <v>55</v>
      </c>
      <c r="G126" s="26" t="s">
        <v>57</v>
      </c>
      <c r="H126" s="26" t="s">
        <v>57</v>
      </c>
      <c r="I126" s="26" t="s">
        <v>89</v>
      </c>
      <c r="J126" s="26" t="s">
        <v>57</v>
      </c>
      <c r="K126" s="27" t="s">
        <v>90</v>
      </c>
      <c r="L126" s="28" t="s">
        <v>56</v>
      </c>
      <c r="M126" s="29" t="str">
        <f t="shared" si="5"/>
        <v>⚠ Missing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1574</v>
      </c>
      <c r="C127" s="25" t="s">
        <v>1575</v>
      </c>
      <c r="D127" s="23" t="s">
        <v>1331</v>
      </c>
      <c r="E127" s="42">
        <v>46132</v>
      </c>
      <c r="F127" s="26" t="s">
        <v>55</v>
      </c>
      <c r="G127" s="26" t="s">
        <v>57</v>
      </c>
      <c r="H127" s="26" t="s">
        <v>57</v>
      </c>
      <c r="I127" s="26" t="s">
        <v>89</v>
      </c>
      <c r="J127" s="26" t="s">
        <v>57</v>
      </c>
      <c r="K127" s="27" t="s">
        <v>90</v>
      </c>
      <c r="L127" s="28" t="s">
        <v>56</v>
      </c>
      <c r="M127" s="29" t="str">
        <f t="shared" si="5"/>
        <v>⚠ Missing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1576</v>
      </c>
      <c r="C128" s="41" t="s">
        <v>1577</v>
      </c>
      <c r="D128" s="39" t="s">
        <v>1331</v>
      </c>
      <c r="E128" s="42">
        <v>46132</v>
      </c>
      <c r="F128" s="26" t="s">
        <v>55</v>
      </c>
      <c r="G128" s="26" t="s">
        <v>57</v>
      </c>
      <c r="H128" s="26" t="s">
        <v>57</v>
      </c>
      <c r="I128" s="26" t="s">
        <v>89</v>
      </c>
      <c r="J128" s="26" t="s">
        <v>57</v>
      </c>
      <c r="K128" s="27" t="s">
        <v>90</v>
      </c>
      <c r="L128" s="28" t="s">
        <v>56</v>
      </c>
      <c r="M128" s="29" t="str">
        <f t="shared" si="5"/>
        <v>⚠ Missing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1578</v>
      </c>
      <c r="C129" s="25" t="s">
        <v>1579</v>
      </c>
      <c r="D129" s="23" t="s">
        <v>1331</v>
      </c>
      <c r="E129" s="42">
        <v>46132</v>
      </c>
      <c r="F129" s="26" t="s">
        <v>55</v>
      </c>
      <c r="G129" s="26" t="s">
        <v>57</v>
      </c>
      <c r="H129" s="26" t="s">
        <v>57</v>
      </c>
      <c r="I129" s="26" t="s">
        <v>89</v>
      </c>
      <c r="J129" s="26" t="s">
        <v>57</v>
      </c>
      <c r="K129" s="27" t="s">
        <v>90</v>
      </c>
      <c r="L129" s="28" t="s">
        <v>56</v>
      </c>
      <c r="M129" s="29" t="str">
        <f t="shared" si="5"/>
        <v>⚠ Missing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1580</v>
      </c>
      <c r="C130" s="41" t="s">
        <v>1581</v>
      </c>
      <c r="D130" s="39" t="s">
        <v>1331</v>
      </c>
      <c r="E130" s="42">
        <v>46132</v>
      </c>
      <c r="F130" s="26" t="s">
        <v>55</v>
      </c>
      <c r="G130" s="26" t="s">
        <v>57</v>
      </c>
      <c r="H130" s="26" t="s">
        <v>57</v>
      </c>
      <c r="I130" s="26" t="s">
        <v>89</v>
      </c>
      <c r="J130" s="26" t="s">
        <v>57</v>
      </c>
      <c r="K130" s="27" t="s">
        <v>90</v>
      </c>
      <c r="L130" s="28" t="s">
        <v>56</v>
      </c>
      <c r="M130" s="29" t="str">
        <f t="shared" si="5"/>
        <v>⚠ Missing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1582</v>
      </c>
      <c r="C131" s="25" t="s">
        <v>1583</v>
      </c>
      <c r="D131" s="23" t="s">
        <v>1331</v>
      </c>
      <c r="E131" s="42">
        <v>46132</v>
      </c>
      <c r="F131" s="26" t="s">
        <v>55</v>
      </c>
      <c r="G131" s="26" t="s">
        <v>57</v>
      </c>
      <c r="H131" s="26" t="s">
        <v>57</v>
      </c>
      <c r="I131" s="26" t="s">
        <v>89</v>
      </c>
      <c r="J131" s="26" t="s">
        <v>57</v>
      </c>
      <c r="K131" s="27" t="s">
        <v>90</v>
      </c>
      <c r="L131" s="28" t="s">
        <v>56</v>
      </c>
      <c r="M131" s="29" t="str">
        <f t="shared" si="5"/>
        <v>⚠ Missing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1584</v>
      </c>
      <c r="C132" s="41" t="s">
        <v>1585</v>
      </c>
      <c r="D132" s="39" t="s">
        <v>1331</v>
      </c>
      <c r="E132" s="42">
        <v>46132</v>
      </c>
      <c r="F132" s="26" t="s">
        <v>55</v>
      </c>
      <c r="G132" s="26" t="s">
        <v>57</v>
      </c>
      <c r="H132" s="26" t="s">
        <v>57</v>
      </c>
      <c r="I132" s="26" t="s">
        <v>89</v>
      </c>
      <c r="J132" s="26" t="s">
        <v>57</v>
      </c>
      <c r="K132" s="27" t="s">
        <v>90</v>
      </c>
      <c r="L132" s="28" t="s">
        <v>56</v>
      </c>
      <c r="M132" s="29" t="str">
        <f t="shared" si="5"/>
        <v>⚠ Missing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1586</v>
      </c>
      <c r="C133" s="25" t="s">
        <v>1587</v>
      </c>
      <c r="D133" s="23" t="s">
        <v>1331</v>
      </c>
      <c r="E133" s="42">
        <v>46132</v>
      </c>
      <c r="F133" s="26" t="s">
        <v>55</v>
      </c>
      <c r="G133" s="26" t="s">
        <v>57</v>
      </c>
      <c r="H133" s="26" t="s">
        <v>57</v>
      </c>
      <c r="I133" s="26" t="s">
        <v>89</v>
      </c>
      <c r="J133" s="26" t="s">
        <v>57</v>
      </c>
      <c r="K133" s="27" t="s">
        <v>90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Missing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1588</v>
      </c>
      <c r="C134" s="41" t="s">
        <v>1589</v>
      </c>
      <c r="D134" s="39" t="s">
        <v>1331</v>
      </c>
      <c r="E134" s="42">
        <v>46132</v>
      </c>
      <c r="F134" s="26" t="s">
        <v>55</v>
      </c>
      <c r="G134" s="26" t="s">
        <v>57</v>
      </c>
      <c r="H134" s="26" t="s">
        <v>57</v>
      </c>
      <c r="I134" s="26" t="s">
        <v>89</v>
      </c>
      <c r="J134" s="26" t="s">
        <v>57</v>
      </c>
      <c r="K134" s="27" t="s">
        <v>90</v>
      </c>
      <c r="L134" s="28" t="s">
        <v>56</v>
      </c>
      <c r="M134" s="29" t="str">
        <f t="shared" si="10"/>
        <v>⚠ Missing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1590</v>
      </c>
      <c r="C135" s="25" t="s">
        <v>1591</v>
      </c>
      <c r="D135" s="23" t="s">
        <v>1331</v>
      </c>
      <c r="E135" s="42">
        <v>46132</v>
      </c>
      <c r="F135" s="26" t="s">
        <v>55</v>
      </c>
      <c r="G135" s="26" t="s">
        <v>57</v>
      </c>
      <c r="H135" s="26" t="s">
        <v>57</v>
      </c>
      <c r="I135" s="26" t="s">
        <v>89</v>
      </c>
      <c r="J135" s="26" t="s">
        <v>57</v>
      </c>
      <c r="K135" s="27" t="s">
        <v>90</v>
      </c>
      <c r="L135" s="28" t="s">
        <v>56</v>
      </c>
      <c r="M135" s="29" t="str">
        <f t="shared" si="10"/>
        <v>⚠ Missing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1592</v>
      </c>
      <c r="C136" s="41" t="s">
        <v>1593</v>
      </c>
      <c r="D136" s="39" t="s">
        <v>1331</v>
      </c>
      <c r="E136" s="42">
        <v>46132</v>
      </c>
      <c r="F136" s="26" t="s">
        <v>55</v>
      </c>
      <c r="G136" s="26" t="s">
        <v>57</v>
      </c>
      <c r="H136" s="26" t="s">
        <v>57</v>
      </c>
      <c r="I136" s="26" t="s">
        <v>89</v>
      </c>
      <c r="J136" s="26" t="s">
        <v>57</v>
      </c>
      <c r="K136" s="27" t="s">
        <v>90</v>
      </c>
      <c r="L136" s="28" t="s">
        <v>56</v>
      </c>
      <c r="M136" s="29" t="str">
        <f t="shared" si="10"/>
        <v>⚠ Missing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1594</v>
      </c>
      <c r="C137" s="25" t="s">
        <v>1595</v>
      </c>
      <c r="D137" s="23" t="s">
        <v>1331</v>
      </c>
      <c r="E137" s="42">
        <v>46132</v>
      </c>
      <c r="F137" s="26" t="s">
        <v>55</v>
      </c>
      <c r="G137" s="26" t="s">
        <v>57</v>
      </c>
      <c r="H137" s="26" t="s">
        <v>57</v>
      </c>
      <c r="I137" s="26" t="s">
        <v>89</v>
      </c>
      <c r="J137" s="26" t="s">
        <v>57</v>
      </c>
      <c r="K137" s="27" t="s">
        <v>90</v>
      </c>
      <c r="L137" s="28" t="s">
        <v>56</v>
      </c>
      <c r="M137" s="29" t="str">
        <f t="shared" si="10"/>
        <v>⚠ Missing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1596</v>
      </c>
      <c r="C138" s="41" t="s">
        <v>1597</v>
      </c>
      <c r="D138" s="39" t="s">
        <v>1331</v>
      </c>
      <c r="E138" s="42">
        <v>46132</v>
      </c>
      <c r="F138" s="26" t="s">
        <v>55</v>
      </c>
      <c r="G138" s="26" t="s">
        <v>57</v>
      </c>
      <c r="H138" s="26" t="s">
        <v>57</v>
      </c>
      <c r="I138" s="26" t="s">
        <v>89</v>
      </c>
      <c r="J138" s="26" t="s">
        <v>57</v>
      </c>
      <c r="K138" s="27" t="s">
        <v>90</v>
      </c>
      <c r="L138" s="28" t="s">
        <v>56</v>
      </c>
      <c r="M138" s="29" t="str">
        <f t="shared" si="10"/>
        <v>⚠ Missing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58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1598</v>
      </c>
      <c r="C139" s="25" t="s">
        <v>1599</v>
      </c>
      <c r="D139" s="23" t="s">
        <v>1331</v>
      </c>
      <c r="E139" s="42">
        <v>46132</v>
      </c>
      <c r="F139" s="26" t="s">
        <v>55</v>
      </c>
      <c r="G139" s="26" t="s">
        <v>57</v>
      </c>
      <c r="H139" s="26" t="s">
        <v>57</v>
      </c>
      <c r="I139" s="26" t="s">
        <v>89</v>
      </c>
      <c r="J139" s="26" t="s">
        <v>57</v>
      </c>
      <c r="K139" s="27" t="s">
        <v>90</v>
      </c>
      <c r="L139" s="28" t="s">
        <v>56</v>
      </c>
      <c r="M139" s="29" t="str">
        <f t="shared" si="10"/>
        <v>⚠ Missing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58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1600</v>
      </c>
      <c r="C140" s="41" t="s">
        <v>1601</v>
      </c>
      <c r="D140" s="39" t="s">
        <v>1331</v>
      </c>
      <c r="E140" s="42">
        <v>46132</v>
      </c>
      <c r="F140" s="26" t="s">
        <v>55</v>
      </c>
      <c r="G140" s="26" t="s">
        <v>57</v>
      </c>
      <c r="H140" s="26" t="s">
        <v>57</v>
      </c>
      <c r="I140" s="26" t="s">
        <v>89</v>
      </c>
      <c r="J140" s="26" t="s">
        <v>57</v>
      </c>
      <c r="K140" s="27" t="s">
        <v>90</v>
      </c>
      <c r="L140" s="28" t="s">
        <v>56</v>
      </c>
      <c r="M140" s="29" t="str">
        <f t="shared" si="10"/>
        <v>⚠ Missing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1602</v>
      </c>
      <c r="C141" s="25" t="s">
        <v>1603</v>
      </c>
      <c r="D141" s="23" t="s">
        <v>1331</v>
      </c>
      <c r="E141" s="42">
        <v>46132</v>
      </c>
      <c r="F141" s="26" t="s">
        <v>55</v>
      </c>
      <c r="G141" s="26" t="s">
        <v>57</v>
      </c>
      <c r="H141" s="26" t="s">
        <v>57</v>
      </c>
      <c r="I141" s="26" t="s">
        <v>89</v>
      </c>
      <c r="J141" s="26" t="s">
        <v>57</v>
      </c>
      <c r="K141" s="27" t="s">
        <v>90</v>
      </c>
      <c r="L141" s="28" t="s">
        <v>56</v>
      </c>
      <c r="M141" s="29" t="str">
        <f t="shared" si="10"/>
        <v>⚠ Missing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1604</v>
      </c>
      <c r="C142" s="41" t="s">
        <v>1605</v>
      </c>
      <c r="D142" s="39" t="s">
        <v>1331</v>
      </c>
      <c r="E142" s="42">
        <v>46132</v>
      </c>
      <c r="F142" s="26" t="s">
        <v>55</v>
      </c>
      <c r="G142" s="26" t="s">
        <v>57</v>
      </c>
      <c r="H142" s="26" t="s">
        <v>57</v>
      </c>
      <c r="I142" s="26" t="s">
        <v>89</v>
      </c>
      <c r="J142" s="26" t="s">
        <v>57</v>
      </c>
      <c r="K142" s="27" t="s">
        <v>90</v>
      </c>
      <c r="L142" s="28" t="s">
        <v>56</v>
      </c>
      <c r="M142" s="29" t="str">
        <f t="shared" si="10"/>
        <v>⚠ Missing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1606</v>
      </c>
      <c r="C143" s="25" t="s">
        <v>1607</v>
      </c>
      <c r="D143" s="23" t="s">
        <v>1331</v>
      </c>
      <c r="E143" s="42">
        <v>46132</v>
      </c>
      <c r="F143" s="26" t="s">
        <v>55</v>
      </c>
      <c r="G143" s="26" t="s">
        <v>57</v>
      </c>
      <c r="H143" s="26" t="s">
        <v>57</v>
      </c>
      <c r="I143" s="26" t="s">
        <v>89</v>
      </c>
      <c r="J143" s="26" t="s">
        <v>57</v>
      </c>
      <c r="K143" s="27" t="s">
        <v>90</v>
      </c>
      <c r="L143" s="28" t="s">
        <v>56</v>
      </c>
      <c r="M143" s="29" t="str">
        <f t="shared" si="10"/>
        <v>⚠ Missing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1608</v>
      </c>
      <c r="C144" s="41" t="s">
        <v>1609</v>
      </c>
      <c r="D144" s="39" t="s">
        <v>1331</v>
      </c>
      <c r="E144" s="42">
        <v>46132</v>
      </c>
      <c r="F144" s="26" t="s">
        <v>55</v>
      </c>
      <c r="G144" s="26" t="s">
        <v>57</v>
      </c>
      <c r="H144" s="26" t="s">
        <v>57</v>
      </c>
      <c r="I144" s="26" t="s">
        <v>89</v>
      </c>
      <c r="J144" s="26" t="s">
        <v>57</v>
      </c>
      <c r="K144" s="27" t="s">
        <v>90</v>
      </c>
      <c r="L144" s="28" t="s">
        <v>56</v>
      </c>
      <c r="M144" s="29" t="str">
        <f t="shared" si="10"/>
        <v>⚠ Missing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1610</v>
      </c>
      <c r="C145" s="25" t="s">
        <v>1611</v>
      </c>
      <c r="D145" s="23" t="s">
        <v>1331</v>
      </c>
      <c r="E145" s="42">
        <v>46132</v>
      </c>
      <c r="F145" s="26" t="s">
        <v>55</v>
      </c>
      <c r="G145" s="26" t="s">
        <v>57</v>
      </c>
      <c r="H145" s="26" t="s">
        <v>57</v>
      </c>
      <c r="I145" s="26" t="s">
        <v>89</v>
      </c>
      <c r="J145" s="26" t="s">
        <v>57</v>
      </c>
      <c r="K145" s="27" t="s">
        <v>90</v>
      </c>
      <c r="L145" s="28" t="s">
        <v>56</v>
      </c>
      <c r="M145" s="29" t="str">
        <f t="shared" si="10"/>
        <v>⚠ Missing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1612</v>
      </c>
      <c r="C146" s="41" t="s">
        <v>1613</v>
      </c>
      <c r="D146" s="39" t="s">
        <v>1331</v>
      </c>
      <c r="E146" s="42">
        <v>46132</v>
      </c>
      <c r="F146" s="26" t="s">
        <v>55</v>
      </c>
      <c r="G146" s="26" t="s">
        <v>57</v>
      </c>
      <c r="H146" s="26" t="s">
        <v>57</v>
      </c>
      <c r="I146" s="26" t="s">
        <v>89</v>
      </c>
      <c r="J146" s="26" t="s">
        <v>57</v>
      </c>
      <c r="K146" s="27" t="s">
        <v>90</v>
      </c>
      <c r="L146" s="28" t="s">
        <v>56</v>
      </c>
      <c r="M146" s="29" t="str">
        <f t="shared" si="10"/>
        <v>⚠ Missing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1614</v>
      </c>
      <c r="C147" s="25" t="s">
        <v>1615</v>
      </c>
      <c r="D147" s="23" t="s">
        <v>1331</v>
      </c>
      <c r="E147" s="42">
        <v>46132</v>
      </c>
      <c r="F147" s="26" t="s">
        <v>55</v>
      </c>
      <c r="G147" s="26" t="s">
        <v>57</v>
      </c>
      <c r="H147" s="26" t="s">
        <v>57</v>
      </c>
      <c r="I147" s="26" t="s">
        <v>89</v>
      </c>
      <c r="J147" s="26" t="s">
        <v>57</v>
      </c>
      <c r="K147" s="27" t="s">
        <v>90</v>
      </c>
      <c r="L147" s="28" t="s">
        <v>56</v>
      </c>
      <c r="M147" s="29" t="str">
        <f t="shared" si="10"/>
        <v>⚠ Missing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1616</v>
      </c>
      <c r="C148" s="41" t="s">
        <v>1617</v>
      </c>
      <c r="D148" s="39" t="s">
        <v>1331</v>
      </c>
      <c r="E148" s="42">
        <v>46132</v>
      </c>
      <c r="F148" s="26" t="s">
        <v>55</v>
      </c>
      <c r="G148" s="26" t="s">
        <v>57</v>
      </c>
      <c r="H148" s="26" t="s">
        <v>57</v>
      </c>
      <c r="I148" s="26" t="s">
        <v>89</v>
      </c>
      <c r="J148" s="26" t="s">
        <v>57</v>
      </c>
      <c r="K148" s="27" t="s">
        <v>90</v>
      </c>
      <c r="L148" s="28" t="s">
        <v>56</v>
      </c>
      <c r="M148" s="29" t="str">
        <f t="shared" si="10"/>
        <v>⚠ Missing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1618</v>
      </c>
      <c r="C149" s="25" t="s">
        <v>1619</v>
      </c>
      <c r="D149" s="23" t="s">
        <v>1331</v>
      </c>
      <c r="E149" s="42">
        <v>46132</v>
      </c>
      <c r="F149" s="26" t="s">
        <v>55</v>
      </c>
      <c r="G149" s="26" t="s">
        <v>57</v>
      </c>
      <c r="H149" s="26" t="s">
        <v>57</v>
      </c>
      <c r="I149" s="26" t="s">
        <v>89</v>
      </c>
      <c r="J149" s="26" t="s">
        <v>57</v>
      </c>
      <c r="K149" s="27" t="s">
        <v>90</v>
      </c>
      <c r="L149" s="28" t="s">
        <v>56</v>
      </c>
      <c r="M149" s="29" t="str">
        <f t="shared" si="10"/>
        <v>⚠ Missing</v>
      </c>
      <c r="N149" s="4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1620</v>
      </c>
      <c r="C150" s="41" t="s">
        <v>1621</v>
      </c>
      <c r="D150" s="39" t="s">
        <v>1331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89</v>
      </c>
      <c r="J150" s="26" t="s">
        <v>57</v>
      </c>
      <c r="K150" s="27" t="s">
        <v>90</v>
      </c>
      <c r="L150" s="28" t="s">
        <v>56</v>
      </c>
      <c r="M150" s="29" t="str">
        <f t="shared" si="10"/>
        <v>⚠ Missing</v>
      </c>
      <c r="N150" s="4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1622</v>
      </c>
      <c r="C151" s="25" t="s">
        <v>1623</v>
      </c>
      <c r="D151" s="23" t="s">
        <v>1331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89</v>
      </c>
      <c r="J151" s="26" t="s">
        <v>57</v>
      </c>
      <c r="K151" s="27" t="s">
        <v>90</v>
      </c>
      <c r="L151" s="28" t="s">
        <v>56</v>
      </c>
      <c r="M151" s="29" t="str">
        <f t="shared" si="10"/>
        <v>⚠ Missing</v>
      </c>
      <c r="N151" s="4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1624</v>
      </c>
      <c r="C152" s="41" t="s">
        <v>1625</v>
      </c>
      <c r="D152" s="39" t="s">
        <v>1331</v>
      </c>
      <c r="E152" s="42">
        <v>46132</v>
      </c>
      <c r="F152" s="26" t="s">
        <v>55</v>
      </c>
      <c r="G152" s="26" t="s">
        <v>57</v>
      </c>
      <c r="H152" s="26" t="s">
        <v>57</v>
      </c>
      <c r="I152" s="26" t="s">
        <v>89</v>
      </c>
      <c r="J152" s="26" t="s">
        <v>57</v>
      </c>
      <c r="K152" s="27" t="s">
        <v>90</v>
      </c>
      <c r="L152" s="28" t="s">
        <v>56</v>
      </c>
      <c r="M152" s="29" t="str">
        <f t="shared" si="10"/>
        <v>⚠ Missing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1626</v>
      </c>
      <c r="C153" s="25" t="s">
        <v>1627</v>
      </c>
      <c r="D153" s="23" t="s">
        <v>1331</v>
      </c>
      <c r="E153" s="42">
        <v>46132</v>
      </c>
      <c r="F153" s="26" t="s">
        <v>55</v>
      </c>
      <c r="G153" s="26" t="s">
        <v>57</v>
      </c>
      <c r="H153" s="26" t="s">
        <v>57</v>
      </c>
      <c r="I153" s="26" t="s">
        <v>89</v>
      </c>
      <c r="J153" s="26" t="s">
        <v>57</v>
      </c>
      <c r="K153" s="27" t="s">
        <v>90</v>
      </c>
      <c r="L153" s="28" t="s">
        <v>56</v>
      </c>
      <c r="M153" s="29" t="str">
        <f t="shared" si="10"/>
        <v>⚠ Missing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1628</v>
      </c>
      <c r="C154" s="41" t="s">
        <v>1629</v>
      </c>
      <c r="D154" s="39" t="s">
        <v>1331</v>
      </c>
      <c r="E154" s="42">
        <v>46132</v>
      </c>
      <c r="F154" s="26" t="s">
        <v>55</v>
      </c>
      <c r="G154" s="26" t="s">
        <v>57</v>
      </c>
      <c r="H154" s="26" t="s">
        <v>57</v>
      </c>
      <c r="I154" s="26" t="s">
        <v>89</v>
      </c>
      <c r="J154" s="26" t="s">
        <v>57</v>
      </c>
      <c r="K154" s="27" t="s">
        <v>90</v>
      </c>
      <c r="L154" s="28" t="s">
        <v>56</v>
      </c>
      <c r="M154" s="29" t="str">
        <f t="shared" si="10"/>
        <v>⚠ Missing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1630</v>
      </c>
      <c r="C155" s="25" t="s">
        <v>1631</v>
      </c>
      <c r="D155" s="23" t="s">
        <v>1331</v>
      </c>
      <c r="E155" s="42">
        <v>46132</v>
      </c>
      <c r="F155" s="26" t="s">
        <v>55</v>
      </c>
      <c r="G155" s="26" t="s">
        <v>57</v>
      </c>
      <c r="H155" s="26" t="s">
        <v>57</v>
      </c>
      <c r="I155" s="26" t="s">
        <v>89</v>
      </c>
      <c r="J155" s="26" t="s">
        <v>57</v>
      </c>
      <c r="K155" s="27" t="s">
        <v>90</v>
      </c>
      <c r="L155" s="28" t="s">
        <v>56</v>
      </c>
      <c r="M155" s="29" t="str">
        <f t="shared" si="10"/>
        <v>⚠ Missing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1632</v>
      </c>
      <c r="C156" s="41" t="s">
        <v>1633</v>
      </c>
      <c r="D156" s="39" t="s">
        <v>1331</v>
      </c>
      <c r="E156" s="42">
        <v>46132</v>
      </c>
      <c r="F156" s="26" t="s">
        <v>55</v>
      </c>
      <c r="G156" s="26" t="s">
        <v>57</v>
      </c>
      <c r="H156" s="26" t="s">
        <v>57</v>
      </c>
      <c r="I156" s="26" t="s">
        <v>89</v>
      </c>
      <c r="J156" s="26" t="s">
        <v>57</v>
      </c>
      <c r="K156" s="27" t="s">
        <v>90</v>
      </c>
      <c r="L156" s="28" t="s">
        <v>56</v>
      </c>
      <c r="M156" s="29" t="str">
        <f t="shared" si="10"/>
        <v>⚠ Missing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1634</v>
      </c>
      <c r="C157" s="25" t="s">
        <v>1635</v>
      </c>
      <c r="D157" s="23" t="s">
        <v>1331</v>
      </c>
      <c r="E157" s="42">
        <v>46132</v>
      </c>
      <c r="F157" s="26" t="s">
        <v>55</v>
      </c>
      <c r="G157" s="26" t="s">
        <v>57</v>
      </c>
      <c r="H157" s="26" t="s">
        <v>57</v>
      </c>
      <c r="I157" s="26" t="s">
        <v>89</v>
      </c>
      <c r="J157" s="26" t="s">
        <v>57</v>
      </c>
      <c r="K157" s="27" t="s">
        <v>90</v>
      </c>
      <c r="L157" s="28" t="s">
        <v>56</v>
      </c>
      <c r="M157" s="29" t="str">
        <f t="shared" si="10"/>
        <v>⚠ Missing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1636</v>
      </c>
      <c r="C158" s="41" t="s">
        <v>1637</v>
      </c>
      <c r="D158" s="39" t="s">
        <v>1331</v>
      </c>
      <c r="E158" s="42">
        <v>46132</v>
      </c>
      <c r="F158" s="26" t="s">
        <v>55</v>
      </c>
      <c r="G158" s="26" t="s">
        <v>57</v>
      </c>
      <c r="H158" s="26" t="s">
        <v>57</v>
      </c>
      <c r="I158" s="26" t="s">
        <v>89</v>
      </c>
      <c r="J158" s="26" t="s">
        <v>57</v>
      </c>
      <c r="K158" s="27" t="s">
        <v>90</v>
      </c>
      <c r="L158" s="28" t="s">
        <v>56</v>
      </c>
      <c r="M158" s="29" t="str">
        <f t="shared" si="10"/>
        <v>⚠ Missing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1638</v>
      </c>
      <c r="C159" s="25" t="s">
        <v>1639</v>
      </c>
      <c r="D159" s="23" t="s">
        <v>1331</v>
      </c>
      <c r="E159" s="42">
        <v>46132</v>
      </c>
      <c r="F159" s="26" t="s">
        <v>55</v>
      </c>
      <c r="G159" s="26" t="s">
        <v>57</v>
      </c>
      <c r="H159" s="26" t="s">
        <v>57</v>
      </c>
      <c r="I159" s="26" t="s">
        <v>89</v>
      </c>
      <c r="J159" s="26" t="s">
        <v>57</v>
      </c>
      <c r="K159" s="27" t="s">
        <v>90</v>
      </c>
      <c r="L159" s="28" t="s">
        <v>56</v>
      </c>
      <c r="M159" s="29" t="str">
        <f t="shared" si="10"/>
        <v>⚠ Missing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1640</v>
      </c>
      <c r="C160" s="41" t="s">
        <v>1641</v>
      </c>
      <c r="D160" s="39" t="s">
        <v>1331</v>
      </c>
      <c r="E160" s="42">
        <v>46132</v>
      </c>
      <c r="F160" s="26" t="s">
        <v>55</v>
      </c>
      <c r="G160" s="26" t="s">
        <v>57</v>
      </c>
      <c r="H160" s="26" t="s">
        <v>57</v>
      </c>
      <c r="I160" s="26" t="s">
        <v>89</v>
      </c>
      <c r="J160" s="26" t="s">
        <v>57</v>
      </c>
      <c r="K160" s="27" t="s">
        <v>90</v>
      </c>
      <c r="L160" s="28" t="s">
        <v>56</v>
      </c>
      <c r="M160" s="29" t="str">
        <f t="shared" si="10"/>
        <v>⚠ Missing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1642</v>
      </c>
      <c r="C161" s="25" t="s">
        <v>1643</v>
      </c>
      <c r="D161" s="23" t="s">
        <v>1331</v>
      </c>
      <c r="E161" s="42">
        <v>46132</v>
      </c>
      <c r="F161" s="26" t="s">
        <v>55</v>
      </c>
      <c r="G161" s="26" t="s">
        <v>57</v>
      </c>
      <c r="H161" s="26" t="s">
        <v>57</v>
      </c>
      <c r="I161" s="26" t="s">
        <v>89</v>
      </c>
      <c r="J161" s="26" t="s">
        <v>57</v>
      </c>
      <c r="K161" s="27" t="s">
        <v>90</v>
      </c>
      <c r="L161" s="28" t="s">
        <v>56</v>
      </c>
      <c r="M161" s="29" t="str">
        <f t="shared" si="10"/>
        <v>⚠ Missing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1644</v>
      </c>
      <c r="C162" s="41" t="s">
        <v>1645</v>
      </c>
      <c r="D162" s="39" t="s">
        <v>1331</v>
      </c>
      <c r="E162" s="42">
        <v>46132</v>
      </c>
      <c r="F162" s="26" t="s">
        <v>55</v>
      </c>
      <c r="G162" s="26" t="s">
        <v>57</v>
      </c>
      <c r="H162" s="26" t="s">
        <v>57</v>
      </c>
      <c r="I162" s="26" t="s">
        <v>89</v>
      </c>
      <c r="J162" s="26" t="s">
        <v>57</v>
      </c>
      <c r="K162" s="27" t="s">
        <v>90</v>
      </c>
      <c r="L162" s="28" t="s">
        <v>56</v>
      </c>
      <c r="M162" s="29" t="str">
        <f t="shared" si="10"/>
        <v>⚠ Missing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1646</v>
      </c>
      <c r="C163" s="25" t="s">
        <v>1647</v>
      </c>
      <c r="D163" s="23" t="s">
        <v>1331</v>
      </c>
      <c r="E163" s="42">
        <v>46132</v>
      </c>
      <c r="F163" s="26" t="s">
        <v>55</v>
      </c>
      <c r="G163" s="26" t="s">
        <v>57</v>
      </c>
      <c r="H163" s="26" t="s">
        <v>57</v>
      </c>
      <c r="I163" s="26" t="s">
        <v>89</v>
      </c>
      <c r="J163" s="26" t="s">
        <v>57</v>
      </c>
      <c r="K163" s="27" t="s">
        <v>90</v>
      </c>
      <c r="L163" s="28" t="s">
        <v>56</v>
      </c>
      <c r="M163" s="29" t="str">
        <f t="shared" si="10"/>
        <v>⚠ Missing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1648</v>
      </c>
      <c r="C164" s="41" t="s">
        <v>1649</v>
      </c>
      <c r="D164" s="39" t="s">
        <v>1331</v>
      </c>
      <c r="E164" s="42">
        <v>46132</v>
      </c>
      <c r="F164" s="26" t="s">
        <v>55</v>
      </c>
      <c r="G164" s="26" t="s">
        <v>57</v>
      </c>
      <c r="H164" s="26" t="s">
        <v>57</v>
      </c>
      <c r="I164" s="26" t="s">
        <v>89</v>
      </c>
      <c r="J164" s="26" t="s">
        <v>57</v>
      </c>
      <c r="K164" s="27" t="s">
        <v>90</v>
      </c>
      <c r="L164" s="28" t="s">
        <v>56</v>
      </c>
      <c r="M164" s="29" t="str">
        <f t="shared" si="10"/>
        <v>⚠ Missing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1650</v>
      </c>
      <c r="C165" s="25" t="s">
        <v>1651</v>
      </c>
      <c r="D165" s="23" t="s">
        <v>1331</v>
      </c>
      <c r="E165" s="42">
        <v>46132</v>
      </c>
      <c r="F165" s="26" t="s">
        <v>55</v>
      </c>
      <c r="G165" s="26" t="s">
        <v>57</v>
      </c>
      <c r="H165" s="26" t="s">
        <v>57</v>
      </c>
      <c r="I165" s="26" t="s">
        <v>89</v>
      </c>
      <c r="J165" s="26" t="s">
        <v>57</v>
      </c>
      <c r="K165" s="27" t="s">
        <v>90</v>
      </c>
      <c r="L165" s="28" t="s">
        <v>56</v>
      </c>
      <c r="M165" s="29" t="str">
        <f t="shared" si="10"/>
        <v>⚠ Missing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1652</v>
      </c>
      <c r="C166" s="41" t="s">
        <v>1653</v>
      </c>
      <c r="D166" s="39" t="s">
        <v>1331</v>
      </c>
      <c r="E166" s="42">
        <v>46132</v>
      </c>
      <c r="F166" s="26" t="s">
        <v>55</v>
      </c>
      <c r="G166" s="26" t="s">
        <v>57</v>
      </c>
      <c r="H166" s="26" t="s">
        <v>57</v>
      </c>
      <c r="I166" s="26" t="s">
        <v>89</v>
      </c>
      <c r="J166" s="26" t="s">
        <v>57</v>
      </c>
      <c r="K166" s="27" t="s">
        <v>90</v>
      </c>
      <c r="L166" s="28" t="s">
        <v>56</v>
      </c>
      <c r="M166" s="29" t="str">
        <f t="shared" si="10"/>
        <v>⚠ Missing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1654</v>
      </c>
      <c r="C167" s="25" t="s">
        <v>1655</v>
      </c>
      <c r="D167" s="23" t="s">
        <v>1331</v>
      </c>
      <c r="E167" s="42">
        <v>46132</v>
      </c>
      <c r="F167" s="26" t="s">
        <v>55</v>
      </c>
      <c r="G167" s="26" t="s">
        <v>57</v>
      </c>
      <c r="H167" s="26" t="s">
        <v>57</v>
      </c>
      <c r="I167" s="26" t="s">
        <v>89</v>
      </c>
      <c r="J167" s="26" t="s">
        <v>57</v>
      </c>
      <c r="K167" s="27" t="s">
        <v>90</v>
      </c>
      <c r="L167" s="28" t="s">
        <v>56</v>
      </c>
      <c r="M167" s="29" t="str">
        <f t="shared" si="10"/>
        <v>⚠ Missing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1656</v>
      </c>
      <c r="C168" s="41" t="s">
        <v>1657</v>
      </c>
      <c r="D168" s="39" t="s">
        <v>1331</v>
      </c>
      <c r="E168" s="42">
        <v>46132</v>
      </c>
      <c r="F168" s="26" t="s">
        <v>55</v>
      </c>
      <c r="G168" s="26" t="s">
        <v>57</v>
      </c>
      <c r="H168" s="26" t="s">
        <v>57</v>
      </c>
      <c r="I168" s="26" t="s">
        <v>89</v>
      </c>
      <c r="J168" s="26" t="s">
        <v>57</v>
      </c>
      <c r="K168" s="27" t="s">
        <v>90</v>
      </c>
      <c r="L168" s="28" t="s">
        <v>56</v>
      </c>
      <c r="M168" s="29" t="str">
        <f t="shared" si="10"/>
        <v>⚠ Missing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1658</v>
      </c>
      <c r="C169" s="25" t="s">
        <v>1659</v>
      </c>
      <c r="D169" s="23" t="s">
        <v>1331</v>
      </c>
      <c r="E169" s="42">
        <v>46132</v>
      </c>
      <c r="F169" s="26" t="s">
        <v>55</v>
      </c>
      <c r="G169" s="26" t="s">
        <v>57</v>
      </c>
      <c r="H169" s="26" t="s">
        <v>57</v>
      </c>
      <c r="I169" s="26" t="s">
        <v>89</v>
      </c>
      <c r="J169" s="26" t="s">
        <v>57</v>
      </c>
      <c r="K169" s="27" t="s">
        <v>90</v>
      </c>
      <c r="L169" s="28" t="s">
        <v>56</v>
      </c>
      <c r="M169" s="29" t="str">
        <f t="shared" si="10"/>
        <v>⚠ Missing</v>
      </c>
      <c r="N169" s="4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1660</v>
      </c>
      <c r="C170" s="41" t="s">
        <v>1661</v>
      </c>
      <c r="D170" s="39" t="s">
        <v>1331</v>
      </c>
      <c r="E170" s="42">
        <v>46132</v>
      </c>
      <c r="F170" s="26" t="s">
        <v>55</v>
      </c>
      <c r="G170" s="26" t="s">
        <v>57</v>
      </c>
      <c r="H170" s="26" t="s">
        <v>57</v>
      </c>
      <c r="I170" s="26" t="s">
        <v>89</v>
      </c>
      <c r="J170" s="26" t="s">
        <v>57</v>
      </c>
      <c r="K170" s="27" t="s">
        <v>90</v>
      </c>
      <c r="L170" s="28" t="s">
        <v>56</v>
      </c>
      <c r="M170" s="29" t="str">
        <f t="shared" si="10"/>
        <v>⚠ Missing</v>
      </c>
      <c r="N170" s="4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1662</v>
      </c>
      <c r="C171" s="25" t="s">
        <v>1663</v>
      </c>
      <c r="D171" s="23" t="s">
        <v>1331</v>
      </c>
      <c r="E171" s="42">
        <v>46132</v>
      </c>
      <c r="F171" s="26" t="s">
        <v>55</v>
      </c>
      <c r="G171" s="26" t="s">
        <v>57</v>
      </c>
      <c r="H171" s="26" t="s">
        <v>57</v>
      </c>
      <c r="I171" s="26" t="s">
        <v>89</v>
      </c>
      <c r="J171" s="26" t="s">
        <v>57</v>
      </c>
      <c r="K171" s="27" t="s">
        <v>90</v>
      </c>
      <c r="L171" s="28" t="s">
        <v>56</v>
      </c>
      <c r="M171" s="29" t="str">
        <f t="shared" si="10"/>
        <v>⚠ Missing</v>
      </c>
      <c r="N171" s="4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1664</v>
      </c>
      <c r="C172" s="41" t="s">
        <v>1665</v>
      </c>
      <c r="D172" s="39" t="s">
        <v>1331</v>
      </c>
      <c r="E172" s="42">
        <v>46132</v>
      </c>
      <c r="F172" s="26" t="s">
        <v>55</v>
      </c>
      <c r="G172" s="26" t="s">
        <v>57</v>
      </c>
      <c r="H172" s="26" t="s">
        <v>57</v>
      </c>
      <c r="I172" s="26" t="s">
        <v>89</v>
      </c>
      <c r="J172" s="26" t="s">
        <v>57</v>
      </c>
      <c r="K172" s="27" t="s">
        <v>90</v>
      </c>
      <c r="L172" s="28" t="s">
        <v>56</v>
      </c>
      <c r="M172" s="29" t="str">
        <f t="shared" si="10"/>
        <v>⚠ Missing</v>
      </c>
      <c r="N172" s="4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1666</v>
      </c>
      <c r="C173" s="25" t="s">
        <v>1667</v>
      </c>
      <c r="D173" s="23" t="s">
        <v>1331</v>
      </c>
      <c r="E173" s="42">
        <v>46132</v>
      </c>
      <c r="F173" s="26" t="s">
        <v>55</v>
      </c>
      <c r="G173" s="26" t="s">
        <v>57</v>
      </c>
      <c r="H173" s="26" t="s">
        <v>57</v>
      </c>
      <c r="I173" s="26" t="s">
        <v>89</v>
      </c>
      <c r="J173" s="26" t="s">
        <v>57</v>
      </c>
      <c r="K173" s="27" t="s">
        <v>90</v>
      </c>
      <c r="L173" s="28" t="s">
        <v>56</v>
      </c>
      <c r="M173" s="29" t="str">
        <f t="shared" si="10"/>
        <v>⚠ Missing</v>
      </c>
      <c r="N173" s="4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1668</v>
      </c>
      <c r="C174" s="41" t="s">
        <v>1669</v>
      </c>
      <c r="D174" s="39" t="s">
        <v>1331</v>
      </c>
      <c r="E174" s="42">
        <v>46132</v>
      </c>
      <c r="F174" s="26" t="s">
        <v>55</v>
      </c>
      <c r="G174" s="26" t="s">
        <v>57</v>
      </c>
      <c r="H174" s="26" t="s">
        <v>57</v>
      </c>
      <c r="I174" s="26" t="s">
        <v>89</v>
      </c>
      <c r="J174" s="26" t="s">
        <v>57</v>
      </c>
      <c r="K174" s="27" t="s">
        <v>90</v>
      </c>
      <c r="L174" s="28" t="s">
        <v>56</v>
      </c>
      <c r="M174" s="29" t="str">
        <f t="shared" si="10"/>
        <v>⚠ Missing</v>
      </c>
      <c r="N174" s="4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1670</v>
      </c>
      <c r="C175" s="25" t="s">
        <v>1671</v>
      </c>
      <c r="D175" s="23" t="s">
        <v>1331</v>
      </c>
      <c r="E175" s="42">
        <v>46132</v>
      </c>
      <c r="F175" s="26" t="s">
        <v>55</v>
      </c>
      <c r="G175" s="26" t="s">
        <v>57</v>
      </c>
      <c r="H175" s="26" t="s">
        <v>57</v>
      </c>
      <c r="I175" s="26" t="s">
        <v>89</v>
      </c>
      <c r="J175" s="26" t="s">
        <v>57</v>
      </c>
      <c r="K175" s="27" t="s">
        <v>90</v>
      </c>
      <c r="L175" s="28" t="s">
        <v>56</v>
      </c>
      <c r="M175" s="29" t="str">
        <f t="shared" si="10"/>
        <v>⚠ Missing</v>
      </c>
      <c r="N175" s="4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1672</v>
      </c>
      <c r="C176" s="41" t="s">
        <v>1673</v>
      </c>
      <c r="D176" s="39" t="s">
        <v>1331</v>
      </c>
      <c r="E176" s="42">
        <v>46132</v>
      </c>
      <c r="F176" s="26" t="s">
        <v>55</v>
      </c>
      <c r="G176" s="26" t="s">
        <v>57</v>
      </c>
      <c r="H176" s="26" t="s">
        <v>57</v>
      </c>
      <c r="I176" s="26" t="s">
        <v>89</v>
      </c>
      <c r="J176" s="26" t="s">
        <v>57</v>
      </c>
      <c r="K176" s="27" t="s">
        <v>90</v>
      </c>
      <c r="L176" s="28" t="s">
        <v>56</v>
      </c>
      <c r="M176" s="29" t="str">
        <f t="shared" si="10"/>
        <v>⚠ Missing</v>
      </c>
      <c r="N176" s="4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1674</v>
      </c>
      <c r="C177" s="25" t="s">
        <v>1675</v>
      </c>
      <c r="D177" s="23" t="s">
        <v>1331</v>
      </c>
      <c r="E177" s="42">
        <v>46132</v>
      </c>
      <c r="F177" s="26" t="s">
        <v>55</v>
      </c>
      <c r="G177" s="26" t="s">
        <v>57</v>
      </c>
      <c r="H177" s="26" t="s">
        <v>57</v>
      </c>
      <c r="I177" s="26" t="s">
        <v>89</v>
      </c>
      <c r="J177" s="26" t="s">
        <v>57</v>
      </c>
      <c r="K177" s="27" t="s">
        <v>90</v>
      </c>
      <c r="L177" s="28" t="s">
        <v>56</v>
      </c>
      <c r="M177" s="29" t="str">
        <f t="shared" si="10"/>
        <v>⚠ Missing</v>
      </c>
      <c r="N177" s="4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1676</v>
      </c>
      <c r="C178" s="41" t="s">
        <v>1677</v>
      </c>
      <c r="D178" s="39" t="s">
        <v>1331</v>
      </c>
      <c r="E178" s="42">
        <v>46132</v>
      </c>
      <c r="F178" s="26" t="s">
        <v>55</v>
      </c>
      <c r="G178" s="26" t="s">
        <v>57</v>
      </c>
      <c r="H178" s="26" t="s">
        <v>57</v>
      </c>
      <c r="I178" s="26" t="s">
        <v>89</v>
      </c>
      <c r="J178" s="26" t="s">
        <v>57</v>
      </c>
      <c r="K178" s="27" t="s">
        <v>90</v>
      </c>
      <c r="L178" s="28" t="s">
        <v>56</v>
      </c>
      <c r="M178" s="29" t="str">
        <f t="shared" si="10"/>
        <v>⚠ Missing</v>
      </c>
      <c r="N178" s="4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56</v>
      </c>
      <c r="Z178" s="30" t="s">
        <v>57</v>
      </c>
      <c r="AA178" s="30" t="s">
        <v>58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1678</v>
      </c>
      <c r="C179" s="25" t="s">
        <v>1679</v>
      </c>
      <c r="D179" s="23" t="s">
        <v>1331</v>
      </c>
      <c r="E179" s="42">
        <v>46132</v>
      </c>
      <c r="F179" s="26" t="s">
        <v>55</v>
      </c>
      <c r="G179" s="26" t="s">
        <v>57</v>
      </c>
      <c r="H179" s="26" t="s">
        <v>57</v>
      </c>
      <c r="I179" s="26" t="s">
        <v>89</v>
      </c>
      <c r="J179" s="26" t="s">
        <v>57</v>
      </c>
      <c r="K179" s="27" t="s">
        <v>90</v>
      </c>
      <c r="L179" s="28" t="s">
        <v>56</v>
      </c>
      <c r="M179" s="29" t="str">
        <f t="shared" si="10"/>
        <v>⚠ Missing</v>
      </c>
      <c r="N179" s="4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56</v>
      </c>
      <c r="Z179" s="30" t="s">
        <v>57</v>
      </c>
      <c r="AA179" s="30" t="s">
        <v>58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1680</v>
      </c>
      <c r="C180" s="41" t="s">
        <v>1681</v>
      </c>
      <c r="D180" s="39" t="s">
        <v>1331</v>
      </c>
      <c r="E180" s="42">
        <v>46132</v>
      </c>
      <c r="F180" s="26" t="s">
        <v>55</v>
      </c>
      <c r="G180" s="26" t="s">
        <v>57</v>
      </c>
      <c r="H180" s="26" t="s">
        <v>57</v>
      </c>
      <c r="I180" s="26" t="s">
        <v>89</v>
      </c>
      <c r="J180" s="26" t="s">
        <v>57</v>
      </c>
      <c r="K180" s="27" t="s">
        <v>90</v>
      </c>
      <c r="L180" s="28" t="s">
        <v>56</v>
      </c>
      <c r="M180" s="29" t="str">
        <f t="shared" si="10"/>
        <v>⚠ Missing</v>
      </c>
      <c r="N180" s="4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1682</v>
      </c>
      <c r="C181" s="25" t="s">
        <v>1683</v>
      </c>
      <c r="D181" s="23" t="s">
        <v>1331</v>
      </c>
      <c r="E181" s="42">
        <v>46132</v>
      </c>
      <c r="F181" s="26" t="s">
        <v>55</v>
      </c>
      <c r="G181" s="26" t="s">
        <v>57</v>
      </c>
      <c r="H181" s="26" t="s">
        <v>57</v>
      </c>
      <c r="I181" s="26" t="s">
        <v>89</v>
      </c>
      <c r="J181" s="26" t="s">
        <v>57</v>
      </c>
      <c r="K181" s="27" t="s">
        <v>90</v>
      </c>
      <c r="L181" s="28" t="s">
        <v>56</v>
      </c>
      <c r="M181" s="29" t="str">
        <f t="shared" si="10"/>
        <v>⚠ Missing</v>
      </c>
      <c r="N181" s="4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56</v>
      </c>
      <c r="Z181" s="30" t="s">
        <v>57</v>
      </c>
      <c r="AA181" s="30" t="s">
        <v>58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1684</v>
      </c>
      <c r="C182" s="41" t="s">
        <v>1685</v>
      </c>
      <c r="D182" s="39" t="s">
        <v>1331</v>
      </c>
      <c r="E182" s="42">
        <v>46132</v>
      </c>
      <c r="F182" s="26" t="s">
        <v>55</v>
      </c>
      <c r="G182" s="26" t="s">
        <v>57</v>
      </c>
      <c r="H182" s="26" t="s">
        <v>57</v>
      </c>
      <c r="I182" s="26" t="s">
        <v>89</v>
      </c>
      <c r="J182" s="26" t="s">
        <v>57</v>
      </c>
      <c r="K182" s="27" t="s">
        <v>90</v>
      </c>
      <c r="L182" s="28" t="s">
        <v>56</v>
      </c>
      <c r="M182" s="29" t="str">
        <f t="shared" si="10"/>
        <v>⚠ Missing</v>
      </c>
      <c r="N182" s="4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1686</v>
      </c>
      <c r="C183" s="25" t="s">
        <v>1687</v>
      </c>
      <c r="D183" s="23" t="s">
        <v>1331</v>
      </c>
      <c r="E183" s="42">
        <v>46132</v>
      </c>
      <c r="F183" s="26" t="s">
        <v>55</v>
      </c>
      <c r="G183" s="26" t="s">
        <v>57</v>
      </c>
      <c r="H183" s="26" t="s">
        <v>57</v>
      </c>
      <c r="I183" s="26" t="s">
        <v>89</v>
      </c>
      <c r="J183" s="26" t="s">
        <v>57</v>
      </c>
      <c r="K183" s="27" t="s">
        <v>90</v>
      </c>
      <c r="L183" s="28" t="s">
        <v>56</v>
      </c>
      <c r="M183" s="29" t="str">
        <f t="shared" si="10"/>
        <v>⚠ Missing</v>
      </c>
      <c r="N183" s="4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56</v>
      </c>
      <c r="Z183" s="30" t="s">
        <v>57</v>
      </c>
      <c r="AA183" s="30" t="s">
        <v>58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1688</v>
      </c>
      <c r="C184" s="41" t="s">
        <v>1689</v>
      </c>
      <c r="D184" s="39" t="s">
        <v>1331</v>
      </c>
      <c r="E184" s="42">
        <v>46132</v>
      </c>
      <c r="F184" s="26" t="s">
        <v>55</v>
      </c>
      <c r="G184" s="26" t="s">
        <v>57</v>
      </c>
      <c r="H184" s="26" t="s">
        <v>57</v>
      </c>
      <c r="I184" s="26" t="s">
        <v>89</v>
      </c>
      <c r="J184" s="26" t="s">
        <v>57</v>
      </c>
      <c r="K184" s="27" t="s">
        <v>90</v>
      </c>
      <c r="L184" s="28" t="s">
        <v>56</v>
      </c>
      <c r="M184" s="29" t="str">
        <f t="shared" si="10"/>
        <v>⚠ Missing</v>
      </c>
      <c r="N184" s="4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56</v>
      </c>
      <c r="Z184" s="30" t="s">
        <v>57</v>
      </c>
      <c r="AA184" s="30" t="s">
        <v>58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1690</v>
      </c>
      <c r="C185" s="25" t="s">
        <v>1691</v>
      </c>
      <c r="D185" s="23" t="s">
        <v>1331</v>
      </c>
      <c r="E185" s="42">
        <v>46132</v>
      </c>
      <c r="F185" s="26" t="s">
        <v>55</v>
      </c>
      <c r="G185" s="26" t="s">
        <v>57</v>
      </c>
      <c r="H185" s="26" t="s">
        <v>57</v>
      </c>
      <c r="I185" s="26" t="s">
        <v>89</v>
      </c>
      <c r="J185" s="26" t="s">
        <v>57</v>
      </c>
      <c r="K185" s="27" t="s">
        <v>90</v>
      </c>
      <c r="L185" s="28" t="s">
        <v>56</v>
      </c>
      <c r="M185" s="29" t="str">
        <f t="shared" si="10"/>
        <v>⚠ Missing</v>
      </c>
      <c r="N185" s="4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56</v>
      </c>
      <c r="Z185" s="30" t="s">
        <v>57</v>
      </c>
      <c r="AA185" s="30" t="s">
        <v>58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1692</v>
      </c>
      <c r="C186" s="41" t="s">
        <v>1693</v>
      </c>
      <c r="D186" s="39" t="s">
        <v>1331</v>
      </c>
      <c r="E186" s="42">
        <v>46132</v>
      </c>
      <c r="F186" s="26" t="s">
        <v>55</v>
      </c>
      <c r="G186" s="26" t="s">
        <v>57</v>
      </c>
      <c r="H186" s="26" t="s">
        <v>57</v>
      </c>
      <c r="I186" s="26" t="s">
        <v>89</v>
      </c>
      <c r="J186" s="26" t="s">
        <v>57</v>
      </c>
      <c r="K186" s="27" t="s">
        <v>90</v>
      </c>
      <c r="L186" s="28" t="s">
        <v>56</v>
      </c>
      <c r="M186" s="29" t="str">
        <f t="shared" si="10"/>
        <v>⚠ Missing</v>
      </c>
      <c r="N186" s="4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1694</v>
      </c>
      <c r="C187" s="25" t="s">
        <v>1695</v>
      </c>
      <c r="D187" s="23" t="s">
        <v>1331</v>
      </c>
      <c r="E187" s="42">
        <v>46132</v>
      </c>
      <c r="F187" s="26" t="s">
        <v>55</v>
      </c>
      <c r="G187" s="26" t="s">
        <v>57</v>
      </c>
      <c r="H187" s="26" t="s">
        <v>57</v>
      </c>
      <c r="I187" s="26" t="s">
        <v>89</v>
      </c>
      <c r="J187" s="26" t="s">
        <v>57</v>
      </c>
      <c r="K187" s="27" t="s">
        <v>90</v>
      </c>
      <c r="L187" s="28" t="s">
        <v>56</v>
      </c>
      <c r="M187" s="29" t="str">
        <f t="shared" si="10"/>
        <v>⚠ Missing</v>
      </c>
      <c r="N187" s="4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1696</v>
      </c>
      <c r="C188" s="41" t="s">
        <v>1697</v>
      </c>
      <c r="D188" s="39" t="s">
        <v>1331</v>
      </c>
      <c r="E188" s="42">
        <v>46132</v>
      </c>
      <c r="F188" s="26" t="s">
        <v>55</v>
      </c>
      <c r="G188" s="26" t="s">
        <v>57</v>
      </c>
      <c r="H188" s="26" t="s">
        <v>57</v>
      </c>
      <c r="I188" s="26" t="s">
        <v>89</v>
      </c>
      <c r="J188" s="26" t="s">
        <v>57</v>
      </c>
      <c r="K188" s="27" t="s">
        <v>90</v>
      </c>
      <c r="L188" s="28" t="s">
        <v>56</v>
      </c>
      <c r="M188" s="29" t="str">
        <f t="shared" si="10"/>
        <v>⚠ Missing</v>
      </c>
      <c r="N188" s="4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1698</v>
      </c>
      <c r="C189" s="25" t="s">
        <v>1699</v>
      </c>
      <c r="D189" s="23" t="s">
        <v>1331</v>
      </c>
      <c r="E189" s="42">
        <v>46132</v>
      </c>
      <c r="F189" s="26" t="s">
        <v>55</v>
      </c>
      <c r="G189" s="26" t="s">
        <v>57</v>
      </c>
      <c r="H189" s="26" t="s">
        <v>57</v>
      </c>
      <c r="I189" s="26" t="s">
        <v>89</v>
      </c>
      <c r="J189" s="26" t="s">
        <v>57</v>
      </c>
      <c r="K189" s="27" t="s">
        <v>90</v>
      </c>
      <c r="L189" s="28" t="s">
        <v>56</v>
      </c>
      <c r="M189" s="29" t="str">
        <f t="shared" si="10"/>
        <v>⚠ Missing</v>
      </c>
      <c r="N189" s="4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1700</v>
      </c>
      <c r="C190" s="41" t="s">
        <v>1701</v>
      </c>
      <c r="D190" s="39" t="s">
        <v>1331</v>
      </c>
      <c r="E190" s="42">
        <v>46132</v>
      </c>
      <c r="F190" s="26" t="s">
        <v>55</v>
      </c>
      <c r="G190" s="26" t="s">
        <v>57</v>
      </c>
      <c r="H190" s="26" t="s">
        <v>57</v>
      </c>
      <c r="I190" s="26" t="s">
        <v>89</v>
      </c>
      <c r="J190" s="26" t="s">
        <v>57</v>
      </c>
      <c r="K190" s="27" t="s">
        <v>90</v>
      </c>
      <c r="L190" s="28" t="s">
        <v>56</v>
      </c>
      <c r="M190" s="29" t="str">
        <f t="shared" si="10"/>
        <v>⚠ Missing</v>
      </c>
      <c r="N190" s="4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1702</v>
      </c>
      <c r="C191" s="25" t="s">
        <v>1703</v>
      </c>
      <c r="D191" s="23" t="s">
        <v>1331</v>
      </c>
      <c r="E191" s="42">
        <v>46132</v>
      </c>
      <c r="F191" s="26" t="s">
        <v>55</v>
      </c>
      <c r="G191" s="26" t="s">
        <v>57</v>
      </c>
      <c r="H191" s="26" t="s">
        <v>57</v>
      </c>
      <c r="I191" s="26" t="s">
        <v>89</v>
      </c>
      <c r="J191" s="26" t="s">
        <v>57</v>
      </c>
      <c r="K191" s="27" t="s">
        <v>90</v>
      </c>
      <c r="L191" s="28" t="s">
        <v>56</v>
      </c>
      <c r="M191" s="29" t="str">
        <f t="shared" si="10"/>
        <v>⚠ Missing</v>
      </c>
      <c r="N191" s="4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1704</v>
      </c>
      <c r="C192" s="41" t="s">
        <v>1705</v>
      </c>
      <c r="D192" s="39" t="s">
        <v>1331</v>
      </c>
      <c r="E192" s="42">
        <v>46132</v>
      </c>
      <c r="F192" s="26" t="s">
        <v>55</v>
      </c>
      <c r="G192" s="26" t="s">
        <v>57</v>
      </c>
      <c r="H192" s="26" t="s">
        <v>57</v>
      </c>
      <c r="I192" s="26" t="s">
        <v>89</v>
      </c>
      <c r="J192" s="26" t="s">
        <v>57</v>
      </c>
      <c r="K192" s="27" t="s">
        <v>90</v>
      </c>
      <c r="L192" s="28" t="s">
        <v>56</v>
      </c>
      <c r="M192" s="29" t="str">
        <f t="shared" si="10"/>
        <v>⚠ Missing</v>
      </c>
      <c r="N192" s="4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1706</v>
      </c>
      <c r="C193" s="25" t="s">
        <v>1707</v>
      </c>
      <c r="D193" s="23" t="s">
        <v>1331</v>
      </c>
      <c r="E193" s="42">
        <v>46132</v>
      </c>
      <c r="F193" s="26" t="s">
        <v>55</v>
      </c>
      <c r="G193" s="26" t="s">
        <v>57</v>
      </c>
      <c r="H193" s="26" t="s">
        <v>57</v>
      </c>
      <c r="I193" s="26" t="s">
        <v>89</v>
      </c>
      <c r="J193" s="26" t="s">
        <v>57</v>
      </c>
      <c r="K193" s="27" t="s">
        <v>90</v>
      </c>
      <c r="L193" s="28" t="s">
        <v>56</v>
      </c>
      <c r="M193" s="29" t="str">
        <f t="shared" si="10"/>
        <v>⚠ Missing</v>
      </c>
      <c r="N193" s="4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1708</v>
      </c>
      <c r="C194" s="41" t="s">
        <v>1709</v>
      </c>
      <c r="D194" s="39" t="s">
        <v>1331</v>
      </c>
      <c r="E194" s="42">
        <v>46132</v>
      </c>
      <c r="F194" s="26" t="s">
        <v>55</v>
      </c>
      <c r="G194" s="26" t="s">
        <v>57</v>
      </c>
      <c r="H194" s="26" t="s">
        <v>57</v>
      </c>
      <c r="I194" s="26" t="s">
        <v>89</v>
      </c>
      <c r="J194" s="26" t="s">
        <v>57</v>
      </c>
      <c r="K194" s="27" t="s">
        <v>90</v>
      </c>
      <c r="L194" s="28" t="s">
        <v>56</v>
      </c>
      <c r="M194" s="29" t="str">
        <f t="shared" si="10"/>
        <v>⚠ Missing</v>
      </c>
      <c r="N194" s="4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56</v>
      </c>
      <c r="Z194" s="30" t="s">
        <v>57</v>
      </c>
      <c r="AA194" s="30" t="s">
        <v>58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1710</v>
      </c>
      <c r="C195" s="25" t="s">
        <v>1711</v>
      </c>
      <c r="D195" s="23" t="s">
        <v>1331</v>
      </c>
      <c r="E195" s="42">
        <v>46132</v>
      </c>
      <c r="F195" s="26" t="s">
        <v>55</v>
      </c>
      <c r="G195" s="26" t="s">
        <v>57</v>
      </c>
      <c r="H195" s="26" t="s">
        <v>57</v>
      </c>
      <c r="I195" s="26" t="s">
        <v>89</v>
      </c>
      <c r="J195" s="26" t="s">
        <v>57</v>
      </c>
      <c r="K195" s="27" t="s">
        <v>90</v>
      </c>
      <c r="L195" s="28" t="s">
        <v>56</v>
      </c>
      <c r="M195" s="29" t="str">
        <f t="shared" si="10"/>
        <v>⚠ Missing</v>
      </c>
      <c r="N195" s="4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1712</v>
      </c>
      <c r="C196" s="41" t="s">
        <v>1713</v>
      </c>
      <c r="D196" s="39" t="s">
        <v>1331</v>
      </c>
      <c r="E196" s="42">
        <v>46132</v>
      </c>
      <c r="F196" s="26" t="s">
        <v>55</v>
      </c>
      <c r="G196" s="26" t="s">
        <v>57</v>
      </c>
      <c r="H196" s="26" t="s">
        <v>57</v>
      </c>
      <c r="I196" s="26" t="s">
        <v>89</v>
      </c>
      <c r="J196" s="26" t="s">
        <v>57</v>
      </c>
      <c r="K196" s="27" t="s">
        <v>90</v>
      </c>
      <c r="L196" s="28" t="s">
        <v>56</v>
      </c>
      <c r="M196" s="29" t="str">
        <f t="shared" si="10"/>
        <v>⚠ Missing</v>
      </c>
      <c r="N196" s="4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1714</v>
      </c>
      <c r="C197" s="25" t="s">
        <v>1715</v>
      </c>
      <c r="D197" s="23" t="s">
        <v>1331</v>
      </c>
      <c r="E197" s="42">
        <v>46132</v>
      </c>
      <c r="F197" s="26" t="s">
        <v>55</v>
      </c>
      <c r="G197" s="26" t="s">
        <v>57</v>
      </c>
      <c r="H197" s="26" t="s">
        <v>57</v>
      </c>
      <c r="I197" s="26" t="s">
        <v>89</v>
      </c>
      <c r="J197" s="26" t="s">
        <v>57</v>
      </c>
      <c r="K197" s="27" t="s">
        <v>90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Missing</v>
      </c>
      <c r="N197" s="4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1716</v>
      </c>
      <c r="C198" s="41" t="s">
        <v>1717</v>
      </c>
      <c r="D198" s="39" t="s">
        <v>1331</v>
      </c>
      <c r="E198" s="42">
        <v>46132</v>
      </c>
      <c r="F198" s="26" t="s">
        <v>55</v>
      </c>
      <c r="G198" s="26" t="s">
        <v>57</v>
      </c>
      <c r="H198" s="26" t="s">
        <v>57</v>
      </c>
      <c r="I198" s="26" t="s">
        <v>89</v>
      </c>
      <c r="J198" s="26" t="s">
        <v>57</v>
      </c>
      <c r="K198" s="27" t="s">
        <v>90</v>
      </c>
      <c r="L198" s="28" t="s">
        <v>56</v>
      </c>
      <c r="M198" s="29" t="str">
        <f t="shared" si="15"/>
        <v>⚠ Missing</v>
      </c>
      <c r="N198" s="4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1718</v>
      </c>
      <c r="C199" s="25" t="s">
        <v>1719</v>
      </c>
      <c r="D199" s="23" t="s">
        <v>1331</v>
      </c>
      <c r="E199" s="42">
        <v>46132</v>
      </c>
      <c r="F199" s="26" t="s">
        <v>55</v>
      </c>
      <c r="G199" s="26" t="s">
        <v>57</v>
      </c>
      <c r="H199" s="26" t="s">
        <v>57</v>
      </c>
      <c r="I199" s="26" t="s">
        <v>89</v>
      </c>
      <c r="J199" s="26" t="s">
        <v>57</v>
      </c>
      <c r="K199" s="27" t="s">
        <v>90</v>
      </c>
      <c r="L199" s="28" t="s">
        <v>56</v>
      </c>
      <c r="M199" s="29" t="str">
        <f t="shared" si="15"/>
        <v>⚠ Missing</v>
      </c>
      <c r="N199" s="4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1720</v>
      </c>
      <c r="C200" s="41" t="s">
        <v>1721</v>
      </c>
      <c r="D200" s="39" t="s">
        <v>1331</v>
      </c>
      <c r="E200" s="42">
        <v>46132</v>
      </c>
      <c r="F200" s="26" t="s">
        <v>55</v>
      </c>
      <c r="G200" s="26" t="s">
        <v>57</v>
      </c>
      <c r="H200" s="26" t="s">
        <v>57</v>
      </c>
      <c r="I200" s="26" t="s">
        <v>89</v>
      </c>
      <c r="J200" s="26" t="s">
        <v>57</v>
      </c>
      <c r="K200" s="27" t="s">
        <v>90</v>
      </c>
      <c r="L200" s="28" t="s">
        <v>56</v>
      </c>
      <c r="M200" s="29" t="str">
        <f t="shared" si="15"/>
        <v>⚠ Missing</v>
      </c>
      <c r="N200" s="4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1722</v>
      </c>
      <c r="C201" s="25" t="s">
        <v>1723</v>
      </c>
      <c r="D201" s="23" t="s">
        <v>1331</v>
      </c>
      <c r="E201" s="42">
        <v>46132</v>
      </c>
      <c r="F201" s="26" t="s">
        <v>55</v>
      </c>
      <c r="G201" s="26" t="s">
        <v>57</v>
      </c>
      <c r="H201" s="26" t="s">
        <v>57</v>
      </c>
      <c r="I201" s="26" t="s">
        <v>89</v>
      </c>
      <c r="J201" s="26" t="s">
        <v>57</v>
      </c>
      <c r="K201" s="27" t="s">
        <v>90</v>
      </c>
      <c r="L201" s="28" t="s">
        <v>56</v>
      </c>
      <c r="M201" s="29" t="str">
        <f t="shared" si="15"/>
        <v>⚠ Missing</v>
      </c>
      <c r="N201" s="4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1724</v>
      </c>
      <c r="C202" s="41" t="s">
        <v>1725</v>
      </c>
      <c r="D202" s="39" t="s">
        <v>1331</v>
      </c>
      <c r="E202" s="42">
        <v>46132</v>
      </c>
      <c r="F202" s="26" t="s">
        <v>55</v>
      </c>
      <c r="G202" s="26" t="s">
        <v>57</v>
      </c>
      <c r="H202" s="26" t="s">
        <v>57</v>
      </c>
      <c r="I202" s="26" t="s">
        <v>89</v>
      </c>
      <c r="J202" s="26" t="s">
        <v>57</v>
      </c>
      <c r="K202" s="27" t="s">
        <v>90</v>
      </c>
      <c r="L202" s="28" t="s">
        <v>56</v>
      </c>
      <c r="M202" s="29" t="str">
        <f t="shared" si="15"/>
        <v>⚠ Missing</v>
      </c>
      <c r="N202" s="4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1726</v>
      </c>
      <c r="C203" s="25" t="s">
        <v>1727</v>
      </c>
      <c r="D203" s="23" t="s">
        <v>1331</v>
      </c>
      <c r="E203" s="42">
        <v>46132</v>
      </c>
      <c r="F203" s="26" t="s">
        <v>55</v>
      </c>
      <c r="G203" s="26" t="s">
        <v>57</v>
      </c>
      <c r="H203" s="26" t="s">
        <v>57</v>
      </c>
      <c r="I203" s="26" t="s">
        <v>89</v>
      </c>
      <c r="J203" s="26" t="s">
        <v>57</v>
      </c>
      <c r="K203" s="27" t="s">
        <v>90</v>
      </c>
      <c r="L203" s="28" t="s">
        <v>56</v>
      </c>
      <c r="M203" s="29" t="str">
        <f t="shared" si="15"/>
        <v>⚠ Missing</v>
      </c>
      <c r="N203" s="4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1728</v>
      </c>
      <c r="C204" s="41" t="s">
        <v>1729</v>
      </c>
      <c r="D204" s="39" t="s">
        <v>1331</v>
      </c>
      <c r="E204" s="42">
        <v>46132</v>
      </c>
      <c r="F204" s="26" t="s">
        <v>55</v>
      </c>
      <c r="G204" s="26" t="s">
        <v>57</v>
      </c>
      <c r="H204" s="26" t="s">
        <v>57</v>
      </c>
      <c r="I204" s="26" t="s">
        <v>89</v>
      </c>
      <c r="J204" s="26" t="s">
        <v>57</v>
      </c>
      <c r="K204" s="27" t="s">
        <v>90</v>
      </c>
      <c r="L204" s="28" t="s">
        <v>56</v>
      </c>
      <c r="M204" s="29" t="str">
        <f t="shared" si="15"/>
        <v>⚠ Missing</v>
      </c>
      <c r="N204" s="4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1730</v>
      </c>
      <c r="C205" s="25" t="s">
        <v>1731</v>
      </c>
      <c r="D205" s="23" t="s">
        <v>1331</v>
      </c>
      <c r="E205" s="42">
        <v>46132</v>
      </c>
      <c r="F205" s="26" t="s">
        <v>55</v>
      </c>
      <c r="G205" s="26" t="s">
        <v>57</v>
      </c>
      <c r="H205" s="26" t="s">
        <v>57</v>
      </c>
      <c r="I205" s="26" t="s">
        <v>89</v>
      </c>
      <c r="J205" s="26" t="s">
        <v>57</v>
      </c>
      <c r="K205" s="27" t="s">
        <v>90</v>
      </c>
      <c r="L205" s="28" t="s">
        <v>56</v>
      </c>
      <c r="M205" s="29" t="str">
        <f t="shared" si="15"/>
        <v>⚠ Missing</v>
      </c>
      <c r="N205" s="4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1732</v>
      </c>
      <c r="C206" s="41" t="s">
        <v>1733</v>
      </c>
      <c r="D206" s="39" t="s">
        <v>1331</v>
      </c>
      <c r="E206" s="42">
        <v>46132</v>
      </c>
      <c r="F206" s="26" t="s">
        <v>55</v>
      </c>
      <c r="G206" s="26" t="s">
        <v>57</v>
      </c>
      <c r="H206" s="26" t="s">
        <v>57</v>
      </c>
      <c r="I206" s="26" t="s">
        <v>89</v>
      </c>
      <c r="J206" s="26" t="s">
        <v>57</v>
      </c>
      <c r="K206" s="27" t="s">
        <v>90</v>
      </c>
      <c r="L206" s="28" t="s">
        <v>56</v>
      </c>
      <c r="M206" s="29" t="str">
        <f t="shared" si="15"/>
        <v>⚠ Missing</v>
      </c>
      <c r="N206" s="4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1734</v>
      </c>
      <c r="C207" s="25" t="s">
        <v>1735</v>
      </c>
      <c r="D207" s="23" t="s">
        <v>1331</v>
      </c>
      <c r="E207" s="42">
        <v>46132</v>
      </c>
      <c r="F207" s="26" t="s">
        <v>55</v>
      </c>
      <c r="G207" s="26" t="s">
        <v>57</v>
      </c>
      <c r="H207" s="26" t="s">
        <v>57</v>
      </c>
      <c r="I207" s="26" t="s">
        <v>89</v>
      </c>
      <c r="J207" s="26" t="s">
        <v>57</v>
      </c>
      <c r="K207" s="27" t="s">
        <v>90</v>
      </c>
      <c r="L207" s="28" t="s">
        <v>56</v>
      </c>
      <c r="M207" s="29" t="str">
        <f t="shared" si="15"/>
        <v>⚠ Missing</v>
      </c>
      <c r="N207" s="4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1736</v>
      </c>
      <c r="C208" s="41" t="s">
        <v>1737</v>
      </c>
      <c r="D208" s="39" t="s">
        <v>1331</v>
      </c>
      <c r="E208" s="42">
        <v>46132</v>
      </c>
      <c r="F208" s="26" t="s">
        <v>55</v>
      </c>
      <c r="G208" s="26" t="s">
        <v>57</v>
      </c>
      <c r="H208" s="26" t="s">
        <v>57</v>
      </c>
      <c r="I208" s="26" t="s">
        <v>89</v>
      </c>
      <c r="J208" s="26" t="s">
        <v>57</v>
      </c>
      <c r="K208" s="27" t="s">
        <v>90</v>
      </c>
      <c r="L208" s="28" t="s">
        <v>56</v>
      </c>
      <c r="M208" s="29" t="str">
        <f t="shared" si="15"/>
        <v>⚠ Missing</v>
      </c>
      <c r="N208" s="4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1738</v>
      </c>
      <c r="C209" s="25" t="s">
        <v>1739</v>
      </c>
      <c r="D209" s="23" t="s">
        <v>1331</v>
      </c>
      <c r="E209" s="42">
        <v>46132</v>
      </c>
      <c r="F209" s="26" t="s">
        <v>55</v>
      </c>
      <c r="G209" s="26" t="s">
        <v>57</v>
      </c>
      <c r="H209" s="26" t="s">
        <v>57</v>
      </c>
      <c r="I209" s="26" t="s">
        <v>89</v>
      </c>
      <c r="J209" s="26" t="s">
        <v>57</v>
      </c>
      <c r="K209" s="27" t="s">
        <v>90</v>
      </c>
      <c r="L209" s="28" t="s">
        <v>56</v>
      </c>
      <c r="M209" s="29" t="str">
        <f t="shared" si="15"/>
        <v>⚠ Missing</v>
      </c>
      <c r="N209" s="4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56</v>
      </c>
      <c r="Z209" s="30" t="s">
        <v>57</v>
      </c>
      <c r="AA209" s="30" t="s">
        <v>58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1740</v>
      </c>
      <c r="C210" s="41" t="s">
        <v>1741</v>
      </c>
      <c r="D210" s="39" t="s">
        <v>1331</v>
      </c>
      <c r="E210" s="42">
        <v>46132</v>
      </c>
      <c r="F210" s="26" t="s">
        <v>55</v>
      </c>
      <c r="G210" s="26" t="s">
        <v>57</v>
      </c>
      <c r="H210" s="26" t="s">
        <v>57</v>
      </c>
      <c r="I210" s="26" t="s">
        <v>89</v>
      </c>
      <c r="J210" s="26" t="s">
        <v>57</v>
      </c>
      <c r="K210" s="27" t="s">
        <v>90</v>
      </c>
      <c r="L210" s="28" t="s">
        <v>56</v>
      </c>
      <c r="M210" s="29" t="str">
        <f t="shared" si="15"/>
        <v>⚠ Missing</v>
      </c>
      <c r="N210" s="4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1742</v>
      </c>
      <c r="C211" s="25" t="s">
        <v>1743</v>
      </c>
      <c r="D211" s="23" t="s">
        <v>1331</v>
      </c>
      <c r="E211" s="42">
        <v>46132</v>
      </c>
      <c r="F211" s="26" t="s">
        <v>55</v>
      </c>
      <c r="G211" s="26" t="s">
        <v>57</v>
      </c>
      <c r="H211" s="26" t="s">
        <v>57</v>
      </c>
      <c r="I211" s="26" t="s">
        <v>89</v>
      </c>
      <c r="J211" s="26" t="s">
        <v>57</v>
      </c>
      <c r="K211" s="27" t="s">
        <v>90</v>
      </c>
      <c r="L211" s="28" t="s">
        <v>56</v>
      </c>
      <c r="M211" s="29" t="str">
        <f t="shared" si="15"/>
        <v>⚠ Missing</v>
      </c>
      <c r="N211" s="4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1744</v>
      </c>
      <c r="C212" s="41" t="s">
        <v>1745</v>
      </c>
      <c r="D212" s="39" t="s">
        <v>1331</v>
      </c>
      <c r="E212" s="42">
        <v>46132</v>
      </c>
      <c r="F212" s="26" t="s">
        <v>55</v>
      </c>
      <c r="G212" s="26" t="s">
        <v>57</v>
      </c>
      <c r="H212" s="26" t="s">
        <v>57</v>
      </c>
      <c r="I212" s="26" t="s">
        <v>89</v>
      </c>
      <c r="J212" s="26" t="s">
        <v>57</v>
      </c>
      <c r="K212" s="27" t="s">
        <v>90</v>
      </c>
      <c r="L212" s="28" t="s">
        <v>56</v>
      </c>
      <c r="M212" s="29" t="str">
        <f t="shared" si="15"/>
        <v>⚠ Missing</v>
      </c>
      <c r="N212" s="4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1746</v>
      </c>
      <c r="C213" s="25" t="s">
        <v>1747</v>
      </c>
      <c r="D213" s="23" t="s">
        <v>1331</v>
      </c>
      <c r="E213" s="42">
        <v>46132</v>
      </c>
      <c r="F213" s="26" t="s">
        <v>55</v>
      </c>
      <c r="G213" s="26" t="s">
        <v>57</v>
      </c>
      <c r="H213" s="26" t="s">
        <v>57</v>
      </c>
      <c r="I213" s="26" t="s">
        <v>89</v>
      </c>
      <c r="J213" s="26" t="s">
        <v>57</v>
      </c>
      <c r="K213" s="27" t="s">
        <v>90</v>
      </c>
      <c r="L213" s="28" t="s">
        <v>56</v>
      </c>
      <c r="M213" s="29" t="str">
        <f t="shared" si="15"/>
        <v>⚠ Missing</v>
      </c>
      <c r="N213" s="4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1748</v>
      </c>
      <c r="C214" s="41" t="s">
        <v>1749</v>
      </c>
      <c r="D214" s="39" t="s">
        <v>1331</v>
      </c>
      <c r="E214" s="42">
        <v>46132</v>
      </c>
      <c r="F214" s="26" t="s">
        <v>55</v>
      </c>
      <c r="G214" s="26" t="s">
        <v>57</v>
      </c>
      <c r="H214" s="26" t="s">
        <v>57</v>
      </c>
      <c r="I214" s="26" t="s">
        <v>89</v>
      </c>
      <c r="J214" s="26" t="s">
        <v>57</v>
      </c>
      <c r="K214" s="27" t="s">
        <v>90</v>
      </c>
      <c r="L214" s="28" t="s">
        <v>56</v>
      </c>
      <c r="M214" s="29" t="str">
        <f t="shared" si="15"/>
        <v>⚠ Missing</v>
      </c>
      <c r="N214" s="4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1750</v>
      </c>
      <c r="C215" s="25" t="s">
        <v>1751</v>
      </c>
      <c r="D215" s="23" t="s">
        <v>1331</v>
      </c>
      <c r="E215" s="42">
        <v>46132</v>
      </c>
      <c r="F215" s="26" t="s">
        <v>55</v>
      </c>
      <c r="G215" s="26" t="s">
        <v>57</v>
      </c>
      <c r="H215" s="26" t="s">
        <v>57</v>
      </c>
      <c r="I215" s="26" t="s">
        <v>89</v>
      </c>
      <c r="J215" s="26" t="s">
        <v>57</v>
      </c>
      <c r="K215" s="27" t="s">
        <v>90</v>
      </c>
      <c r="L215" s="28" t="s">
        <v>56</v>
      </c>
      <c r="M215" s="29" t="str">
        <f t="shared" si="15"/>
        <v>⚠ Missing</v>
      </c>
      <c r="N215" s="4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56</v>
      </c>
      <c r="Z215" s="30" t="s">
        <v>57</v>
      </c>
      <c r="AA215" s="30" t="s">
        <v>58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1752</v>
      </c>
      <c r="C216" s="41" t="s">
        <v>1753</v>
      </c>
      <c r="D216" s="39" t="s">
        <v>1331</v>
      </c>
      <c r="E216" s="42">
        <v>46132</v>
      </c>
      <c r="F216" s="26" t="s">
        <v>55</v>
      </c>
      <c r="G216" s="26" t="s">
        <v>57</v>
      </c>
      <c r="H216" s="26" t="s">
        <v>57</v>
      </c>
      <c r="I216" s="26" t="s">
        <v>89</v>
      </c>
      <c r="J216" s="26" t="s">
        <v>57</v>
      </c>
      <c r="K216" s="27" t="s">
        <v>90</v>
      </c>
      <c r="L216" s="28" t="s">
        <v>56</v>
      </c>
      <c r="M216" s="29" t="str">
        <f t="shared" si="15"/>
        <v>⚠ Missing</v>
      </c>
      <c r="N216" s="4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1754</v>
      </c>
      <c r="C217" s="25" t="s">
        <v>1755</v>
      </c>
      <c r="D217" s="23" t="s">
        <v>1331</v>
      </c>
      <c r="E217" s="42">
        <v>46132</v>
      </c>
      <c r="F217" s="26" t="s">
        <v>55</v>
      </c>
      <c r="G217" s="26" t="s">
        <v>57</v>
      </c>
      <c r="H217" s="26" t="s">
        <v>57</v>
      </c>
      <c r="I217" s="26" t="s">
        <v>89</v>
      </c>
      <c r="J217" s="26" t="s">
        <v>57</v>
      </c>
      <c r="K217" s="27" t="s">
        <v>90</v>
      </c>
      <c r="L217" s="28" t="s">
        <v>56</v>
      </c>
      <c r="M217" s="29" t="str">
        <f t="shared" si="15"/>
        <v>⚠ Missing</v>
      </c>
      <c r="N217" s="4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1756</v>
      </c>
      <c r="C218" s="41" t="s">
        <v>1757</v>
      </c>
      <c r="D218" s="39" t="s">
        <v>1331</v>
      </c>
      <c r="E218" s="42">
        <v>46132</v>
      </c>
      <c r="F218" s="26" t="s">
        <v>55</v>
      </c>
      <c r="G218" s="26" t="s">
        <v>57</v>
      </c>
      <c r="H218" s="26" t="s">
        <v>57</v>
      </c>
      <c r="I218" s="26" t="s">
        <v>89</v>
      </c>
      <c r="J218" s="26" t="s">
        <v>57</v>
      </c>
      <c r="K218" s="27" t="s">
        <v>90</v>
      </c>
      <c r="L218" s="28" t="s">
        <v>56</v>
      </c>
      <c r="M218" s="29" t="str">
        <f t="shared" si="15"/>
        <v>⚠ Missing</v>
      </c>
      <c r="N218" s="4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56</v>
      </c>
      <c r="Z218" s="30" t="s">
        <v>57</v>
      </c>
      <c r="AA218" s="30" t="s">
        <v>58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1758</v>
      </c>
      <c r="C219" s="25" t="s">
        <v>1759</v>
      </c>
      <c r="D219" s="23" t="s">
        <v>1331</v>
      </c>
      <c r="E219" s="42">
        <v>46132</v>
      </c>
      <c r="F219" s="26" t="s">
        <v>55</v>
      </c>
      <c r="G219" s="26" t="s">
        <v>57</v>
      </c>
      <c r="H219" s="26" t="s">
        <v>57</v>
      </c>
      <c r="I219" s="26" t="s">
        <v>89</v>
      </c>
      <c r="J219" s="26" t="s">
        <v>57</v>
      </c>
      <c r="K219" s="27" t="s">
        <v>90</v>
      </c>
      <c r="L219" s="28" t="s">
        <v>56</v>
      </c>
      <c r="M219" s="29" t="str">
        <f t="shared" si="15"/>
        <v>⚠ Missing</v>
      </c>
      <c r="N219" s="4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56</v>
      </c>
      <c r="Z219" s="30" t="s">
        <v>57</v>
      </c>
      <c r="AA219" s="30" t="s">
        <v>58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1760</v>
      </c>
      <c r="C220" s="41" t="s">
        <v>1761</v>
      </c>
      <c r="D220" s="39" t="s">
        <v>1331</v>
      </c>
      <c r="E220" s="42">
        <v>46132</v>
      </c>
      <c r="F220" s="26" t="s">
        <v>55</v>
      </c>
      <c r="G220" s="26" t="s">
        <v>57</v>
      </c>
      <c r="H220" s="26" t="s">
        <v>57</v>
      </c>
      <c r="I220" s="26" t="s">
        <v>89</v>
      </c>
      <c r="J220" s="26" t="s">
        <v>57</v>
      </c>
      <c r="K220" s="27" t="s">
        <v>90</v>
      </c>
      <c r="L220" s="28" t="s">
        <v>56</v>
      </c>
      <c r="M220" s="29" t="str">
        <f t="shared" si="15"/>
        <v>⚠ Missing</v>
      </c>
      <c r="N220" s="4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56</v>
      </c>
      <c r="Z220" s="30" t="s">
        <v>57</v>
      </c>
      <c r="AA220" s="30" t="s">
        <v>58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1762</v>
      </c>
      <c r="C221" s="25" t="s">
        <v>1763</v>
      </c>
      <c r="D221" s="23" t="s">
        <v>1331</v>
      </c>
      <c r="E221" s="42">
        <v>46132</v>
      </c>
      <c r="F221" s="26" t="s">
        <v>55</v>
      </c>
      <c r="G221" s="26" t="s">
        <v>57</v>
      </c>
      <c r="H221" s="26" t="s">
        <v>57</v>
      </c>
      <c r="I221" s="26" t="s">
        <v>89</v>
      </c>
      <c r="J221" s="26" t="s">
        <v>57</v>
      </c>
      <c r="K221" s="27" t="s">
        <v>90</v>
      </c>
      <c r="L221" s="28" t="s">
        <v>56</v>
      </c>
      <c r="M221" s="29" t="str">
        <f t="shared" si="15"/>
        <v>⚠ Missing</v>
      </c>
      <c r="N221" s="4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1764</v>
      </c>
      <c r="C222" s="41" t="s">
        <v>1765</v>
      </c>
      <c r="D222" s="39" t="s">
        <v>1331</v>
      </c>
      <c r="E222" s="42">
        <v>46132</v>
      </c>
      <c r="F222" s="26" t="s">
        <v>55</v>
      </c>
      <c r="G222" s="26" t="s">
        <v>57</v>
      </c>
      <c r="H222" s="26" t="s">
        <v>57</v>
      </c>
      <c r="I222" s="26" t="s">
        <v>89</v>
      </c>
      <c r="J222" s="26" t="s">
        <v>57</v>
      </c>
      <c r="K222" s="27" t="s">
        <v>90</v>
      </c>
      <c r="L222" s="28" t="s">
        <v>56</v>
      </c>
      <c r="M222" s="29" t="str">
        <f t="shared" si="15"/>
        <v>⚠ Missing</v>
      </c>
      <c r="N222" s="4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1766</v>
      </c>
      <c r="C223" s="25" t="s">
        <v>1767</v>
      </c>
      <c r="D223" s="23" t="s">
        <v>1331</v>
      </c>
      <c r="E223" s="42">
        <v>46132</v>
      </c>
      <c r="F223" s="26" t="s">
        <v>55</v>
      </c>
      <c r="G223" s="26" t="s">
        <v>57</v>
      </c>
      <c r="H223" s="26" t="s">
        <v>57</v>
      </c>
      <c r="I223" s="26" t="s">
        <v>89</v>
      </c>
      <c r="J223" s="26" t="s">
        <v>57</v>
      </c>
      <c r="K223" s="27" t="s">
        <v>90</v>
      </c>
      <c r="L223" s="28" t="s">
        <v>56</v>
      </c>
      <c r="M223" s="29" t="str">
        <f t="shared" si="15"/>
        <v>⚠ Missing</v>
      </c>
      <c r="N223" s="4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1768</v>
      </c>
      <c r="C224" s="41" t="s">
        <v>1769</v>
      </c>
      <c r="D224" s="39" t="s">
        <v>1331</v>
      </c>
      <c r="E224" s="42">
        <v>46132</v>
      </c>
      <c r="F224" s="26" t="s">
        <v>55</v>
      </c>
      <c r="G224" s="26" t="s">
        <v>57</v>
      </c>
      <c r="H224" s="26" t="s">
        <v>57</v>
      </c>
      <c r="I224" s="26" t="s">
        <v>89</v>
      </c>
      <c r="J224" s="26" t="s">
        <v>57</v>
      </c>
      <c r="K224" s="27" t="s">
        <v>90</v>
      </c>
      <c r="L224" s="28" t="s">
        <v>56</v>
      </c>
      <c r="M224" s="29" t="str">
        <f t="shared" si="15"/>
        <v>⚠ Missing</v>
      </c>
      <c r="N224" s="4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1770</v>
      </c>
      <c r="C225" s="25" t="s">
        <v>1771</v>
      </c>
      <c r="D225" s="23" t="s">
        <v>1331</v>
      </c>
      <c r="E225" s="42">
        <v>46132</v>
      </c>
      <c r="F225" s="26" t="s">
        <v>55</v>
      </c>
      <c r="G225" s="26" t="s">
        <v>57</v>
      </c>
      <c r="H225" s="26" t="s">
        <v>57</v>
      </c>
      <c r="I225" s="26" t="s">
        <v>89</v>
      </c>
      <c r="J225" s="26" t="s">
        <v>57</v>
      </c>
      <c r="K225" s="27" t="s">
        <v>90</v>
      </c>
      <c r="L225" s="28" t="s">
        <v>56</v>
      </c>
      <c r="M225" s="29" t="str">
        <f t="shared" si="15"/>
        <v>⚠ Missing</v>
      </c>
      <c r="N225" s="4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1772</v>
      </c>
      <c r="C226" s="41" t="s">
        <v>1773</v>
      </c>
      <c r="D226" s="39" t="s">
        <v>1331</v>
      </c>
      <c r="E226" s="42">
        <v>46132</v>
      </c>
      <c r="F226" s="26" t="s">
        <v>55</v>
      </c>
      <c r="G226" s="26" t="s">
        <v>57</v>
      </c>
      <c r="H226" s="26" t="s">
        <v>57</v>
      </c>
      <c r="I226" s="26" t="s">
        <v>89</v>
      </c>
      <c r="J226" s="26" t="s">
        <v>57</v>
      </c>
      <c r="K226" s="27" t="s">
        <v>90</v>
      </c>
      <c r="L226" s="28" t="s">
        <v>56</v>
      </c>
      <c r="M226" s="29" t="str">
        <f t="shared" si="15"/>
        <v>⚠ Missing</v>
      </c>
      <c r="N226" s="4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56</v>
      </c>
      <c r="Z226" s="30" t="s">
        <v>57</v>
      </c>
      <c r="AA226" s="30" t="s">
        <v>58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1774</v>
      </c>
      <c r="C227" s="25" t="s">
        <v>1775</v>
      </c>
      <c r="D227" s="23" t="s">
        <v>1331</v>
      </c>
      <c r="E227" s="42">
        <v>46132</v>
      </c>
      <c r="F227" s="26" t="s">
        <v>55</v>
      </c>
      <c r="G227" s="26" t="s">
        <v>57</v>
      </c>
      <c r="H227" s="26" t="s">
        <v>57</v>
      </c>
      <c r="I227" s="26" t="s">
        <v>89</v>
      </c>
      <c r="J227" s="26" t="s">
        <v>57</v>
      </c>
      <c r="K227" s="27" t="s">
        <v>90</v>
      </c>
      <c r="L227" s="28" t="s">
        <v>56</v>
      </c>
      <c r="M227" s="29" t="str">
        <f t="shared" si="15"/>
        <v>⚠ Missing</v>
      </c>
      <c r="N227" s="4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1776</v>
      </c>
      <c r="C228" s="41" t="s">
        <v>1777</v>
      </c>
      <c r="D228" s="39" t="s">
        <v>1331</v>
      </c>
      <c r="E228" s="42">
        <v>46132</v>
      </c>
      <c r="F228" s="26" t="s">
        <v>55</v>
      </c>
      <c r="G228" s="26" t="s">
        <v>57</v>
      </c>
      <c r="H228" s="26" t="s">
        <v>57</v>
      </c>
      <c r="I228" s="26" t="s">
        <v>89</v>
      </c>
      <c r="J228" s="26" t="s">
        <v>57</v>
      </c>
      <c r="K228" s="27" t="s">
        <v>90</v>
      </c>
      <c r="L228" s="28" t="s">
        <v>56</v>
      </c>
      <c r="M228" s="29" t="str">
        <f t="shared" si="15"/>
        <v>⚠ Missing</v>
      </c>
      <c r="N228" s="4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1778</v>
      </c>
      <c r="C229" s="25" t="s">
        <v>1779</v>
      </c>
      <c r="D229" s="23" t="s">
        <v>1331</v>
      </c>
      <c r="E229" s="42">
        <v>46132</v>
      </c>
      <c r="F229" s="26" t="s">
        <v>55</v>
      </c>
      <c r="G229" s="26" t="s">
        <v>57</v>
      </c>
      <c r="H229" s="26" t="s">
        <v>57</v>
      </c>
      <c r="I229" s="26" t="s">
        <v>89</v>
      </c>
      <c r="J229" s="26" t="s">
        <v>57</v>
      </c>
      <c r="K229" s="27" t="s">
        <v>90</v>
      </c>
      <c r="L229" s="28" t="s">
        <v>56</v>
      </c>
      <c r="M229" s="29" t="str">
        <f t="shared" si="15"/>
        <v>⚠ Missing</v>
      </c>
      <c r="N229" s="4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1780</v>
      </c>
      <c r="C230" s="41" t="s">
        <v>1781</v>
      </c>
      <c r="D230" s="39" t="s">
        <v>1331</v>
      </c>
      <c r="E230" s="42">
        <v>46132</v>
      </c>
      <c r="F230" s="26" t="s">
        <v>55</v>
      </c>
      <c r="G230" s="26" t="s">
        <v>57</v>
      </c>
      <c r="H230" s="26" t="s">
        <v>57</v>
      </c>
      <c r="I230" s="26" t="s">
        <v>89</v>
      </c>
      <c r="J230" s="26" t="s">
        <v>57</v>
      </c>
      <c r="K230" s="27" t="s">
        <v>90</v>
      </c>
      <c r="L230" s="28" t="s">
        <v>56</v>
      </c>
      <c r="M230" s="29" t="str">
        <f t="shared" si="15"/>
        <v>⚠ Missing</v>
      </c>
      <c r="N230" s="4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56</v>
      </c>
      <c r="Z230" s="30" t="s">
        <v>57</v>
      </c>
      <c r="AA230" s="30" t="s">
        <v>58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1782</v>
      </c>
      <c r="C231" s="25" t="s">
        <v>1783</v>
      </c>
      <c r="D231" s="23" t="s">
        <v>1331</v>
      </c>
      <c r="E231" s="42">
        <v>46132</v>
      </c>
      <c r="F231" s="26" t="s">
        <v>55</v>
      </c>
      <c r="G231" s="26" t="s">
        <v>57</v>
      </c>
      <c r="H231" s="26" t="s">
        <v>57</v>
      </c>
      <c r="I231" s="26" t="s">
        <v>89</v>
      </c>
      <c r="J231" s="26" t="s">
        <v>57</v>
      </c>
      <c r="K231" s="27" t="s">
        <v>90</v>
      </c>
      <c r="L231" s="28" t="s">
        <v>56</v>
      </c>
      <c r="M231" s="29" t="str">
        <f t="shared" si="15"/>
        <v>⚠ Missing</v>
      </c>
      <c r="N231" s="4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56</v>
      </c>
      <c r="Z231" s="30" t="s">
        <v>57</v>
      </c>
      <c r="AA231" s="30" t="s">
        <v>58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1784</v>
      </c>
      <c r="C232" s="41" t="s">
        <v>1785</v>
      </c>
      <c r="D232" s="39" t="s">
        <v>1331</v>
      </c>
      <c r="E232" s="42">
        <v>46132</v>
      </c>
      <c r="F232" s="26" t="s">
        <v>55</v>
      </c>
      <c r="G232" s="26" t="s">
        <v>57</v>
      </c>
      <c r="H232" s="26" t="s">
        <v>57</v>
      </c>
      <c r="I232" s="26" t="s">
        <v>89</v>
      </c>
      <c r="J232" s="26" t="s">
        <v>57</v>
      </c>
      <c r="K232" s="27" t="s">
        <v>90</v>
      </c>
      <c r="L232" s="28" t="s">
        <v>56</v>
      </c>
      <c r="M232" s="29" t="str">
        <f t="shared" si="15"/>
        <v>⚠ Missing</v>
      </c>
      <c r="N232" s="4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1786</v>
      </c>
      <c r="C233" s="25" t="s">
        <v>1787</v>
      </c>
      <c r="D233" s="23" t="s">
        <v>1331</v>
      </c>
      <c r="E233" s="42">
        <v>46132</v>
      </c>
      <c r="F233" s="26" t="s">
        <v>55</v>
      </c>
      <c r="G233" s="26" t="s">
        <v>57</v>
      </c>
      <c r="H233" s="26" t="s">
        <v>57</v>
      </c>
      <c r="I233" s="26" t="s">
        <v>89</v>
      </c>
      <c r="J233" s="26" t="s">
        <v>57</v>
      </c>
      <c r="K233" s="27" t="s">
        <v>90</v>
      </c>
      <c r="L233" s="28" t="s">
        <v>56</v>
      </c>
      <c r="M233" s="29" t="str">
        <f t="shared" si="15"/>
        <v>⚠ Missing</v>
      </c>
      <c r="N233" s="4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56</v>
      </c>
      <c r="Z233" s="30" t="s">
        <v>57</v>
      </c>
      <c r="AA233" s="30" t="s">
        <v>58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1788</v>
      </c>
      <c r="C234" s="41" t="s">
        <v>1789</v>
      </c>
      <c r="D234" s="39" t="s">
        <v>1331</v>
      </c>
      <c r="E234" s="42">
        <v>46132</v>
      </c>
      <c r="F234" s="26" t="s">
        <v>55</v>
      </c>
      <c r="G234" s="26" t="s">
        <v>57</v>
      </c>
      <c r="H234" s="26" t="s">
        <v>57</v>
      </c>
      <c r="I234" s="26" t="s">
        <v>89</v>
      </c>
      <c r="J234" s="26" t="s">
        <v>57</v>
      </c>
      <c r="K234" s="27" t="s">
        <v>90</v>
      </c>
      <c r="L234" s="28" t="s">
        <v>56</v>
      </c>
      <c r="M234" s="29" t="str">
        <f t="shared" si="15"/>
        <v>⚠ Missing</v>
      </c>
      <c r="N234" s="4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1790</v>
      </c>
      <c r="C235" s="25" t="s">
        <v>1791</v>
      </c>
      <c r="D235" s="23" t="s">
        <v>1331</v>
      </c>
      <c r="E235" s="42">
        <v>46132</v>
      </c>
      <c r="F235" s="26" t="s">
        <v>55</v>
      </c>
      <c r="G235" s="26" t="s">
        <v>57</v>
      </c>
      <c r="H235" s="26" t="s">
        <v>57</v>
      </c>
      <c r="I235" s="26" t="s">
        <v>89</v>
      </c>
      <c r="J235" s="26" t="s">
        <v>57</v>
      </c>
      <c r="K235" s="27" t="s">
        <v>90</v>
      </c>
      <c r="L235" s="28" t="s">
        <v>56</v>
      </c>
      <c r="M235" s="29" t="str">
        <f t="shared" si="15"/>
        <v>⚠ Missing</v>
      </c>
      <c r="N235" s="4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1792</v>
      </c>
      <c r="C236" s="41" t="s">
        <v>1793</v>
      </c>
      <c r="D236" s="39" t="s">
        <v>1331</v>
      </c>
      <c r="E236" s="42">
        <v>46132</v>
      </c>
      <c r="F236" s="26" t="s">
        <v>55</v>
      </c>
      <c r="G236" s="26" t="s">
        <v>57</v>
      </c>
      <c r="H236" s="26" t="s">
        <v>57</v>
      </c>
      <c r="I236" s="26" t="s">
        <v>89</v>
      </c>
      <c r="J236" s="26" t="s">
        <v>57</v>
      </c>
      <c r="K236" s="27" t="s">
        <v>90</v>
      </c>
      <c r="L236" s="28" t="s">
        <v>56</v>
      </c>
      <c r="M236" s="29" t="str">
        <f t="shared" si="15"/>
        <v>⚠ Missing</v>
      </c>
      <c r="N236" s="4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1794</v>
      </c>
      <c r="C237" s="25" t="s">
        <v>1795</v>
      </c>
      <c r="D237" s="23" t="s">
        <v>1331</v>
      </c>
      <c r="E237" s="42">
        <v>46132</v>
      </c>
      <c r="F237" s="26" t="s">
        <v>55</v>
      </c>
      <c r="G237" s="26" t="s">
        <v>57</v>
      </c>
      <c r="H237" s="26" t="s">
        <v>57</v>
      </c>
      <c r="I237" s="26" t="s">
        <v>89</v>
      </c>
      <c r="J237" s="26" t="s">
        <v>57</v>
      </c>
      <c r="K237" s="27" t="s">
        <v>90</v>
      </c>
      <c r="L237" s="28" t="s">
        <v>56</v>
      </c>
      <c r="M237" s="29" t="str">
        <f t="shared" si="15"/>
        <v>⚠ Missing</v>
      </c>
      <c r="N237" s="4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1796</v>
      </c>
      <c r="C238" s="41" t="s">
        <v>1797</v>
      </c>
      <c r="D238" s="39" t="s">
        <v>1331</v>
      </c>
      <c r="E238" s="42">
        <v>46132</v>
      </c>
      <c r="F238" s="26" t="s">
        <v>55</v>
      </c>
      <c r="G238" s="26" t="s">
        <v>57</v>
      </c>
      <c r="H238" s="26" t="s">
        <v>57</v>
      </c>
      <c r="I238" s="26" t="s">
        <v>89</v>
      </c>
      <c r="J238" s="26" t="s">
        <v>57</v>
      </c>
      <c r="K238" s="27" t="s">
        <v>90</v>
      </c>
      <c r="L238" s="28" t="s">
        <v>56</v>
      </c>
      <c r="M238" s="29" t="str">
        <f t="shared" si="15"/>
        <v>⚠ Missing</v>
      </c>
      <c r="N238" s="4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56</v>
      </c>
      <c r="Z238" s="30" t="s">
        <v>57</v>
      </c>
      <c r="AA238" s="30" t="s">
        <v>58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1798</v>
      </c>
      <c r="C239" s="25" t="s">
        <v>1799</v>
      </c>
      <c r="D239" s="23" t="s">
        <v>1331</v>
      </c>
      <c r="E239" s="42">
        <v>46132</v>
      </c>
      <c r="F239" s="26" t="s">
        <v>55</v>
      </c>
      <c r="G239" s="26" t="s">
        <v>57</v>
      </c>
      <c r="H239" s="26" t="s">
        <v>57</v>
      </c>
      <c r="I239" s="26" t="s">
        <v>89</v>
      </c>
      <c r="J239" s="26" t="s">
        <v>57</v>
      </c>
      <c r="K239" s="27" t="s">
        <v>90</v>
      </c>
      <c r="L239" s="28" t="s">
        <v>56</v>
      </c>
      <c r="M239" s="29" t="str">
        <f t="shared" si="15"/>
        <v>⚠ Missing</v>
      </c>
      <c r="N239" s="4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56</v>
      </c>
      <c r="Z239" s="30" t="s">
        <v>57</v>
      </c>
      <c r="AA239" s="30" t="s">
        <v>58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1800</v>
      </c>
      <c r="C240" s="41" t="s">
        <v>1801</v>
      </c>
      <c r="D240" s="39" t="s">
        <v>1331</v>
      </c>
      <c r="E240" s="42">
        <v>46132</v>
      </c>
      <c r="F240" s="26" t="s">
        <v>55</v>
      </c>
      <c r="G240" s="26" t="s">
        <v>57</v>
      </c>
      <c r="H240" s="26" t="s">
        <v>57</v>
      </c>
      <c r="I240" s="26" t="s">
        <v>89</v>
      </c>
      <c r="J240" s="26" t="s">
        <v>57</v>
      </c>
      <c r="K240" s="27" t="s">
        <v>90</v>
      </c>
      <c r="L240" s="28" t="s">
        <v>56</v>
      </c>
      <c r="M240" s="29" t="str">
        <f t="shared" si="15"/>
        <v>⚠ Missing</v>
      </c>
      <c r="N240" s="4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56</v>
      </c>
      <c r="Z240" s="30" t="s">
        <v>57</v>
      </c>
      <c r="AA240" s="30" t="s">
        <v>58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1802</v>
      </c>
      <c r="C241" s="25" t="s">
        <v>1803</v>
      </c>
      <c r="D241" s="23" t="s">
        <v>1331</v>
      </c>
      <c r="E241" s="42">
        <v>46132</v>
      </c>
      <c r="F241" s="26" t="s">
        <v>55</v>
      </c>
      <c r="G241" s="26" t="s">
        <v>57</v>
      </c>
      <c r="H241" s="26" t="s">
        <v>57</v>
      </c>
      <c r="I241" s="26" t="s">
        <v>89</v>
      </c>
      <c r="J241" s="26" t="s">
        <v>57</v>
      </c>
      <c r="K241" s="27" t="s">
        <v>90</v>
      </c>
      <c r="L241" s="28" t="s">
        <v>56</v>
      </c>
      <c r="M241" s="29" t="str">
        <f t="shared" si="15"/>
        <v>⚠ Missing</v>
      </c>
      <c r="N241" s="4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1804</v>
      </c>
      <c r="C242" s="41" t="s">
        <v>1805</v>
      </c>
      <c r="D242" s="39" t="s">
        <v>1331</v>
      </c>
      <c r="E242" s="42">
        <v>46132</v>
      </c>
      <c r="F242" s="26" t="s">
        <v>55</v>
      </c>
      <c r="G242" s="26" t="s">
        <v>57</v>
      </c>
      <c r="H242" s="26" t="s">
        <v>57</v>
      </c>
      <c r="I242" s="26" t="s">
        <v>89</v>
      </c>
      <c r="J242" s="26" t="s">
        <v>57</v>
      </c>
      <c r="K242" s="27" t="s">
        <v>90</v>
      </c>
      <c r="L242" s="28" t="s">
        <v>56</v>
      </c>
      <c r="M242" s="29" t="str">
        <f t="shared" si="15"/>
        <v>⚠ Missing</v>
      </c>
      <c r="N242" s="4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56</v>
      </c>
      <c r="Z242" s="30" t="s">
        <v>57</v>
      </c>
      <c r="AA242" s="30" t="s">
        <v>58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1806</v>
      </c>
      <c r="C243" s="25" t="s">
        <v>1807</v>
      </c>
      <c r="D243" s="23" t="s">
        <v>1331</v>
      </c>
      <c r="E243" s="42">
        <v>46132</v>
      </c>
      <c r="F243" s="26" t="s">
        <v>55</v>
      </c>
      <c r="G243" s="26" t="s">
        <v>57</v>
      </c>
      <c r="H243" s="26" t="s">
        <v>57</v>
      </c>
      <c r="I243" s="26" t="s">
        <v>89</v>
      </c>
      <c r="J243" s="26" t="s">
        <v>57</v>
      </c>
      <c r="K243" s="27" t="s">
        <v>90</v>
      </c>
      <c r="L243" s="28" t="s">
        <v>56</v>
      </c>
      <c r="M243" s="29" t="str">
        <f t="shared" si="15"/>
        <v>⚠ Missing</v>
      </c>
      <c r="N243" s="4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56</v>
      </c>
      <c r="Z243" s="30" t="s">
        <v>57</v>
      </c>
      <c r="AA243" s="30" t="s">
        <v>58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1808</v>
      </c>
      <c r="C244" s="41" t="s">
        <v>1809</v>
      </c>
      <c r="D244" s="39" t="s">
        <v>1331</v>
      </c>
      <c r="E244" s="42">
        <v>46132</v>
      </c>
      <c r="F244" s="26" t="s">
        <v>55</v>
      </c>
      <c r="G244" s="26" t="s">
        <v>57</v>
      </c>
      <c r="H244" s="26" t="s">
        <v>57</v>
      </c>
      <c r="I244" s="26" t="s">
        <v>89</v>
      </c>
      <c r="J244" s="26" t="s">
        <v>57</v>
      </c>
      <c r="K244" s="27" t="s">
        <v>90</v>
      </c>
      <c r="L244" s="28" t="s">
        <v>56</v>
      </c>
      <c r="M244" s="29" t="str">
        <f t="shared" si="15"/>
        <v>⚠ Missing</v>
      </c>
      <c r="N244" s="4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1810</v>
      </c>
      <c r="C245" s="25" t="s">
        <v>1811</v>
      </c>
      <c r="D245" s="23" t="s">
        <v>1331</v>
      </c>
      <c r="E245" s="42">
        <v>46132</v>
      </c>
      <c r="F245" s="26" t="s">
        <v>55</v>
      </c>
      <c r="G245" s="26" t="s">
        <v>57</v>
      </c>
      <c r="H245" s="26" t="s">
        <v>57</v>
      </c>
      <c r="I245" s="26" t="s">
        <v>89</v>
      </c>
      <c r="J245" s="26" t="s">
        <v>57</v>
      </c>
      <c r="K245" s="27" t="s">
        <v>90</v>
      </c>
      <c r="L245" s="28" t="s">
        <v>56</v>
      </c>
      <c r="M245" s="29" t="str">
        <f t="shared" si="15"/>
        <v>⚠ Missing</v>
      </c>
      <c r="N245" s="4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1812</v>
      </c>
      <c r="C246" s="41" t="s">
        <v>1813</v>
      </c>
      <c r="D246" s="39" t="s">
        <v>1331</v>
      </c>
      <c r="E246" s="42">
        <v>46132</v>
      </c>
      <c r="F246" s="26" t="s">
        <v>55</v>
      </c>
      <c r="G246" s="26" t="s">
        <v>57</v>
      </c>
      <c r="H246" s="26" t="s">
        <v>57</v>
      </c>
      <c r="I246" s="26" t="s">
        <v>89</v>
      </c>
      <c r="J246" s="26" t="s">
        <v>57</v>
      </c>
      <c r="K246" s="27" t="s">
        <v>90</v>
      </c>
      <c r="L246" s="28" t="s">
        <v>56</v>
      </c>
      <c r="M246" s="29" t="str">
        <f t="shared" si="15"/>
        <v>⚠ Missing</v>
      </c>
      <c r="N246" s="4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58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1814</v>
      </c>
      <c r="C247" s="25" t="s">
        <v>1815</v>
      </c>
      <c r="D247" s="23" t="s">
        <v>1331</v>
      </c>
      <c r="E247" s="42">
        <v>46132</v>
      </c>
      <c r="F247" s="26" t="s">
        <v>55</v>
      </c>
      <c r="G247" s="26" t="s">
        <v>57</v>
      </c>
      <c r="H247" s="26" t="s">
        <v>57</v>
      </c>
      <c r="I247" s="26" t="s">
        <v>89</v>
      </c>
      <c r="J247" s="26" t="s">
        <v>57</v>
      </c>
      <c r="K247" s="27" t="s">
        <v>90</v>
      </c>
      <c r="L247" s="28" t="s">
        <v>56</v>
      </c>
      <c r="M247" s="29" t="str">
        <f t="shared" si="15"/>
        <v>⚠ Missing</v>
      </c>
      <c r="N247" s="4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1816</v>
      </c>
      <c r="C248" s="41" t="s">
        <v>1817</v>
      </c>
      <c r="D248" s="39" t="s">
        <v>1331</v>
      </c>
      <c r="E248" s="42">
        <v>46132</v>
      </c>
      <c r="F248" s="26" t="s">
        <v>55</v>
      </c>
      <c r="G248" s="26" t="s">
        <v>57</v>
      </c>
      <c r="H248" s="26" t="s">
        <v>57</v>
      </c>
      <c r="I248" s="26" t="s">
        <v>89</v>
      </c>
      <c r="J248" s="26" t="s">
        <v>57</v>
      </c>
      <c r="K248" s="27" t="s">
        <v>90</v>
      </c>
      <c r="L248" s="28" t="s">
        <v>56</v>
      </c>
      <c r="M248" s="29" t="str">
        <f t="shared" si="15"/>
        <v>⚠ Missing</v>
      </c>
      <c r="N248" s="4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56</v>
      </c>
      <c r="Z248" s="30" t="s">
        <v>57</v>
      </c>
      <c r="AA248" s="30" t="s">
        <v>58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1818</v>
      </c>
      <c r="C249" s="25" t="s">
        <v>1819</v>
      </c>
      <c r="D249" s="23" t="s">
        <v>1331</v>
      </c>
      <c r="E249" s="42">
        <v>46132</v>
      </c>
      <c r="F249" s="26" t="s">
        <v>55</v>
      </c>
      <c r="G249" s="26" t="s">
        <v>57</v>
      </c>
      <c r="H249" s="26" t="s">
        <v>57</v>
      </c>
      <c r="I249" s="26" t="s">
        <v>89</v>
      </c>
      <c r="J249" s="26" t="s">
        <v>57</v>
      </c>
      <c r="K249" s="27" t="s">
        <v>90</v>
      </c>
      <c r="L249" s="28" t="s">
        <v>56</v>
      </c>
      <c r="M249" s="29" t="str">
        <f t="shared" si="15"/>
        <v>⚠ Missing</v>
      </c>
      <c r="N249" s="4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56</v>
      </c>
      <c r="Z249" s="30" t="s">
        <v>57</v>
      </c>
      <c r="AA249" s="30" t="s">
        <v>58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1820</v>
      </c>
      <c r="C250" s="41" t="s">
        <v>1821</v>
      </c>
      <c r="D250" s="39" t="s">
        <v>1331</v>
      </c>
      <c r="E250" s="42">
        <v>46132</v>
      </c>
      <c r="F250" s="26" t="s">
        <v>55</v>
      </c>
      <c r="G250" s="26" t="s">
        <v>57</v>
      </c>
      <c r="H250" s="26" t="s">
        <v>57</v>
      </c>
      <c r="I250" s="26" t="s">
        <v>89</v>
      </c>
      <c r="J250" s="26" t="s">
        <v>57</v>
      </c>
      <c r="K250" s="27" t="s">
        <v>90</v>
      </c>
      <c r="L250" s="28" t="s">
        <v>56</v>
      </c>
      <c r="M250" s="29" t="str">
        <f t="shared" si="15"/>
        <v>⚠ Missing</v>
      </c>
      <c r="N250" s="4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56</v>
      </c>
      <c r="Z250" s="30" t="s">
        <v>57</v>
      </c>
      <c r="AA250" s="30" t="s">
        <v>58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1822</v>
      </c>
      <c r="C251" s="25" t="s">
        <v>1823</v>
      </c>
      <c r="D251" s="23" t="s">
        <v>1331</v>
      </c>
      <c r="E251" s="42">
        <v>46132</v>
      </c>
      <c r="F251" s="26" t="s">
        <v>55</v>
      </c>
      <c r="G251" s="26" t="s">
        <v>57</v>
      </c>
      <c r="H251" s="26" t="s">
        <v>57</v>
      </c>
      <c r="I251" s="26" t="s">
        <v>89</v>
      </c>
      <c r="J251" s="26" t="s">
        <v>57</v>
      </c>
      <c r="K251" s="27" t="s">
        <v>90</v>
      </c>
      <c r="L251" s="28" t="s">
        <v>56</v>
      </c>
      <c r="M251" s="29" t="str">
        <f t="shared" si="15"/>
        <v>⚠ Missing</v>
      </c>
      <c r="N251" s="4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1824</v>
      </c>
      <c r="C252" s="41" t="s">
        <v>1825</v>
      </c>
      <c r="D252" s="39" t="s">
        <v>1331</v>
      </c>
      <c r="E252" s="42">
        <v>46132</v>
      </c>
      <c r="F252" s="26" t="s">
        <v>55</v>
      </c>
      <c r="G252" s="26" t="s">
        <v>57</v>
      </c>
      <c r="H252" s="26" t="s">
        <v>57</v>
      </c>
      <c r="I252" s="26" t="s">
        <v>89</v>
      </c>
      <c r="J252" s="26" t="s">
        <v>57</v>
      </c>
      <c r="K252" s="27" t="s">
        <v>90</v>
      </c>
      <c r="L252" s="28" t="s">
        <v>56</v>
      </c>
      <c r="M252" s="29" t="str">
        <f t="shared" si="15"/>
        <v>⚠ Missing</v>
      </c>
      <c r="N252" s="4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1826</v>
      </c>
      <c r="C253" s="25" t="s">
        <v>1827</v>
      </c>
      <c r="D253" s="23" t="s">
        <v>1331</v>
      </c>
      <c r="E253" s="42">
        <v>46132</v>
      </c>
      <c r="F253" s="26" t="s">
        <v>55</v>
      </c>
      <c r="G253" s="26" t="s">
        <v>57</v>
      </c>
      <c r="H253" s="26" t="s">
        <v>57</v>
      </c>
      <c r="I253" s="26" t="s">
        <v>89</v>
      </c>
      <c r="J253" s="26" t="s">
        <v>57</v>
      </c>
      <c r="K253" s="27" t="s">
        <v>90</v>
      </c>
      <c r="L253" s="28" t="s">
        <v>56</v>
      </c>
      <c r="M253" s="29" t="str">
        <f t="shared" si="15"/>
        <v>⚠ Missing</v>
      </c>
      <c r="N253" s="4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1828</v>
      </c>
      <c r="C254" s="41" t="s">
        <v>1829</v>
      </c>
      <c r="D254" s="39" t="s">
        <v>1331</v>
      </c>
      <c r="E254" s="42">
        <v>46132</v>
      </c>
      <c r="F254" s="26" t="s">
        <v>55</v>
      </c>
      <c r="G254" s="26" t="s">
        <v>57</v>
      </c>
      <c r="H254" s="26" t="s">
        <v>57</v>
      </c>
      <c r="I254" s="26" t="s">
        <v>89</v>
      </c>
      <c r="J254" s="26" t="s">
        <v>57</v>
      </c>
      <c r="K254" s="27" t="s">
        <v>90</v>
      </c>
      <c r="L254" s="28" t="s">
        <v>56</v>
      </c>
      <c r="M254" s="29" t="str">
        <f t="shared" si="15"/>
        <v>⚠ Missing</v>
      </c>
      <c r="N254" s="4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1830</v>
      </c>
      <c r="C255" s="25" t="s">
        <v>1831</v>
      </c>
      <c r="D255" s="23" t="s">
        <v>1331</v>
      </c>
      <c r="E255" s="42">
        <v>46132</v>
      </c>
      <c r="F255" s="26" t="s">
        <v>55</v>
      </c>
      <c r="G255" s="26" t="s">
        <v>57</v>
      </c>
      <c r="H255" s="26" t="s">
        <v>57</v>
      </c>
      <c r="I255" s="26" t="s">
        <v>89</v>
      </c>
      <c r="J255" s="26" t="s">
        <v>57</v>
      </c>
      <c r="K255" s="27" t="s">
        <v>90</v>
      </c>
      <c r="L255" s="28" t="s">
        <v>56</v>
      </c>
      <c r="M255" s="29" t="str">
        <f t="shared" si="15"/>
        <v>⚠ Missing</v>
      </c>
      <c r="N255" s="4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1832</v>
      </c>
      <c r="C256" s="41" t="s">
        <v>1833</v>
      </c>
      <c r="D256" s="39" t="s">
        <v>1331</v>
      </c>
      <c r="E256" s="42">
        <v>46132</v>
      </c>
      <c r="F256" s="26" t="s">
        <v>55</v>
      </c>
      <c r="G256" s="26" t="s">
        <v>57</v>
      </c>
      <c r="H256" s="26" t="s">
        <v>57</v>
      </c>
      <c r="I256" s="26" t="s">
        <v>89</v>
      </c>
      <c r="J256" s="26" t="s">
        <v>57</v>
      </c>
      <c r="K256" s="27" t="s">
        <v>90</v>
      </c>
      <c r="L256" s="28" t="s">
        <v>56</v>
      </c>
      <c r="M256" s="29" t="str">
        <f t="shared" si="15"/>
        <v>⚠ Missing</v>
      </c>
      <c r="N256" s="4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1834</v>
      </c>
      <c r="C257" s="25" t="s">
        <v>1835</v>
      </c>
      <c r="D257" s="23" t="s">
        <v>1331</v>
      </c>
      <c r="E257" s="42">
        <v>46132</v>
      </c>
      <c r="F257" s="26" t="s">
        <v>55</v>
      </c>
      <c r="G257" s="26" t="s">
        <v>57</v>
      </c>
      <c r="H257" s="26" t="s">
        <v>57</v>
      </c>
      <c r="I257" s="26" t="s">
        <v>89</v>
      </c>
      <c r="J257" s="26" t="s">
        <v>57</v>
      </c>
      <c r="K257" s="27" t="s">
        <v>90</v>
      </c>
      <c r="L257" s="28" t="s">
        <v>56</v>
      </c>
      <c r="M257" s="29" t="str">
        <f t="shared" si="15"/>
        <v>⚠ Missing</v>
      </c>
      <c r="N257" s="4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56</v>
      </c>
      <c r="Z257" s="30" t="s">
        <v>57</v>
      </c>
      <c r="AA257" s="30" t="s">
        <v>58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1836</v>
      </c>
      <c r="C258" s="41" t="s">
        <v>1837</v>
      </c>
      <c r="D258" s="39" t="s">
        <v>1331</v>
      </c>
      <c r="E258" s="42">
        <v>46132</v>
      </c>
      <c r="F258" s="26" t="s">
        <v>55</v>
      </c>
      <c r="G258" s="26" t="s">
        <v>57</v>
      </c>
      <c r="H258" s="26" t="s">
        <v>57</v>
      </c>
      <c r="I258" s="26" t="s">
        <v>89</v>
      </c>
      <c r="J258" s="26" t="s">
        <v>57</v>
      </c>
      <c r="K258" s="27" t="s">
        <v>90</v>
      </c>
      <c r="L258" s="28" t="s">
        <v>56</v>
      </c>
      <c r="M258" s="29" t="str">
        <f t="shared" si="15"/>
        <v>⚠ Missing</v>
      </c>
      <c r="N258" s="4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1838</v>
      </c>
      <c r="C259" s="25" t="s">
        <v>1839</v>
      </c>
      <c r="D259" s="23" t="s">
        <v>1331</v>
      </c>
      <c r="E259" s="42">
        <v>46132</v>
      </c>
      <c r="F259" s="26" t="s">
        <v>55</v>
      </c>
      <c r="G259" s="26" t="s">
        <v>57</v>
      </c>
      <c r="H259" s="26" t="s">
        <v>57</v>
      </c>
      <c r="I259" s="26" t="s">
        <v>89</v>
      </c>
      <c r="J259" s="26" t="s">
        <v>57</v>
      </c>
      <c r="K259" s="27" t="s">
        <v>90</v>
      </c>
      <c r="L259" s="28" t="s">
        <v>56</v>
      </c>
      <c r="M259" s="29" t="str">
        <f t="shared" si="15"/>
        <v>⚠ Missing</v>
      </c>
      <c r="N259" s="4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1840</v>
      </c>
      <c r="C260" s="41" t="s">
        <v>1841</v>
      </c>
      <c r="D260" s="39" t="s">
        <v>1331</v>
      </c>
      <c r="E260" s="42">
        <v>46132</v>
      </c>
      <c r="F260" s="26" t="s">
        <v>55</v>
      </c>
      <c r="G260" s="26" t="s">
        <v>57</v>
      </c>
      <c r="H260" s="26" t="s">
        <v>57</v>
      </c>
      <c r="I260" s="26" t="s">
        <v>89</v>
      </c>
      <c r="J260" s="26" t="s">
        <v>57</v>
      </c>
      <c r="K260" s="27" t="s">
        <v>90</v>
      </c>
      <c r="L260" s="28" t="s">
        <v>56</v>
      </c>
      <c r="M260" s="29" t="str">
        <f t="shared" si="15"/>
        <v>⚠ Missing</v>
      </c>
      <c r="N260" s="4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1842</v>
      </c>
      <c r="C261" s="25" t="s">
        <v>1843</v>
      </c>
      <c r="D261" s="23" t="s">
        <v>1331</v>
      </c>
      <c r="E261" s="42">
        <v>46132</v>
      </c>
      <c r="F261" s="26" t="s">
        <v>55</v>
      </c>
      <c r="G261" s="26" t="s">
        <v>57</v>
      </c>
      <c r="H261" s="26" t="s">
        <v>57</v>
      </c>
      <c r="I261" s="26" t="s">
        <v>89</v>
      </c>
      <c r="J261" s="26" t="s">
        <v>57</v>
      </c>
      <c r="K261" s="27" t="s">
        <v>90</v>
      </c>
      <c r="L261" s="28" t="s">
        <v>56</v>
      </c>
      <c r="M261" s="29" t="str">
        <f t="shared" ref="M261:M324" si="20">IF(E261="","",IF(H261="Yes","❌ Disc",IF(G261="No","⚠ Missing",IF(J261="Yes","✓ OK","⚠ Check"))))</f>
        <v>⚠ Missing</v>
      </c>
      <c r="N261" s="4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1844</v>
      </c>
      <c r="C262" s="41" t="s">
        <v>1845</v>
      </c>
      <c r="D262" s="39" t="s">
        <v>1331</v>
      </c>
      <c r="E262" s="42">
        <v>46132</v>
      </c>
      <c r="F262" s="26" t="s">
        <v>55</v>
      </c>
      <c r="G262" s="26" t="s">
        <v>57</v>
      </c>
      <c r="H262" s="26" t="s">
        <v>57</v>
      </c>
      <c r="I262" s="26" t="s">
        <v>89</v>
      </c>
      <c r="J262" s="26" t="s">
        <v>57</v>
      </c>
      <c r="K262" s="27" t="s">
        <v>90</v>
      </c>
      <c r="L262" s="28" t="s">
        <v>56</v>
      </c>
      <c r="M262" s="29" t="str">
        <f t="shared" si="20"/>
        <v>⚠ Missing</v>
      </c>
      <c r="N262" s="4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1846</v>
      </c>
      <c r="C263" s="25" t="s">
        <v>1847</v>
      </c>
      <c r="D263" s="23" t="s">
        <v>1331</v>
      </c>
      <c r="E263" s="42">
        <v>46132</v>
      </c>
      <c r="F263" s="26" t="s">
        <v>55</v>
      </c>
      <c r="G263" s="26" t="s">
        <v>57</v>
      </c>
      <c r="H263" s="26" t="s">
        <v>57</v>
      </c>
      <c r="I263" s="26" t="s">
        <v>89</v>
      </c>
      <c r="J263" s="26" t="s">
        <v>57</v>
      </c>
      <c r="K263" s="27" t="s">
        <v>90</v>
      </c>
      <c r="L263" s="28" t="s">
        <v>56</v>
      </c>
      <c r="M263" s="29" t="str">
        <f t="shared" si="20"/>
        <v>⚠ Missing</v>
      </c>
      <c r="N263" s="4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1848</v>
      </c>
      <c r="C264" s="41" t="s">
        <v>1849</v>
      </c>
      <c r="D264" s="39" t="s">
        <v>1331</v>
      </c>
      <c r="E264" s="42">
        <v>46132</v>
      </c>
      <c r="F264" s="26" t="s">
        <v>55</v>
      </c>
      <c r="G264" s="26" t="s">
        <v>57</v>
      </c>
      <c r="H264" s="26" t="s">
        <v>57</v>
      </c>
      <c r="I264" s="26" t="s">
        <v>89</v>
      </c>
      <c r="J264" s="26" t="s">
        <v>57</v>
      </c>
      <c r="K264" s="27" t="s">
        <v>90</v>
      </c>
      <c r="L264" s="28" t="s">
        <v>56</v>
      </c>
      <c r="M264" s="29" t="str">
        <f t="shared" si="20"/>
        <v>⚠ Missing</v>
      </c>
      <c r="N264" s="4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1850</v>
      </c>
      <c r="C265" s="25" t="s">
        <v>1851</v>
      </c>
      <c r="D265" s="23" t="s">
        <v>1331</v>
      </c>
      <c r="E265" s="42">
        <v>46132</v>
      </c>
      <c r="F265" s="26" t="s">
        <v>55</v>
      </c>
      <c r="G265" s="26" t="s">
        <v>57</v>
      </c>
      <c r="H265" s="26" t="s">
        <v>57</v>
      </c>
      <c r="I265" s="26" t="s">
        <v>89</v>
      </c>
      <c r="J265" s="26" t="s">
        <v>57</v>
      </c>
      <c r="K265" s="27" t="s">
        <v>90</v>
      </c>
      <c r="L265" s="28" t="s">
        <v>56</v>
      </c>
      <c r="M265" s="29" t="str">
        <f t="shared" si="20"/>
        <v>⚠ Missing</v>
      </c>
      <c r="N265" s="4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1852</v>
      </c>
      <c r="C266" s="41" t="s">
        <v>1853</v>
      </c>
      <c r="D266" s="39" t="s">
        <v>1331</v>
      </c>
      <c r="E266" s="42">
        <v>46132</v>
      </c>
      <c r="F266" s="26" t="s">
        <v>55</v>
      </c>
      <c r="G266" s="26" t="s">
        <v>57</v>
      </c>
      <c r="H266" s="26" t="s">
        <v>57</v>
      </c>
      <c r="I266" s="26" t="s">
        <v>89</v>
      </c>
      <c r="J266" s="26" t="s">
        <v>57</v>
      </c>
      <c r="K266" s="27" t="s">
        <v>90</v>
      </c>
      <c r="L266" s="28" t="s">
        <v>56</v>
      </c>
      <c r="M266" s="29" t="str">
        <f t="shared" si="20"/>
        <v>⚠ Missing</v>
      </c>
      <c r="N266" s="4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1854</v>
      </c>
      <c r="C267" s="25" t="s">
        <v>1855</v>
      </c>
      <c r="D267" s="23" t="s">
        <v>1331</v>
      </c>
      <c r="E267" s="42">
        <v>46132</v>
      </c>
      <c r="F267" s="26" t="s">
        <v>55</v>
      </c>
      <c r="G267" s="26" t="s">
        <v>57</v>
      </c>
      <c r="H267" s="26" t="s">
        <v>57</v>
      </c>
      <c r="I267" s="26" t="s">
        <v>89</v>
      </c>
      <c r="J267" s="26" t="s">
        <v>57</v>
      </c>
      <c r="K267" s="27" t="s">
        <v>90</v>
      </c>
      <c r="L267" s="28" t="s">
        <v>56</v>
      </c>
      <c r="M267" s="29" t="str">
        <f t="shared" si="20"/>
        <v>⚠ Missing</v>
      </c>
      <c r="N267" s="4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1856</v>
      </c>
      <c r="C268" s="41" t="s">
        <v>1857</v>
      </c>
      <c r="D268" s="39" t="s">
        <v>1331</v>
      </c>
      <c r="E268" s="42">
        <v>46132</v>
      </c>
      <c r="F268" s="26" t="s">
        <v>55</v>
      </c>
      <c r="G268" s="26" t="s">
        <v>57</v>
      </c>
      <c r="H268" s="26" t="s">
        <v>57</v>
      </c>
      <c r="I268" s="26" t="s">
        <v>89</v>
      </c>
      <c r="J268" s="26" t="s">
        <v>57</v>
      </c>
      <c r="K268" s="27" t="s">
        <v>90</v>
      </c>
      <c r="L268" s="28" t="s">
        <v>56</v>
      </c>
      <c r="M268" s="29" t="str">
        <f t="shared" si="20"/>
        <v>⚠ Missing</v>
      </c>
      <c r="N268" s="4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1858</v>
      </c>
      <c r="C269" s="25" t="s">
        <v>1859</v>
      </c>
      <c r="D269" s="23" t="s">
        <v>1331</v>
      </c>
      <c r="E269" s="42">
        <v>46132</v>
      </c>
      <c r="F269" s="26" t="s">
        <v>55</v>
      </c>
      <c r="G269" s="26" t="s">
        <v>57</v>
      </c>
      <c r="H269" s="26" t="s">
        <v>57</v>
      </c>
      <c r="I269" s="26" t="s">
        <v>89</v>
      </c>
      <c r="J269" s="26" t="s">
        <v>57</v>
      </c>
      <c r="K269" s="27" t="s">
        <v>90</v>
      </c>
      <c r="L269" s="28" t="s">
        <v>56</v>
      </c>
      <c r="M269" s="29" t="str">
        <f t="shared" si="20"/>
        <v>⚠ Missing</v>
      </c>
      <c r="N269" s="4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56</v>
      </c>
      <c r="Z269" s="30" t="s">
        <v>57</v>
      </c>
      <c r="AA269" s="30" t="s">
        <v>58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1860</v>
      </c>
      <c r="C270" s="41" t="s">
        <v>1861</v>
      </c>
      <c r="D270" s="39" t="s">
        <v>1331</v>
      </c>
      <c r="E270" s="42">
        <v>46132</v>
      </c>
      <c r="F270" s="26" t="s">
        <v>55</v>
      </c>
      <c r="G270" s="26" t="s">
        <v>57</v>
      </c>
      <c r="H270" s="26" t="s">
        <v>57</v>
      </c>
      <c r="I270" s="26" t="s">
        <v>89</v>
      </c>
      <c r="J270" s="26" t="s">
        <v>57</v>
      </c>
      <c r="K270" s="27" t="s">
        <v>90</v>
      </c>
      <c r="L270" s="28" t="s">
        <v>56</v>
      </c>
      <c r="M270" s="29" t="str">
        <f t="shared" si="20"/>
        <v>⚠ Missing</v>
      </c>
      <c r="N270" s="4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1862</v>
      </c>
      <c r="C271" s="25" t="s">
        <v>1863</v>
      </c>
      <c r="D271" s="23" t="s">
        <v>1331</v>
      </c>
      <c r="E271" s="42">
        <v>46132</v>
      </c>
      <c r="F271" s="26" t="s">
        <v>55</v>
      </c>
      <c r="G271" s="26" t="s">
        <v>57</v>
      </c>
      <c r="H271" s="26" t="s">
        <v>57</v>
      </c>
      <c r="I271" s="26" t="s">
        <v>89</v>
      </c>
      <c r="J271" s="26" t="s">
        <v>57</v>
      </c>
      <c r="K271" s="27" t="s">
        <v>90</v>
      </c>
      <c r="L271" s="28" t="s">
        <v>56</v>
      </c>
      <c r="M271" s="29" t="str">
        <f t="shared" si="20"/>
        <v>⚠ Missing</v>
      </c>
      <c r="N271" s="4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1864</v>
      </c>
      <c r="C272" s="41" t="s">
        <v>1865</v>
      </c>
      <c r="D272" s="39" t="s">
        <v>1331</v>
      </c>
      <c r="E272" s="42">
        <v>46132</v>
      </c>
      <c r="F272" s="26" t="s">
        <v>55</v>
      </c>
      <c r="G272" s="26" t="s">
        <v>57</v>
      </c>
      <c r="H272" s="26" t="s">
        <v>57</v>
      </c>
      <c r="I272" s="26" t="s">
        <v>89</v>
      </c>
      <c r="J272" s="26" t="s">
        <v>57</v>
      </c>
      <c r="K272" s="27" t="s">
        <v>90</v>
      </c>
      <c r="L272" s="28" t="s">
        <v>56</v>
      </c>
      <c r="M272" s="29" t="str">
        <f t="shared" si="20"/>
        <v>⚠ Missing</v>
      </c>
      <c r="N272" s="4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1866</v>
      </c>
      <c r="C273" s="25" t="s">
        <v>1867</v>
      </c>
      <c r="D273" s="23" t="s">
        <v>1331</v>
      </c>
      <c r="E273" s="42">
        <v>46132</v>
      </c>
      <c r="F273" s="26" t="s">
        <v>55</v>
      </c>
      <c r="G273" s="26" t="s">
        <v>57</v>
      </c>
      <c r="H273" s="26" t="s">
        <v>57</v>
      </c>
      <c r="I273" s="26" t="s">
        <v>89</v>
      </c>
      <c r="J273" s="26" t="s">
        <v>57</v>
      </c>
      <c r="K273" s="27" t="s">
        <v>90</v>
      </c>
      <c r="L273" s="28" t="s">
        <v>56</v>
      </c>
      <c r="M273" s="29" t="str">
        <f t="shared" si="20"/>
        <v>⚠ Missing</v>
      </c>
      <c r="N273" s="4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1868</v>
      </c>
      <c r="C274" s="41" t="s">
        <v>1869</v>
      </c>
      <c r="D274" s="39" t="s">
        <v>1331</v>
      </c>
      <c r="E274" s="42">
        <v>46132</v>
      </c>
      <c r="F274" s="26" t="s">
        <v>55</v>
      </c>
      <c r="G274" s="26" t="s">
        <v>57</v>
      </c>
      <c r="H274" s="26" t="s">
        <v>57</v>
      </c>
      <c r="I274" s="26" t="s">
        <v>89</v>
      </c>
      <c r="J274" s="26" t="s">
        <v>57</v>
      </c>
      <c r="K274" s="27" t="s">
        <v>90</v>
      </c>
      <c r="L274" s="28" t="s">
        <v>56</v>
      </c>
      <c r="M274" s="29" t="str">
        <f t="shared" si="20"/>
        <v>⚠ Missing</v>
      </c>
      <c r="N274" s="4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1870</v>
      </c>
      <c r="C275" s="25" t="s">
        <v>1871</v>
      </c>
      <c r="D275" s="23" t="s">
        <v>1331</v>
      </c>
      <c r="E275" s="42">
        <v>46132</v>
      </c>
      <c r="F275" s="26" t="s">
        <v>55</v>
      </c>
      <c r="G275" s="26" t="s">
        <v>57</v>
      </c>
      <c r="H275" s="26" t="s">
        <v>57</v>
      </c>
      <c r="I275" s="26" t="s">
        <v>89</v>
      </c>
      <c r="J275" s="26" t="s">
        <v>57</v>
      </c>
      <c r="K275" s="27" t="s">
        <v>90</v>
      </c>
      <c r="L275" s="28" t="s">
        <v>56</v>
      </c>
      <c r="M275" s="29" t="str">
        <f t="shared" si="20"/>
        <v>⚠ Missing</v>
      </c>
      <c r="N275" s="4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56</v>
      </c>
      <c r="Z275" s="30" t="s">
        <v>57</v>
      </c>
      <c r="AA275" s="30" t="s">
        <v>58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1872</v>
      </c>
      <c r="C276" s="41" t="s">
        <v>1873</v>
      </c>
      <c r="D276" s="39" t="s">
        <v>1331</v>
      </c>
      <c r="E276" s="42">
        <v>46132</v>
      </c>
      <c r="F276" s="26" t="s">
        <v>55</v>
      </c>
      <c r="G276" s="26" t="s">
        <v>57</v>
      </c>
      <c r="H276" s="26" t="s">
        <v>57</v>
      </c>
      <c r="I276" s="26" t="s">
        <v>89</v>
      </c>
      <c r="J276" s="26" t="s">
        <v>57</v>
      </c>
      <c r="K276" s="27" t="s">
        <v>90</v>
      </c>
      <c r="L276" s="28" t="s">
        <v>56</v>
      </c>
      <c r="M276" s="29" t="str">
        <f t="shared" si="20"/>
        <v>⚠ Missing</v>
      </c>
      <c r="N276" s="4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1874</v>
      </c>
      <c r="C277" s="25" t="s">
        <v>1875</v>
      </c>
      <c r="D277" s="23" t="s">
        <v>1331</v>
      </c>
      <c r="E277" s="42">
        <v>46132</v>
      </c>
      <c r="F277" s="26" t="s">
        <v>55</v>
      </c>
      <c r="G277" s="26" t="s">
        <v>57</v>
      </c>
      <c r="H277" s="26" t="s">
        <v>57</v>
      </c>
      <c r="I277" s="26" t="s">
        <v>89</v>
      </c>
      <c r="J277" s="26" t="s">
        <v>57</v>
      </c>
      <c r="K277" s="27" t="s">
        <v>90</v>
      </c>
      <c r="L277" s="28" t="s">
        <v>56</v>
      </c>
      <c r="M277" s="29" t="str">
        <f t="shared" si="20"/>
        <v>⚠ Missing</v>
      </c>
      <c r="N277" s="4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1876</v>
      </c>
      <c r="C278" s="41" t="s">
        <v>1877</v>
      </c>
      <c r="D278" s="39" t="s">
        <v>1331</v>
      </c>
      <c r="E278" s="42">
        <v>46132</v>
      </c>
      <c r="F278" s="26" t="s">
        <v>55</v>
      </c>
      <c r="G278" s="26" t="s">
        <v>57</v>
      </c>
      <c r="H278" s="26" t="s">
        <v>57</v>
      </c>
      <c r="I278" s="26" t="s">
        <v>89</v>
      </c>
      <c r="J278" s="26" t="s">
        <v>57</v>
      </c>
      <c r="K278" s="27" t="s">
        <v>90</v>
      </c>
      <c r="L278" s="28" t="s">
        <v>56</v>
      </c>
      <c r="M278" s="29" t="str">
        <f t="shared" si="20"/>
        <v>⚠ Missing</v>
      </c>
      <c r="N278" s="4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1878</v>
      </c>
      <c r="C279" s="25" t="s">
        <v>1879</v>
      </c>
      <c r="D279" s="23" t="s">
        <v>1331</v>
      </c>
      <c r="E279" s="42">
        <v>46132</v>
      </c>
      <c r="F279" s="26" t="s">
        <v>55</v>
      </c>
      <c r="G279" s="26" t="s">
        <v>57</v>
      </c>
      <c r="H279" s="26" t="s">
        <v>57</v>
      </c>
      <c r="I279" s="26" t="s">
        <v>89</v>
      </c>
      <c r="J279" s="26" t="s">
        <v>57</v>
      </c>
      <c r="K279" s="27" t="s">
        <v>90</v>
      </c>
      <c r="L279" s="28" t="s">
        <v>56</v>
      </c>
      <c r="M279" s="29" t="str">
        <f t="shared" si="20"/>
        <v>⚠ Missing</v>
      </c>
      <c r="N279" s="4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1880</v>
      </c>
      <c r="C280" s="41" t="s">
        <v>1881</v>
      </c>
      <c r="D280" s="39" t="s">
        <v>1331</v>
      </c>
      <c r="E280" s="42">
        <v>46132</v>
      </c>
      <c r="F280" s="26" t="s">
        <v>55</v>
      </c>
      <c r="G280" s="26" t="s">
        <v>57</v>
      </c>
      <c r="H280" s="26" t="s">
        <v>57</v>
      </c>
      <c r="I280" s="26" t="s">
        <v>89</v>
      </c>
      <c r="J280" s="26" t="s">
        <v>57</v>
      </c>
      <c r="K280" s="27" t="s">
        <v>90</v>
      </c>
      <c r="L280" s="28" t="s">
        <v>56</v>
      </c>
      <c r="M280" s="29" t="str">
        <f t="shared" si="20"/>
        <v>⚠ Missing</v>
      </c>
      <c r="N280" s="4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1882</v>
      </c>
      <c r="C281" s="25" t="s">
        <v>1883</v>
      </c>
      <c r="D281" s="23" t="s">
        <v>1331</v>
      </c>
      <c r="E281" s="42">
        <v>46132</v>
      </c>
      <c r="F281" s="26" t="s">
        <v>55</v>
      </c>
      <c r="G281" s="26" t="s">
        <v>57</v>
      </c>
      <c r="H281" s="26" t="s">
        <v>57</v>
      </c>
      <c r="I281" s="26" t="s">
        <v>89</v>
      </c>
      <c r="J281" s="26" t="s">
        <v>57</v>
      </c>
      <c r="K281" s="27" t="s">
        <v>90</v>
      </c>
      <c r="L281" s="28" t="s">
        <v>56</v>
      </c>
      <c r="M281" s="29" t="str">
        <f t="shared" si="20"/>
        <v>⚠ Missing</v>
      </c>
      <c r="N281" s="4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1884</v>
      </c>
      <c r="C282" s="41" t="s">
        <v>1885</v>
      </c>
      <c r="D282" s="39" t="s">
        <v>1331</v>
      </c>
      <c r="E282" s="42">
        <v>46132</v>
      </c>
      <c r="F282" s="26" t="s">
        <v>55</v>
      </c>
      <c r="G282" s="26" t="s">
        <v>57</v>
      </c>
      <c r="H282" s="26" t="s">
        <v>57</v>
      </c>
      <c r="I282" s="26" t="s">
        <v>89</v>
      </c>
      <c r="J282" s="26" t="s">
        <v>57</v>
      </c>
      <c r="K282" s="27" t="s">
        <v>90</v>
      </c>
      <c r="L282" s="28" t="s">
        <v>56</v>
      </c>
      <c r="M282" s="29" t="str">
        <f t="shared" si="20"/>
        <v>⚠ Missing</v>
      </c>
      <c r="N282" s="4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1886</v>
      </c>
      <c r="C283" s="25" t="s">
        <v>1887</v>
      </c>
      <c r="D283" s="23" t="s">
        <v>1331</v>
      </c>
      <c r="E283" s="42">
        <v>46132</v>
      </c>
      <c r="F283" s="26" t="s">
        <v>55</v>
      </c>
      <c r="G283" s="26" t="s">
        <v>57</v>
      </c>
      <c r="H283" s="26" t="s">
        <v>57</v>
      </c>
      <c r="I283" s="26" t="s">
        <v>89</v>
      </c>
      <c r="J283" s="26" t="s">
        <v>57</v>
      </c>
      <c r="K283" s="27" t="s">
        <v>90</v>
      </c>
      <c r="L283" s="28" t="s">
        <v>56</v>
      </c>
      <c r="M283" s="29" t="str">
        <f t="shared" si="20"/>
        <v>⚠ Missing</v>
      </c>
      <c r="N283" s="4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1888</v>
      </c>
      <c r="C284" s="41" t="s">
        <v>1889</v>
      </c>
      <c r="D284" s="39" t="s">
        <v>1331</v>
      </c>
      <c r="E284" s="42">
        <v>46132</v>
      </c>
      <c r="F284" s="26" t="s">
        <v>55</v>
      </c>
      <c r="G284" s="26" t="s">
        <v>57</v>
      </c>
      <c r="H284" s="26" t="s">
        <v>57</v>
      </c>
      <c r="I284" s="26" t="s">
        <v>89</v>
      </c>
      <c r="J284" s="26" t="s">
        <v>57</v>
      </c>
      <c r="K284" s="27" t="s">
        <v>90</v>
      </c>
      <c r="L284" s="28" t="s">
        <v>56</v>
      </c>
      <c r="M284" s="29" t="str">
        <f t="shared" si="20"/>
        <v>⚠ Missing</v>
      </c>
      <c r="N284" s="4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1890</v>
      </c>
      <c r="C285" s="25" t="s">
        <v>1891</v>
      </c>
      <c r="D285" s="23" t="s">
        <v>1331</v>
      </c>
      <c r="E285" s="42">
        <v>46132</v>
      </c>
      <c r="F285" s="26" t="s">
        <v>55</v>
      </c>
      <c r="G285" s="26" t="s">
        <v>57</v>
      </c>
      <c r="H285" s="26" t="s">
        <v>57</v>
      </c>
      <c r="I285" s="26" t="s">
        <v>89</v>
      </c>
      <c r="J285" s="26" t="s">
        <v>57</v>
      </c>
      <c r="K285" s="27" t="s">
        <v>90</v>
      </c>
      <c r="L285" s="28" t="s">
        <v>56</v>
      </c>
      <c r="M285" s="29" t="str">
        <f t="shared" si="20"/>
        <v>⚠ Missing</v>
      </c>
      <c r="N285" s="4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56</v>
      </c>
      <c r="Z285" s="30" t="s">
        <v>57</v>
      </c>
      <c r="AA285" s="30" t="s">
        <v>58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1892</v>
      </c>
      <c r="C286" s="41" t="s">
        <v>1893</v>
      </c>
      <c r="D286" s="39" t="s">
        <v>1331</v>
      </c>
      <c r="E286" s="42">
        <v>46132</v>
      </c>
      <c r="F286" s="26" t="s">
        <v>55</v>
      </c>
      <c r="G286" s="26" t="s">
        <v>57</v>
      </c>
      <c r="H286" s="26" t="s">
        <v>57</v>
      </c>
      <c r="I286" s="26" t="s">
        <v>89</v>
      </c>
      <c r="J286" s="26" t="s">
        <v>57</v>
      </c>
      <c r="K286" s="27" t="s">
        <v>90</v>
      </c>
      <c r="L286" s="28" t="s">
        <v>56</v>
      </c>
      <c r="M286" s="29" t="str">
        <f t="shared" si="20"/>
        <v>⚠ Missing</v>
      </c>
      <c r="N286" s="4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1894</v>
      </c>
      <c r="C287" s="25" t="s">
        <v>1895</v>
      </c>
      <c r="D287" s="23" t="s">
        <v>1331</v>
      </c>
      <c r="E287" s="42">
        <v>46132</v>
      </c>
      <c r="F287" s="26" t="s">
        <v>55</v>
      </c>
      <c r="G287" s="26" t="s">
        <v>57</v>
      </c>
      <c r="H287" s="26" t="s">
        <v>57</v>
      </c>
      <c r="I287" s="26" t="s">
        <v>89</v>
      </c>
      <c r="J287" s="26" t="s">
        <v>57</v>
      </c>
      <c r="K287" s="27" t="s">
        <v>90</v>
      </c>
      <c r="L287" s="28" t="s">
        <v>56</v>
      </c>
      <c r="M287" s="29" t="str">
        <f t="shared" si="20"/>
        <v>⚠ Missing</v>
      </c>
      <c r="N287" s="4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1896</v>
      </c>
      <c r="C288" s="41" t="s">
        <v>1897</v>
      </c>
      <c r="D288" s="39" t="s">
        <v>1331</v>
      </c>
      <c r="E288" s="42">
        <v>46132</v>
      </c>
      <c r="F288" s="26" t="s">
        <v>55</v>
      </c>
      <c r="G288" s="26" t="s">
        <v>57</v>
      </c>
      <c r="H288" s="26" t="s">
        <v>57</v>
      </c>
      <c r="I288" s="26" t="s">
        <v>89</v>
      </c>
      <c r="J288" s="26" t="s">
        <v>57</v>
      </c>
      <c r="K288" s="27" t="s">
        <v>90</v>
      </c>
      <c r="L288" s="28" t="s">
        <v>56</v>
      </c>
      <c r="M288" s="29" t="str">
        <f t="shared" si="20"/>
        <v>⚠ Missing</v>
      </c>
      <c r="N288" s="4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1898</v>
      </c>
      <c r="C289" s="25" t="s">
        <v>1899</v>
      </c>
      <c r="D289" s="23" t="s">
        <v>1331</v>
      </c>
      <c r="E289" s="42">
        <v>46132</v>
      </c>
      <c r="F289" s="26" t="s">
        <v>55</v>
      </c>
      <c r="G289" s="26" t="s">
        <v>57</v>
      </c>
      <c r="H289" s="26" t="s">
        <v>57</v>
      </c>
      <c r="I289" s="26" t="s">
        <v>89</v>
      </c>
      <c r="J289" s="26" t="s">
        <v>57</v>
      </c>
      <c r="K289" s="27" t="s">
        <v>90</v>
      </c>
      <c r="L289" s="28" t="s">
        <v>56</v>
      </c>
      <c r="M289" s="29" t="str">
        <f t="shared" si="20"/>
        <v>⚠ Missing</v>
      </c>
      <c r="N289" s="4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1900</v>
      </c>
      <c r="C290" s="41" t="s">
        <v>1901</v>
      </c>
      <c r="D290" s="39" t="s">
        <v>1331</v>
      </c>
      <c r="E290" s="42">
        <v>46132</v>
      </c>
      <c r="F290" s="26" t="s">
        <v>55</v>
      </c>
      <c r="G290" s="26" t="s">
        <v>57</v>
      </c>
      <c r="H290" s="26" t="s">
        <v>57</v>
      </c>
      <c r="I290" s="26" t="s">
        <v>89</v>
      </c>
      <c r="J290" s="26" t="s">
        <v>57</v>
      </c>
      <c r="K290" s="27" t="s">
        <v>90</v>
      </c>
      <c r="L290" s="28" t="s">
        <v>56</v>
      </c>
      <c r="M290" s="29" t="str">
        <f t="shared" si="20"/>
        <v>⚠ Missing</v>
      </c>
      <c r="N290" s="4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56</v>
      </c>
      <c r="Z290" s="30" t="s">
        <v>57</v>
      </c>
      <c r="AA290" s="30" t="s">
        <v>58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1902</v>
      </c>
      <c r="C291" s="25" t="s">
        <v>1903</v>
      </c>
      <c r="D291" s="23" t="s">
        <v>1331</v>
      </c>
      <c r="E291" s="42">
        <v>46132</v>
      </c>
      <c r="F291" s="26" t="s">
        <v>55</v>
      </c>
      <c r="G291" s="26" t="s">
        <v>57</v>
      </c>
      <c r="H291" s="26" t="s">
        <v>57</v>
      </c>
      <c r="I291" s="26" t="s">
        <v>89</v>
      </c>
      <c r="J291" s="26" t="s">
        <v>57</v>
      </c>
      <c r="K291" s="27" t="s">
        <v>90</v>
      </c>
      <c r="L291" s="28" t="s">
        <v>56</v>
      </c>
      <c r="M291" s="29" t="str">
        <f t="shared" si="20"/>
        <v>⚠ Missing</v>
      </c>
      <c r="N291" s="4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1904</v>
      </c>
      <c r="C292" s="41" t="s">
        <v>1905</v>
      </c>
      <c r="D292" s="39" t="s">
        <v>1331</v>
      </c>
      <c r="E292" s="42">
        <v>46132</v>
      </c>
      <c r="F292" s="26" t="s">
        <v>55</v>
      </c>
      <c r="G292" s="26" t="s">
        <v>57</v>
      </c>
      <c r="H292" s="26" t="s">
        <v>57</v>
      </c>
      <c r="I292" s="26" t="s">
        <v>89</v>
      </c>
      <c r="J292" s="26" t="s">
        <v>57</v>
      </c>
      <c r="K292" s="27" t="s">
        <v>90</v>
      </c>
      <c r="L292" s="28" t="s">
        <v>56</v>
      </c>
      <c r="M292" s="29" t="str">
        <f t="shared" si="20"/>
        <v>⚠ Missing</v>
      </c>
      <c r="N292" s="4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56</v>
      </c>
      <c r="Z292" s="30" t="s">
        <v>57</v>
      </c>
      <c r="AA292" s="30" t="s">
        <v>58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1906</v>
      </c>
      <c r="C293" s="25" t="s">
        <v>1907</v>
      </c>
      <c r="D293" s="23" t="s">
        <v>1331</v>
      </c>
      <c r="E293" s="42">
        <v>46132</v>
      </c>
      <c r="F293" s="26" t="s">
        <v>55</v>
      </c>
      <c r="G293" s="26" t="s">
        <v>57</v>
      </c>
      <c r="H293" s="26" t="s">
        <v>57</v>
      </c>
      <c r="I293" s="26" t="s">
        <v>89</v>
      </c>
      <c r="J293" s="26" t="s">
        <v>57</v>
      </c>
      <c r="K293" s="27" t="s">
        <v>90</v>
      </c>
      <c r="L293" s="28" t="s">
        <v>56</v>
      </c>
      <c r="M293" s="29" t="str">
        <f t="shared" si="20"/>
        <v>⚠ Missing</v>
      </c>
      <c r="N293" s="4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70">
        <v>46248</v>
      </c>
      <c r="X293" s="30" t="s">
        <v>55</v>
      </c>
      <c r="Y293" s="30" t="s">
        <v>56</v>
      </c>
      <c r="Z293" s="30" t="s">
        <v>57</v>
      </c>
      <c r="AA293" s="30" t="s">
        <v>58</v>
      </c>
      <c r="AB293" s="30" t="s">
        <v>56</v>
      </c>
      <c r="AC293" s="27"/>
      <c r="AD293" s="31" t="s">
        <v>57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1908</v>
      </c>
      <c r="C294" s="41" t="s">
        <v>1909</v>
      </c>
      <c r="D294" s="39" t="s">
        <v>1331</v>
      </c>
      <c r="E294" s="42">
        <v>46132</v>
      </c>
      <c r="F294" s="26" t="s">
        <v>55</v>
      </c>
      <c r="G294" s="26" t="s">
        <v>57</v>
      </c>
      <c r="H294" s="26" t="s">
        <v>57</v>
      </c>
      <c r="I294" s="26" t="s">
        <v>89</v>
      </c>
      <c r="J294" s="26" t="s">
        <v>57</v>
      </c>
      <c r="K294" s="27" t="s">
        <v>90</v>
      </c>
      <c r="L294" s="28" t="s">
        <v>56</v>
      </c>
      <c r="M294" s="29" t="str">
        <f t="shared" si="20"/>
        <v>⚠ Missing</v>
      </c>
      <c r="N294" s="4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1910</v>
      </c>
      <c r="C295" s="25" t="s">
        <v>1911</v>
      </c>
      <c r="D295" s="23" t="s">
        <v>1331</v>
      </c>
      <c r="E295" s="42">
        <v>46132</v>
      </c>
      <c r="F295" s="26" t="s">
        <v>55</v>
      </c>
      <c r="G295" s="26" t="s">
        <v>57</v>
      </c>
      <c r="H295" s="26" t="s">
        <v>57</v>
      </c>
      <c r="I295" s="26" t="s">
        <v>89</v>
      </c>
      <c r="J295" s="26" t="s">
        <v>57</v>
      </c>
      <c r="K295" s="27" t="s">
        <v>90</v>
      </c>
      <c r="L295" s="28" t="s">
        <v>56</v>
      </c>
      <c r="M295" s="29" t="str">
        <f t="shared" si="20"/>
        <v>⚠ Missing</v>
      </c>
      <c r="N295" s="4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56</v>
      </c>
      <c r="Z295" s="30" t="s">
        <v>57</v>
      </c>
      <c r="AA295" s="30" t="s">
        <v>58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1912</v>
      </c>
      <c r="C296" s="41" t="s">
        <v>1913</v>
      </c>
      <c r="D296" s="39" t="s">
        <v>1331</v>
      </c>
      <c r="E296" s="42">
        <v>46132</v>
      </c>
      <c r="F296" s="26" t="s">
        <v>55</v>
      </c>
      <c r="G296" s="26" t="s">
        <v>57</v>
      </c>
      <c r="H296" s="26" t="s">
        <v>57</v>
      </c>
      <c r="I296" s="26" t="s">
        <v>89</v>
      </c>
      <c r="J296" s="26" t="s">
        <v>57</v>
      </c>
      <c r="K296" s="27" t="s">
        <v>90</v>
      </c>
      <c r="L296" s="28" t="s">
        <v>56</v>
      </c>
      <c r="M296" s="29" t="str">
        <f t="shared" si="20"/>
        <v>⚠ Missing</v>
      </c>
      <c r="N296" s="4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70">
        <v>46248</v>
      </c>
      <c r="X296" s="30" t="s">
        <v>55</v>
      </c>
      <c r="Y296" s="30" t="s">
        <v>56</v>
      </c>
      <c r="Z296" s="30" t="s">
        <v>57</v>
      </c>
      <c r="AA296" s="30" t="s">
        <v>58</v>
      </c>
      <c r="AB296" s="30" t="s">
        <v>56</v>
      </c>
      <c r="AC296" s="27"/>
      <c r="AD296" s="31" t="s">
        <v>57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1914</v>
      </c>
      <c r="C297" s="25" t="s">
        <v>1915</v>
      </c>
      <c r="D297" s="23" t="s">
        <v>1331</v>
      </c>
      <c r="E297" s="42">
        <v>46132</v>
      </c>
      <c r="F297" s="26" t="s">
        <v>55</v>
      </c>
      <c r="G297" s="26" t="s">
        <v>57</v>
      </c>
      <c r="H297" s="26" t="s">
        <v>57</v>
      </c>
      <c r="I297" s="26" t="s">
        <v>89</v>
      </c>
      <c r="J297" s="26" t="s">
        <v>57</v>
      </c>
      <c r="K297" s="27" t="s">
        <v>90</v>
      </c>
      <c r="L297" s="28" t="s">
        <v>56</v>
      </c>
      <c r="M297" s="29" t="str">
        <f t="shared" si="20"/>
        <v>⚠ Missing</v>
      </c>
      <c r="N297" s="42">
        <v>46185</v>
      </c>
      <c r="O297" s="26" t="s">
        <v>55</v>
      </c>
      <c r="P297" s="26" t="s">
        <v>56</v>
      </c>
      <c r="Q297" s="26" t="s">
        <v>57</v>
      </c>
      <c r="R297" s="26" t="s">
        <v>58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70">
        <v>46248</v>
      </c>
      <c r="X297" s="30" t="s">
        <v>55</v>
      </c>
      <c r="Y297" s="30" t="s">
        <v>56</v>
      </c>
      <c r="Z297" s="30" t="s">
        <v>57</v>
      </c>
      <c r="AA297" s="30" t="s">
        <v>58</v>
      </c>
      <c r="AB297" s="30" t="s">
        <v>56</v>
      </c>
      <c r="AC297" s="27"/>
      <c r="AD297" s="31" t="s">
        <v>57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1916</v>
      </c>
      <c r="C298" s="41" t="s">
        <v>1917</v>
      </c>
      <c r="D298" s="39" t="s">
        <v>1331</v>
      </c>
      <c r="E298" s="42">
        <v>46132</v>
      </c>
      <c r="F298" s="26" t="s">
        <v>55</v>
      </c>
      <c r="G298" s="26" t="s">
        <v>57</v>
      </c>
      <c r="H298" s="26" t="s">
        <v>57</v>
      </c>
      <c r="I298" s="26" t="s">
        <v>89</v>
      </c>
      <c r="J298" s="26" t="s">
        <v>57</v>
      </c>
      <c r="K298" s="27" t="s">
        <v>90</v>
      </c>
      <c r="L298" s="28" t="s">
        <v>56</v>
      </c>
      <c r="M298" s="29" t="str">
        <f t="shared" si="20"/>
        <v>⚠ Missing</v>
      </c>
      <c r="N298" s="42">
        <v>46185</v>
      </c>
      <c r="O298" s="26" t="s">
        <v>55</v>
      </c>
      <c r="P298" s="26" t="s">
        <v>56</v>
      </c>
      <c r="Q298" s="26" t="s">
        <v>57</v>
      </c>
      <c r="R298" s="26" t="s">
        <v>58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70">
        <v>46248</v>
      </c>
      <c r="X298" s="30" t="s">
        <v>55</v>
      </c>
      <c r="Y298" s="30" t="s">
        <v>56</v>
      </c>
      <c r="Z298" s="30" t="s">
        <v>57</v>
      </c>
      <c r="AA298" s="30" t="s">
        <v>58</v>
      </c>
      <c r="AB298" s="30" t="s">
        <v>56</v>
      </c>
      <c r="AC298" s="27"/>
      <c r="AD298" s="31" t="s">
        <v>57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1918</v>
      </c>
      <c r="C299" s="25" t="s">
        <v>1919</v>
      </c>
      <c r="D299" s="23" t="s">
        <v>1331</v>
      </c>
      <c r="E299" s="42">
        <v>46132</v>
      </c>
      <c r="F299" s="26" t="s">
        <v>55</v>
      </c>
      <c r="G299" s="26" t="s">
        <v>57</v>
      </c>
      <c r="H299" s="26" t="s">
        <v>57</v>
      </c>
      <c r="I299" s="26" t="s">
        <v>89</v>
      </c>
      <c r="J299" s="26" t="s">
        <v>57</v>
      </c>
      <c r="K299" s="27" t="s">
        <v>90</v>
      </c>
      <c r="L299" s="28" t="s">
        <v>56</v>
      </c>
      <c r="M299" s="29" t="str">
        <f t="shared" si="20"/>
        <v>⚠ Missing</v>
      </c>
      <c r="N299" s="42">
        <v>46185</v>
      </c>
      <c r="O299" s="26" t="s">
        <v>55</v>
      </c>
      <c r="P299" s="26" t="s">
        <v>56</v>
      </c>
      <c r="Q299" s="26" t="s">
        <v>57</v>
      </c>
      <c r="R299" s="26" t="s">
        <v>58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70">
        <v>46248</v>
      </c>
      <c r="X299" s="30" t="s">
        <v>55</v>
      </c>
      <c r="Y299" s="30" t="s">
        <v>56</v>
      </c>
      <c r="Z299" s="30" t="s">
        <v>57</v>
      </c>
      <c r="AA299" s="30" t="s">
        <v>58</v>
      </c>
      <c r="AB299" s="30" t="s">
        <v>56</v>
      </c>
      <c r="AC299" s="27"/>
      <c r="AD299" s="31" t="s">
        <v>57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1920</v>
      </c>
      <c r="C300" s="41" t="s">
        <v>1921</v>
      </c>
      <c r="D300" s="39" t="s">
        <v>1331</v>
      </c>
      <c r="E300" s="42">
        <v>46132</v>
      </c>
      <c r="F300" s="26" t="s">
        <v>55</v>
      </c>
      <c r="G300" s="26" t="s">
        <v>57</v>
      </c>
      <c r="H300" s="26" t="s">
        <v>57</v>
      </c>
      <c r="I300" s="26" t="s">
        <v>89</v>
      </c>
      <c r="J300" s="26" t="s">
        <v>57</v>
      </c>
      <c r="K300" s="27" t="s">
        <v>90</v>
      </c>
      <c r="L300" s="28" t="s">
        <v>56</v>
      </c>
      <c r="M300" s="29" t="str">
        <f t="shared" si="20"/>
        <v>⚠ Missing</v>
      </c>
      <c r="N300" s="4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70">
        <v>46248</v>
      </c>
      <c r="X300" s="30" t="s">
        <v>55</v>
      </c>
      <c r="Y300" s="30" t="s">
        <v>56</v>
      </c>
      <c r="Z300" s="30" t="s">
        <v>57</v>
      </c>
      <c r="AA300" s="30" t="s">
        <v>58</v>
      </c>
      <c r="AB300" s="30" t="s">
        <v>56</v>
      </c>
      <c r="AC300" s="27"/>
      <c r="AD300" s="31" t="s">
        <v>57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1922</v>
      </c>
      <c r="C301" s="25" t="s">
        <v>1923</v>
      </c>
      <c r="D301" s="23" t="s">
        <v>1331</v>
      </c>
      <c r="E301" s="42">
        <v>46132</v>
      </c>
      <c r="F301" s="26" t="s">
        <v>55</v>
      </c>
      <c r="G301" s="26" t="s">
        <v>57</v>
      </c>
      <c r="H301" s="26" t="s">
        <v>57</v>
      </c>
      <c r="I301" s="26" t="s">
        <v>89</v>
      </c>
      <c r="J301" s="26" t="s">
        <v>57</v>
      </c>
      <c r="K301" s="27" t="s">
        <v>90</v>
      </c>
      <c r="L301" s="28" t="s">
        <v>56</v>
      </c>
      <c r="M301" s="29" t="str">
        <f t="shared" si="20"/>
        <v>⚠ Missing</v>
      </c>
      <c r="N301" s="4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70">
        <v>46248</v>
      </c>
      <c r="X301" s="30" t="s">
        <v>55</v>
      </c>
      <c r="Y301" s="30" t="s">
        <v>56</v>
      </c>
      <c r="Z301" s="30" t="s">
        <v>57</v>
      </c>
      <c r="AA301" s="30" t="s">
        <v>58</v>
      </c>
      <c r="AB301" s="30" t="s">
        <v>56</v>
      </c>
      <c r="AC301" s="27"/>
      <c r="AD301" s="31" t="s">
        <v>57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1924</v>
      </c>
      <c r="C302" s="41" t="s">
        <v>1925</v>
      </c>
      <c r="D302" s="39" t="s">
        <v>1331</v>
      </c>
      <c r="E302" s="42">
        <v>46132</v>
      </c>
      <c r="F302" s="26" t="s">
        <v>55</v>
      </c>
      <c r="G302" s="26" t="s">
        <v>57</v>
      </c>
      <c r="H302" s="26" t="s">
        <v>57</v>
      </c>
      <c r="I302" s="26" t="s">
        <v>89</v>
      </c>
      <c r="J302" s="26" t="s">
        <v>57</v>
      </c>
      <c r="K302" s="27" t="s">
        <v>90</v>
      </c>
      <c r="L302" s="28" t="s">
        <v>56</v>
      </c>
      <c r="M302" s="29" t="str">
        <f t="shared" si="20"/>
        <v>⚠ Missing</v>
      </c>
      <c r="N302" s="4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70">
        <v>46248</v>
      </c>
      <c r="X302" s="30" t="s">
        <v>55</v>
      </c>
      <c r="Y302" s="30" t="s">
        <v>56</v>
      </c>
      <c r="Z302" s="30" t="s">
        <v>57</v>
      </c>
      <c r="AA302" s="30" t="s">
        <v>58</v>
      </c>
      <c r="AB302" s="30" t="s">
        <v>56</v>
      </c>
      <c r="AC302" s="27"/>
      <c r="AD302" s="31" t="s">
        <v>57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1926</v>
      </c>
      <c r="C303" s="25" t="s">
        <v>1927</v>
      </c>
      <c r="D303" s="23" t="s">
        <v>1331</v>
      </c>
      <c r="E303" s="42">
        <v>46132</v>
      </c>
      <c r="F303" s="26" t="s">
        <v>55</v>
      </c>
      <c r="G303" s="26" t="s">
        <v>57</v>
      </c>
      <c r="H303" s="26" t="s">
        <v>57</v>
      </c>
      <c r="I303" s="26" t="s">
        <v>89</v>
      </c>
      <c r="J303" s="26" t="s">
        <v>57</v>
      </c>
      <c r="K303" s="27" t="s">
        <v>90</v>
      </c>
      <c r="L303" s="28" t="s">
        <v>56</v>
      </c>
      <c r="M303" s="29" t="str">
        <f t="shared" si="20"/>
        <v>⚠ Missing</v>
      </c>
      <c r="N303" s="4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70">
        <v>46248</v>
      </c>
      <c r="X303" s="30" t="s">
        <v>55</v>
      </c>
      <c r="Y303" s="30" t="s">
        <v>56</v>
      </c>
      <c r="Z303" s="30" t="s">
        <v>57</v>
      </c>
      <c r="AA303" s="30" t="s">
        <v>58</v>
      </c>
      <c r="AB303" s="30" t="s">
        <v>56</v>
      </c>
      <c r="AC303" s="27"/>
      <c r="AD303" s="31" t="s">
        <v>57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1928</v>
      </c>
      <c r="C304" s="41" t="s">
        <v>1929</v>
      </c>
      <c r="D304" s="39" t="s">
        <v>1331</v>
      </c>
      <c r="E304" s="42">
        <v>46132</v>
      </c>
      <c r="F304" s="26" t="s">
        <v>55</v>
      </c>
      <c r="G304" s="26" t="s">
        <v>57</v>
      </c>
      <c r="H304" s="26" t="s">
        <v>57</v>
      </c>
      <c r="I304" s="26" t="s">
        <v>89</v>
      </c>
      <c r="J304" s="26" t="s">
        <v>57</v>
      </c>
      <c r="K304" s="27" t="s">
        <v>90</v>
      </c>
      <c r="L304" s="28" t="s">
        <v>56</v>
      </c>
      <c r="M304" s="29" t="str">
        <f t="shared" si="20"/>
        <v>⚠ Missing</v>
      </c>
      <c r="N304" s="4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70">
        <v>46248</v>
      </c>
      <c r="X304" s="30" t="s">
        <v>55</v>
      </c>
      <c r="Y304" s="30" t="s">
        <v>56</v>
      </c>
      <c r="Z304" s="30" t="s">
        <v>57</v>
      </c>
      <c r="AA304" s="30" t="s">
        <v>58</v>
      </c>
      <c r="AB304" s="30" t="s">
        <v>56</v>
      </c>
      <c r="AC304" s="27"/>
      <c r="AD304" s="31" t="s">
        <v>57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1930</v>
      </c>
      <c r="C305" s="25" t="s">
        <v>1931</v>
      </c>
      <c r="D305" s="23" t="s">
        <v>1331</v>
      </c>
      <c r="E305" s="42">
        <v>46132</v>
      </c>
      <c r="F305" s="26" t="s">
        <v>55</v>
      </c>
      <c r="G305" s="26" t="s">
        <v>57</v>
      </c>
      <c r="H305" s="26" t="s">
        <v>57</v>
      </c>
      <c r="I305" s="26" t="s">
        <v>89</v>
      </c>
      <c r="J305" s="26" t="s">
        <v>57</v>
      </c>
      <c r="K305" s="27" t="s">
        <v>90</v>
      </c>
      <c r="L305" s="28" t="s">
        <v>56</v>
      </c>
      <c r="M305" s="29" t="str">
        <f t="shared" si="20"/>
        <v>⚠ Missing</v>
      </c>
      <c r="N305" s="4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70">
        <v>46248</v>
      </c>
      <c r="X305" s="30" t="s">
        <v>55</v>
      </c>
      <c r="Y305" s="30" t="s">
        <v>56</v>
      </c>
      <c r="Z305" s="30" t="s">
        <v>57</v>
      </c>
      <c r="AA305" s="30" t="s">
        <v>58</v>
      </c>
      <c r="AB305" s="30" t="s">
        <v>56</v>
      </c>
      <c r="AC305" s="27"/>
      <c r="AD305" s="31" t="s">
        <v>57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1932</v>
      </c>
      <c r="C306" s="41" t="s">
        <v>1933</v>
      </c>
      <c r="D306" s="39" t="s">
        <v>1331</v>
      </c>
      <c r="E306" s="42">
        <v>46132</v>
      </c>
      <c r="F306" s="26" t="s">
        <v>55</v>
      </c>
      <c r="G306" s="26" t="s">
        <v>57</v>
      </c>
      <c r="H306" s="26" t="s">
        <v>57</v>
      </c>
      <c r="I306" s="26" t="s">
        <v>89</v>
      </c>
      <c r="J306" s="26" t="s">
        <v>57</v>
      </c>
      <c r="K306" s="27" t="s">
        <v>90</v>
      </c>
      <c r="L306" s="28" t="s">
        <v>56</v>
      </c>
      <c r="M306" s="29" t="str">
        <f t="shared" si="20"/>
        <v>⚠ Missing</v>
      </c>
      <c r="N306" s="4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70">
        <v>46248</v>
      </c>
      <c r="X306" s="30" t="s">
        <v>55</v>
      </c>
      <c r="Y306" s="30" t="s">
        <v>56</v>
      </c>
      <c r="Z306" s="30" t="s">
        <v>57</v>
      </c>
      <c r="AA306" s="30" t="s">
        <v>58</v>
      </c>
      <c r="AB306" s="30" t="s">
        <v>56</v>
      </c>
      <c r="AC306" s="27"/>
      <c r="AD306" s="31" t="s">
        <v>57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1934</v>
      </c>
      <c r="C307" s="25" t="s">
        <v>1935</v>
      </c>
      <c r="D307" s="23" t="s">
        <v>1331</v>
      </c>
      <c r="E307" s="42">
        <v>46132</v>
      </c>
      <c r="F307" s="26" t="s">
        <v>55</v>
      </c>
      <c r="G307" s="26" t="s">
        <v>57</v>
      </c>
      <c r="H307" s="26" t="s">
        <v>57</v>
      </c>
      <c r="I307" s="26" t="s">
        <v>89</v>
      </c>
      <c r="J307" s="26" t="s">
        <v>57</v>
      </c>
      <c r="K307" s="27" t="s">
        <v>90</v>
      </c>
      <c r="L307" s="28" t="s">
        <v>56</v>
      </c>
      <c r="M307" s="29" t="str">
        <f t="shared" si="20"/>
        <v>⚠ Missing</v>
      </c>
      <c r="N307" s="4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70">
        <v>46248</v>
      </c>
      <c r="X307" s="30" t="s">
        <v>55</v>
      </c>
      <c r="Y307" s="30" t="s">
        <v>56</v>
      </c>
      <c r="Z307" s="30" t="s">
        <v>57</v>
      </c>
      <c r="AA307" s="30" t="s">
        <v>58</v>
      </c>
      <c r="AB307" s="30" t="s">
        <v>56</v>
      </c>
      <c r="AC307" s="27"/>
      <c r="AD307" s="31" t="s">
        <v>57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1936</v>
      </c>
      <c r="C308" s="41" t="s">
        <v>1937</v>
      </c>
      <c r="D308" s="39" t="s">
        <v>1331</v>
      </c>
      <c r="E308" s="42">
        <v>46132</v>
      </c>
      <c r="F308" s="26" t="s">
        <v>55</v>
      </c>
      <c r="G308" s="26" t="s">
        <v>57</v>
      </c>
      <c r="H308" s="26" t="s">
        <v>57</v>
      </c>
      <c r="I308" s="26" t="s">
        <v>89</v>
      </c>
      <c r="J308" s="26" t="s">
        <v>57</v>
      </c>
      <c r="K308" s="27" t="s">
        <v>90</v>
      </c>
      <c r="L308" s="28" t="s">
        <v>56</v>
      </c>
      <c r="M308" s="29" t="str">
        <f t="shared" si="20"/>
        <v>⚠ Missing</v>
      </c>
      <c r="N308" s="4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70">
        <v>46248</v>
      </c>
      <c r="X308" s="30" t="s">
        <v>55</v>
      </c>
      <c r="Y308" s="30" t="s">
        <v>56</v>
      </c>
      <c r="Z308" s="30" t="s">
        <v>57</v>
      </c>
      <c r="AA308" s="30" t="s">
        <v>58</v>
      </c>
      <c r="AB308" s="30" t="s">
        <v>56</v>
      </c>
      <c r="AC308" s="27"/>
      <c r="AD308" s="31" t="s">
        <v>57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1938</v>
      </c>
      <c r="C309" s="25" t="s">
        <v>1939</v>
      </c>
      <c r="D309" s="23" t="s">
        <v>1331</v>
      </c>
      <c r="E309" s="42">
        <v>46132</v>
      </c>
      <c r="F309" s="26" t="s">
        <v>55</v>
      </c>
      <c r="G309" s="26" t="s">
        <v>57</v>
      </c>
      <c r="H309" s="26" t="s">
        <v>57</v>
      </c>
      <c r="I309" s="26" t="s">
        <v>89</v>
      </c>
      <c r="J309" s="26" t="s">
        <v>57</v>
      </c>
      <c r="K309" s="27" t="s">
        <v>90</v>
      </c>
      <c r="L309" s="28" t="s">
        <v>56</v>
      </c>
      <c r="M309" s="29" t="str">
        <f t="shared" si="20"/>
        <v>⚠ Missing</v>
      </c>
      <c r="N309" s="4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70">
        <v>46248</v>
      </c>
      <c r="X309" s="30" t="s">
        <v>55</v>
      </c>
      <c r="Y309" s="30" t="s">
        <v>56</v>
      </c>
      <c r="Z309" s="30" t="s">
        <v>57</v>
      </c>
      <c r="AA309" s="30" t="s">
        <v>58</v>
      </c>
      <c r="AB309" s="30" t="s">
        <v>56</v>
      </c>
      <c r="AC309" s="27"/>
      <c r="AD309" s="31" t="s">
        <v>57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1940</v>
      </c>
      <c r="C310" s="41" t="s">
        <v>1941</v>
      </c>
      <c r="D310" s="39" t="s">
        <v>1331</v>
      </c>
      <c r="E310" s="42">
        <v>46132</v>
      </c>
      <c r="F310" s="26" t="s">
        <v>55</v>
      </c>
      <c r="G310" s="26" t="s">
        <v>57</v>
      </c>
      <c r="H310" s="26" t="s">
        <v>57</v>
      </c>
      <c r="I310" s="26" t="s">
        <v>89</v>
      </c>
      <c r="J310" s="26" t="s">
        <v>57</v>
      </c>
      <c r="K310" s="27" t="s">
        <v>90</v>
      </c>
      <c r="L310" s="28" t="s">
        <v>56</v>
      </c>
      <c r="M310" s="29" t="str">
        <f t="shared" si="20"/>
        <v>⚠ Missing</v>
      </c>
      <c r="N310" s="4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70">
        <v>46248</v>
      </c>
      <c r="X310" s="30" t="s">
        <v>55</v>
      </c>
      <c r="Y310" s="30" t="s">
        <v>56</v>
      </c>
      <c r="Z310" s="30" t="s">
        <v>57</v>
      </c>
      <c r="AA310" s="30" t="s">
        <v>58</v>
      </c>
      <c r="AB310" s="30" t="s">
        <v>56</v>
      </c>
      <c r="AC310" s="27"/>
      <c r="AD310" s="31" t="s">
        <v>57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1942</v>
      </c>
      <c r="C311" s="25" t="s">
        <v>1943</v>
      </c>
      <c r="D311" s="23" t="s">
        <v>1331</v>
      </c>
      <c r="E311" s="42">
        <v>46132</v>
      </c>
      <c r="F311" s="26" t="s">
        <v>55</v>
      </c>
      <c r="G311" s="26" t="s">
        <v>57</v>
      </c>
      <c r="H311" s="26" t="s">
        <v>57</v>
      </c>
      <c r="I311" s="26" t="s">
        <v>89</v>
      </c>
      <c r="J311" s="26" t="s">
        <v>57</v>
      </c>
      <c r="K311" s="27" t="s">
        <v>90</v>
      </c>
      <c r="L311" s="28" t="s">
        <v>56</v>
      </c>
      <c r="M311" s="29" t="str">
        <f t="shared" si="20"/>
        <v>⚠ Missing</v>
      </c>
      <c r="N311" s="4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70">
        <v>46248</v>
      </c>
      <c r="X311" s="30" t="s">
        <v>55</v>
      </c>
      <c r="Y311" s="30" t="s">
        <v>56</v>
      </c>
      <c r="Z311" s="30" t="s">
        <v>57</v>
      </c>
      <c r="AA311" s="30" t="s">
        <v>58</v>
      </c>
      <c r="AB311" s="30" t="s">
        <v>56</v>
      </c>
      <c r="AC311" s="27"/>
      <c r="AD311" s="31" t="s">
        <v>57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1944</v>
      </c>
      <c r="C312" s="41" t="s">
        <v>1945</v>
      </c>
      <c r="D312" s="39" t="s">
        <v>1331</v>
      </c>
      <c r="E312" s="42">
        <v>46132</v>
      </c>
      <c r="F312" s="26" t="s">
        <v>55</v>
      </c>
      <c r="G312" s="26" t="s">
        <v>57</v>
      </c>
      <c r="H312" s="26" t="s">
        <v>57</v>
      </c>
      <c r="I312" s="26" t="s">
        <v>89</v>
      </c>
      <c r="J312" s="26" t="s">
        <v>57</v>
      </c>
      <c r="K312" s="27" t="s">
        <v>90</v>
      </c>
      <c r="L312" s="28" t="s">
        <v>56</v>
      </c>
      <c r="M312" s="29" t="str">
        <f t="shared" si="20"/>
        <v>⚠ Missing</v>
      </c>
      <c r="N312" s="4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70">
        <v>46248</v>
      </c>
      <c r="X312" s="30" t="s">
        <v>55</v>
      </c>
      <c r="Y312" s="30" t="s">
        <v>56</v>
      </c>
      <c r="Z312" s="30" t="s">
        <v>57</v>
      </c>
      <c r="AA312" s="30" t="s">
        <v>58</v>
      </c>
      <c r="AB312" s="30" t="s">
        <v>56</v>
      </c>
      <c r="AC312" s="27"/>
      <c r="AD312" s="31" t="s">
        <v>57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1946</v>
      </c>
      <c r="C313" s="25" t="s">
        <v>1947</v>
      </c>
      <c r="D313" s="23" t="s">
        <v>1331</v>
      </c>
      <c r="E313" s="42">
        <v>46132</v>
      </c>
      <c r="F313" s="26" t="s">
        <v>55</v>
      </c>
      <c r="G313" s="26" t="s">
        <v>57</v>
      </c>
      <c r="H313" s="26" t="s">
        <v>57</v>
      </c>
      <c r="I313" s="26" t="s">
        <v>89</v>
      </c>
      <c r="J313" s="26" t="s">
        <v>57</v>
      </c>
      <c r="K313" s="27" t="s">
        <v>90</v>
      </c>
      <c r="L313" s="28" t="s">
        <v>56</v>
      </c>
      <c r="M313" s="29" t="str">
        <f t="shared" si="20"/>
        <v>⚠ Missing</v>
      </c>
      <c r="N313" s="4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70">
        <v>46248</v>
      </c>
      <c r="X313" s="30" t="s">
        <v>55</v>
      </c>
      <c r="Y313" s="30" t="s">
        <v>56</v>
      </c>
      <c r="Z313" s="30" t="s">
        <v>57</v>
      </c>
      <c r="AA313" s="30" t="s">
        <v>58</v>
      </c>
      <c r="AB313" s="30" t="s">
        <v>56</v>
      </c>
      <c r="AC313" s="27"/>
      <c r="AD313" s="31" t="s">
        <v>57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1948</v>
      </c>
      <c r="C314" s="41" t="s">
        <v>1949</v>
      </c>
      <c r="D314" s="39" t="s">
        <v>1331</v>
      </c>
      <c r="E314" s="42">
        <v>46132</v>
      </c>
      <c r="F314" s="26" t="s">
        <v>55</v>
      </c>
      <c r="G314" s="26" t="s">
        <v>57</v>
      </c>
      <c r="H314" s="26" t="s">
        <v>57</v>
      </c>
      <c r="I314" s="26" t="s">
        <v>89</v>
      </c>
      <c r="J314" s="26" t="s">
        <v>57</v>
      </c>
      <c r="K314" s="27" t="s">
        <v>90</v>
      </c>
      <c r="L314" s="28" t="s">
        <v>56</v>
      </c>
      <c r="M314" s="29" t="str">
        <f t="shared" si="20"/>
        <v>⚠ Missing</v>
      </c>
      <c r="N314" s="4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70">
        <v>46248</v>
      </c>
      <c r="X314" s="30" t="s">
        <v>55</v>
      </c>
      <c r="Y314" s="30" t="s">
        <v>56</v>
      </c>
      <c r="Z314" s="30" t="s">
        <v>57</v>
      </c>
      <c r="AA314" s="30" t="s">
        <v>58</v>
      </c>
      <c r="AB314" s="30" t="s">
        <v>56</v>
      </c>
      <c r="AC314" s="27"/>
      <c r="AD314" s="31" t="s">
        <v>57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1950</v>
      </c>
      <c r="C315" s="25" t="s">
        <v>1951</v>
      </c>
      <c r="D315" s="23" t="s">
        <v>1331</v>
      </c>
      <c r="E315" s="42">
        <v>46132</v>
      </c>
      <c r="F315" s="26" t="s">
        <v>55</v>
      </c>
      <c r="G315" s="26" t="s">
        <v>57</v>
      </c>
      <c r="H315" s="26" t="s">
        <v>57</v>
      </c>
      <c r="I315" s="26" t="s">
        <v>89</v>
      </c>
      <c r="J315" s="26" t="s">
        <v>57</v>
      </c>
      <c r="K315" s="27" t="s">
        <v>90</v>
      </c>
      <c r="L315" s="28" t="s">
        <v>56</v>
      </c>
      <c r="M315" s="29" t="str">
        <f t="shared" si="20"/>
        <v>⚠ Missing</v>
      </c>
      <c r="N315" s="4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70">
        <v>46248</v>
      </c>
      <c r="X315" s="30" t="s">
        <v>55</v>
      </c>
      <c r="Y315" s="30" t="s">
        <v>56</v>
      </c>
      <c r="Z315" s="30" t="s">
        <v>57</v>
      </c>
      <c r="AA315" s="30" t="s">
        <v>58</v>
      </c>
      <c r="AB315" s="30" t="s">
        <v>56</v>
      </c>
      <c r="AC315" s="27"/>
      <c r="AD315" s="31" t="s">
        <v>57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1952</v>
      </c>
      <c r="C316" s="41" t="s">
        <v>1953</v>
      </c>
      <c r="D316" s="39" t="s">
        <v>1331</v>
      </c>
      <c r="E316" s="42">
        <v>46132</v>
      </c>
      <c r="F316" s="26" t="s">
        <v>55</v>
      </c>
      <c r="G316" s="26" t="s">
        <v>57</v>
      </c>
      <c r="H316" s="26" t="s">
        <v>57</v>
      </c>
      <c r="I316" s="26" t="s">
        <v>89</v>
      </c>
      <c r="J316" s="26" t="s">
        <v>57</v>
      </c>
      <c r="K316" s="27" t="s">
        <v>90</v>
      </c>
      <c r="L316" s="28" t="s">
        <v>56</v>
      </c>
      <c r="M316" s="29" t="str">
        <f t="shared" si="20"/>
        <v>⚠ Missing</v>
      </c>
      <c r="N316" s="4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70">
        <v>46248</v>
      </c>
      <c r="X316" s="30" t="s">
        <v>55</v>
      </c>
      <c r="Y316" s="30" t="s">
        <v>56</v>
      </c>
      <c r="Z316" s="30" t="s">
        <v>57</v>
      </c>
      <c r="AA316" s="30" t="s">
        <v>58</v>
      </c>
      <c r="AB316" s="30" t="s">
        <v>56</v>
      </c>
      <c r="AC316" s="27"/>
      <c r="AD316" s="31" t="s">
        <v>57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1954</v>
      </c>
      <c r="C317" s="25" t="s">
        <v>1955</v>
      </c>
      <c r="D317" s="23" t="s">
        <v>1331</v>
      </c>
      <c r="E317" s="42">
        <v>46132</v>
      </c>
      <c r="F317" s="26" t="s">
        <v>55</v>
      </c>
      <c r="G317" s="26" t="s">
        <v>57</v>
      </c>
      <c r="H317" s="26" t="s">
        <v>57</v>
      </c>
      <c r="I317" s="26" t="s">
        <v>89</v>
      </c>
      <c r="J317" s="26" t="s">
        <v>57</v>
      </c>
      <c r="K317" s="27" t="s">
        <v>90</v>
      </c>
      <c r="L317" s="28" t="s">
        <v>56</v>
      </c>
      <c r="M317" s="29" t="str">
        <f t="shared" si="20"/>
        <v>⚠ Missing</v>
      </c>
      <c r="N317" s="4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70">
        <v>46248</v>
      </c>
      <c r="X317" s="30" t="s">
        <v>55</v>
      </c>
      <c r="Y317" s="30" t="s">
        <v>56</v>
      </c>
      <c r="Z317" s="30" t="s">
        <v>57</v>
      </c>
      <c r="AA317" s="30" t="s">
        <v>58</v>
      </c>
      <c r="AB317" s="30" t="s">
        <v>56</v>
      </c>
      <c r="AC317" s="27"/>
      <c r="AD317" s="31" t="s">
        <v>57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1956</v>
      </c>
      <c r="C318" s="41" t="s">
        <v>1957</v>
      </c>
      <c r="D318" s="39" t="s">
        <v>1331</v>
      </c>
      <c r="E318" s="42">
        <v>46132</v>
      </c>
      <c r="F318" s="26" t="s">
        <v>55</v>
      </c>
      <c r="G318" s="26" t="s">
        <v>57</v>
      </c>
      <c r="H318" s="26" t="s">
        <v>57</v>
      </c>
      <c r="I318" s="26" t="s">
        <v>89</v>
      </c>
      <c r="J318" s="26" t="s">
        <v>57</v>
      </c>
      <c r="K318" s="27" t="s">
        <v>90</v>
      </c>
      <c r="L318" s="28" t="s">
        <v>56</v>
      </c>
      <c r="M318" s="29" t="str">
        <f t="shared" si="20"/>
        <v>⚠ Missing</v>
      </c>
      <c r="N318" s="4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70">
        <v>46248</v>
      </c>
      <c r="X318" s="30" t="s">
        <v>55</v>
      </c>
      <c r="Y318" s="30" t="s">
        <v>56</v>
      </c>
      <c r="Z318" s="30" t="s">
        <v>57</v>
      </c>
      <c r="AA318" s="30" t="s">
        <v>58</v>
      </c>
      <c r="AB318" s="30" t="s">
        <v>56</v>
      </c>
      <c r="AC318" s="27"/>
      <c r="AD318" s="31" t="s">
        <v>57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1958</v>
      </c>
      <c r="C319" s="25" t="s">
        <v>1959</v>
      </c>
      <c r="D319" s="23" t="s">
        <v>1331</v>
      </c>
      <c r="E319" s="42">
        <v>46132</v>
      </c>
      <c r="F319" s="26" t="s">
        <v>55</v>
      </c>
      <c r="G319" s="26" t="s">
        <v>57</v>
      </c>
      <c r="H319" s="26" t="s">
        <v>57</v>
      </c>
      <c r="I319" s="26" t="s">
        <v>89</v>
      </c>
      <c r="J319" s="26" t="s">
        <v>57</v>
      </c>
      <c r="K319" s="27" t="s">
        <v>90</v>
      </c>
      <c r="L319" s="28" t="s">
        <v>56</v>
      </c>
      <c r="M319" s="29" t="str">
        <f t="shared" si="20"/>
        <v>⚠ Missing</v>
      </c>
      <c r="N319" s="4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70">
        <v>46248</v>
      </c>
      <c r="X319" s="30" t="s">
        <v>55</v>
      </c>
      <c r="Y319" s="30" t="s">
        <v>56</v>
      </c>
      <c r="Z319" s="30" t="s">
        <v>57</v>
      </c>
      <c r="AA319" s="30" t="s">
        <v>58</v>
      </c>
      <c r="AB319" s="30" t="s">
        <v>56</v>
      </c>
      <c r="AC319" s="27"/>
      <c r="AD319" s="31" t="s">
        <v>57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1960</v>
      </c>
      <c r="C320" s="41" t="s">
        <v>1961</v>
      </c>
      <c r="D320" s="39" t="s">
        <v>1331</v>
      </c>
      <c r="E320" s="42">
        <v>46132</v>
      </c>
      <c r="F320" s="26" t="s">
        <v>55</v>
      </c>
      <c r="G320" s="26" t="s">
        <v>57</v>
      </c>
      <c r="H320" s="26" t="s">
        <v>57</v>
      </c>
      <c r="I320" s="26" t="s">
        <v>89</v>
      </c>
      <c r="J320" s="26" t="s">
        <v>57</v>
      </c>
      <c r="K320" s="27" t="s">
        <v>90</v>
      </c>
      <c r="L320" s="28" t="s">
        <v>56</v>
      </c>
      <c r="M320" s="29" t="str">
        <f t="shared" si="20"/>
        <v>⚠ Missing</v>
      </c>
      <c r="N320" s="4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70">
        <v>46248</v>
      </c>
      <c r="X320" s="30" t="s">
        <v>55</v>
      </c>
      <c r="Y320" s="30" t="s">
        <v>56</v>
      </c>
      <c r="Z320" s="30" t="s">
        <v>57</v>
      </c>
      <c r="AA320" s="30" t="s">
        <v>58</v>
      </c>
      <c r="AB320" s="30" t="s">
        <v>56</v>
      </c>
      <c r="AC320" s="27"/>
      <c r="AD320" s="31" t="s">
        <v>57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1962</v>
      </c>
      <c r="C321" s="25" t="s">
        <v>1963</v>
      </c>
      <c r="D321" s="23" t="s">
        <v>1331</v>
      </c>
      <c r="E321" s="42">
        <v>46132</v>
      </c>
      <c r="F321" s="26" t="s">
        <v>55</v>
      </c>
      <c r="G321" s="26" t="s">
        <v>57</v>
      </c>
      <c r="H321" s="26" t="s">
        <v>57</v>
      </c>
      <c r="I321" s="26" t="s">
        <v>89</v>
      </c>
      <c r="J321" s="26" t="s">
        <v>57</v>
      </c>
      <c r="K321" s="27" t="s">
        <v>90</v>
      </c>
      <c r="L321" s="28" t="s">
        <v>56</v>
      </c>
      <c r="M321" s="29" t="str">
        <f t="shared" si="20"/>
        <v>⚠ Missing</v>
      </c>
      <c r="N321" s="4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70">
        <v>46248</v>
      </c>
      <c r="X321" s="30" t="s">
        <v>55</v>
      </c>
      <c r="Y321" s="30" t="s">
        <v>56</v>
      </c>
      <c r="Z321" s="30" t="s">
        <v>57</v>
      </c>
      <c r="AA321" s="30" t="s">
        <v>58</v>
      </c>
      <c r="AB321" s="30" t="s">
        <v>56</v>
      </c>
      <c r="AC321" s="27"/>
      <c r="AD321" s="31" t="s">
        <v>57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1964</v>
      </c>
      <c r="C322" s="41" t="s">
        <v>1965</v>
      </c>
      <c r="D322" s="39" t="s">
        <v>1331</v>
      </c>
      <c r="E322" s="42">
        <v>46132</v>
      </c>
      <c r="F322" s="26" t="s">
        <v>55</v>
      </c>
      <c r="G322" s="26" t="s">
        <v>57</v>
      </c>
      <c r="H322" s="26" t="s">
        <v>57</v>
      </c>
      <c r="I322" s="26" t="s">
        <v>89</v>
      </c>
      <c r="J322" s="26" t="s">
        <v>57</v>
      </c>
      <c r="K322" s="27" t="s">
        <v>90</v>
      </c>
      <c r="L322" s="28" t="s">
        <v>56</v>
      </c>
      <c r="M322" s="29" t="str">
        <f t="shared" si="20"/>
        <v>⚠ Missing</v>
      </c>
      <c r="N322" s="4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70">
        <v>46248</v>
      </c>
      <c r="X322" s="30" t="s">
        <v>55</v>
      </c>
      <c r="Y322" s="30" t="s">
        <v>56</v>
      </c>
      <c r="Z322" s="30" t="s">
        <v>57</v>
      </c>
      <c r="AA322" s="30" t="s">
        <v>58</v>
      </c>
      <c r="AB322" s="30" t="s">
        <v>56</v>
      </c>
      <c r="AC322" s="27"/>
      <c r="AD322" s="31" t="s">
        <v>57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1966</v>
      </c>
      <c r="C323" s="25" t="s">
        <v>1967</v>
      </c>
      <c r="D323" s="23" t="s">
        <v>1331</v>
      </c>
      <c r="E323" s="42">
        <v>46132</v>
      </c>
      <c r="F323" s="26" t="s">
        <v>55</v>
      </c>
      <c r="G323" s="26" t="s">
        <v>57</v>
      </c>
      <c r="H323" s="26" t="s">
        <v>57</v>
      </c>
      <c r="I323" s="26" t="s">
        <v>89</v>
      </c>
      <c r="J323" s="26" t="s">
        <v>57</v>
      </c>
      <c r="K323" s="27" t="s">
        <v>90</v>
      </c>
      <c r="L323" s="28" t="s">
        <v>56</v>
      </c>
      <c r="M323" s="29" t="str">
        <f t="shared" si="20"/>
        <v>⚠ Missing</v>
      </c>
      <c r="N323" s="4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70">
        <v>46248</v>
      </c>
      <c r="X323" s="30" t="s">
        <v>55</v>
      </c>
      <c r="Y323" s="30" t="s">
        <v>56</v>
      </c>
      <c r="Z323" s="30" t="s">
        <v>57</v>
      </c>
      <c r="AA323" s="30" t="s">
        <v>58</v>
      </c>
      <c r="AB323" s="30" t="s">
        <v>56</v>
      </c>
      <c r="AC323" s="27"/>
      <c r="AD323" s="31" t="s">
        <v>57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1968</v>
      </c>
      <c r="C324" s="41" t="s">
        <v>1969</v>
      </c>
      <c r="D324" s="39" t="s">
        <v>1331</v>
      </c>
      <c r="E324" s="42">
        <v>46132</v>
      </c>
      <c r="F324" s="26" t="s">
        <v>55</v>
      </c>
      <c r="G324" s="26" t="s">
        <v>57</v>
      </c>
      <c r="H324" s="26" t="s">
        <v>57</v>
      </c>
      <c r="I324" s="26" t="s">
        <v>89</v>
      </c>
      <c r="J324" s="26" t="s">
        <v>57</v>
      </c>
      <c r="K324" s="27" t="s">
        <v>90</v>
      </c>
      <c r="L324" s="28" t="s">
        <v>56</v>
      </c>
      <c r="M324" s="29" t="str">
        <f t="shared" si="20"/>
        <v>⚠ Missing</v>
      </c>
      <c r="N324" s="4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70">
        <v>46248</v>
      </c>
      <c r="X324" s="30" t="s">
        <v>55</v>
      </c>
      <c r="Y324" s="30" t="s">
        <v>56</v>
      </c>
      <c r="Z324" s="30" t="s">
        <v>57</v>
      </c>
      <c r="AA324" s="30" t="s">
        <v>58</v>
      </c>
      <c r="AB324" s="30" t="s">
        <v>56</v>
      </c>
      <c r="AC324" s="27"/>
      <c r="AD324" s="31" t="s">
        <v>57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1970</v>
      </c>
      <c r="C325" s="25" t="s">
        <v>1971</v>
      </c>
      <c r="D325" s="23" t="s">
        <v>1331</v>
      </c>
      <c r="E325" s="42">
        <v>46132</v>
      </c>
      <c r="F325" s="26" t="s">
        <v>55</v>
      </c>
      <c r="G325" s="26" t="s">
        <v>57</v>
      </c>
      <c r="H325" s="26" t="s">
        <v>57</v>
      </c>
      <c r="I325" s="26" t="s">
        <v>89</v>
      </c>
      <c r="J325" s="26" t="s">
        <v>57</v>
      </c>
      <c r="K325" s="27" t="s">
        <v>90</v>
      </c>
      <c r="L325" s="28" t="s">
        <v>56</v>
      </c>
      <c r="M325" s="29" t="str">
        <f t="shared" ref="M325:M388" si="25">IF(E325="","",IF(H325="Yes","❌ Disc",IF(G325="No","⚠ Missing",IF(J325="Yes","✓ OK","⚠ Check"))))</f>
        <v>⚠ Missing</v>
      </c>
      <c r="N325" s="4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56</v>
      </c>
      <c r="Z325" s="30" t="s">
        <v>57</v>
      </c>
      <c r="AA325" s="30" t="s">
        <v>58</v>
      </c>
      <c r="AB325" s="30" t="s">
        <v>56</v>
      </c>
      <c r="AC325" s="27"/>
      <c r="AD325" s="31" t="s">
        <v>57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1972</v>
      </c>
      <c r="C326" s="41" t="s">
        <v>1973</v>
      </c>
      <c r="D326" s="39" t="s">
        <v>1331</v>
      </c>
      <c r="E326" s="42">
        <v>46132</v>
      </c>
      <c r="F326" s="26" t="s">
        <v>55</v>
      </c>
      <c r="G326" s="26" t="s">
        <v>57</v>
      </c>
      <c r="H326" s="26" t="s">
        <v>57</v>
      </c>
      <c r="I326" s="26" t="s">
        <v>89</v>
      </c>
      <c r="J326" s="26" t="s">
        <v>57</v>
      </c>
      <c r="K326" s="27" t="s">
        <v>90</v>
      </c>
      <c r="L326" s="28" t="s">
        <v>56</v>
      </c>
      <c r="M326" s="29" t="str">
        <f t="shared" si="25"/>
        <v>⚠ Missing</v>
      </c>
      <c r="N326" s="4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70">
        <v>46248</v>
      </c>
      <c r="X326" s="30" t="s">
        <v>55</v>
      </c>
      <c r="Y326" s="30" t="s">
        <v>56</v>
      </c>
      <c r="Z326" s="30" t="s">
        <v>57</v>
      </c>
      <c r="AA326" s="30" t="s">
        <v>58</v>
      </c>
      <c r="AB326" s="30" t="s">
        <v>56</v>
      </c>
      <c r="AC326" s="27"/>
      <c r="AD326" s="31" t="s">
        <v>57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1974</v>
      </c>
      <c r="C327" s="25" t="s">
        <v>1975</v>
      </c>
      <c r="D327" s="23" t="s">
        <v>1331</v>
      </c>
      <c r="E327" s="42">
        <v>46132</v>
      </c>
      <c r="F327" s="26" t="s">
        <v>55</v>
      </c>
      <c r="G327" s="26" t="s">
        <v>57</v>
      </c>
      <c r="H327" s="26" t="s">
        <v>57</v>
      </c>
      <c r="I327" s="26" t="s">
        <v>89</v>
      </c>
      <c r="J327" s="26" t="s">
        <v>57</v>
      </c>
      <c r="K327" s="27" t="s">
        <v>90</v>
      </c>
      <c r="L327" s="28" t="s">
        <v>56</v>
      </c>
      <c r="M327" s="29" t="str">
        <f t="shared" si="25"/>
        <v>⚠ Missing</v>
      </c>
      <c r="N327" s="4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70">
        <v>46248</v>
      </c>
      <c r="X327" s="30" t="s">
        <v>55</v>
      </c>
      <c r="Y327" s="30" t="s">
        <v>56</v>
      </c>
      <c r="Z327" s="30" t="s">
        <v>57</v>
      </c>
      <c r="AA327" s="30" t="s">
        <v>58</v>
      </c>
      <c r="AB327" s="30" t="s">
        <v>56</v>
      </c>
      <c r="AC327" s="27"/>
      <c r="AD327" s="31" t="s">
        <v>57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1976</v>
      </c>
      <c r="C328" s="41" t="s">
        <v>1977</v>
      </c>
      <c r="D328" s="39" t="s">
        <v>1331</v>
      </c>
      <c r="E328" s="42">
        <v>46132</v>
      </c>
      <c r="F328" s="26" t="s">
        <v>55</v>
      </c>
      <c r="G328" s="26" t="s">
        <v>57</v>
      </c>
      <c r="H328" s="26" t="s">
        <v>57</v>
      </c>
      <c r="I328" s="26" t="s">
        <v>89</v>
      </c>
      <c r="J328" s="26" t="s">
        <v>57</v>
      </c>
      <c r="K328" s="27" t="s">
        <v>90</v>
      </c>
      <c r="L328" s="28" t="s">
        <v>56</v>
      </c>
      <c r="M328" s="29" t="str">
        <f t="shared" si="25"/>
        <v>⚠ Missing</v>
      </c>
      <c r="N328" s="4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70">
        <v>46248</v>
      </c>
      <c r="X328" s="30" t="s">
        <v>55</v>
      </c>
      <c r="Y328" s="30" t="s">
        <v>56</v>
      </c>
      <c r="Z328" s="30" t="s">
        <v>57</v>
      </c>
      <c r="AA328" s="30" t="s">
        <v>58</v>
      </c>
      <c r="AB328" s="30" t="s">
        <v>56</v>
      </c>
      <c r="AC328" s="27"/>
      <c r="AD328" s="31" t="s">
        <v>57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1978</v>
      </c>
      <c r="C329" s="25" t="s">
        <v>1979</v>
      </c>
      <c r="D329" s="23" t="s">
        <v>1331</v>
      </c>
      <c r="E329" s="42">
        <v>46132</v>
      </c>
      <c r="F329" s="26" t="s">
        <v>55</v>
      </c>
      <c r="G329" s="26" t="s">
        <v>57</v>
      </c>
      <c r="H329" s="26" t="s">
        <v>57</v>
      </c>
      <c r="I329" s="26" t="s">
        <v>89</v>
      </c>
      <c r="J329" s="26" t="s">
        <v>57</v>
      </c>
      <c r="K329" s="27" t="s">
        <v>90</v>
      </c>
      <c r="L329" s="28" t="s">
        <v>56</v>
      </c>
      <c r="M329" s="29" t="str">
        <f t="shared" si="25"/>
        <v>⚠ Missing</v>
      </c>
      <c r="N329" s="4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70">
        <v>46248</v>
      </c>
      <c r="X329" s="30" t="s">
        <v>55</v>
      </c>
      <c r="Y329" s="30" t="s">
        <v>56</v>
      </c>
      <c r="Z329" s="30" t="s">
        <v>57</v>
      </c>
      <c r="AA329" s="30" t="s">
        <v>58</v>
      </c>
      <c r="AB329" s="30" t="s">
        <v>56</v>
      </c>
      <c r="AC329" s="27"/>
      <c r="AD329" s="31" t="s">
        <v>57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1980</v>
      </c>
      <c r="C330" s="41" t="s">
        <v>1981</v>
      </c>
      <c r="D330" s="39" t="s">
        <v>1331</v>
      </c>
      <c r="E330" s="42">
        <v>46132</v>
      </c>
      <c r="F330" s="26" t="s">
        <v>55</v>
      </c>
      <c r="G330" s="26" t="s">
        <v>57</v>
      </c>
      <c r="H330" s="26" t="s">
        <v>57</v>
      </c>
      <c r="I330" s="26" t="s">
        <v>89</v>
      </c>
      <c r="J330" s="26" t="s">
        <v>57</v>
      </c>
      <c r="K330" s="27" t="s">
        <v>90</v>
      </c>
      <c r="L330" s="28" t="s">
        <v>56</v>
      </c>
      <c r="M330" s="29" t="str">
        <f t="shared" si="25"/>
        <v>⚠ Missing</v>
      </c>
      <c r="N330" s="4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70">
        <v>46248</v>
      </c>
      <c r="X330" s="30" t="s">
        <v>55</v>
      </c>
      <c r="Y330" s="30" t="s">
        <v>56</v>
      </c>
      <c r="Z330" s="30" t="s">
        <v>57</v>
      </c>
      <c r="AA330" s="30" t="s">
        <v>58</v>
      </c>
      <c r="AB330" s="30" t="s">
        <v>56</v>
      </c>
      <c r="AC330" s="27"/>
      <c r="AD330" s="31" t="s">
        <v>57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1982</v>
      </c>
      <c r="C331" s="25" t="s">
        <v>1983</v>
      </c>
      <c r="D331" s="23" t="s">
        <v>1331</v>
      </c>
      <c r="E331" s="42">
        <v>46132</v>
      </c>
      <c r="F331" s="26" t="s">
        <v>55</v>
      </c>
      <c r="G331" s="26" t="s">
        <v>57</v>
      </c>
      <c r="H331" s="26" t="s">
        <v>57</v>
      </c>
      <c r="I331" s="26" t="s">
        <v>89</v>
      </c>
      <c r="J331" s="26" t="s">
        <v>57</v>
      </c>
      <c r="K331" s="27" t="s">
        <v>90</v>
      </c>
      <c r="L331" s="28" t="s">
        <v>56</v>
      </c>
      <c r="M331" s="29" t="str">
        <f t="shared" si="25"/>
        <v>⚠ Missing</v>
      </c>
      <c r="N331" s="4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70">
        <v>46248</v>
      </c>
      <c r="X331" s="30" t="s">
        <v>55</v>
      </c>
      <c r="Y331" s="30" t="s">
        <v>56</v>
      </c>
      <c r="Z331" s="30" t="s">
        <v>57</v>
      </c>
      <c r="AA331" s="30" t="s">
        <v>58</v>
      </c>
      <c r="AB331" s="30" t="s">
        <v>56</v>
      </c>
      <c r="AC331" s="27"/>
      <c r="AD331" s="31" t="s">
        <v>57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1984</v>
      </c>
      <c r="C332" s="41" t="s">
        <v>1985</v>
      </c>
      <c r="D332" s="39" t="s">
        <v>1331</v>
      </c>
      <c r="E332" s="42">
        <v>46132</v>
      </c>
      <c r="F332" s="26" t="s">
        <v>55</v>
      </c>
      <c r="G332" s="26" t="s">
        <v>57</v>
      </c>
      <c r="H332" s="26" t="s">
        <v>57</v>
      </c>
      <c r="I332" s="26" t="s">
        <v>89</v>
      </c>
      <c r="J332" s="26" t="s">
        <v>57</v>
      </c>
      <c r="K332" s="27" t="s">
        <v>90</v>
      </c>
      <c r="L332" s="28" t="s">
        <v>56</v>
      </c>
      <c r="M332" s="29" t="str">
        <f t="shared" si="25"/>
        <v>⚠ Missing</v>
      </c>
      <c r="N332" s="4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70">
        <v>46248</v>
      </c>
      <c r="X332" s="30" t="s">
        <v>55</v>
      </c>
      <c r="Y332" s="30" t="s">
        <v>56</v>
      </c>
      <c r="Z332" s="30" t="s">
        <v>57</v>
      </c>
      <c r="AA332" s="30" t="s">
        <v>58</v>
      </c>
      <c r="AB332" s="30" t="s">
        <v>56</v>
      </c>
      <c r="AC332" s="27"/>
      <c r="AD332" s="31" t="s">
        <v>57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1986</v>
      </c>
      <c r="C333" s="25" t="s">
        <v>1987</v>
      </c>
      <c r="D333" s="23" t="s">
        <v>1331</v>
      </c>
      <c r="E333" s="42">
        <v>46132</v>
      </c>
      <c r="F333" s="26" t="s">
        <v>55</v>
      </c>
      <c r="G333" s="26" t="s">
        <v>57</v>
      </c>
      <c r="H333" s="26" t="s">
        <v>57</v>
      </c>
      <c r="I333" s="26" t="s">
        <v>89</v>
      </c>
      <c r="J333" s="26" t="s">
        <v>57</v>
      </c>
      <c r="K333" s="27" t="s">
        <v>90</v>
      </c>
      <c r="L333" s="28" t="s">
        <v>56</v>
      </c>
      <c r="M333" s="29" t="str">
        <f t="shared" si="25"/>
        <v>⚠ Missing</v>
      </c>
      <c r="N333" s="4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70">
        <v>46248</v>
      </c>
      <c r="X333" s="30" t="s">
        <v>55</v>
      </c>
      <c r="Y333" s="30" t="s">
        <v>56</v>
      </c>
      <c r="Z333" s="30" t="s">
        <v>57</v>
      </c>
      <c r="AA333" s="30" t="s">
        <v>58</v>
      </c>
      <c r="AB333" s="30" t="s">
        <v>56</v>
      </c>
      <c r="AC333" s="27"/>
      <c r="AD333" s="31" t="s">
        <v>57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1988</v>
      </c>
      <c r="C334" s="41" t="s">
        <v>1989</v>
      </c>
      <c r="D334" s="39" t="s">
        <v>1331</v>
      </c>
      <c r="E334" s="42">
        <v>46132</v>
      </c>
      <c r="F334" s="26" t="s">
        <v>55</v>
      </c>
      <c r="G334" s="26" t="s">
        <v>57</v>
      </c>
      <c r="H334" s="26" t="s">
        <v>57</v>
      </c>
      <c r="I334" s="26" t="s">
        <v>89</v>
      </c>
      <c r="J334" s="26" t="s">
        <v>57</v>
      </c>
      <c r="K334" s="27" t="s">
        <v>90</v>
      </c>
      <c r="L334" s="28" t="s">
        <v>56</v>
      </c>
      <c r="M334" s="29" t="str">
        <f t="shared" si="25"/>
        <v>⚠ Missing</v>
      </c>
      <c r="N334" s="4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70">
        <v>46248</v>
      </c>
      <c r="X334" s="30" t="s">
        <v>55</v>
      </c>
      <c r="Y334" s="30" t="s">
        <v>56</v>
      </c>
      <c r="Z334" s="30" t="s">
        <v>57</v>
      </c>
      <c r="AA334" s="30" t="s">
        <v>58</v>
      </c>
      <c r="AB334" s="30" t="s">
        <v>56</v>
      </c>
      <c r="AC334" s="27"/>
      <c r="AD334" s="31" t="s">
        <v>57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1990</v>
      </c>
      <c r="C335" s="25" t="s">
        <v>1991</v>
      </c>
      <c r="D335" s="23" t="s">
        <v>1331</v>
      </c>
      <c r="E335" s="42">
        <v>46132</v>
      </c>
      <c r="F335" s="26" t="s">
        <v>55</v>
      </c>
      <c r="G335" s="26" t="s">
        <v>57</v>
      </c>
      <c r="H335" s="26" t="s">
        <v>57</v>
      </c>
      <c r="I335" s="26" t="s">
        <v>89</v>
      </c>
      <c r="J335" s="26" t="s">
        <v>57</v>
      </c>
      <c r="K335" s="27" t="s">
        <v>90</v>
      </c>
      <c r="L335" s="28" t="s">
        <v>56</v>
      </c>
      <c r="M335" s="29" t="str">
        <f t="shared" si="25"/>
        <v>⚠ Missing</v>
      </c>
      <c r="N335" s="4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70">
        <v>46248</v>
      </c>
      <c r="X335" s="30" t="s">
        <v>55</v>
      </c>
      <c r="Y335" s="30" t="s">
        <v>56</v>
      </c>
      <c r="Z335" s="30" t="s">
        <v>57</v>
      </c>
      <c r="AA335" s="30" t="s">
        <v>58</v>
      </c>
      <c r="AB335" s="30" t="s">
        <v>56</v>
      </c>
      <c r="AC335" s="27"/>
      <c r="AD335" s="31" t="s">
        <v>57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1992</v>
      </c>
      <c r="C336" s="41" t="s">
        <v>1993</v>
      </c>
      <c r="D336" s="39" t="s">
        <v>1331</v>
      </c>
      <c r="E336" s="42">
        <v>46132</v>
      </c>
      <c r="F336" s="26" t="s">
        <v>55</v>
      </c>
      <c r="G336" s="26" t="s">
        <v>57</v>
      </c>
      <c r="H336" s="26" t="s">
        <v>57</v>
      </c>
      <c r="I336" s="26" t="s">
        <v>89</v>
      </c>
      <c r="J336" s="26" t="s">
        <v>57</v>
      </c>
      <c r="K336" s="27" t="s">
        <v>90</v>
      </c>
      <c r="L336" s="28" t="s">
        <v>56</v>
      </c>
      <c r="M336" s="29" t="str">
        <f t="shared" si="25"/>
        <v>⚠ Missing</v>
      </c>
      <c r="N336" s="4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70">
        <v>46248</v>
      </c>
      <c r="X336" s="30" t="s">
        <v>55</v>
      </c>
      <c r="Y336" s="30" t="s">
        <v>56</v>
      </c>
      <c r="Z336" s="30" t="s">
        <v>57</v>
      </c>
      <c r="AA336" s="30" t="s">
        <v>58</v>
      </c>
      <c r="AB336" s="30" t="s">
        <v>56</v>
      </c>
      <c r="AC336" s="27"/>
      <c r="AD336" s="31" t="s">
        <v>57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1994</v>
      </c>
      <c r="C337" s="25" t="s">
        <v>1995</v>
      </c>
      <c r="D337" s="23" t="s">
        <v>1331</v>
      </c>
      <c r="E337" s="42">
        <v>46132</v>
      </c>
      <c r="F337" s="26" t="s">
        <v>55</v>
      </c>
      <c r="G337" s="26" t="s">
        <v>57</v>
      </c>
      <c r="H337" s="26" t="s">
        <v>57</v>
      </c>
      <c r="I337" s="26" t="s">
        <v>89</v>
      </c>
      <c r="J337" s="26" t="s">
        <v>57</v>
      </c>
      <c r="K337" s="27" t="s">
        <v>90</v>
      </c>
      <c r="L337" s="28" t="s">
        <v>56</v>
      </c>
      <c r="M337" s="29" t="str">
        <f t="shared" si="25"/>
        <v>⚠ Missing</v>
      </c>
      <c r="N337" s="4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70">
        <v>46248</v>
      </c>
      <c r="X337" s="30" t="s">
        <v>55</v>
      </c>
      <c r="Y337" s="30" t="s">
        <v>56</v>
      </c>
      <c r="Z337" s="30" t="s">
        <v>57</v>
      </c>
      <c r="AA337" s="30" t="s">
        <v>58</v>
      </c>
      <c r="AB337" s="30" t="s">
        <v>56</v>
      </c>
      <c r="AC337" s="27"/>
      <c r="AD337" s="31" t="s">
        <v>57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1996</v>
      </c>
      <c r="C338" s="41" t="s">
        <v>1997</v>
      </c>
      <c r="D338" s="39" t="s">
        <v>1331</v>
      </c>
      <c r="E338" s="42">
        <v>46132</v>
      </c>
      <c r="F338" s="26" t="s">
        <v>55</v>
      </c>
      <c r="G338" s="26" t="s">
        <v>57</v>
      </c>
      <c r="H338" s="26" t="s">
        <v>57</v>
      </c>
      <c r="I338" s="26" t="s">
        <v>89</v>
      </c>
      <c r="J338" s="26" t="s">
        <v>57</v>
      </c>
      <c r="K338" s="27" t="s">
        <v>90</v>
      </c>
      <c r="L338" s="28" t="s">
        <v>56</v>
      </c>
      <c r="M338" s="29" t="str">
        <f t="shared" si="25"/>
        <v>⚠ Missing</v>
      </c>
      <c r="N338" s="4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70">
        <v>46248</v>
      </c>
      <c r="X338" s="30" t="s">
        <v>55</v>
      </c>
      <c r="Y338" s="30" t="s">
        <v>56</v>
      </c>
      <c r="Z338" s="30" t="s">
        <v>57</v>
      </c>
      <c r="AA338" s="30" t="s">
        <v>58</v>
      </c>
      <c r="AB338" s="30" t="s">
        <v>56</v>
      </c>
      <c r="AC338" s="27"/>
      <c r="AD338" s="31" t="s">
        <v>57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1998</v>
      </c>
      <c r="C339" s="25" t="s">
        <v>1999</v>
      </c>
      <c r="D339" s="23" t="s">
        <v>1331</v>
      </c>
      <c r="E339" s="42">
        <v>46132</v>
      </c>
      <c r="F339" s="26" t="s">
        <v>55</v>
      </c>
      <c r="G339" s="26" t="s">
        <v>57</v>
      </c>
      <c r="H339" s="26" t="s">
        <v>57</v>
      </c>
      <c r="I339" s="26" t="s">
        <v>89</v>
      </c>
      <c r="J339" s="26" t="s">
        <v>57</v>
      </c>
      <c r="K339" s="27" t="s">
        <v>90</v>
      </c>
      <c r="L339" s="28" t="s">
        <v>56</v>
      </c>
      <c r="M339" s="29" t="str">
        <f t="shared" si="25"/>
        <v>⚠ Missing</v>
      </c>
      <c r="N339" s="4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70">
        <v>46248</v>
      </c>
      <c r="X339" s="30" t="s">
        <v>55</v>
      </c>
      <c r="Y339" s="30" t="s">
        <v>56</v>
      </c>
      <c r="Z339" s="30" t="s">
        <v>57</v>
      </c>
      <c r="AA339" s="30" t="s">
        <v>58</v>
      </c>
      <c r="AB339" s="30" t="s">
        <v>56</v>
      </c>
      <c r="AC339" s="27"/>
      <c r="AD339" s="31" t="s">
        <v>57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2000</v>
      </c>
      <c r="C340" s="41" t="s">
        <v>2001</v>
      </c>
      <c r="D340" s="39" t="s">
        <v>1331</v>
      </c>
      <c r="E340" s="42">
        <v>46132</v>
      </c>
      <c r="F340" s="26" t="s">
        <v>55</v>
      </c>
      <c r="G340" s="26" t="s">
        <v>57</v>
      </c>
      <c r="H340" s="26" t="s">
        <v>57</v>
      </c>
      <c r="I340" s="26" t="s">
        <v>89</v>
      </c>
      <c r="J340" s="26" t="s">
        <v>57</v>
      </c>
      <c r="K340" s="27" t="s">
        <v>90</v>
      </c>
      <c r="L340" s="28" t="s">
        <v>56</v>
      </c>
      <c r="M340" s="29" t="str">
        <f t="shared" si="25"/>
        <v>⚠ Missing</v>
      </c>
      <c r="N340" s="4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70">
        <v>46248</v>
      </c>
      <c r="X340" s="30" t="s">
        <v>55</v>
      </c>
      <c r="Y340" s="30" t="s">
        <v>56</v>
      </c>
      <c r="Z340" s="30" t="s">
        <v>57</v>
      </c>
      <c r="AA340" s="30" t="s">
        <v>58</v>
      </c>
      <c r="AB340" s="30" t="s">
        <v>56</v>
      </c>
      <c r="AC340" s="27"/>
      <c r="AD340" s="31" t="s">
        <v>57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2002</v>
      </c>
      <c r="C341" s="25" t="s">
        <v>2003</v>
      </c>
      <c r="D341" s="23" t="s">
        <v>1331</v>
      </c>
      <c r="E341" s="42">
        <v>46132</v>
      </c>
      <c r="F341" s="26" t="s">
        <v>55</v>
      </c>
      <c r="G341" s="26" t="s">
        <v>57</v>
      </c>
      <c r="H341" s="26" t="s">
        <v>57</v>
      </c>
      <c r="I341" s="26" t="s">
        <v>89</v>
      </c>
      <c r="J341" s="26" t="s">
        <v>57</v>
      </c>
      <c r="K341" s="27" t="s">
        <v>90</v>
      </c>
      <c r="L341" s="28" t="s">
        <v>56</v>
      </c>
      <c r="M341" s="29" t="str">
        <f t="shared" si="25"/>
        <v>⚠ Missing</v>
      </c>
      <c r="N341" s="4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70">
        <v>46248</v>
      </c>
      <c r="X341" s="30" t="s">
        <v>55</v>
      </c>
      <c r="Y341" s="30" t="s">
        <v>56</v>
      </c>
      <c r="Z341" s="30" t="s">
        <v>57</v>
      </c>
      <c r="AA341" s="30" t="s">
        <v>58</v>
      </c>
      <c r="AB341" s="30" t="s">
        <v>56</v>
      </c>
      <c r="AC341" s="27"/>
      <c r="AD341" s="31" t="s">
        <v>57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2004</v>
      </c>
      <c r="C342" s="41" t="s">
        <v>2005</v>
      </c>
      <c r="D342" s="39" t="s">
        <v>1331</v>
      </c>
      <c r="E342" s="42">
        <v>46132</v>
      </c>
      <c r="F342" s="26" t="s">
        <v>55</v>
      </c>
      <c r="G342" s="26" t="s">
        <v>57</v>
      </c>
      <c r="H342" s="26" t="s">
        <v>57</v>
      </c>
      <c r="I342" s="26" t="s">
        <v>89</v>
      </c>
      <c r="J342" s="26" t="s">
        <v>57</v>
      </c>
      <c r="K342" s="27" t="s">
        <v>90</v>
      </c>
      <c r="L342" s="28" t="s">
        <v>56</v>
      </c>
      <c r="M342" s="29" t="str">
        <f t="shared" si="25"/>
        <v>⚠ Missing</v>
      </c>
      <c r="N342" s="4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70">
        <v>46248</v>
      </c>
      <c r="X342" s="30" t="s">
        <v>55</v>
      </c>
      <c r="Y342" s="30" t="s">
        <v>56</v>
      </c>
      <c r="Z342" s="30" t="s">
        <v>57</v>
      </c>
      <c r="AA342" s="30" t="s">
        <v>58</v>
      </c>
      <c r="AB342" s="30" t="s">
        <v>56</v>
      </c>
      <c r="AC342" s="27"/>
      <c r="AD342" s="31" t="s">
        <v>57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2006</v>
      </c>
      <c r="C343" s="25" t="s">
        <v>2007</v>
      </c>
      <c r="D343" s="23" t="s">
        <v>1331</v>
      </c>
      <c r="E343" s="42">
        <v>46132</v>
      </c>
      <c r="F343" s="26" t="s">
        <v>55</v>
      </c>
      <c r="G343" s="26" t="s">
        <v>57</v>
      </c>
      <c r="H343" s="26" t="s">
        <v>57</v>
      </c>
      <c r="I343" s="26" t="s">
        <v>89</v>
      </c>
      <c r="J343" s="26" t="s">
        <v>57</v>
      </c>
      <c r="K343" s="27" t="s">
        <v>90</v>
      </c>
      <c r="L343" s="28" t="s">
        <v>56</v>
      </c>
      <c r="M343" s="29" t="str">
        <f t="shared" si="25"/>
        <v>⚠ Missing</v>
      </c>
      <c r="N343" s="4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70">
        <v>46248</v>
      </c>
      <c r="X343" s="30" t="s">
        <v>55</v>
      </c>
      <c r="Y343" s="30" t="s">
        <v>56</v>
      </c>
      <c r="Z343" s="30" t="s">
        <v>57</v>
      </c>
      <c r="AA343" s="30" t="s">
        <v>58</v>
      </c>
      <c r="AB343" s="30" t="s">
        <v>56</v>
      </c>
      <c r="AC343" s="27"/>
      <c r="AD343" s="31" t="s">
        <v>57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2008</v>
      </c>
      <c r="C344" s="41" t="s">
        <v>2009</v>
      </c>
      <c r="D344" s="39" t="s">
        <v>1331</v>
      </c>
      <c r="E344" s="42">
        <v>46132</v>
      </c>
      <c r="F344" s="26" t="s">
        <v>55</v>
      </c>
      <c r="G344" s="26" t="s">
        <v>57</v>
      </c>
      <c r="H344" s="26" t="s">
        <v>57</v>
      </c>
      <c r="I344" s="26" t="s">
        <v>89</v>
      </c>
      <c r="J344" s="26" t="s">
        <v>57</v>
      </c>
      <c r="K344" s="27" t="s">
        <v>90</v>
      </c>
      <c r="L344" s="28" t="s">
        <v>56</v>
      </c>
      <c r="M344" s="29" t="str">
        <f t="shared" si="25"/>
        <v>⚠ Missing</v>
      </c>
      <c r="N344" s="4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70">
        <v>46248</v>
      </c>
      <c r="X344" s="30" t="s">
        <v>55</v>
      </c>
      <c r="Y344" s="30" t="s">
        <v>56</v>
      </c>
      <c r="Z344" s="30" t="s">
        <v>57</v>
      </c>
      <c r="AA344" s="30" t="s">
        <v>58</v>
      </c>
      <c r="AB344" s="30" t="s">
        <v>56</v>
      </c>
      <c r="AC344" s="27"/>
      <c r="AD344" s="31" t="s">
        <v>57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2010</v>
      </c>
      <c r="C345" s="25" t="s">
        <v>2011</v>
      </c>
      <c r="D345" s="23" t="s">
        <v>1331</v>
      </c>
      <c r="E345" s="42">
        <v>46132</v>
      </c>
      <c r="F345" s="26" t="s">
        <v>55</v>
      </c>
      <c r="G345" s="26" t="s">
        <v>57</v>
      </c>
      <c r="H345" s="26" t="s">
        <v>57</v>
      </c>
      <c r="I345" s="26" t="s">
        <v>89</v>
      </c>
      <c r="J345" s="26" t="s">
        <v>57</v>
      </c>
      <c r="K345" s="27" t="s">
        <v>90</v>
      </c>
      <c r="L345" s="28" t="s">
        <v>56</v>
      </c>
      <c r="M345" s="29" t="str">
        <f t="shared" si="25"/>
        <v>⚠ Missing</v>
      </c>
      <c r="N345" s="4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70">
        <v>46248</v>
      </c>
      <c r="X345" s="30" t="s">
        <v>55</v>
      </c>
      <c r="Y345" s="30" t="s">
        <v>56</v>
      </c>
      <c r="Z345" s="30" t="s">
        <v>57</v>
      </c>
      <c r="AA345" s="30" t="s">
        <v>58</v>
      </c>
      <c r="AB345" s="30" t="s">
        <v>56</v>
      </c>
      <c r="AC345" s="27"/>
      <c r="AD345" s="31" t="s">
        <v>57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2012</v>
      </c>
      <c r="C346" s="41" t="s">
        <v>2013</v>
      </c>
      <c r="D346" s="39" t="s">
        <v>1331</v>
      </c>
      <c r="E346" s="42">
        <v>46132</v>
      </c>
      <c r="F346" s="26" t="s">
        <v>55</v>
      </c>
      <c r="G346" s="26" t="s">
        <v>57</v>
      </c>
      <c r="H346" s="26" t="s">
        <v>57</v>
      </c>
      <c r="I346" s="26" t="s">
        <v>89</v>
      </c>
      <c r="J346" s="26" t="s">
        <v>57</v>
      </c>
      <c r="K346" s="27" t="s">
        <v>90</v>
      </c>
      <c r="L346" s="28" t="s">
        <v>56</v>
      </c>
      <c r="M346" s="29" t="str">
        <f t="shared" si="25"/>
        <v>⚠ Missing</v>
      </c>
      <c r="N346" s="4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70">
        <v>46248</v>
      </c>
      <c r="X346" s="30" t="s">
        <v>55</v>
      </c>
      <c r="Y346" s="30" t="s">
        <v>56</v>
      </c>
      <c r="Z346" s="30" t="s">
        <v>57</v>
      </c>
      <c r="AA346" s="30" t="s">
        <v>58</v>
      </c>
      <c r="AB346" s="30" t="s">
        <v>56</v>
      </c>
      <c r="AC346" s="27"/>
      <c r="AD346" s="31" t="s">
        <v>57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2014</v>
      </c>
      <c r="C347" s="25" t="s">
        <v>2015</v>
      </c>
      <c r="D347" s="23" t="s">
        <v>1331</v>
      </c>
      <c r="E347" s="42">
        <v>46132</v>
      </c>
      <c r="F347" s="26" t="s">
        <v>55</v>
      </c>
      <c r="G347" s="26" t="s">
        <v>57</v>
      </c>
      <c r="H347" s="26" t="s">
        <v>57</v>
      </c>
      <c r="I347" s="26" t="s">
        <v>89</v>
      </c>
      <c r="J347" s="26" t="s">
        <v>57</v>
      </c>
      <c r="K347" s="27" t="s">
        <v>90</v>
      </c>
      <c r="L347" s="28" t="s">
        <v>56</v>
      </c>
      <c r="M347" s="29" t="str">
        <f t="shared" si="25"/>
        <v>⚠ Missing</v>
      </c>
      <c r="N347" s="4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70">
        <v>46248</v>
      </c>
      <c r="X347" s="30" t="s">
        <v>55</v>
      </c>
      <c r="Y347" s="30" t="s">
        <v>56</v>
      </c>
      <c r="Z347" s="30" t="s">
        <v>57</v>
      </c>
      <c r="AA347" s="30" t="s">
        <v>58</v>
      </c>
      <c r="AB347" s="30" t="s">
        <v>56</v>
      </c>
      <c r="AC347" s="27"/>
      <c r="AD347" s="31" t="s">
        <v>57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2016</v>
      </c>
      <c r="C348" s="41" t="s">
        <v>2017</v>
      </c>
      <c r="D348" s="39" t="s">
        <v>1331</v>
      </c>
      <c r="E348" s="42">
        <v>46132</v>
      </c>
      <c r="F348" s="26" t="s">
        <v>55</v>
      </c>
      <c r="G348" s="26" t="s">
        <v>57</v>
      </c>
      <c r="H348" s="26" t="s">
        <v>57</v>
      </c>
      <c r="I348" s="26" t="s">
        <v>89</v>
      </c>
      <c r="J348" s="26" t="s">
        <v>57</v>
      </c>
      <c r="K348" s="27" t="s">
        <v>90</v>
      </c>
      <c r="L348" s="28" t="s">
        <v>56</v>
      </c>
      <c r="M348" s="29" t="str">
        <f t="shared" si="25"/>
        <v>⚠ Missing</v>
      </c>
      <c r="N348" s="4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70">
        <v>46248</v>
      </c>
      <c r="X348" s="30" t="s">
        <v>55</v>
      </c>
      <c r="Y348" s="30" t="s">
        <v>56</v>
      </c>
      <c r="Z348" s="30" t="s">
        <v>57</v>
      </c>
      <c r="AA348" s="30" t="s">
        <v>58</v>
      </c>
      <c r="AB348" s="30" t="s">
        <v>56</v>
      </c>
      <c r="AC348" s="27"/>
      <c r="AD348" s="31" t="s">
        <v>57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2018</v>
      </c>
      <c r="C349" s="25" t="s">
        <v>2019</v>
      </c>
      <c r="D349" s="23" t="s">
        <v>1331</v>
      </c>
      <c r="E349" s="42">
        <v>46132</v>
      </c>
      <c r="F349" s="26" t="s">
        <v>55</v>
      </c>
      <c r="G349" s="26" t="s">
        <v>57</v>
      </c>
      <c r="H349" s="26" t="s">
        <v>57</v>
      </c>
      <c r="I349" s="26" t="s">
        <v>89</v>
      </c>
      <c r="J349" s="26" t="s">
        <v>57</v>
      </c>
      <c r="K349" s="27" t="s">
        <v>90</v>
      </c>
      <c r="L349" s="28" t="s">
        <v>56</v>
      </c>
      <c r="M349" s="29" t="str">
        <f t="shared" si="25"/>
        <v>⚠ Missing</v>
      </c>
      <c r="N349" s="4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70">
        <v>46248</v>
      </c>
      <c r="X349" s="30" t="s">
        <v>55</v>
      </c>
      <c r="Y349" s="30" t="s">
        <v>56</v>
      </c>
      <c r="Z349" s="30" t="s">
        <v>57</v>
      </c>
      <c r="AA349" s="30" t="s">
        <v>58</v>
      </c>
      <c r="AB349" s="30" t="s">
        <v>56</v>
      </c>
      <c r="AC349" s="27"/>
      <c r="AD349" s="31" t="s">
        <v>57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2020</v>
      </c>
      <c r="C350" s="41" t="s">
        <v>2021</v>
      </c>
      <c r="D350" s="39" t="s">
        <v>1331</v>
      </c>
      <c r="E350" s="42">
        <v>46132</v>
      </c>
      <c r="F350" s="26" t="s">
        <v>55</v>
      </c>
      <c r="G350" s="26" t="s">
        <v>57</v>
      </c>
      <c r="H350" s="26" t="s">
        <v>57</v>
      </c>
      <c r="I350" s="26" t="s">
        <v>89</v>
      </c>
      <c r="J350" s="26" t="s">
        <v>57</v>
      </c>
      <c r="K350" s="27" t="s">
        <v>90</v>
      </c>
      <c r="L350" s="28" t="s">
        <v>56</v>
      </c>
      <c r="M350" s="29" t="str">
        <f t="shared" si="25"/>
        <v>⚠ Missing</v>
      </c>
      <c r="N350" s="4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70">
        <v>46248</v>
      </c>
      <c r="X350" s="30" t="s">
        <v>55</v>
      </c>
      <c r="Y350" s="30" t="s">
        <v>56</v>
      </c>
      <c r="Z350" s="30" t="s">
        <v>57</v>
      </c>
      <c r="AA350" s="30" t="s">
        <v>58</v>
      </c>
      <c r="AB350" s="30" t="s">
        <v>56</v>
      </c>
      <c r="AC350" s="27"/>
      <c r="AD350" s="31" t="s">
        <v>57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2022</v>
      </c>
      <c r="C351" s="25" t="s">
        <v>2023</v>
      </c>
      <c r="D351" s="23" t="s">
        <v>1331</v>
      </c>
      <c r="E351" s="42">
        <v>46132</v>
      </c>
      <c r="F351" s="26" t="s">
        <v>55</v>
      </c>
      <c r="G351" s="26" t="s">
        <v>57</v>
      </c>
      <c r="H351" s="26" t="s">
        <v>57</v>
      </c>
      <c r="I351" s="26" t="s">
        <v>89</v>
      </c>
      <c r="J351" s="26" t="s">
        <v>57</v>
      </c>
      <c r="K351" s="27" t="s">
        <v>90</v>
      </c>
      <c r="L351" s="28" t="s">
        <v>56</v>
      </c>
      <c r="M351" s="29" t="str">
        <f t="shared" si="25"/>
        <v>⚠ Missing</v>
      </c>
      <c r="N351" s="4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70">
        <v>46248</v>
      </c>
      <c r="X351" s="30" t="s">
        <v>55</v>
      </c>
      <c r="Y351" s="30" t="s">
        <v>56</v>
      </c>
      <c r="Z351" s="30" t="s">
        <v>57</v>
      </c>
      <c r="AA351" s="30" t="s">
        <v>58</v>
      </c>
      <c r="AB351" s="30" t="s">
        <v>56</v>
      </c>
      <c r="AC351" s="27"/>
      <c r="AD351" s="31" t="s">
        <v>57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2024</v>
      </c>
      <c r="C352" s="41" t="s">
        <v>2025</v>
      </c>
      <c r="D352" s="39" t="s">
        <v>1331</v>
      </c>
      <c r="E352" s="42">
        <v>46132</v>
      </c>
      <c r="F352" s="26" t="s">
        <v>55</v>
      </c>
      <c r="G352" s="26" t="s">
        <v>57</v>
      </c>
      <c r="H352" s="26" t="s">
        <v>57</v>
      </c>
      <c r="I352" s="26" t="s">
        <v>89</v>
      </c>
      <c r="J352" s="26" t="s">
        <v>57</v>
      </c>
      <c r="K352" s="27" t="s">
        <v>90</v>
      </c>
      <c r="L352" s="28" t="s">
        <v>56</v>
      </c>
      <c r="M352" s="29" t="str">
        <f t="shared" si="25"/>
        <v>⚠ Missing</v>
      </c>
      <c r="N352" s="4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70">
        <v>46248</v>
      </c>
      <c r="X352" s="30" t="s">
        <v>55</v>
      </c>
      <c r="Y352" s="30" t="s">
        <v>56</v>
      </c>
      <c r="Z352" s="30" t="s">
        <v>57</v>
      </c>
      <c r="AA352" s="30" t="s">
        <v>58</v>
      </c>
      <c r="AB352" s="30" t="s">
        <v>56</v>
      </c>
      <c r="AC352" s="27"/>
      <c r="AD352" s="31" t="s">
        <v>57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2026</v>
      </c>
      <c r="C353" s="25" t="s">
        <v>2027</v>
      </c>
      <c r="D353" s="23" t="s">
        <v>1331</v>
      </c>
      <c r="E353" s="42">
        <v>46132</v>
      </c>
      <c r="F353" s="26" t="s">
        <v>55</v>
      </c>
      <c r="G353" s="26" t="s">
        <v>57</v>
      </c>
      <c r="H353" s="26" t="s">
        <v>57</v>
      </c>
      <c r="I353" s="26" t="s">
        <v>89</v>
      </c>
      <c r="J353" s="26" t="s">
        <v>57</v>
      </c>
      <c r="K353" s="27" t="s">
        <v>90</v>
      </c>
      <c r="L353" s="28" t="s">
        <v>56</v>
      </c>
      <c r="M353" s="29" t="str">
        <f t="shared" si="25"/>
        <v>⚠ Missing</v>
      </c>
      <c r="N353" s="4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70">
        <v>46248</v>
      </c>
      <c r="X353" s="30" t="s">
        <v>55</v>
      </c>
      <c r="Y353" s="30" t="s">
        <v>56</v>
      </c>
      <c r="Z353" s="30" t="s">
        <v>57</v>
      </c>
      <c r="AA353" s="30" t="s">
        <v>58</v>
      </c>
      <c r="AB353" s="30" t="s">
        <v>56</v>
      </c>
      <c r="AC353" s="27"/>
      <c r="AD353" s="31" t="s">
        <v>57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2028</v>
      </c>
      <c r="C354" s="41" t="s">
        <v>2029</v>
      </c>
      <c r="D354" s="39" t="s">
        <v>1331</v>
      </c>
      <c r="E354" s="42">
        <v>46132</v>
      </c>
      <c r="F354" s="26" t="s">
        <v>55</v>
      </c>
      <c r="G354" s="26" t="s">
        <v>57</v>
      </c>
      <c r="H354" s="26" t="s">
        <v>57</v>
      </c>
      <c r="I354" s="26" t="s">
        <v>89</v>
      </c>
      <c r="J354" s="26" t="s">
        <v>57</v>
      </c>
      <c r="K354" s="27" t="s">
        <v>90</v>
      </c>
      <c r="L354" s="28" t="s">
        <v>56</v>
      </c>
      <c r="M354" s="29" t="str">
        <f t="shared" si="25"/>
        <v>⚠ Missing</v>
      </c>
      <c r="N354" s="4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70">
        <v>46248</v>
      </c>
      <c r="X354" s="30" t="s">
        <v>55</v>
      </c>
      <c r="Y354" s="30" t="s">
        <v>56</v>
      </c>
      <c r="Z354" s="30" t="s">
        <v>57</v>
      </c>
      <c r="AA354" s="30" t="s">
        <v>58</v>
      </c>
      <c r="AB354" s="30" t="s">
        <v>56</v>
      </c>
      <c r="AC354" s="27"/>
      <c r="AD354" s="31" t="s">
        <v>57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2030</v>
      </c>
      <c r="C355" s="25" t="s">
        <v>2031</v>
      </c>
      <c r="D355" s="23" t="s">
        <v>1331</v>
      </c>
      <c r="E355" s="42">
        <v>46132</v>
      </c>
      <c r="F355" s="26" t="s">
        <v>55</v>
      </c>
      <c r="G355" s="26" t="s">
        <v>57</v>
      </c>
      <c r="H355" s="26" t="s">
        <v>57</v>
      </c>
      <c r="I355" s="26" t="s">
        <v>89</v>
      </c>
      <c r="J355" s="26" t="s">
        <v>57</v>
      </c>
      <c r="K355" s="27" t="s">
        <v>90</v>
      </c>
      <c r="L355" s="28" t="s">
        <v>56</v>
      </c>
      <c r="M355" s="29" t="str">
        <f t="shared" si="25"/>
        <v>⚠ Missing</v>
      </c>
      <c r="N355" s="4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70">
        <v>46248</v>
      </c>
      <c r="X355" s="30" t="s">
        <v>55</v>
      </c>
      <c r="Y355" s="30" t="s">
        <v>56</v>
      </c>
      <c r="Z355" s="30" t="s">
        <v>57</v>
      </c>
      <c r="AA355" s="30" t="s">
        <v>58</v>
      </c>
      <c r="AB355" s="30" t="s">
        <v>56</v>
      </c>
      <c r="AC355" s="27"/>
      <c r="AD355" s="31" t="s">
        <v>57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2032</v>
      </c>
      <c r="C356" s="41" t="s">
        <v>2033</v>
      </c>
      <c r="D356" s="39" t="s">
        <v>1331</v>
      </c>
      <c r="E356" s="42">
        <v>46132</v>
      </c>
      <c r="F356" s="26" t="s">
        <v>55</v>
      </c>
      <c r="G356" s="26" t="s">
        <v>57</v>
      </c>
      <c r="H356" s="26" t="s">
        <v>57</v>
      </c>
      <c r="I356" s="26" t="s">
        <v>89</v>
      </c>
      <c r="J356" s="26" t="s">
        <v>57</v>
      </c>
      <c r="K356" s="27" t="s">
        <v>90</v>
      </c>
      <c r="L356" s="28" t="s">
        <v>56</v>
      </c>
      <c r="M356" s="29" t="str">
        <f t="shared" si="25"/>
        <v>⚠ Missing</v>
      </c>
      <c r="N356" s="4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70">
        <v>46248</v>
      </c>
      <c r="X356" s="30" t="s">
        <v>55</v>
      </c>
      <c r="Y356" s="30" t="s">
        <v>56</v>
      </c>
      <c r="Z356" s="30" t="s">
        <v>57</v>
      </c>
      <c r="AA356" s="30" t="s">
        <v>58</v>
      </c>
      <c r="AB356" s="30" t="s">
        <v>56</v>
      </c>
      <c r="AC356" s="27"/>
      <c r="AD356" s="31" t="s">
        <v>57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2034</v>
      </c>
      <c r="C357" s="25" t="s">
        <v>2035</v>
      </c>
      <c r="D357" s="23" t="s">
        <v>1331</v>
      </c>
      <c r="E357" s="42">
        <v>46132</v>
      </c>
      <c r="F357" s="26" t="s">
        <v>55</v>
      </c>
      <c r="G357" s="26" t="s">
        <v>57</v>
      </c>
      <c r="H357" s="26" t="s">
        <v>57</v>
      </c>
      <c r="I357" s="26" t="s">
        <v>89</v>
      </c>
      <c r="J357" s="26" t="s">
        <v>57</v>
      </c>
      <c r="K357" s="27" t="s">
        <v>90</v>
      </c>
      <c r="L357" s="28" t="s">
        <v>56</v>
      </c>
      <c r="M357" s="29" t="str">
        <f t="shared" si="25"/>
        <v>⚠ Missing</v>
      </c>
      <c r="N357" s="4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70">
        <v>46248</v>
      </c>
      <c r="X357" s="30" t="s">
        <v>55</v>
      </c>
      <c r="Y357" s="30" t="s">
        <v>56</v>
      </c>
      <c r="Z357" s="30" t="s">
        <v>57</v>
      </c>
      <c r="AA357" s="30" t="s">
        <v>58</v>
      </c>
      <c r="AB357" s="30" t="s">
        <v>56</v>
      </c>
      <c r="AC357" s="27"/>
      <c r="AD357" s="31" t="s">
        <v>57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2036</v>
      </c>
      <c r="C358" s="41" t="s">
        <v>2037</v>
      </c>
      <c r="D358" s="39" t="s">
        <v>1331</v>
      </c>
      <c r="E358" s="42">
        <v>46132</v>
      </c>
      <c r="F358" s="26" t="s">
        <v>55</v>
      </c>
      <c r="G358" s="26" t="s">
        <v>57</v>
      </c>
      <c r="H358" s="26" t="s">
        <v>57</v>
      </c>
      <c r="I358" s="26" t="s">
        <v>89</v>
      </c>
      <c r="J358" s="26" t="s">
        <v>57</v>
      </c>
      <c r="K358" s="27" t="s">
        <v>90</v>
      </c>
      <c r="L358" s="28" t="s">
        <v>56</v>
      </c>
      <c r="M358" s="29" t="str">
        <f t="shared" si="25"/>
        <v>⚠ Missing</v>
      </c>
      <c r="N358" s="4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70">
        <v>46248</v>
      </c>
      <c r="X358" s="30" t="s">
        <v>55</v>
      </c>
      <c r="Y358" s="30" t="s">
        <v>56</v>
      </c>
      <c r="Z358" s="30" t="s">
        <v>57</v>
      </c>
      <c r="AA358" s="30" t="s">
        <v>58</v>
      </c>
      <c r="AB358" s="30" t="s">
        <v>56</v>
      </c>
      <c r="AC358" s="27"/>
      <c r="AD358" s="31" t="s">
        <v>57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2038</v>
      </c>
      <c r="C359" s="25" t="s">
        <v>2039</v>
      </c>
      <c r="D359" s="23" t="s">
        <v>1331</v>
      </c>
      <c r="E359" s="42">
        <v>46132</v>
      </c>
      <c r="F359" s="26" t="s">
        <v>55</v>
      </c>
      <c r="G359" s="26" t="s">
        <v>57</v>
      </c>
      <c r="H359" s="26" t="s">
        <v>57</v>
      </c>
      <c r="I359" s="26" t="s">
        <v>89</v>
      </c>
      <c r="J359" s="26" t="s">
        <v>57</v>
      </c>
      <c r="K359" s="27" t="s">
        <v>90</v>
      </c>
      <c r="L359" s="28" t="s">
        <v>56</v>
      </c>
      <c r="M359" s="29" t="str">
        <f t="shared" si="25"/>
        <v>⚠ Missing</v>
      </c>
      <c r="N359" s="4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70">
        <v>46248</v>
      </c>
      <c r="X359" s="30" t="s">
        <v>55</v>
      </c>
      <c r="Y359" s="30" t="s">
        <v>56</v>
      </c>
      <c r="Z359" s="30" t="s">
        <v>57</v>
      </c>
      <c r="AA359" s="30" t="s">
        <v>58</v>
      </c>
      <c r="AB359" s="30" t="s">
        <v>56</v>
      </c>
      <c r="AC359" s="27"/>
      <c r="AD359" s="31" t="s">
        <v>57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2040</v>
      </c>
      <c r="C360" s="41" t="s">
        <v>2041</v>
      </c>
      <c r="D360" s="39" t="s">
        <v>1331</v>
      </c>
      <c r="E360" s="42">
        <v>46132</v>
      </c>
      <c r="F360" s="26" t="s">
        <v>55</v>
      </c>
      <c r="G360" s="26" t="s">
        <v>57</v>
      </c>
      <c r="H360" s="26" t="s">
        <v>57</v>
      </c>
      <c r="I360" s="26" t="s">
        <v>89</v>
      </c>
      <c r="J360" s="26" t="s">
        <v>57</v>
      </c>
      <c r="K360" s="27" t="s">
        <v>90</v>
      </c>
      <c r="L360" s="28" t="s">
        <v>56</v>
      </c>
      <c r="M360" s="29" t="str">
        <f t="shared" si="25"/>
        <v>⚠ Missing</v>
      </c>
      <c r="N360" s="4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70">
        <v>46248</v>
      </c>
      <c r="X360" s="30" t="s">
        <v>55</v>
      </c>
      <c r="Y360" s="30" t="s">
        <v>56</v>
      </c>
      <c r="Z360" s="30" t="s">
        <v>57</v>
      </c>
      <c r="AA360" s="30" t="s">
        <v>58</v>
      </c>
      <c r="AB360" s="30" t="s">
        <v>56</v>
      </c>
      <c r="AC360" s="27"/>
      <c r="AD360" s="31" t="s">
        <v>57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2042</v>
      </c>
      <c r="C361" s="25" t="s">
        <v>2043</v>
      </c>
      <c r="D361" s="23" t="s">
        <v>1331</v>
      </c>
      <c r="E361" s="42">
        <v>46132</v>
      </c>
      <c r="F361" s="26" t="s">
        <v>55</v>
      </c>
      <c r="G361" s="26" t="s">
        <v>57</v>
      </c>
      <c r="H361" s="26" t="s">
        <v>57</v>
      </c>
      <c r="I361" s="26" t="s">
        <v>89</v>
      </c>
      <c r="J361" s="26" t="s">
        <v>57</v>
      </c>
      <c r="K361" s="27" t="s">
        <v>90</v>
      </c>
      <c r="L361" s="28" t="s">
        <v>56</v>
      </c>
      <c r="M361" s="29" t="str">
        <f t="shared" si="25"/>
        <v>⚠ Missing</v>
      </c>
      <c r="N361" s="4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70">
        <v>46248</v>
      </c>
      <c r="X361" s="30" t="s">
        <v>55</v>
      </c>
      <c r="Y361" s="30" t="s">
        <v>56</v>
      </c>
      <c r="Z361" s="30" t="s">
        <v>57</v>
      </c>
      <c r="AA361" s="30" t="s">
        <v>58</v>
      </c>
      <c r="AB361" s="30" t="s">
        <v>56</v>
      </c>
      <c r="AC361" s="27"/>
      <c r="AD361" s="31" t="s">
        <v>57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2044</v>
      </c>
      <c r="C362" s="41" t="s">
        <v>2045</v>
      </c>
      <c r="D362" s="39" t="s">
        <v>1331</v>
      </c>
      <c r="E362" s="42">
        <v>46132</v>
      </c>
      <c r="F362" s="26" t="s">
        <v>55</v>
      </c>
      <c r="G362" s="26" t="s">
        <v>57</v>
      </c>
      <c r="H362" s="26" t="s">
        <v>57</v>
      </c>
      <c r="I362" s="26" t="s">
        <v>89</v>
      </c>
      <c r="J362" s="26" t="s">
        <v>57</v>
      </c>
      <c r="K362" s="27" t="s">
        <v>90</v>
      </c>
      <c r="L362" s="28" t="s">
        <v>56</v>
      </c>
      <c r="M362" s="29" t="str">
        <f t="shared" si="25"/>
        <v>⚠ Missing</v>
      </c>
      <c r="N362" s="4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70">
        <v>46248</v>
      </c>
      <c r="X362" s="30" t="s">
        <v>55</v>
      </c>
      <c r="Y362" s="30" t="s">
        <v>56</v>
      </c>
      <c r="Z362" s="30" t="s">
        <v>57</v>
      </c>
      <c r="AA362" s="30" t="s">
        <v>58</v>
      </c>
      <c r="AB362" s="30" t="s">
        <v>56</v>
      </c>
      <c r="AC362" s="27"/>
      <c r="AD362" s="31" t="s">
        <v>57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2046</v>
      </c>
      <c r="C363" s="25" t="s">
        <v>2047</v>
      </c>
      <c r="D363" s="23" t="s">
        <v>1331</v>
      </c>
      <c r="E363" s="42">
        <v>46132</v>
      </c>
      <c r="F363" s="26" t="s">
        <v>55</v>
      </c>
      <c r="G363" s="26" t="s">
        <v>57</v>
      </c>
      <c r="H363" s="26" t="s">
        <v>57</v>
      </c>
      <c r="I363" s="26" t="s">
        <v>89</v>
      </c>
      <c r="J363" s="26" t="s">
        <v>57</v>
      </c>
      <c r="K363" s="27" t="s">
        <v>90</v>
      </c>
      <c r="L363" s="28" t="s">
        <v>56</v>
      </c>
      <c r="M363" s="29" t="str">
        <f t="shared" si="25"/>
        <v>⚠ Missing</v>
      </c>
      <c r="N363" s="4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70">
        <v>46248</v>
      </c>
      <c r="X363" s="30" t="s">
        <v>55</v>
      </c>
      <c r="Y363" s="30" t="s">
        <v>56</v>
      </c>
      <c r="Z363" s="30" t="s">
        <v>57</v>
      </c>
      <c r="AA363" s="30" t="s">
        <v>58</v>
      </c>
      <c r="AB363" s="30" t="s">
        <v>56</v>
      </c>
      <c r="AC363" s="27"/>
      <c r="AD363" s="31" t="s">
        <v>57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2048</v>
      </c>
      <c r="C364" s="41" t="s">
        <v>2049</v>
      </c>
      <c r="D364" s="39" t="s">
        <v>1331</v>
      </c>
      <c r="E364" s="42">
        <v>46132</v>
      </c>
      <c r="F364" s="26" t="s">
        <v>55</v>
      </c>
      <c r="G364" s="26" t="s">
        <v>57</v>
      </c>
      <c r="H364" s="26" t="s">
        <v>57</v>
      </c>
      <c r="I364" s="26" t="s">
        <v>89</v>
      </c>
      <c r="J364" s="26" t="s">
        <v>57</v>
      </c>
      <c r="K364" s="27" t="s">
        <v>90</v>
      </c>
      <c r="L364" s="28" t="s">
        <v>56</v>
      </c>
      <c r="M364" s="29" t="str">
        <f t="shared" si="25"/>
        <v>⚠ Missing</v>
      </c>
      <c r="N364" s="4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70">
        <v>46248</v>
      </c>
      <c r="X364" s="30" t="s">
        <v>55</v>
      </c>
      <c r="Y364" s="30" t="s">
        <v>56</v>
      </c>
      <c r="Z364" s="30" t="s">
        <v>57</v>
      </c>
      <c r="AA364" s="30" t="s">
        <v>58</v>
      </c>
      <c r="AB364" s="30" t="s">
        <v>56</v>
      </c>
      <c r="AC364" s="27"/>
      <c r="AD364" s="31" t="s">
        <v>57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2050</v>
      </c>
      <c r="C365" s="25" t="s">
        <v>2051</v>
      </c>
      <c r="D365" s="23" t="s">
        <v>1331</v>
      </c>
      <c r="E365" s="42">
        <v>46132</v>
      </c>
      <c r="F365" s="26" t="s">
        <v>55</v>
      </c>
      <c r="G365" s="26" t="s">
        <v>57</v>
      </c>
      <c r="H365" s="26" t="s">
        <v>57</v>
      </c>
      <c r="I365" s="26" t="s">
        <v>89</v>
      </c>
      <c r="J365" s="26" t="s">
        <v>57</v>
      </c>
      <c r="K365" s="27" t="s">
        <v>90</v>
      </c>
      <c r="L365" s="28" t="s">
        <v>56</v>
      </c>
      <c r="M365" s="29" t="str">
        <f t="shared" si="25"/>
        <v>⚠ Missing</v>
      </c>
      <c r="N365" s="4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70">
        <v>46248</v>
      </c>
      <c r="X365" s="30" t="s">
        <v>55</v>
      </c>
      <c r="Y365" s="30" t="s">
        <v>56</v>
      </c>
      <c r="Z365" s="30" t="s">
        <v>57</v>
      </c>
      <c r="AA365" s="30" t="s">
        <v>58</v>
      </c>
      <c r="AB365" s="30" t="s">
        <v>56</v>
      </c>
      <c r="AC365" s="27"/>
      <c r="AD365" s="31" t="s">
        <v>57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2052</v>
      </c>
      <c r="C366" s="41" t="s">
        <v>2053</v>
      </c>
      <c r="D366" s="39" t="s">
        <v>1331</v>
      </c>
      <c r="E366" s="42">
        <v>46132</v>
      </c>
      <c r="F366" s="26" t="s">
        <v>55</v>
      </c>
      <c r="G366" s="26" t="s">
        <v>57</v>
      </c>
      <c r="H366" s="26" t="s">
        <v>57</v>
      </c>
      <c r="I366" s="26" t="s">
        <v>89</v>
      </c>
      <c r="J366" s="26" t="s">
        <v>57</v>
      </c>
      <c r="K366" s="27" t="s">
        <v>90</v>
      </c>
      <c r="L366" s="28" t="s">
        <v>56</v>
      </c>
      <c r="M366" s="29" t="str">
        <f t="shared" si="25"/>
        <v>⚠ Missing</v>
      </c>
      <c r="N366" s="4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70">
        <v>46248</v>
      </c>
      <c r="X366" s="30" t="s">
        <v>55</v>
      </c>
      <c r="Y366" s="30" t="s">
        <v>56</v>
      </c>
      <c r="Z366" s="30" t="s">
        <v>57</v>
      </c>
      <c r="AA366" s="30" t="s">
        <v>58</v>
      </c>
      <c r="AB366" s="30" t="s">
        <v>56</v>
      </c>
      <c r="AC366" s="27"/>
      <c r="AD366" s="31" t="s">
        <v>57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2054</v>
      </c>
      <c r="C367" s="25" t="s">
        <v>2055</v>
      </c>
      <c r="D367" s="23" t="s">
        <v>1331</v>
      </c>
      <c r="E367" s="42">
        <v>46132</v>
      </c>
      <c r="F367" s="26" t="s">
        <v>55</v>
      </c>
      <c r="G367" s="26" t="s">
        <v>57</v>
      </c>
      <c r="H367" s="26" t="s">
        <v>57</v>
      </c>
      <c r="I367" s="26" t="s">
        <v>89</v>
      </c>
      <c r="J367" s="26" t="s">
        <v>57</v>
      </c>
      <c r="K367" s="27" t="s">
        <v>90</v>
      </c>
      <c r="L367" s="28" t="s">
        <v>56</v>
      </c>
      <c r="M367" s="29" t="str">
        <f t="shared" si="25"/>
        <v>⚠ Missing</v>
      </c>
      <c r="N367" s="4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70">
        <v>46248</v>
      </c>
      <c r="X367" s="30" t="s">
        <v>55</v>
      </c>
      <c r="Y367" s="30" t="s">
        <v>56</v>
      </c>
      <c r="Z367" s="30" t="s">
        <v>57</v>
      </c>
      <c r="AA367" s="30" t="s">
        <v>58</v>
      </c>
      <c r="AB367" s="30" t="s">
        <v>56</v>
      </c>
      <c r="AC367" s="27"/>
      <c r="AD367" s="31" t="s">
        <v>57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2056</v>
      </c>
      <c r="C368" s="41" t="s">
        <v>2057</v>
      </c>
      <c r="D368" s="39" t="s">
        <v>1331</v>
      </c>
      <c r="E368" s="42">
        <v>46132</v>
      </c>
      <c r="F368" s="26" t="s">
        <v>55</v>
      </c>
      <c r="G368" s="26" t="s">
        <v>57</v>
      </c>
      <c r="H368" s="26" t="s">
        <v>57</v>
      </c>
      <c r="I368" s="26" t="s">
        <v>89</v>
      </c>
      <c r="J368" s="26" t="s">
        <v>57</v>
      </c>
      <c r="K368" s="27" t="s">
        <v>90</v>
      </c>
      <c r="L368" s="28" t="s">
        <v>56</v>
      </c>
      <c r="M368" s="29" t="str">
        <f t="shared" si="25"/>
        <v>⚠ Missing</v>
      </c>
      <c r="N368" s="4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70">
        <v>46248</v>
      </c>
      <c r="X368" s="30" t="s">
        <v>55</v>
      </c>
      <c r="Y368" s="30" t="s">
        <v>56</v>
      </c>
      <c r="Z368" s="30" t="s">
        <v>57</v>
      </c>
      <c r="AA368" s="30" t="s">
        <v>58</v>
      </c>
      <c r="AB368" s="30" t="s">
        <v>56</v>
      </c>
      <c r="AC368" s="27"/>
      <c r="AD368" s="31" t="s">
        <v>57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2058</v>
      </c>
      <c r="C369" s="25" t="s">
        <v>2059</v>
      </c>
      <c r="D369" s="23" t="s">
        <v>1331</v>
      </c>
      <c r="E369" s="42">
        <v>46132</v>
      </c>
      <c r="F369" s="26" t="s">
        <v>55</v>
      </c>
      <c r="G369" s="26" t="s">
        <v>57</v>
      </c>
      <c r="H369" s="26" t="s">
        <v>57</v>
      </c>
      <c r="I369" s="26" t="s">
        <v>89</v>
      </c>
      <c r="J369" s="26" t="s">
        <v>57</v>
      </c>
      <c r="K369" s="27" t="s">
        <v>90</v>
      </c>
      <c r="L369" s="28" t="s">
        <v>56</v>
      </c>
      <c r="M369" s="29" t="str">
        <f t="shared" si="25"/>
        <v>⚠ Missing</v>
      </c>
      <c r="N369" s="4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70">
        <v>46248</v>
      </c>
      <c r="X369" s="30" t="s">
        <v>55</v>
      </c>
      <c r="Y369" s="30" t="s">
        <v>56</v>
      </c>
      <c r="Z369" s="30" t="s">
        <v>57</v>
      </c>
      <c r="AA369" s="30" t="s">
        <v>58</v>
      </c>
      <c r="AB369" s="30" t="s">
        <v>56</v>
      </c>
      <c r="AC369" s="27"/>
      <c r="AD369" s="31" t="s">
        <v>57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2060</v>
      </c>
      <c r="C370" s="41" t="s">
        <v>2061</v>
      </c>
      <c r="D370" s="39" t="s">
        <v>1331</v>
      </c>
      <c r="E370" s="42">
        <v>46132</v>
      </c>
      <c r="F370" s="26" t="s">
        <v>55</v>
      </c>
      <c r="G370" s="26" t="s">
        <v>57</v>
      </c>
      <c r="H370" s="26" t="s">
        <v>57</v>
      </c>
      <c r="I370" s="26" t="s">
        <v>89</v>
      </c>
      <c r="J370" s="26" t="s">
        <v>57</v>
      </c>
      <c r="K370" s="27" t="s">
        <v>90</v>
      </c>
      <c r="L370" s="28" t="s">
        <v>56</v>
      </c>
      <c r="M370" s="29" t="str">
        <f t="shared" si="25"/>
        <v>⚠ Missing</v>
      </c>
      <c r="N370" s="4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70">
        <v>46248</v>
      </c>
      <c r="X370" s="30" t="s">
        <v>55</v>
      </c>
      <c r="Y370" s="30" t="s">
        <v>56</v>
      </c>
      <c r="Z370" s="30" t="s">
        <v>57</v>
      </c>
      <c r="AA370" s="30" t="s">
        <v>58</v>
      </c>
      <c r="AB370" s="30" t="s">
        <v>56</v>
      </c>
      <c r="AC370" s="27"/>
      <c r="AD370" s="31" t="s">
        <v>57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2062</v>
      </c>
      <c r="C371" s="25" t="s">
        <v>2063</v>
      </c>
      <c r="D371" s="23" t="s">
        <v>1331</v>
      </c>
      <c r="E371" s="42">
        <v>46132</v>
      </c>
      <c r="F371" s="26" t="s">
        <v>55</v>
      </c>
      <c r="G371" s="26" t="s">
        <v>57</v>
      </c>
      <c r="H371" s="26" t="s">
        <v>57</v>
      </c>
      <c r="I371" s="26" t="s">
        <v>89</v>
      </c>
      <c r="J371" s="26" t="s">
        <v>57</v>
      </c>
      <c r="K371" s="27" t="s">
        <v>90</v>
      </c>
      <c r="L371" s="28" t="s">
        <v>56</v>
      </c>
      <c r="M371" s="29" t="str">
        <f t="shared" si="25"/>
        <v>⚠ Missing</v>
      </c>
      <c r="N371" s="4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70">
        <v>46248</v>
      </c>
      <c r="X371" s="30" t="s">
        <v>55</v>
      </c>
      <c r="Y371" s="30" t="s">
        <v>56</v>
      </c>
      <c r="Z371" s="30" t="s">
        <v>57</v>
      </c>
      <c r="AA371" s="30" t="s">
        <v>58</v>
      </c>
      <c r="AB371" s="30" t="s">
        <v>56</v>
      </c>
      <c r="AC371" s="27"/>
      <c r="AD371" s="31" t="s">
        <v>57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2064</v>
      </c>
      <c r="C372" s="41" t="s">
        <v>2065</v>
      </c>
      <c r="D372" s="39" t="s">
        <v>1331</v>
      </c>
      <c r="E372" s="42">
        <v>46132</v>
      </c>
      <c r="F372" s="26" t="s">
        <v>55</v>
      </c>
      <c r="G372" s="26" t="s">
        <v>57</v>
      </c>
      <c r="H372" s="26" t="s">
        <v>57</v>
      </c>
      <c r="I372" s="26" t="s">
        <v>89</v>
      </c>
      <c r="J372" s="26" t="s">
        <v>57</v>
      </c>
      <c r="K372" s="27" t="s">
        <v>90</v>
      </c>
      <c r="L372" s="28" t="s">
        <v>56</v>
      </c>
      <c r="M372" s="29" t="str">
        <f t="shared" si="25"/>
        <v>⚠ Missing</v>
      </c>
      <c r="N372" s="4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70">
        <v>46248</v>
      </c>
      <c r="X372" s="30" t="s">
        <v>55</v>
      </c>
      <c r="Y372" s="30" t="s">
        <v>56</v>
      </c>
      <c r="Z372" s="30" t="s">
        <v>57</v>
      </c>
      <c r="AA372" s="30" t="s">
        <v>58</v>
      </c>
      <c r="AB372" s="30" t="s">
        <v>56</v>
      </c>
      <c r="AC372" s="27"/>
      <c r="AD372" s="31" t="s">
        <v>57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2066</v>
      </c>
      <c r="C373" s="25" t="s">
        <v>2067</v>
      </c>
      <c r="D373" s="23" t="s">
        <v>1331</v>
      </c>
      <c r="E373" s="42">
        <v>46132</v>
      </c>
      <c r="F373" s="26" t="s">
        <v>55</v>
      </c>
      <c r="G373" s="26" t="s">
        <v>57</v>
      </c>
      <c r="H373" s="26" t="s">
        <v>57</v>
      </c>
      <c r="I373" s="26" t="s">
        <v>89</v>
      </c>
      <c r="J373" s="26" t="s">
        <v>57</v>
      </c>
      <c r="K373" s="27" t="s">
        <v>90</v>
      </c>
      <c r="L373" s="28" t="s">
        <v>56</v>
      </c>
      <c r="M373" s="29" t="str">
        <f t="shared" si="25"/>
        <v>⚠ Missing</v>
      </c>
      <c r="N373" s="4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70">
        <v>46248</v>
      </c>
      <c r="X373" s="30" t="s">
        <v>55</v>
      </c>
      <c r="Y373" s="30" t="s">
        <v>56</v>
      </c>
      <c r="Z373" s="30" t="s">
        <v>57</v>
      </c>
      <c r="AA373" s="30" t="s">
        <v>58</v>
      </c>
      <c r="AB373" s="30" t="s">
        <v>56</v>
      </c>
      <c r="AC373" s="27"/>
      <c r="AD373" s="31" t="s">
        <v>57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2068</v>
      </c>
      <c r="C374" s="41" t="s">
        <v>2069</v>
      </c>
      <c r="D374" s="39" t="s">
        <v>1331</v>
      </c>
      <c r="E374" s="42">
        <v>46132</v>
      </c>
      <c r="F374" s="26" t="s">
        <v>55</v>
      </c>
      <c r="G374" s="26" t="s">
        <v>57</v>
      </c>
      <c r="H374" s="26" t="s">
        <v>57</v>
      </c>
      <c r="I374" s="26" t="s">
        <v>89</v>
      </c>
      <c r="J374" s="26" t="s">
        <v>57</v>
      </c>
      <c r="K374" s="27" t="s">
        <v>90</v>
      </c>
      <c r="L374" s="28" t="s">
        <v>56</v>
      </c>
      <c r="M374" s="29" t="str">
        <f t="shared" si="25"/>
        <v>⚠ Missing</v>
      </c>
      <c r="N374" s="4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70">
        <v>46248</v>
      </c>
      <c r="X374" s="30" t="s">
        <v>55</v>
      </c>
      <c r="Y374" s="30" t="s">
        <v>56</v>
      </c>
      <c r="Z374" s="30" t="s">
        <v>57</v>
      </c>
      <c r="AA374" s="30" t="s">
        <v>58</v>
      </c>
      <c r="AB374" s="30" t="s">
        <v>56</v>
      </c>
      <c r="AC374" s="27"/>
      <c r="AD374" s="31" t="s">
        <v>57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2070</v>
      </c>
      <c r="C375" s="25" t="s">
        <v>2071</v>
      </c>
      <c r="D375" s="23" t="s">
        <v>1331</v>
      </c>
      <c r="E375" s="42">
        <v>46132</v>
      </c>
      <c r="F375" s="26" t="s">
        <v>55</v>
      </c>
      <c r="G375" s="26" t="s">
        <v>57</v>
      </c>
      <c r="H375" s="26" t="s">
        <v>57</v>
      </c>
      <c r="I375" s="26" t="s">
        <v>89</v>
      </c>
      <c r="J375" s="26" t="s">
        <v>57</v>
      </c>
      <c r="K375" s="27" t="s">
        <v>90</v>
      </c>
      <c r="L375" s="28" t="s">
        <v>56</v>
      </c>
      <c r="M375" s="29" t="str">
        <f t="shared" si="25"/>
        <v>⚠ Missing</v>
      </c>
      <c r="N375" s="4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70">
        <v>46248</v>
      </c>
      <c r="X375" s="30" t="s">
        <v>55</v>
      </c>
      <c r="Y375" s="30" t="s">
        <v>56</v>
      </c>
      <c r="Z375" s="30" t="s">
        <v>57</v>
      </c>
      <c r="AA375" s="30" t="s">
        <v>58</v>
      </c>
      <c r="AB375" s="30" t="s">
        <v>56</v>
      </c>
      <c r="AC375" s="27"/>
      <c r="AD375" s="31" t="s">
        <v>57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2072</v>
      </c>
      <c r="C376" s="41" t="s">
        <v>2073</v>
      </c>
      <c r="D376" s="39" t="s">
        <v>1331</v>
      </c>
      <c r="E376" s="42">
        <v>46132</v>
      </c>
      <c r="F376" s="26" t="s">
        <v>55</v>
      </c>
      <c r="G376" s="26" t="s">
        <v>57</v>
      </c>
      <c r="H376" s="26" t="s">
        <v>57</v>
      </c>
      <c r="I376" s="26" t="s">
        <v>89</v>
      </c>
      <c r="J376" s="26" t="s">
        <v>57</v>
      </c>
      <c r="K376" s="27" t="s">
        <v>90</v>
      </c>
      <c r="L376" s="28" t="s">
        <v>56</v>
      </c>
      <c r="M376" s="29" t="str">
        <f t="shared" si="25"/>
        <v>⚠ Missing</v>
      </c>
      <c r="N376" s="4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70">
        <v>46248</v>
      </c>
      <c r="X376" s="30" t="s">
        <v>55</v>
      </c>
      <c r="Y376" s="30" t="s">
        <v>56</v>
      </c>
      <c r="Z376" s="30" t="s">
        <v>57</v>
      </c>
      <c r="AA376" s="30" t="s">
        <v>58</v>
      </c>
      <c r="AB376" s="30" t="s">
        <v>56</v>
      </c>
      <c r="AC376" s="27"/>
      <c r="AD376" s="31" t="s">
        <v>57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2074</v>
      </c>
      <c r="C377" s="25" t="s">
        <v>2075</v>
      </c>
      <c r="D377" s="23" t="s">
        <v>1331</v>
      </c>
      <c r="E377" s="42">
        <v>46132</v>
      </c>
      <c r="F377" s="26" t="s">
        <v>55</v>
      </c>
      <c r="G377" s="26" t="s">
        <v>57</v>
      </c>
      <c r="H377" s="26" t="s">
        <v>57</v>
      </c>
      <c r="I377" s="26" t="s">
        <v>89</v>
      </c>
      <c r="J377" s="26" t="s">
        <v>57</v>
      </c>
      <c r="K377" s="27" t="s">
        <v>90</v>
      </c>
      <c r="L377" s="28" t="s">
        <v>56</v>
      </c>
      <c r="M377" s="29" t="str">
        <f t="shared" si="25"/>
        <v>⚠ Missing</v>
      </c>
      <c r="N377" s="4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70">
        <v>46248</v>
      </c>
      <c r="X377" s="30" t="s">
        <v>55</v>
      </c>
      <c r="Y377" s="30" t="s">
        <v>56</v>
      </c>
      <c r="Z377" s="30" t="s">
        <v>57</v>
      </c>
      <c r="AA377" s="30" t="s">
        <v>58</v>
      </c>
      <c r="AB377" s="30" t="s">
        <v>56</v>
      </c>
      <c r="AC377" s="27"/>
      <c r="AD377" s="31" t="s">
        <v>57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2076</v>
      </c>
      <c r="C378" s="41" t="s">
        <v>2077</v>
      </c>
      <c r="D378" s="39" t="s">
        <v>1331</v>
      </c>
      <c r="E378" s="42">
        <v>46132</v>
      </c>
      <c r="F378" s="26" t="s">
        <v>55</v>
      </c>
      <c r="G378" s="26" t="s">
        <v>57</v>
      </c>
      <c r="H378" s="26" t="s">
        <v>57</v>
      </c>
      <c r="I378" s="26" t="s">
        <v>89</v>
      </c>
      <c r="J378" s="26" t="s">
        <v>57</v>
      </c>
      <c r="K378" s="27" t="s">
        <v>90</v>
      </c>
      <c r="L378" s="28" t="s">
        <v>56</v>
      </c>
      <c r="M378" s="29" t="str">
        <f t="shared" si="25"/>
        <v>⚠ Missing</v>
      </c>
      <c r="N378" s="4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70">
        <v>46248</v>
      </c>
      <c r="X378" s="30" t="s">
        <v>55</v>
      </c>
      <c r="Y378" s="30" t="s">
        <v>56</v>
      </c>
      <c r="Z378" s="30" t="s">
        <v>57</v>
      </c>
      <c r="AA378" s="30" t="s">
        <v>58</v>
      </c>
      <c r="AB378" s="30" t="s">
        <v>56</v>
      </c>
      <c r="AC378" s="27"/>
      <c r="AD378" s="31" t="s">
        <v>57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2078</v>
      </c>
      <c r="C379" s="25" t="s">
        <v>2079</v>
      </c>
      <c r="D379" s="23" t="s">
        <v>1331</v>
      </c>
      <c r="E379" s="42">
        <v>46132</v>
      </c>
      <c r="F379" s="26" t="s">
        <v>55</v>
      </c>
      <c r="G379" s="26" t="s">
        <v>57</v>
      </c>
      <c r="H379" s="26" t="s">
        <v>57</v>
      </c>
      <c r="I379" s="26" t="s">
        <v>89</v>
      </c>
      <c r="J379" s="26" t="s">
        <v>57</v>
      </c>
      <c r="K379" s="27" t="s">
        <v>90</v>
      </c>
      <c r="L379" s="28" t="s">
        <v>56</v>
      </c>
      <c r="M379" s="29" t="str">
        <f t="shared" si="25"/>
        <v>⚠ Missing</v>
      </c>
      <c r="N379" s="4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70">
        <v>46248</v>
      </c>
      <c r="X379" s="30" t="s">
        <v>55</v>
      </c>
      <c r="Y379" s="30" t="s">
        <v>56</v>
      </c>
      <c r="Z379" s="30" t="s">
        <v>57</v>
      </c>
      <c r="AA379" s="30" t="s">
        <v>58</v>
      </c>
      <c r="AB379" s="30" t="s">
        <v>56</v>
      </c>
      <c r="AC379" s="27"/>
      <c r="AD379" s="31" t="s">
        <v>57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2080</v>
      </c>
      <c r="C380" s="41" t="s">
        <v>2081</v>
      </c>
      <c r="D380" s="39" t="s">
        <v>1331</v>
      </c>
      <c r="E380" s="42">
        <v>46132</v>
      </c>
      <c r="F380" s="26" t="s">
        <v>55</v>
      </c>
      <c r="G380" s="26" t="s">
        <v>57</v>
      </c>
      <c r="H380" s="26" t="s">
        <v>57</v>
      </c>
      <c r="I380" s="26" t="s">
        <v>89</v>
      </c>
      <c r="J380" s="26" t="s">
        <v>57</v>
      </c>
      <c r="K380" s="27" t="s">
        <v>90</v>
      </c>
      <c r="L380" s="28" t="s">
        <v>56</v>
      </c>
      <c r="M380" s="29" t="str">
        <f t="shared" si="25"/>
        <v>⚠ Missing</v>
      </c>
      <c r="N380" s="4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70">
        <v>46248</v>
      </c>
      <c r="X380" s="30" t="s">
        <v>55</v>
      </c>
      <c r="Y380" s="30" t="s">
        <v>56</v>
      </c>
      <c r="Z380" s="30" t="s">
        <v>57</v>
      </c>
      <c r="AA380" s="30" t="s">
        <v>58</v>
      </c>
      <c r="AB380" s="30" t="s">
        <v>56</v>
      </c>
      <c r="AC380" s="27"/>
      <c r="AD380" s="31" t="s">
        <v>57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2082</v>
      </c>
      <c r="C381" s="25" t="s">
        <v>2083</v>
      </c>
      <c r="D381" s="23" t="s">
        <v>1331</v>
      </c>
      <c r="E381" s="42">
        <v>46132</v>
      </c>
      <c r="F381" s="26" t="s">
        <v>55</v>
      </c>
      <c r="G381" s="26" t="s">
        <v>57</v>
      </c>
      <c r="H381" s="26" t="s">
        <v>57</v>
      </c>
      <c r="I381" s="26" t="s">
        <v>89</v>
      </c>
      <c r="J381" s="26" t="s">
        <v>57</v>
      </c>
      <c r="K381" s="27" t="s">
        <v>90</v>
      </c>
      <c r="L381" s="28" t="s">
        <v>56</v>
      </c>
      <c r="M381" s="29" t="str">
        <f t="shared" si="25"/>
        <v>⚠ Missing</v>
      </c>
      <c r="N381" s="4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70">
        <v>46248</v>
      </c>
      <c r="X381" s="30" t="s">
        <v>55</v>
      </c>
      <c r="Y381" s="30" t="s">
        <v>56</v>
      </c>
      <c r="Z381" s="30" t="s">
        <v>57</v>
      </c>
      <c r="AA381" s="30" t="s">
        <v>58</v>
      </c>
      <c r="AB381" s="30" t="s">
        <v>56</v>
      </c>
      <c r="AC381" s="27"/>
      <c r="AD381" s="31" t="s">
        <v>57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2084</v>
      </c>
      <c r="C382" s="41" t="s">
        <v>2085</v>
      </c>
      <c r="D382" s="39" t="s">
        <v>1331</v>
      </c>
      <c r="E382" s="42">
        <v>46132</v>
      </c>
      <c r="F382" s="26" t="s">
        <v>55</v>
      </c>
      <c r="G382" s="26" t="s">
        <v>57</v>
      </c>
      <c r="H382" s="26" t="s">
        <v>57</v>
      </c>
      <c r="I382" s="26" t="s">
        <v>89</v>
      </c>
      <c r="J382" s="26" t="s">
        <v>57</v>
      </c>
      <c r="K382" s="27" t="s">
        <v>90</v>
      </c>
      <c r="L382" s="28" t="s">
        <v>56</v>
      </c>
      <c r="M382" s="29" t="str">
        <f t="shared" si="25"/>
        <v>⚠ Missing</v>
      </c>
      <c r="N382" s="4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70">
        <v>46248</v>
      </c>
      <c r="X382" s="30" t="s">
        <v>55</v>
      </c>
      <c r="Y382" s="30" t="s">
        <v>56</v>
      </c>
      <c r="Z382" s="30" t="s">
        <v>57</v>
      </c>
      <c r="AA382" s="30" t="s">
        <v>58</v>
      </c>
      <c r="AB382" s="30" t="s">
        <v>56</v>
      </c>
      <c r="AC382" s="27"/>
      <c r="AD382" s="31" t="s">
        <v>57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2086</v>
      </c>
      <c r="C383" s="25" t="s">
        <v>2087</v>
      </c>
      <c r="D383" s="23" t="s">
        <v>1331</v>
      </c>
      <c r="E383" s="42">
        <v>46132</v>
      </c>
      <c r="F383" s="26" t="s">
        <v>55</v>
      </c>
      <c r="G383" s="26" t="s">
        <v>57</v>
      </c>
      <c r="H383" s="26" t="s">
        <v>57</v>
      </c>
      <c r="I383" s="26" t="s">
        <v>89</v>
      </c>
      <c r="J383" s="26" t="s">
        <v>57</v>
      </c>
      <c r="K383" s="27" t="s">
        <v>90</v>
      </c>
      <c r="L383" s="28" t="s">
        <v>56</v>
      </c>
      <c r="M383" s="29" t="str">
        <f t="shared" si="25"/>
        <v>⚠ Missing</v>
      </c>
      <c r="N383" s="4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70">
        <v>46248</v>
      </c>
      <c r="X383" s="30" t="s">
        <v>55</v>
      </c>
      <c r="Y383" s="30" t="s">
        <v>56</v>
      </c>
      <c r="Z383" s="30" t="s">
        <v>57</v>
      </c>
      <c r="AA383" s="30" t="s">
        <v>58</v>
      </c>
      <c r="AB383" s="30" t="s">
        <v>56</v>
      </c>
      <c r="AC383" s="27"/>
      <c r="AD383" s="31" t="s">
        <v>57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2088</v>
      </c>
      <c r="C384" s="41" t="s">
        <v>2089</v>
      </c>
      <c r="D384" s="39" t="s">
        <v>1331</v>
      </c>
      <c r="E384" s="42">
        <v>46132</v>
      </c>
      <c r="F384" s="26" t="s">
        <v>55</v>
      </c>
      <c r="G384" s="26" t="s">
        <v>57</v>
      </c>
      <c r="H384" s="26" t="s">
        <v>57</v>
      </c>
      <c r="I384" s="26" t="s">
        <v>89</v>
      </c>
      <c r="J384" s="26" t="s">
        <v>57</v>
      </c>
      <c r="K384" s="27" t="s">
        <v>90</v>
      </c>
      <c r="L384" s="28" t="s">
        <v>56</v>
      </c>
      <c r="M384" s="29" t="str">
        <f t="shared" si="25"/>
        <v>⚠ Missing</v>
      </c>
      <c r="N384" s="4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70">
        <v>46248</v>
      </c>
      <c r="X384" s="30" t="s">
        <v>55</v>
      </c>
      <c r="Y384" s="30" t="s">
        <v>56</v>
      </c>
      <c r="Z384" s="30" t="s">
        <v>57</v>
      </c>
      <c r="AA384" s="30" t="s">
        <v>58</v>
      </c>
      <c r="AB384" s="30" t="s">
        <v>56</v>
      </c>
      <c r="AC384" s="27"/>
      <c r="AD384" s="31" t="s">
        <v>57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2090</v>
      </c>
      <c r="C385" s="25" t="s">
        <v>2091</v>
      </c>
      <c r="D385" s="23" t="s">
        <v>1331</v>
      </c>
      <c r="E385" s="42">
        <v>46132</v>
      </c>
      <c r="F385" s="26" t="s">
        <v>55</v>
      </c>
      <c r="G385" s="26" t="s">
        <v>57</v>
      </c>
      <c r="H385" s="26" t="s">
        <v>57</v>
      </c>
      <c r="I385" s="26" t="s">
        <v>89</v>
      </c>
      <c r="J385" s="26" t="s">
        <v>57</v>
      </c>
      <c r="K385" s="27" t="s">
        <v>90</v>
      </c>
      <c r="L385" s="28" t="s">
        <v>56</v>
      </c>
      <c r="M385" s="29" t="str">
        <f t="shared" si="25"/>
        <v>⚠ Missing</v>
      </c>
      <c r="N385" s="4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70">
        <v>46248</v>
      </c>
      <c r="X385" s="30" t="s">
        <v>55</v>
      </c>
      <c r="Y385" s="30" t="s">
        <v>56</v>
      </c>
      <c r="Z385" s="30" t="s">
        <v>57</v>
      </c>
      <c r="AA385" s="30" t="s">
        <v>58</v>
      </c>
      <c r="AB385" s="30" t="s">
        <v>56</v>
      </c>
      <c r="AC385" s="27"/>
      <c r="AD385" s="31" t="s">
        <v>57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2092</v>
      </c>
      <c r="C386" s="41" t="s">
        <v>2093</v>
      </c>
      <c r="D386" s="39" t="s">
        <v>1331</v>
      </c>
      <c r="E386" s="42">
        <v>46132</v>
      </c>
      <c r="F386" s="26" t="s">
        <v>55</v>
      </c>
      <c r="G386" s="26" t="s">
        <v>57</v>
      </c>
      <c r="H386" s="26" t="s">
        <v>57</v>
      </c>
      <c r="I386" s="26" t="s">
        <v>89</v>
      </c>
      <c r="J386" s="26" t="s">
        <v>57</v>
      </c>
      <c r="K386" s="27" t="s">
        <v>90</v>
      </c>
      <c r="L386" s="28" t="s">
        <v>56</v>
      </c>
      <c r="M386" s="29" t="str">
        <f t="shared" si="25"/>
        <v>⚠ Missing</v>
      </c>
      <c r="N386" s="4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70">
        <v>46248</v>
      </c>
      <c r="X386" s="30" t="s">
        <v>55</v>
      </c>
      <c r="Y386" s="30" t="s">
        <v>56</v>
      </c>
      <c r="Z386" s="30" t="s">
        <v>57</v>
      </c>
      <c r="AA386" s="30" t="s">
        <v>58</v>
      </c>
      <c r="AB386" s="30" t="s">
        <v>56</v>
      </c>
      <c r="AC386" s="27"/>
      <c r="AD386" s="31" t="s">
        <v>57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2094</v>
      </c>
      <c r="C387" s="25" t="s">
        <v>2095</v>
      </c>
      <c r="D387" s="23" t="s">
        <v>1331</v>
      </c>
      <c r="E387" s="42">
        <v>46132</v>
      </c>
      <c r="F387" s="26" t="s">
        <v>55</v>
      </c>
      <c r="G387" s="26" t="s">
        <v>57</v>
      </c>
      <c r="H387" s="26" t="s">
        <v>57</v>
      </c>
      <c r="I387" s="26" t="s">
        <v>89</v>
      </c>
      <c r="J387" s="26" t="s">
        <v>57</v>
      </c>
      <c r="K387" s="27" t="s">
        <v>90</v>
      </c>
      <c r="L387" s="28" t="s">
        <v>56</v>
      </c>
      <c r="M387" s="29" t="str">
        <f t="shared" si="25"/>
        <v>⚠ Missing</v>
      </c>
      <c r="N387" s="4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70">
        <v>46248</v>
      </c>
      <c r="X387" s="30" t="s">
        <v>55</v>
      </c>
      <c r="Y387" s="30" t="s">
        <v>56</v>
      </c>
      <c r="Z387" s="30" t="s">
        <v>57</v>
      </c>
      <c r="AA387" s="30" t="s">
        <v>58</v>
      </c>
      <c r="AB387" s="30" t="s">
        <v>56</v>
      </c>
      <c r="AC387" s="27"/>
      <c r="AD387" s="31" t="s">
        <v>57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2096</v>
      </c>
      <c r="C388" s="41" t="s">
        <v>2097</v>
      </c>
      <c r="D388" s="39" t="s">
        <v>1331</v>
      </c>
      <c r="E388" s="42">
        <v>46132</v>
      </c>
      <c r="F388" s="26" t="s">
        <v>55</v>
      </c>
      <c r="G388" s="26" t="s">
        <v>57</v>
      </c>
      <c r="H388" s="26" t="s">
        <v>57</v>
      </c>
      <c r="I388" s="26" t="s">
        <v>89</v>
      </c>
      <c r="J388" s="26" t="s">
        <v>57</v>
      </c>
      <c r="K388" s="27" t="s">
        <v>90</v>
      </c>
      <c r="L388" s="28" t="s">
        <v>56</v>
      </c>
      <c r="M388" s="29" t="str">
        <f t="shared" si="25"/>
        <v>⚠ Missing</v>
      </c>
      <c r="N388" s="4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70">
        <v>46248</v>
      </c>
      <c r="X388" s="30" t="s">
        <v>55</v>
      </c>
      <c r="Y388" s="30" t="s">
        <v>56</v>
      </c>
      <c r="Z388" s="30" t="s">
        <v>57</v>
      </c>
      <c r="AA388" s="30" t="s">
        <v>58</v>
      </c>
      <c r="AB388" s="30" t="s">
        <v>56</v>
      </c>
      <c r="AC388" s="27"/>
      <c r="AD388" s="31" t="s">
        <v>57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2098</v>
      </c>
      <c r="C389" s="25" t="s">
        <v>2099</v>
      </c>
      <c r="D389" s="23" t="s">
        <v>1331</v>
      </c>
      <c r="E389" s="42">
        <v>46132</v>
      </c>
      <c r="F389" s="26" t="s">
        <v>55</v>
      </c>
      <c r="G389" s="26" t="s">
        <v>57</v>
      </c>
      <c r="H389" s="26" t="s">
        <v>57</v>
      </c>
      <c r="I389" s="26" t="s">
        <v>89</v>
      </c>
      <c r="J389" s="26" t="s">
        <v>57</v>
      </c>
      <c r="K389" s="27" t="s">
        <v>90</v>
      </c>
      <c r="L389" s="28" t="s">
        <v>56</v>
      </c>
      <c r="M389" s="29" t="str">
        <f t="shared" ref="M389:M452" si="30">IF(E389="","",IF(H389="Yes","❌ Disc",IF(G389="No","⚠ Missing",IF(J389="Yes","✓ OK","⚠ Check"))))</f>
        <v>⚠ Missing</v>
      </c>
      <c r="N389" s="4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 t="s">
        <v>57</v>
      </c>
      <c r="AA389" s="30" t="s">
        <v>58</v>
      </c>
      <c r="AB389" s="30" t="s">
        <v>56</v>
      </c>
      <c r="AC389" s="27"/>
      <c r="AD389" s="31" t="s">
        <v>57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2100</v>
      </c>
      <c r="C390" s="41" t="s">
        <v>2101</v>
      </c>
      <c r="D390" s="39" t="s">
        <v>1331</v>
      </c>
      <c r="E390" s="42">
        <v>46132</v>
      </c>
      <c r="F390" s="26" t="s">
        <v>55</v>
      </c>
      <c r="G390" s="26" t="s">
        <v>57</v>
      </c>
      <c r="H390" s="26" t="s">
        <v>57</v>
      </c>
      <c r="I390" s="26" t="s">
        <v>89</v>
      </c>
      <c r="J390" s="26" t="s">
        <v>57</v>
      </c>
      <c r="K390" s="27" t="s">
        <v>90</v>
      </c>
      <c r="L390" s="28" t="s">
        <v>56</v>
      </c>
      <c r="M390" s="29" t="str">
        <f t="shared" si="30"/>
        <v>⚠ Missing</v>
      </c>
      <c r="N390" s="4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70">
        <v>46248</v>
      </c>
      <c r="X390" s="30" t="s">
        <v>55</v>
      </c>
      <c r="Y390" s="30" t="s">
        <v>56</v>
      </c>
      <c r="Z390" s="30" t="s">
        <v>57</v>
      </c>
      <c r="AA390" s="30" t="s">
        <v>58</v>
      </c>
      <c r="AB390" s="30" t="s">
        <v>56</v>
      </c>
      <c r="AC390" s="27"/>
      <c r="AD390" s="31" t="s">
        <v>57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2102</v>
      </c>
      <c r="C391" s="25" t="s">
        <v>2103</v>
      </c>
      <c r="D391" s="23" t="s">
        <v>1331</v>
      </c>
      <c r="E391" s="42">
        <v>46132</v>
      </c>
      <c r="F391" s="26" t="s">
        <v>55</v>
      </c>
      <c r="G391" s="26" t="s">
        <v>57</v>
      </c>
      <c r="H391" s="26" t="s">
        <v>57</v>
      </c>
      <c r="I391" s="26" t="s">
        <v>89</v>
      </c>
      <c r="J391" s="26" t="s">
        <v>57</v>
      </c>
      <c r="K391" s="27" t="s">
        <v>90</v>
      </c>
      <c r="L391" s="28" t="s">
        <v>56</v>
      </c>
      <c r="M391" s="29" t="str">
        <f t="shared" si="30"/>
        <v>⚠ Missing</v>
      </c>
      <c r="N391" s="4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70">
        <v>46248</v>
      </c>
      <c r="X391" s="30" t="s">
        <v>55</v>
      </c>
      <c r="Y391" s="30" t="s">
        <v>56</v>
      </c>
      <c r="Z391" s="30" t="s">
        <v>57</v>
      </c>
      <c r="AA391" s="30" t="s">
        <v>58</v>
      </c>
      <c r="AB391" s="30" t="s">
        <v>56</v>
      </c>
      <c r="AC391" s="27"/>
      <c r="AD391" s="31" t="s">
        <v>57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2104</v>
      </c>
      <c r="C392" s="41" t="s">
        <v>2105</v>
      </c>
      <c r="D392" s="39" t="s">
        <v>1331</v>
      </c>
      <c r="E392" s="42">
        <v>46132</v>
      </c>
      <c r="F392" s="26" t="s">
        <v>55</v>
      </c>
      <c r="G392" s="26" t="s">
        <v>57</v>
      </c>
      <c r="H392" s="26" t="s">
        <v>57</v>
      </c>
      <c r="I392" s="26" t="s">
        <v>89</v>
      </c>
      <c r="J392" s="26" t="s">
        <v>57</v>
      </c>
      <c r="K392" s="27" t="s">
        <v>90</v>
      </c>
      <c r="L392" s="28" t="s">
        <v>56</v>
      </c>
      <c r="M392" s="29" t="str">
        <f t="shared" si="30"/>
        <v>⚠ Missing</v>
      </c>
      <c r="N392" s="4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70">
        <v>46248</v>
      </c>
      <c r="X392" s="30" t="s">
        <v>55</v>
      </c>
      <c r="Y392" s="30" t="s">
        <v>56</v>
      </c>
      <c r="Z392" s="30" t="s">
        <v>57</v>
      </c>
      <c r="AA392" s="30" t="s">
        <v>58</v>
      </c>
      <c r="AB392" s="30" t="s">
        <v>56</v>
      </c>
      <c r="AC392" s="27"/>
      <c r="AD392" s="31" t="s">
        <v>57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2106</v>
      </c>
      <c r="C393" s="25" t="s">
        <v>2107</v>
      </c>
      <c r="D393" s="23" t="s">
        <v>1331</v>
      </c>
      <c r="E393" s="42">
        <v>46132</v>
      </c>
      <c r="F393" s="26" t="s">
        <v>55</v>
      </c>
      <c r="G393" s="26" t="s">
        <v>57</v>
      </c>
      <c r="H393" s="26" t="s">
        <v>57</v>
      </c>
      <c r="I393" s="26" t="s">
        <v>89</v>
      </c>
      <c r="J393" s="26" t="s">
        <v>57</v>
      </c>
      <c r="K393" s="27" t="s">
        <v>90</v>
      </c>
      <c r="L393" s="28" t="s">
        <v>56</v>
      </c>
      <c r="M393" s="29" t="str">
        <f t="shared" si="30"/>
        <v>⚠ Missing</v>
      </c>
      <c r="N393" s="4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70">
        <v>46248</v>
      </c>
      <c r="X393" s="30" t="s">
        <v>55</v>
      </c>
      <c r="Y393" s="30" t="s">
        <v>56</v>
      </c>
      <c r="Z393" s="30" t="s">
        <v>57</v>
      </c>
      <c r="AA393" s="30" t="s">
        <v>58</v>
      </c>
      <c r="AB393" s="30" t="s">
        <v>56</v>
      </c>
      <c r="AC393" s="27"/>
      <c r="AD393" s="31" t="s">
        <v>57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2108</v>
      </c>
      <c r="C394" s="41" t="s">
        <v>2109</v>
      </c>
      <c r="D394" s="39" t="s">
        <v>1331</v>
      </c>
      <c r="E394" s="42">
        <v>46132</v>
      </c>
      <c r="F394" s="26" t="s">
        <v>55</v>
      </c>
      <c r="G394" s="26" t="s">
        <v>57</v>
      </c>
      <c r="H394" s="26" t="s">
        <v>57</v>
      </c>
      <c r="I394" s="26" t="s">
        <v>89</v>
      </c>
      <c r="J394" s="26" t="s">
        <v>57</v>
      </c>
      <c r="K394" s="27" t="s">
        <v>90</v>
      </c>
      <c r="L394" s="28" t="s">
        <v>56</v>
      </c>
      <c r="M394" s="29" t="str">
        <f t="shared" si="30"/>
        <v>⚠ Missing</v>
      </c>
      <c r="N394" s="4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70">
        <v>46248</v>
      </c>
      <c r="X394" s="30" t="s">
        <v>55</v>
      </c>
      <c r="Y394" s="30" t="s">
        <v>56</v>
      </c>
      <c r="Z394" s="30" t="s">
        <v>57</v>
      </c>
      <c r="AA394" s="30" t="s">
        <v>58</v>
      </c>
      <c r="AB394" s="30" t="s">
        <v>56</v>
      </c>
      <c r="AC394" s="27"/>
      <c r="AD394" s="31" t="s">
        <v>57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2110</v>
      </c>
      <c r="C395" s="25" t="s">
        <v>2111</v>
      </c>
      <c r="D395" s="23" t="s">
        <v>1331</v>
      </c>
      <c r="E395" s="42">
        <v>46132</v>
      </c>
      <c r="F395" s="26" t="s">
        <v>55</v>
      </c>
      <c r="G395" s="26" t="s">
        <v>57</v>
      </c>
      <c r="H395" s="26" t="s">
        <v>57</v>
      </c>
      <c r="I395" s="26" t="s">
        <v>89</v>
      </c>
      <c r="J395" s="26" t="s">
        <v>57</v>
      </c>
      <c r="K395" s="27" t="s">
        <v>90</v>
      </c>
      <c r="L395" s="28" t="s">
        <v>56</v>
      </c>
      <c r="M395" s="29" t="str">
        <f t="shared" si="30"/>
        <v>⚠ Missing</v>
      </c>
      <c r="N395" s="4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70">
        <v>46248</v>
      </c>
      <c r="X395" s="30" t="s">
        <v>55</v>
      </c>
      <c r="Y395" s="30" t="s">
        <v>56</v>
      </c>
      <c r="Z395" s="30" t="s">
        <v>57</v>
      </c>
      <c r="AA395" s="30" t="s">
        <v>58</v>
      </c>
      <c r="AB395" s="30" t="s">
        <v>56</v>
      </c>
      <c r="AC395" s="27"/>
      <c r="AD395" s="31" t="s">
        <v>57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2112</v>
      </c>
      <c r="C396" s="41" t="s">
        <v>2113</v>
      </c>
      <c r="D396" s="39" t="s">
        <v>1331</v>
      </c>
      <c r="E396" s="42">
        <v>46132</v>
      </c>
      <c r="F396" s="26" t="s">
        <v>55</v>
      </c>
      <c r="G396" s="26" t="s">
        <v>57</v>
      </c>
      <c r="H396" s="26" t="s">
        <v>57</v>
      </c>
      <c r="I396" s="26" t="s">
        <v>89</v>
      </c>
      <c r="J396" s="26" t="s">
        <v>57</v>
      </c>
      <c r="K396" s="27" t="s">
        <v>90</v>
      </c>
      <c r="L396" s="28" t="s">
        <v>56</v>
      </c>
      <c r="M396" s="29" t="str">
        <f t="shared" si="30"/>
        <v>⚠ Missing</v>
      </c>
      <c r="N396" s="4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70">
        <v>46248</v>
      </c>
      <c r="X396" s="30" t="s">
        <v>55</v>
      </c>
      <c r="Y396" s="30" t="s">
        <v>56</v>
      </c>
      <c r="Z396" s="30" t="s">
        <v>57</v>
      </c>
      <c r="AA396" s="30" t="s">
        <v>58</v>
      </c>
      <c r="AB396" s="30" t="s">
        <v>56</v>
      </c>
      <c r="AC396" s="27"/>
      <c r="AD396" s="31" t="s">
        <v>57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2114</v>
      </c>
      <c r="C397" s="25" t="s">
        <v>2115</v>
      </c>
      <c r="D397" s="23" t="s">
        <v>1331</v>
      </c>
      <c r="E397" s="42">
        <v>46132</v>
      </c>
      <c r="F397" s="26" t="s">
        <v>55</v>
      </c>
      <c r="G397" s="26" t="s">
        <v>57</v>
      </c>
      <c r="H397" s="26" t="s">
        <v>57</v>
      </c>
      <c r="I397" s="26" t="s">
        <v>89</v>
      </c>
      <c r="J397" s="26" t="s">
        <v>57</v>
      </c>
      <c r="K397" s="27" t="s">
        <v>90</v>
      </c>
      <c r="L397" s="28" t="s">
        <v>56</v>
      </c>
      <c r="M397" s="29" t="str">
        <f t="shared" si="30"/>
        <v>⚠ Missing</v>
      </c>
      <c r="N397" s="4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70">
        <v>46248</v>
      </c>
      <c r="X397" s="30" t="s">
        <v>55</v>
      </c>
      <c r="Y397" s="30" t="s">
        <v>56</v>
      </c>
      <c r="Z397" s="30" t="s">
        <v>57</v>
      </c>
      <c r="AA397" s="30" t="s">
        <v>58</v>
      </c>
      <c r="AB397" s="30" t="s">
        <v>56</v>
      </c>
      <c r="AC397" s="27"/>
      <c r="AD397" s="31" t="s">
        <v>57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2116</v>
      </c>
      <c r="C398" s="41" t="s">
        <v>2117</v>
      </c>
      <c r="D398" s="39" t="s">
        <v>1331</v>
      </c>
      <c r="E398" s="42">
        <v>46132</v>
      </c>
      <c r="F398" s="26" t="s">
        <v>55</v>
      </c>
      <c r="G398" s="26" t="s">
        <v>57</v>
      </c>
      <c r="H398" s="26" t="s">
        <v>57</v>
      </c>
      <c r="I398" s="26" t="s">
        <v>89</v>
      </c>
      <c r="J398" s="26" t="s">
        <v>57</v>
      </c>
      <c r="K398" s="27" t="s">
        <v>90</v>
      </c>
      <c r="L398" s="28" t="s">
        <v>56</v>
      </c>
      <c r="M398" s="29" t="str">
        <f t="shared" si="30"/>
        <v>⚠ Missing</v>
      </c>
      <c r="N398" s="4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70">
        <v>46248</v>
      </c>
      <c r="X398" s="30" t="s">
        <v>55</v>
      </c>
      <c r="Y398" s="30" t="s">
        <v>56</v>
      </c>
      <c r="Z398" s="30" t="s">
        <v>57</v>
      </c>
      <c r="AA398" s="30" t="s">
        <v>58</v>
      </c>
      <c r="AB398" s="30" t="s">
        <v>56</v>
      </c>
      <c r="AC398" s="27"/>
      <c r="AD398" s="31" t="s">
        <v>57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2118</v>
      </c>
      <c r="C399" s="25" t="s">
        <v>2119</v>
      </c>
      <c r="D399" s="23" t="s">
        <v>1331</v>
      </c>
      <c r="E399" s="42">
        <v>46132</v>
      </c>
      <c r="F399" s="26" t="s">
        <v>55</v>
      </c>
      <c r="G399" s="26" t="s">
        <v>57</v>
      </c>
      <c r="H399" s="26" t="s">
        <v>57</v>
      </c>
      <c r="I399" s="26" t="s">
        <v>89</v>
      </c>
      <c r="J399" s="26" t="s">
        <v>57</v>
      </c>
      <c r="K399" s="27" t="s">
        <v>90</v>
      </c>
      <c r="L399" s="28" t="s">
        <v>56</v>
      </c>
      <c r="M399" s="29" t="str">
        <f t="shared" si="30"/>
        <v>⚠ Missing</v>
      </c>
      <c r="N399" s="4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70">
        <v>46248</v>
      </c>
      <c r="X399" s="30" t="s">
        <v>55</v>
      </c>
      <c r="Y399" s="30" t="s">
        <v>56</v>
      </c>
      <c r="Z399" s="30" t="s">
        <v>57</v>
      </c>
      <c r="AA399" s="30" t="s">
        <v>58</v>
      </c>
      <c r="AB399" s="30" t="s">
        <v>56</v>
      </c>
      <c r="AC399" s="27"/>
      <c r="AD399" s="31" t="s">
        <v>57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2120</v>
      </c>
      <c r="C400" s="41" t="s">
        <v>2121</v>
      </c>
      <c r="D400" s="39" t="s">
        <v>1331</v>
      </c>
      <c r="E400" s="42">
        <v>46132</v>
      </c>
      <c r="F400" s="26" t="s">
        <v>55</v>
      </c>
      <c r="G400" s="26" t="s">
        <v>57</v>
      </c>
      <c r="H400" s="26" t="s">
        <v>57</v>
      </c>
      <c r="I400" s="26" t="s">
        <v>89</v>
      </c>
      <c r="J400" s="26" t="s">
        <v>57</v>
      </c>
      <c r="K400" s="27" t="s">
        <v>90</v>
      </c>
      <c r="L400" s="28" t="s">
        <v>56</v>
      </c>
      <c r="M400" s="29" t="str">
        <f t="shared" si="30"/>
        <v>⚠ Missing</v>
      </c>
      <c r="N400" s="4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70">
        <v>46248</v>
      </c>
      <c r="X400" s="30" t="s">
        <v>55</v>
      </c>
      <c r="Y400" s="30" t="s">
        <v>56</v>
      </c>
      <c r="Z400" s="30" t="s">
        <v>57</v>
      </c>
      <c r="AA400" s="30" t="s">
        <v>58</v>
      </c>
      <c r="AB400" s="30" t="s">
        <v>56</v>
      </c>
      <c r="AC400" s="27"/>
      <c r="AD400" s="31" t="s">
        <v>57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2122</v>
      </c>
      <c r="C401" s="25" t="s">
        <v>2123</v>
      </c>
      <c r="D401" s="23" t="s">
        <v>1331</v>
      </c>
      <c r="E401" s="42">
        <v>46132</v>
      </c>
      <c r="F401" s="26" t="s">
        <v>55</v>
      </c>
      <c r="G401" s="26" t="s">
        <v>57</v>
      </c>
      <c r="H401" s="26" t="s">
        <v>57</v>
      </c>
      <c r="I401" s="26" t="s">
        <v>89</v>
      </c>
      <c r="J401" s="26" t="s">
        <v>57</v>
      </c>
      <c r="K401" s="27" t="s">
        <v>90</v>
      </c>
      <c r="L401" s="28" t="s">
        <v>56</v>
      </c>
      <c r="M401" s="29" t="str">
        <f t="shared" si="30"/>
        <v>⚠ Missing</v>
      </c>
      <c r="N401" s="4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70">
        <v>46248</v>
      </c>
      <c r="X401" s="30" t="s">
        <v>55</v>
      </c>
      <c r="Y401" s="30" t="s">
        <v>56</v>
      </c>
      <c r="Z401" s="30" t="s">
        <v>57</v>
      </c>
      <c r="AA401" s="30" t="s">
        <v>58</v>
      </c>
      <c r="AB401" s="30" t="s">
        <v>56</v>
      </c>
      <c r="AC401" s="27"/>
      <c r="AD401" s="31" t="s">
        <v>57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2124</v>
      </c>
      <c r="C402" s="41" t="s">
        <v>2125</v>
      </c>
      <c r="D402" s="39" t="s">
        <v>1331</v>
      </c>
      <c r="E402" s="42">
        <v>46132</v>
      </c>
      <c r="F402" s="26" t="s">
        <v>55</v>
      </c>
      <c r="G402" s="26" t="s">
        <v>57</v>
      </c>
      <c r="H402" s="26" t="s">
        <v>57</v>
      </c>
      <c r="I402" s="26" t="s">
        <v>89</v>
      </c>
      <c r="J402" s="26" t="s">
        <v>57</v>
      </c>
      <c r="K402" s="27" t="s">
        <v>90</v>
      </c>
      <c r="L402" s="28" t="s">
        <v>56</v>
      </c>
      <c r="M402" s="29" t="str">
        <f t="shared" si="30"/>
        <v>⚠ Missing</v>
      </c>
      <c r="N402" s="4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70">
        <v>46248</v>
      </c>
      <c r="X402" s="30" t="s">
        <v>55</v>
      </c>
      <c r="Y402" s="30" t="s">
        <v>56</v>
      </c>
      <c r="Z402" s="30" t="s">
        <v>57</v>
      </c>
      <c r="AA402" s="30" t="s">
        <v>58</v>
      </c>
      <c r="AB402" s="30" t="s">
        <v>56</v>
      </c>
      <c r="AC402" s="27"/>
      <c r="AD402" s="31" t="s">
        <v>57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2126</v>
      </c>
      <c r="C403" s="25" t="s">
        <v>2127</v>
      </c>
      <c r="D403" s="23" t="s">
        <v>1331</v>
      </c>
      <c r="E403" s="42">
        <v>46132</v>
      </c>
      <c r="F403" s="26" t="s">
        <v>55</v>
      </c>
      <c r="G403" s="26" t="s">
        <v>57</v>
      </c>
      <c r="H403" s="26" t="s">
        <v>57</v>
      </c>
      <c r="I403" s="26" t="s">
        <v>89</v>
      </c>
      <c r="J403" s="26" t="s">
        <v>57</v>
      </c>
      <c r="K403" s="27" t="s">
        <v>90</v>
      </c>
      <c r="L403" s="28" t="s">
        <v>56</v>
      </c>
      <c r="M403" s="29" t="str">
        <f t="shared" si="30"/>
        <v>⚠ Missing</v>
      </c>
      <c r="N403" s="4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70">
        <v>46248</v>
      </c>
      <c r="X403" s="30" t="s">
        <v>55</v>
      </c>
      <c r="Y403" s="30" t="s">
        <v>56</v>
      </c>
      <c r="Z403" s="30" t="s">
        <v>57</v>
      </c>
      <c r="AA403" s="30" t="s">
        <v>58</v>
      </c>
      <c r="AB403" s="30" t="s">
        <v>56</v>
      </c>
      <c r="AC403" s="27"/>
      <c r="AD403" s="31" t="s">
        <v>57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2128</v>
      </c>
      <c r="C404" s="41" t="s">
        <v>2129</v>
      </c>
      <c r="D404" s="39" t="s">
        <v>1331</v>
      </c>
      <c r="E404" s="42">
        <v>46132</v>
      </c>
      <c r="F404" s="26" t="s">
        <v>55</v>
      </c>
      <c r="G404" s="26" t="s">
        <v>57</v>
      </c>
      <c r="H404" s="26" t="s">
        <v>57</v>
      </c>
      <c r="I404" s="26" t="s">
        <v>89</v>
      </c>
      <c r="J404" s="26" t="s">
        <v>57</v>
      </c>
      <c r="K404" s="27" t="s">
        <v>90</v>
      </c>
      <c r="L404" s="28" t="s">
        <v>56</v>
      </c>
      <c r="M404" s="29" t="str">
        <f t="shared" si="30"/>
        <v>⚠ Missing</v>
      </c>
      <c r="N404" s="4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70">
        <v>46248</v>
      </c>
      <c r="X404" s="30" t="s">
        <v>55</v>
      </c>
      <c r="Y404" s="30" t="s">
        <v>56</v>
      </c>
      <c r="Z404" s="30" t="s">
        <v>57</v>
      </c>
      <c r="AA404" s="30" t="s">
        <v>58</v>
      </c>
      <c r="AB404" s="30" t="s">
        <v>56</v>
      </c>
      <c r="AC404" s="27"/>
      <c r="AD404" s="31" t="s">
        <v>57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2130</v>
      </c>
      <c r="C405" s="25" t="s">
        <v>2131</v>
      </c>
      <c r="D405" s="23" t="s">
        <v>1331</v>
      </c>
      <c r="E405" s="42">
        <v>46132</v>
      </c>
      <c r="F405" s="26" t="s">
        <v>55</v>
      </c>
      <c r="G405" s="26" t="s">
        <v>57</v>
      </c>
      <c r="H405" s="26" t="s">
        <v>57</v>
      </c>
      <c r="I405" s="26" t="s">
        <v>89</v>
      </c>
      <c r="J405" s="26" t="s">
        <v>57</v>
      </c>
      <c r="K405" s="27" t="s">
        <v>90</v>
      </c>
      <c r="L405" s="28" t="s">
        <v>56</v>
      </c>
      <c r="M405" s="29" t="str">
        <f t="shared" si="30"/>
        <v>⚠ Missing</v>
      </c>
      <c r="N405" s="4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70">
        <v>46248</v>
      </c>
      <c r="X405" s="30" t="s">
        <v>55</v>
      </c>
      <c r="Y405" s="30" t="s">
        <v>56</v>
      </c>
      <c r="Z405" s="30" t="s">
        <v>57</v>
      </c>
      <c r="AA405" s="30" t="s">
        <v>58</v>
      </c>
      <c r="AB405" s="30" t="s">
        <v>56</v>
      </c>
      <c r="AC405" s="27"/>
      <c r="AD405" s="31" t="s">
        <v>57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2132</v>
      </c>
      <c r="C406" s="41" t="s">
        <v>2133</v>
      </c>
      <c r="D406" s="39" t="s">
        <v>1331</v>
      </c>
      <c r="E406" s="42">
        <v>46132</v>
      </c>
      <c r="F406" s="26" t="s">
        <v>55</v>
      </c>
      <c r="G406" s="26" t="s">
        <v>57</v>
      </c>
      <c r="H406" s="26" t="s">
        <v>57</v>
      </c>
      <c r="I406" s="26" t="s">
        <v>89</v>
      </c>
      <c r="J406" s="26" t="s">
        <v>57</v>
      </c>
      <c r="K406" s="27" t="s">
        <v>90</v>
      </c>
      <c r="L406" s="28" t="s">
        <v>56</v>
      </c>
      <c r="M406" s="29" t="str">
        <f t="shared" si="30"/>
        <v>⚠ Missing</v>
      </c>
      <c r="N406" s="4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70">
        <v>46248</v>
      </c>
      <c r="X406" s="30" t="s">
        <v>55</v>
      </c>
      <c r="Y406" s="30" t="s">
        <v>56</v>
      </c>
      <c r="Z406" s="30" t="s">
        <v>57</v>
      </c>
      <c r="AA406" s="30" t="s">
        <v>58</v>
      </c>
      <c r="AB406" s="30" t="s">
        <v>56</v>
      </c>
      <c r="AC406" s="27"/>
      <c r="AD406" s="31" t="s">
        <v>57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2134</v>
      </c>
      <c r="C407" s="25" t="s">
        <v>2135</v>
      </c>
      <c r="D407" s="23" t="s">
        <v>1331</v>
      </c>
      <c r="E407" s="42">
        <v>46132</v>
      </c>
      <c r="F407" s="26" t="s">
        <v>55</v>
      </c>
      <c r="G407" s="26" t="s">
        <v>57</v>
      </c>
      <c r="H407" s="26" t="s">
        <v>57</v>
      </c>
      <c r="I407" s="26" t="s">
        <v>89</v>
      </c>
      <c r="J407" s="26" t="s">
        <v>57</v>
      </c>
      <c r="K407" s="27" t="s">
        <v>90</v>
      </c>
      <c r="L407" s="28" t="s">
        <v>56</v>
      </c>
      <c r="M407" s="29" t="str">
        <f t="shared" si="30"/>
        <v>⚠ Missing</v>
      </c>
      <c r="N407" s="4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70">
        <v>46248</v>
      </c>
      <c r="X407" s="30" t="s">
        <v>55</v>
      </c>
      <c r="Y407" s="30" t="s">
        <v>56</v>
      </c>
      <c r="Z407" s="30" t="s">
        <v>57</v>
      </c>
      <c r="AA407" s="30" t="s">
        <v>58</v>
      </c>
      <c r="AB407" s="30" t="s">
        <v>56</v>
      </c>
      <c r="AC407" s="27"/>
      <c r="AD407" s="31" t="s">
        <v>57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2136</v>
      </c>
      <c r="C408" s="41" t="s">
        <v>2137</v>
      </c>
      <c r="D408" s="39" t="s">
        <v>1331</v>
      </c>
      <c r="E408" s="42">
        <v>46132</v>
      </c>
      <c r="F408" s="26" t="s">
        <v>55</v>
      </c>
      <c r="G408" s="26" t="s">
        <v>57</v>
      </c>
      <c r="H408" s="26" t="s">
        <v>57</v>
      </c>
      <c r="I408" s="26" t="s">
        <v>89</v>
      </c>
      <c r="J408" s="26" t="s">
        <v>57</v>
      </c>
      <c r="K408" s="27" t="s">
        <v>90</v>
      </c>
      <c r="L408" s="28" t="s">
        <v>56</v>
      </c>
      <c r="M408" s="29" t="str">
        <f t="shared" si="30"/>
        <v>⚠ Missing</v>
      </c>
      <c r="N408" s="4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70">
        <v>46248</v>
      </c>
      <c r="X408" s="30" t="s">
        <v>55</v>
      </c>
      <c r="Y408" s="30" t="s">
        <v>56</v>
      </c>
      <c r="Z408" s="30" t="s">
        <v>57</v>
      </c>
      <c r="AA408" s="30" t="s">
        <v>58</v>
      </c>
      <c r="AB408" s="30" t="s">
        <v>56</v>
      </c>
      <c r="AC408" s="27"/>
      <c r="AD408" s="31" t="s">
        <v>57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2138</v>
      </c>
      <c r="C409" s="25" t="s">
        <v>2139</v>
      </c>
      <c r="D409" s="23" t="s">
        <v>1331</v>
      </c>
      <c r="E409" s="42">
        <v>46132</v>
      </c>
      <c r="F409" s="26" t="s">
        <v>55</v>
      </c>
      <c r="G409" s="26" t="s">
        <v>57</v>
      </c>
      <c r="H409" s="26" t="s">
        <v>57</v>
      </c>
      <c r="I409" s="26" t="s">
        <v>89</v>
      </c>
      <c r="J409" s="26" t="s">
        <v>57</v>
      </c>
      <c r="K409" s="27" t="s">
        <v>90</v>
      </c>
      <c r="L409" s="28" t="s">
        <v>56</v>
      </c>
      <c r="M409" s="29" t="str">
        <f t="shared" si="30"/>
        <v>⚠ Missing</v>
      </c>
      <c r="N409" s="4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70">
        <v>46248</v>
      </c>
      <c r="X409" s="30" t="s">
        <v>55</v>
      </c>
      <c r="Y409" s="30" t="s">
        <v>56</v>
      </c>
      <c r="Z409" s="30" t="s">
        <v>57</v>
      </c>
      <c r="AA409" s="30" t="s">
        <v>58</v>
      </c>
      <c r="AB409" s="30" t="s">
        <v>56</v>
      </c>
      <c r="AC409" s="27"/>
      <c r="AD409" s="31" t="s">
        <v>57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2140</v>
      </c>
      <c r="C410" s="41" t="s">
        <v>2141</v>
      </c>
      <c r="D410" s="39" t="s">
        <v>1331</v>
      </c>
      <c r="E410" s="42">
        <v>46132</v>
      </c>
      <c r="F410" s="26" t="s">
        <v>55</v>
      </c>
      <c r="G410" s="26" t="s">
        <v>57</v>
      </c>
      <c r="H410" s="26" t="s">
        <v>57</v>
      </c>
      <c r="I410" s="26" t="s">
        <v>89</v>
      </c>
      <c r="J410" s="26" t="s">
        <v>57</v>
      </c>
      <c r="K410" s="27" t="s">
        <v>90</v>
      </c>
      <c r="L410" s="28" t="s">
        <v>56</v>
      </c>
      <c r="M410" s="29" t="str">
        <f t="shared" si="30"/>
        <v>⚠ Missing</v>
      </c>
      <c r="N410" s="4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70">
        <v>46248</v>
      </c>
      <c r="X410" s="30" t="s">
        <v>55</v>
      </c>
      <c r="Y410" s="30" t="s">
        <v>56</v>
      </c>
      <c r="Z410" s="30" t="s">
        <v>57</v>
      </c>
      <c r="AA410" s="30" t="s">
        <v>58</v>
      </c>
      <c r="AB410" s="30" t="s">
        <v>56</v>
      </c>
      <c r="AC410" s="27"/>
      <c r="AD410" s="31" t="s">
        <v>57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2142</v>
      </c>
      <c r="C411" s="25" t="s">
        <v>2143</v>
      </c>
      <c r="D411" s="23" t="s">
        <v>1331</v>
      </c>
      <c r="E411" s="42">
        <v>46132</v>
      </c>
      <c r="F411" s="26" t="s">
        <v>55</v>
      </c>
      <c r="G411" s="26" t="s">
        <v>57</v>
      </c>
      <c r="H411" s="26" t="s">
        <v>57</v>
      </c>
      <c r="I411" s="26" t="s">
        <v>89</v>
      </c>
      <c r="J411" s="26" t="s">
        <v>57</v>
      </c>
      <c r="K411" s="27" t="s">
        <v>90</v>
      </c>
      <c r="L411" s="28" t="s">
        <v>56</v>
      </c>
      <c r="M411" s="29" t="str">
        <f t="shared" si="30"/>
        <v>⚠ Missing</v>
      </c>
      <c r="N411" s="4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70">
        <v>46248</v>
      </c>
      <c r="X411" s="30" t="s">
        <v>55</v>
      </c>
      <c r="Y411" s="30" t="s">
        <v>56</v>
      </c>
      <c r="Z411" s="30" t="s">
        <v>57</v>
      </c>
      <c r="AA411" s="30" t="s">
        <v>58</v>
      </c>
      <c r="AB411" s="30" t="s">
        <v>56</v>
      </c>
      <c r="AC411" s="27"/>
      <c r="AD411" s="31" t="s">
        <v>57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2144</v>
      </c>
      <c r="C412" s="41" t="s">
        <v>2145</v>
      </c>
      <c r="D412" s="39" t="s">
        <v>1331</v>
      </c>
      <c r="E412" s="42">
        <v>46132</v>
      </c>
      <c r="F412" s="26" t="s">
        <v>55</v>
      </c>
      <c r="G412" s="26" t="s">
        <v>57</v>
      </c>
      <c r="H412" s="26" t="s">
        <v>57</v>
      </c>
      <c r="I412" s="26" t="s">
        <v>89</v>
      </c>
      <c r="J412" s="26" t="s">
        <v>57</v>
      </c>
      <c r="K412" s="27" t="s">
        <v>90</v>
      </c>
      <c r="L412" s="28" t="s">
        <v>56</v>
      </c>
      <c r="M412" s="29" t="str">
        <f t="shared" si="30"/>
        <v>⚠ Missing</v>
      </c>
      <c r="N412" s="4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70">
        <v>46248</v>
      </c>
      <c r="X412" s="30" t="s">
        <v>55</v>
      </c>
      <c r="Y412" s="30" t="s">
        <v>56</v>
      </c>
      <c r="Z412" s="30" t="s">
        <v>57</v>
      </c>
      <c r="AA412" s="30" t="s">
        <v>58</v>
      </c>
      <c r="AB412" s="30" t="s">
        <v>56</v>
      </c>
      <c r="AC412" s="27"/>
      <c r="AD412" s="31" t="s">
        <v>57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2146</v>
      </c>
      <c r="C413" s="25" t="s">
        <v>2147</v>
      </c>
      <c r="D413" s="23" t="s">
        <v>1331</v>
      </c>
      <c r="E413" s="42">
        <v>46132</v>
      </c>
      <c r="F413" s="26" t="s">
        <v>55</v>
      </c>
      <c r="G413" s="26" t="s">
        <v>57</v>
      </c>
      <c r="H413" s="26" t="s">
        <v>57</v>
      </c>
      <c r="I413" s="26" t="s">
        <v>89</v>
      </c>
      <c r="J413" s="26" t="s">
        <v>57</v>
      </c>
      <c r="K413" s="27" t="s">
        <v>90</v>
      </c>
      <c r="L413" s="28" t="s">
        <v>56</v>
      </c>
      <c r="M413" s="29" t="str">
        <f t="shared" si="30"/>
        <v>⚠ Missing</v>
      </c>
      <c r="N413" s="4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70">
        <v>46248</v>
      </c>
      <c r="X413" s="30" t="s">
        <v>55</v>
      </c>
      <c r="Y413" s="30" t="s">
        <v>56</v>
      </c>
      <c r="Z413" s="30" t="s">
        <v>57</v>
      </c>
      <c r="AA413" s="30" t="s">
        <v>58</v>
      </c>
      <c r="AB413" s="30" t="s">
        <v>56</v>
      </c>
      <c r="AC413" s="27"/>
      <c r="AD413" s="31" t="s">
        <v>57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2148</v>
      </c>
      <c r="C414" s="41" t="s">
        <v>2149</v>
      </c>
      <c r="D414" s="39" t="s">
        <v>1331</v>
      </c>
      <c r="E414" s="42">
        <v>46132</v>
      </c>
      <c r="F414" s="26" t="s">
        <v>55</v>
      </c>
      <c r="G414" s="26" t="s">
        <v>57</v>
      </c>
      <c r="H414" s="26" t="s">
        <v>57</v>
      </c>
      <c r="I414" s="26" t="s">
        <v>89</v>
      </c>
      <c r="J414" s="26" t="s">
        <v>57</v>
      </c>
      <c r="K414" s="27" t="s">
        <v>90</v>
      </c>
      <c r="L414" s="28" t="s">
        <v>56</v>
      </c>
      <c r="M414" s="29" t="str">
        <f t="shared" si="30"/>
        <v>⚠ Missing</v>
      </c>
      <c r="N414" s="4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70">
        <v>46248</v>
      </c>
      <c r="X414" s="30" t="s">
        <v>55</v>
      </c>
      <c r="Y414" s="30" t="s">
        <v>56</v>
      </c>
      <c r="Z414" s="30" t="s">
        <v>57</v>
      </c>
      <c r="AA414" s="30" t="s">
        <v>58</v>
      </c>
      <c r="AB414" s="30" t="s">
        <v>56</v>
      </c>
      <c r="AC414" s="27"/>
      <c r="AD414" s="31" t="s">
        <v>57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2150</v>
      </c>
      <c r="C415" s="25" t="s">
        <v>2151</v>
      </c>
      <c r="D415" s="23" t="s">
        <v>1331</v>
      </c>
      <c r="E415" s="42">
        <v>46132</v>
      </c>
      <c r="F415" s="26" t="s">
        <v>55</v>
      </c>
      <c r="G415" s="26" t="s">
        <v>57</v>
      </c>
      <c r="H415" s="26" t="s">
        <v>57</v>
      </c>
      <c r="I415" s="26" t="s">
        <v>89</v>
      </c>
      <c r="J415" s="26" t="s">
        <v>57</v>
      </c>
      <c r="K415" s="27" t="s">
        <v>90</v>
      </c>
      <c r="L415" s="28" t="s">
        <v>56</v>
      </c>
      <c r="M415" s="29" t="str">
        <f t="shared" si="30"/>
        <v>⚠ Missing</v>
      </c>
      <c r="N415" s="4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70">
        <v>46248</v>
      </c>
      <c r="X415" s="30" t="s">
        <v>55</v>
      </c>
      <c r="Y415" s="30" t="s">
        <v>56</v>
      </c>
      <c r="Z415" s="30" t="s">
        <v>57</v>
      </c>
      <c r="AA415" s="30" t="s">
        <v>58</v>
      </c>
      <c r="AB415" s="30" t="s">
        <v>56</v>
      </c>
      <c r="AC415" s="27"/>
      <c r="AD415" s="31" t="s">
        <v>57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2152</v>
      </c>
      <c r="C416" s="41" t="s">
        <v>2153</v>
      </c>
      <c r="D416" s="39" t="s">
        <v>1331</v>
      </c>
      <c r="E416" s="42">
        <v>46132</v>
      </c>
      <c r="F416" s="26" t="s">
        <v>55</v>
      </c>
      <c r="G416" s="26" t="s">
        <v>57</v>
      </c>
      <c r="H416" s="26" t="s">
        <v>57</v>
      </c>
      <c r="I416" s="26" t="s">
        <v>89</v>
      </c>
      <c r="J416" s="26" t="s">
        <v>57</v>
      </c>
      <c r="K416" s="27" t="s">
        <v>90</v>
      </c>
      <c r="L416" s="28" t="s">
        <v>56</v>
      </c>
      <c r="M416" s="29" t="str">
        <f t="shared" si="30"/>
        <v>⚠ Missing</v>
      </c>
      <c r="N416" s="4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70">
        <v>46248</v>
      </c>
      <c r="X416" s="30" t="s">
        <v>55</v>
      </c>
      <c r="Y416" s="30" t="s">
        <v>56</v>
      </c>
      <c r="Z416" s="30" t="s">
        <v>57</v>
      </c>
      <c r="AA416" s="30" t="s">
        <v>58</v>
      </c>
      <c r="AB416" s="30" t="s">
        <v>56</v>
      </c>
      <c r="AC416" s="27"/>
      <c r="AD416" s="31" t="s">
        <v>57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2154</v>
      </c>
      <c r="C417" s="25" t="s">
        <v>2155</v>
      </c>
      <c r="D417" s="23" t="s">
        <v>1331</v>
      </c>
      <c r="E417" s="42">
        <v>46132</v>
      </c>
      <c r="F417" s="26" t="s">
        <v>55</v>
      </c>
      <c r="G417" s="26" t="s">
        <v>57</v>
      </c>
      <c r="H417" s="26" t="s">
        <v>57</v>
      </c>
      <c r="I417" s="26" t="s">
        <v>89</v>
      </c>
      <c r="J417" s="26" t="s">
        <v>57</v>
      </c>
      <c r="K417" s="27" t="s">
        <v>90</v>
      </c>
      <c r="L417" s="28" t="s">
        <v>56</v>
      </c>
      <c r="M417" s="29" t="str">
        <f t="shared" si="30"/>
        <v>⚠ Missing</v>
      </c>
      <c r="N417" s="4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70">
        <v>46248</v>
      </c>
      <c r="X417" s="30" t="s">
        <v>55</v>
      </c>
      <c r="Y417" s="30" t="s">
        <v>56</v>
      </c>
      <c r="Z417" s="30" t="s">
        <v>57</v>
      </c>
      <c r="AA417" s="30" t="s">
        <v>58</v>
      </c>
      <c r="AB417" s="30" t="s">
        <v>56</v>
      </c>
      <c r="AC417" s="27"/>
      <c r="AD417" s="31" t="s">
        <v>57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2156</v>
      </c>
      <c r="C418" s="41" t="s">
        <v>2157</v>
      </c>
      <c r="D418" s="39" t="s">
        <v>1331</v>
      </c>
      <c r="E418" s="42">
        <v>46132</v>
      </c>
      <c r="F418" s="26" t="s">
        <v>55</v>
      </c>
      <c r="G418" s="26" t="s">
        <v>57</v>
      </c>
      <c r="H418" s="26" t="s">
        <v>57</v>
      </c>
      <c r="I418" s="26" t="s">
        <v>89</v>
      </c>
      <c r="J418" s="26" t="s">
        <v>57</v>
      </c>
      <c r="K418" s="27" t="s">
        <v>90</v>
      </c>
      <c r="L418" s="28" t="s">
        <v>56</v>
      </c>
      <c r="M418" s="29" t="str">
        <f t="shared" si="30"/>
        <v>⚠ Missing</v>
      </c>
      <c r="N418" s="4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70">
        <v>46248</v>
      </c>
      <c r="X418" s="30" t="s">
        <v>55</v>
      </c>
      <c r="Y418" s="30" t="s">
        <v>56</v>
      </c>
      <c r="Z418" s="30" t="s">
        <v>57</v>
      </c>
      <c r="AA418" s="30" t="s">
        <v>58</v>
      </c>
      <c r="AB418" s="30" t="s">
        <v>56</v>
      </c>
      <c r="AC418" s="27"/>
      <c r="AD418" s="31" t="s">
        <v>57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2158</v>
      </c>
      <c r="C419" s="25" t="s">
        <v>2159</v>
      </c>
      <c r="D419" s="23" t="s">
        <v>1331</v>
      </c>
      <c r="E419" s="42">
        <v>46132</v>
      </c>
      <c r="F419" s="26" t="s">
        <v>55</v>
      </c>
      <c r="G419" s="26" t="s">
        <v>57</v>
      </c>
      <c r="H419" s="26" t="s">
        <v>57</v>
      </c>
      <c r="I419" s="26" t="s">
        <v>89</v>
      </c>
      <c r="J419" s="26" t="s">
        <v>57</v>
      </c>
      <c r="K419" s="27" t="s">
        <v>90</v>
      </c>
      <c r="L419" s="28" t="s">
        <v>56</v>
      </c>
      <c r="M419" s="29" t="str">
        <f t="shared" si="30"/>
        <v>⚠ Missing</v>
      </c>
      <c r="N419" s="4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70">
        <v>46248</v>
      </c>
      <c r="X419" s="30" t="s">
        <v>55</v>
      </c>
      <c r="Y419" s="30" t="s">
        <v>56</v>
      </c>
      <c r="Z419" s="30" t="s">
        <v>57</v>
      </c>
      <c r="AA419" s="30" t="s">
        <v>58</v>
      </c>
      <c r="AB419" s="30" t="s">
        <v>56</v>
      </c>
      <c r="AC419" s="27"/>
      <c r="AD419" s="31" t="s">
        <v>57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2160</v>
      </c>
      <c r="C420" s="41" t="s">
        <v>2161</v>
      </c>
      <c r="D420" s="39" t="s">
        <v>1331</v>
      </c>
      <c r="E420" s="42">
        <v>46132</v>
      </c>
      <c r="F420" s="26" t="s">
        <v>55</v>
      </c>
      <c r="G420" s="26" t="s">
        <v>57</v>
      </c>
      <c r="H420" s="26" t="s">
        <v>57</v>
      </c>
      <c r="I420" s="26" t="s">
        <v>89</v>
      </c>
      <c r="J420" s="26" t="s">
        <v>57</v>
      </c>
      <c r="K420" s="27" t="s">
        <v>90</v>
      </c>
      <c r="L420" s="28" t="s">
        <v>56</v>
      </c>
      <c r="M420" s="29" t="str">
        <f t="shared" si="30"/>
        <v>⚠ Missing</v>
      </c>
      <c r="N420" s="4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70">
        <v>46248</v>
      </c>
      <c r="X420" s="30" t="s">
        <v>55</v>
      </c>
      <c r="Y420" s="30" t="s">
        <v>56</v>
      </c>
      <c r="Z420" s="30" t="s">
        <v>57</v>
      </c>
      <c r="AA420" s="30" t="s">
        <v>58</v>
      </c>
      <c r="AB420" s="30" t="s">
        <v>56</v>
      </c>
      <c r="AC420" s="27"/>
      <c r="AD420" s="31" t="s">
        <v>57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2162</v>
      </c>
      <c r="C421" s="25" t="s">
        <v>2163</v>
      </c>
      <c r="D421" s="23" t="s">
        <v>1331</v>
      </c>
      <c r="E421" s="42">
        <v>46132</v>
      </c>
      <c r="F421" s="26" t="s">
        <v>55</v>
      </c>
      <c r="G421" s="26" t="s">
        <v>57</v>
      </c>
      <c r="H421" s="26" t="s">
        <v>57</v>
      </c>
      <c r="I421" s="26" t="s">
        <v>89</v>
      </c>
      <c r="J421" s="26" t="s">
        <v>57</v>
      </c>
      <c r="K421" s="27" t="s">
        <v>90</v>
      </c>
      <c r="L421" s="28" t="s">
        <v>56</v>
      </c>
      <c r="M421" s="29" t="str">
        <f t="shared" si="30"/>
        <v>⚠ Missing</v>
      </c>
      <c r="N421" s="4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70">
        <v>46248</v>
      </c>
      <c r="X421" s="30" t="s">
        <v>55</v>
      </c>
      <c r="Y421" s="30" t="s">
        <v>56</v>
      </c>
      <c r="Z421" s="30" t="s">
        <v>57</v>
      </c>
      <c r="AA421" s="30" t="s">
        <v>58</v>
      </c>
      <c r="AB421" s="30" t="s">
        <v>56</v>
      </c>
      <c r="AC421" s="27"/>
      <c r="AD421" s="31" t="s">
        <v>57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2164</v>
      </c>
      <c r="C422" s="41" t="s">
        <v>2165</v>
      </c>
      <c r="D422" s="39" t="s">
        <v>1331</v>
      </c>
      <c r="E422" s="42">
        <v>46132</v>
      </c>
      <c r="F422" s="26" t="s">
        <v>55</v>
      </c>
      <c r="G422" s="26" t="s">
        <v>57</v>
      </c>
      <c r="H422" s="26" t="s">
        <v>57</v>
      </c>
      <c r="I422" s="26" t="s">
        <v>89</v>
      </c>
      <c r="J422" s="26" t="s">
        <v>57</v>
      </c>
      <c r="K422" s="27" t="s">
        <v>90</v>
      </c>
      <c r="L422" s="28" t="s">
        <v>56</v>
      </c>
      <c r="M422" s="29" t="str">
        <f t="shared" si="30"/>
        <v>⚠ Missing</v>
      </c>
      <c r="N422" s="4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70">
        <v>46248</v>
      </c>
      <c r="X422" s="30" t="s">
        <v>55</v>
      </c>
      <c r="Y422" s="30" t="s">
        <v>56</v>
      </c>
      <c r="Z422" s="30" t="s">
        <v>57</v>
      </c>
      <c r="AA422" s="30" t="s">
        <v>58</v>
      </c>
      <c r="AB422" s="30" t="s">
        <v>56</v>
      </c>
      <c r="AC422" s="27"/>
      <c r="AD422" s="31" t="s">
        <v>57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2166</v>
      </c>
      <c r="C423" s="25" t="s">
        <v>2167</v>
      </c>
      <c r="D423" s="23" t="s">
        <v>1331</v>
      </c>
      <c r="E423" s="42">
        <v>46132</v>
      </c>
      <c r="F423" s="26" t="s">
        <v>55</v>
      </c>
      <c r="G423" s="26" t="s">
        <v>57</v>
      </c>
      <c r="H423" s="26" t="s">
        <v>57</v>
      </c>
      <c r="I423" s="26" t="s">
        <v>89</v>
      </c>
      <c r="J423" s="26" t="s">
        <v>57</v>
      </c>
      <c r="K423" s="27" t="s">
        <v>90</v>
      </c>
      <c r="L423" s="28" t="s">
        <v>56</v>
      </c>
      <c r="M423" s="29" t="str">
        <f t="shared" si="30"/>
        <v>⚠ Missing</v>
      </c>
      <c r="N423" s="4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70">
        <v>46248</v>
      </c>
      <c r="X423" s="30" t="s">
        <v>55</v>
      </c>
      <c r="Y423" s="30" t="s">
        <v>56</v>
      </c>
      <c r="Z423" s="30" t="s">
        <v>57</v>
      </c>
      <c r="AA423" s="30" t="s">
        <v>58</v>
      </c>
      <c r="AB423" s="30" t="s">
        <v>56</v>
      </c>
      <c r="AC423" s="27"/>
      <c r="AD423" s="31" t="s">
        <v>57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2168</v>
      </c>
      <c r="C424" s="41" t="s">
        <v>2169</v>
      </c>
      <c r="D424" s="39" t="s">
        <v>1331</v>
      </c>
      <c r="E424" s="42">
        <v>46132</v>
      </c>
      <c r="F424" s="26" t="s">
        <v>55</v>
      </c>
      <c r="G424" s="26" t="s">
        <v>57</v>
      </c>
      <c r="H424" s="26" t="s">
        <v>57</v>
      </c>
      <c r="I424" s="26" t="s">
        <v>89</v>
      </c>
      <c r="J424" s="26" t="s">
        <v>57</v>
      </c>
      <c r="K424" s="27" t="s">
        <v>90</v>
      </c>
      <c r="L424" s="28" t="s">
        <v>56</v>
      </c>
      <c r="M424" s="29" t="str">
        <f t="shared" si="30"/>
        <v>⚠ Missing</v>
      </c>
      <c r="N424" s="4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70">
        <v>46248</v>
      </c>
      <c r="X424" s="30" t="s">
        <v>55</v>
      </c>
      <c r="Y424" s="30" t="s">
        <v>56</v>
      </c>
      <c r="Z424" s="30" t="s">
        <v>57</v>
      </c>
      <c r="AA424" s="30" t="s">
        <v>58</v>
      </c>
      <c r="AB424" s="30" t="s">
        <v>56</v>
      </c>
      <c r="AC424" s="27"/>
      <c r="AD424" s="31" t="s">
        <v>57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2170</v>
      </c>
      <c r="C425" s="25" t="s">
        <v>2171</v>
      </c>
      <c r="D425" s="23" t="s">
        <v>1331</v>
      </c>
      <c r="E425" s="42">
        <v>46132</v>
      </c>
      <c r="F425" s="26" t="s">
        <v>55</v>
      </c>
      <c r="G425" s="26" t="s">
        <v>57</v>
      </c>
      <c r="H425" s="26" t="s">
        <v>57</v>
      </c>
      <c r="I425" s="26" t="s">
        <v>89</v>
      </c>
      <c r="J425" s="26" t="s">
        <v>57</v>
      </c>
      <c r="K425" s="27" t="s">
        <v>90</v>
      </c>
      <c r="L425" s="28" t="s">
        <v>56</v>
      </c>
      <c r="M425" s="29" t="str">
        <f t="shared" si="30"/>
        <v>⚠ Missing</v>
      </c>
      <c r="N425" s="4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70">
        <v>46248</v>
      </c>
      <c r="X425" s="30" t="s">
        <v>55</v>
      </c>
      <c r="Y425" s="30" t="s">
        <v>56</v>
      </c>
      <c r="Z425" s="30" t="s">
        <v>57</v>
      </c>
      <c r="AA425" s="30" t="s">
        <v>58</v>
      </c>
      <c r="AB425" s="30" t="s">
        <v>56</v>
      </c>
      <c r="AC425" s="27"/>
      <c r="AD425" s="31" t="s">
        <v>57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2172</v>
      </c>
      <c r="C426" s="41" t="s">
        <v>2173</v>
      </c>
      <c r="D426" s="39" t="s">
        <v>1331</v>
      </c>
      <c r="E426" s="42">
        <v>46132</v>
      </c>
      <c r="F426" s="26" t="s">
        <v>55</v>
      </c>
      <c r="G426" s="26" t="s">
        <v>57</v>
      </c>
      <c r="H426" s="26" t="s">
        <v>57</v>
      </c>
      <c r="I426" s="26" t="s">
        <v>89</v>
      </c>
      <c r="J426" s="26" t="s">
        <v>57</v>
      </c>
      <c r="K426" s="27" t="s">
        <v>90</v>
      </c>
      <c r="L426" s="28" t="s">
        <v>56</v>
      </c>
      <c r="M426" s="29" t="str">
        <f t="shared" si="30"/>
        <v>⚠ Missing</v>
      </c>
      <c r="N426" s="4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70">
        <v>46248</v>
      </c>
      <c r="X426" s="30" t="s">
        <v>55</v>
      </c>
      <c r="Y426" s="30" t="s">
        <v>56</v>
      </c>
      <c r="Z426" s="30" t="s">
        <v>57</v>
      </c>
      <c r="AA426" s="30" t="s">
        <v>58</v>
      </c>
      <c r="AB426" s="30" t="s">
        <v>56</v>
      </c>
      <c r="AC426" s="27"/>
      <c r="AD426" s="31" t="s">
        <v>57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2174</v>
      </c>
      <c r="C427" s="25" t="s">
        <v>2175</v>
      </c>
      <c r="D427" s="23" t="s">
        <v>1331</v>
      </c>
      <c r="E427" s="42">
        <v>46132</v>
      </c>
      <c r="F427" s="26" t="s">
        <v>55</v>
      </c>
      <c r="G427" s="26" t="s">
        <v>57</v>
      </c>
      <c r="H427" s="26" t="s">
        <v>57</v>
      </c>
      <c r="I427" s="26" t="s">
        <v>89</v>
      </c>
      <c r="J427" s="26" t="s">
        <v>57</v>
      </c>
      <c r="K427" s="27" t="s">
        <v>90</v>
      </c>
      <c r="L427" s="28" t="s">
        <v>56</v>
      </c>
      <c r="M427" s="29" t="str">
        <f t="shared" si="30"/>
        <v>⚠ Missing</v>
      </c>
      <c r="N427" s="4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70">
        <v>46248</v>
      </c>
      <c r="X427" s="30" t="s">
        <v>55</v>
      </c>
      <c r="Y427" s="30" t="s">
        <v>56</v>
      </c>
      <c r="Z427" s="30" t="s">
        <v>57</v>
      </c>
      <c r="AA427" s="30" t="s">
        <v>58</v>
      </c>
      <c r="AB427" s="30" t="s">
        <v>56</v>
      </c>
      <c r="AC427" s="27"/>
      <c r="AD427" s="31" t="s">
        <v>57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2176</v>
      </c>
      <c r="C428" s="41" t="s">
        <v>2177</v>
      </c>
      <c r="D428" s="39" t="s">
        <v>1331</v>
      </c>
      <c r="E428" s="42">
        <v>46132</v>
      </c>
      <c r="F428" s="26" t="s">
        <v>55</v>
      </c>
      <c r="G428" s="26" t="s">
        <v>57</v>
      </c>
      <c r="H428" s="26" t="s">
        <v>57</v>
      </c>
      <c r="I428" s="26" t="s">
        <v>89</v>
      </c>
      <c r="J428" s="26" t="s">
        <v>57</v>
      </c>
      <c r="K428" s="27" t="s">
        <v>90</v>
      </c>
      <c r="L428" s="28" t="s">
        <v>56</v>
      </c>
      <c r="M428" s="29" t="str">
        <f t="shared" si="30"/>
        <v>⚠ Missing</v>
      </c>
      <c r="N428" s="4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70">
        <v>46248</v>
      </c>
      <c r="X428" s="30" t="s">
        <v>55</v>
      </c>
      <c r="Y428" s="30" t="s">
        <v>56</v>
      </c>
      <c r="Z428" s="30" t="s">
        <v>57</v>
      </c>
      <c r="AA428" s="30" t="s">
        <v>58</v>
      </c>
      <c r="AB428" s="30" t="s">
        <v>56</v>
      </c>
      <c r="AC428" s="27"/>
      <c r="AD428" s="31" t="s">
        <v>57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2178</v>
      </c>
      <c r="C429" s="25" t="s">
        <v>2179</v>
      </c>
      <c r="D429" s="23" t="s">
        <v>1331</v>
      </c>
      <c r="E429" s="42">
        <v>46132</v>
      </c>
      <c r="F429" s="26" t="s">
        <v>55</v>
      </c>
      <c r="G429" s="26" t="s">
        <v>57</v>
      </c>
      <c r="H429" s="26" t="s">
        <v>57</v>
      </c>
      <c r="I429" s="26" t="s">
        <v>89</v>
      </c>
      <c r="J429" s="26" t="s">
        <v>57</v>
      </c>
      <c r="K429" s="27" t="s">
        <v>90</v>
      </c>
      <c r="L429" s="28" t="s">
        <v>56</v>
      </c>
      <c r="M429" s="29" t="str">
        <f t="shared" si="30"/>
        <v>⚠ Missing</v>
      </c>
      <c r="N429" s="4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70">
        <v>46248</v>
      </c>
      <c r="X429" s="30" t="s">
        <v>55</v>
      </c>
      <c r="Y429" s="30" t="s">
        <v>56</v>
      </c>
      <c r="Z429" s="30" t="s">
        <v>57</v>
      </c>
      <c r="AA429" s="30" t="s">
        <v>58</v>
      </c>
      <c r="AB429" s="30" t="s">
        <v>56</v>
      </c>
      <c r="AC429" s="27"/>
      <c r="AD429" s="31" t="s">
        <v>57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2180</v>
      </c>
      <c r="C430" s="41" t="s">
        <v>2181</v>
      </c>
      <c r="D430" s="39" t="s">
        <v>1331</v>
      </c>
      <c r="E430" s="42">
        <v>46132</v>
      </c>
      <c r="F430" s="26" t="s">
        <v>55</v>
      </c>
      <c r="G430" s="26" t="s">
        <v>57</v>
      </c>
      <c r="H430" s="26" t="s">
        <v>57</v>
      </c>
      <c r="I430" s="26" t="s">
        <v>89</v>
      </c>
      <c r="J430" s="26" t="s">
        <v>57</v>
      </c>
      <c r="K430" s="27" t="s">
        <v>90</v>
      </c>
      <c r="L430" s="28" t="s">
        <v>56</v>
      </c>
      <c r="M430" s="29" t="str">
        <f t="shared" si="30"/>
        <v>⚠ Missing</v>
      </c>
      <c r="N430" s="4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70">
        <v>46248</v>
      </c>
      <c r="X430" s="30" t="s">
        <v>55</v>
      </c>
      <c r="Y430" s="30" t="s">
        <v>56</v>
      </c>
      <c r="Z430" s="30" t="s">
        <v>57</v>
      </c>
      <c r="AA430" s="30" t="s">
        <v>58</v>
      </c>
      <c r="AB430" s="30" t="s">
        <v>56</v>
      </c>
      <c r="AC430" s="27"/>
      <c r="AD430" s="31" t="s">
        <v>57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2182</v>
      </c>
      <c r="C431" s="25" t="s">
        <v>2183</v>
      </c>
      <c r="D431" s="23" t="s">
        <v>1331</v>
      </c>
      <c r="E431" s="42">
        <v>46132</v>
      </c>
      <c r="F431" s="26" t="s">
        <v>55</v>
      </c>
      <c r="G431" s="26" t="s">
        <v>57</v>
      </c>
      <c r="H431" s="26" t="s">
        <v>57</v>
      </c>
      <c r="I431" s="26" t="s">
        <v>89</v>
      </c>
      <c r="J431" s="26" t="s">
        <v>57</v>
      </c>
      <c r="K431" s="27" t="s">
        <v>90</v>
      </c>
      <c r="L431" s="28" t="s">
        <v>56</v>
      </c>
      <c r="M431" s="29" t="str">
        <f t="shared" si="30"/>
        <v>⚠ Missing</v>
      </c>
      <c r="N431" s="4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70">
        <v>46248</v>
      </c>
      <c r="X431" s="30" t="s">
        <v>55</v>
      </c>
      <c r="Y431" s="30" t="s">
        <v>56</v>
      </c>
      <c r="Z431" s="30" t="s">
        <v>57</v>
      </c>
      <c r="AA431" s="30" t="s">
        <v>58</v>
      </c>
      <c r="AB431" s="30" t="s">
        <v>56</v>
      </c>
      <c r="AC431" s="27"/>
      <c r="AD431" s="31" t="s">
        <v>57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2184</v>
      </c>
      <c r="C432" s="41" t="s">
        <v>2185</v>
      </c>
      <c r="D432" s="39" t="s">
        <v>1331</v>
      </c>
      <c r="E432" s="42">
        <v>46132</v>
      </c>
      <c r="F432" s="26" t="s">
        <v>55</v>
      </c>
      <c r="G432" s="26" t="s">
        <v>57</v>
      </c>
      <c r="H432" s="26" t="s">
        <v>57</v>
      </c>
      <c r="I432" s="26" t="s">
        <v>89</v>
      </c>
      <c r="J432" s="26" t="s">
        <v>57</v>
      </c>
      <c r="K432" s="27" t="s">
        <v>90</v>
      </c>
      <c r="L432" s="28" t="s">
        <v>56</v>
      </c>
      <c r="M432" s="29" t="str">
        <f t="shared" si="30"/>
        <v>⚠ Missing</v>
      </c>
      <c r="N432" s="4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70">
        <v>46248</v>
      </c>
      <c r="X432" s="30" t="s">
        <v>55</v>
      </c>
      <c r="Y432" s="30" t="s">
        <v>56</v>
      </c>
      <c r="Z432" s="30" t="s">
        <v>57</v>
      </c>
      <c r="AA432" s="30" t="s">
        <v>58</v>
      </c>
      <c r="AB432" s="30" t="s">
        <v>56</v>
      </c>
      <c r="AC432" s="27"/>
      <c r="AD432" s="31" t="s">
        <v>57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2186</v>
      </c>
      <c r="C433" s="25" t="s">
        <v>2187</v>
      </c>
      <c r="D433" s="23" t="s">
        <v>1331</v>
      </c>
      <c r="E433" s="42">
        <v>46132</v>
      </c>
      <c r="F433" s="26" t="s">
        <v>55</v>
      </c>
      <c r="G433" s="26" t="s">
        <v>57</v>
      </c>
      <c r="H433" s="26" t="s">
        <v>57</v>
      </c>
      <c r="I433" s="26" t="s">
        <v>89</v>
      </c>
      <c r="J433" s="26" t="s">
        <v>57</v>
      </c>
      <c r="K433" s="27" t="s">
        <v>90</v>
      </c>
      <c r="L433" s="28" t="s">
        <v>56</v>
      </c>
      <c r="M433" s="29" t="str">
        <f t="shared" si="30"/>
        <v>⚠ Missing</v>
      </c>
      <c r="N433" s="4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70">
        <v>46248</v>
      </c>
      <c r="X433" s="30" t="s">
        <v>55</v>
      </c>
      <c r="Y433" s="30" t="s">
        <v>56</v>
      </c>
      <c r="Z433" s="30" t="s">
        <v>57</v>
      </c>
      <c r="AA433" s="30" t="s">
        <v>58</v>
      </c>
      <c r="AB433" s="30" t="s">
        <v>56</v>
      </c>
      <c r="AC433" s="27"/>
      <c r="AD433" s="31" t="s">
        <v>57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2188</v>
      </c>
      <c r="C434" s="41" t="s">
        <v>2189</v>
      </c>
      <c r="D434" s="39" t="s">
        <v>1331</v>
      </c>
      <c r="E434" s="42">
        <v>46132</v>
      </c>
      <c r="F434" s="26" t="s">
        <v>55</v>
      </c>
      <c r="G434" s="26" t="s">
        <v>57</v>
      </c>
      <c r="H434" s="26" t="s">
        <v>57</v>
      </c>
      <c r="I434" s="26" t="s">
        <v>89</v>
      </c>
      <c r="J434" s="26" t="s">
        <v>57</v>
      </c>
      <c r="K434" s="27" t="s">
        <v>90</v>
      </c>
      <c r="L434" s="28" t="s">
        <v>56</v>
      </c>
      <c r="M434" s="29" t="str">
        <f t="shared" si="30"/>
        <v>⚠ Missing</v>
      </c>
      <c r="N434" s="4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70">
        <v>46248</v>
      </c>
      <c r="X434" s="30" t="s">
        <v>55</v>
      </c>
      <c r="Y434" s="30" t="s">
        <v>56</v>
      </c>
      <c r="Z434" s="30" t="s">
        <v>57</v>
      </c>
      <c r="AA434" s="30" t="s">
        <v>58</v>
      </c>
      <c r="AB434" s="30" t="s">
        <v>56</v>
      </c>
      <c r="AC434" s="27"/>
      <c r="AD434" s="31" t="s">
        <v>57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2190</v>
      </c>
      <c r="C435" s="25" t="s">
        <v>2191</v>
      </c>
      <c r="D435" s="23" t="s">
        <v>1331</v>
      </c>
      <c r="E435" s="42">
        <v>46132</v>
      </c>
      <c r="F435" s="26" t="s">
        <v>55</v>
      </c>
      <c r="G435" s="26" t="s">
        <v>57</v>
      </c>
      <c r="H435" s="26" t="s">
        <v>57</v>
      </c>
      <c r="I435" s="26" t="s">
        <v>89</v>
      </c>
      <c r="J435" s="26" t="s">
        <v>57</v>
      </c>
      <c r="K435" s="27" t="s">
        <v>90</v>
      </c>
      <c r="L435" s="28" t="s">
        <v>56</v>
      </c>
      <c r="M435" s="29" t="str">
        <f t="shared" si="30"/>
        <v>⚠ Missing</v>
      </c>
      <c r="N435" s="4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70">
        <v>46248</v>
      </c>
      <c r="X435" s="30" t="s">
        <v>55</v>
      </c>
      <c r="Y435" s="30" t="s">
        <v>56</v>
      </c>
      <c r="Z435" s="30" t="s">
        <v>57</v>
      </c>
      <c r="AA435" s="30" t="s">
        <v>58</v>
      </c>
      <c r="AB435" s="30" t="s">
        <v>56</v>
      </c>
      <c r="AC435" s="27"/>
      <c r="AD435" s="31" t="s">
        <v>57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2192</v>
      </c>
      <c r="C436" s="41" t="s">
        <v>2193</v>
      </c>
      <c r="D436" s="39" t="s">
        <v>1331</v>
      </c>
      <c r="E436" s="42">
        <v>46132</v>
      </c>
      <c r="F436" s="26" t="s">
        <v>55</v>
      </c>
      <c r="G436" s="26" t="s">
        <v>57</v>
      </c>
      <c r="H436" s="26" t="s">
        <v>57</v>
      </c>
      <c r="I436" s="26" t="s">
        <v>89</v>
      </c>
      <c r="J436" s="26" t="s">
        <v>57</v>
      </c>
      <c r="K436" s="27" t="s">
        <v>90</v>
      </c>
      <c r="L436" s="28" t="s">
        <v>56</v>
      </c>
      <c r="M436" s="29" t="str">
        <f t="shared" si="30"/>
        <v>⚠ Missing</v>
      </c>
      <c r="N436" s="4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70">
        <v>46248</v>
      </c>
      <c r="X436" s="30" t="s">
        <v>55</v>
      </c>
      <c r="Y436" s="30" t="s">
        <v>56</v>
      </c>
      <c r="Z436" s="30" t="s">
        <v>57</v>
      </c>
      <c r="AA436" s="30" t="s">
        <v>58</v>
      </c>
      <c r="AB436" s="30" t="s">
        <v>56</v>
      </c>
      <c r="AC436" s="27"/>
      <c r="AD436" s="31" t="s">
        <v>57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2194</v>
      </c>
      <c r="C437" s="25" t="s">
        <v>2195</v>
      </c>
      <c r="D437" s="23" t="s">
        <v>1331</v>
      </c>
      <c r="E437" s="42">
        <v>46132</v>
      </c>
      <c r="F437" s="26" t="s">
        <v>55</v>
      </c>
      <c r="G437" s="26" t="s">
        <v>57</v>
      </c>
      <c r="H437" s="26" t="s">
        <v>57</v>
      </c>
      <c r="I437" s="26" t="s">
        <v>89</v>
      </c>
      <c r="J437" s="26" t="s">
        <v>57</v>
      </c>
      <c r="K437" s="27" t="s">
        <v>90</v>
      </c>
      <c r="L437" s="28" t="s">
        <v>56</v>
      </c>
      <c r="M437" s="29" t="str">
        <f t="shared" si="30"/>
        <v>⚠ Missing</v>
      </c>
      <c r="N437" s="4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70">
        <v>46248</v>
      </c>
      <c r="X437" s="30" t="s">
        <v>55</v>
      </c>
      <c r="Y437" s="30" t="s">
        <v>56</v>
      </c>
      <c r="Z437" s="30" t="s">
        <v>57</v>
      </c>
      <c r="AA437" s="30" t="s">
        <v>58</v>
      </c>
      <c r="AB437" s="30" t="s">
        <v>56</v>
      </c>
      <c r="AC437" s="27"/>
      <c r="AD437" s="31" t="s">
        <v>57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2196</v>
      </c>
      <c r="C438" s="41" t="s">
        <v>2197</v>
      </c>
      <c r="D438" s="39" t="s">
        <v>1331</v>
      </c>
      <c r="E438" s="42">
        <v>46132</v>
      </c>
      <c r="F438" s="26" t="s">
        <v>55</v>
      </c>
      <c r="G438" s="26" t="s">
        <v>57</v>
      </c>
      <c r="H438" s="26" t="s">
        <v>57</v>
      </c>
      <c r="I438" s="26" t="s">
        <v>89</v>
      </c>
      <c r="J438" s="26" t="s">
        <v>57</v>
      </c>
      <c r="K438" s="27" t="s">
        <v>90</v>
      </c>
      <c r="L438" s="28" t="s">
        <v>56</v>
      </c>
      <c r="M438" s="29" t="str">
        <f t="shared" si="30"/>
        <v>⚠ Missing</v>
      </c>
      <c r="N438" s="4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70">
        <v>46248</v>
      </c>
      <c r="X438" s="30" t="s">
        <v>55</v>
      </c>
      <c r="Y438" s="30" t="s">
        <v>56</v>
      </c>
      <c r="Z438" s="30" t="s">
        <v>57</v>
      </c>
      <c r="AA438" s="30" t="s">
        <v>58</v>
      </c>
      <c r="AB438" s="30" t="s">
        <v>56</v>
      </c>
      <c r="AC438" s="27"/>
      <c r="AD438" s="31" t="s">
        <v>57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2198</v>
      </c>
      <c r="C439" s="25" t="s">
        <v>2199</v>
      </c>
      <c r="D439" s="23" t="s">
        <v>1331</v>
      </c>
      <c r="E439" s="42">
        <v>46132</v>
      </c>
      <c r="F439" s="26" t="s">
        <v>55</v>
      </c>
      <c r="G439" s="26" t="s">
        <v>57</v>
      </c>
      <c r="H439" s="26" t="s">
        <v>57</v>
      </c>
      <c r="I439" s="26" t="s">
        <v>89</v>
      </c>
      <c r="J439" s="26" t="s">
        <v>57</v>
      </c>
      <c r="K439" s="27" t="s">
        <v>90</v>
      </c>
      <c r="L439" s="28" t="s">
        <v>56</v>
      </c>
      <c r="M439" s="29" t="str">
        <f t="shared" si="30"/>
        <v>⚠ Missing</v>
      </c>
      <c r="N439" s="4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70">
        <v>46248</v>
      </c>
      <c r="X439" s="30" t="s">
        <v>55</v>
      </c>
      <c r="Y439" s="30" t="s">
        <v>56</v>
      </c>
      <c r="Z439" s="30" t="s">
        <v>57</v>
      </c>
      <c r="AA439" s="30" t="s">
        <v>58</v>
      </c>
      <c r="AB439" s="30" t="s">
        <v>56</v>
      </c>
      <c r="AC439" s="27"/>
      <c r="AD439" s="31" t="s">
        <v>57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2200</v>
      </c>
      <c r="C440" s="41" t="s">
        <v>2201</v>
      </c>
      <c r="D440" s="39" t="s">
        <v>1331</v>
      </c>
      <c r="E440" s="42">
        <v>46132</v>
      </c>
      <c r="F440" s="26" t="s">
        <v>55</v>
      </c>
      <c r="G440" s="26" t="s">
        <v>57</v>
      </c>
      <c r="H440" s="26" t="s">
        <v>57</v>
      </c>
      <c r="I440" s="26" t="s">
        <v>89</v>
      </c>
      <c r="J440" s="26" t="s">
        <v>57</v>
      </c>
      <c r="K440" s="27" t="s">
        <v>90</v>
      </c>
      <c r="L440" s="28" t="s">
        <v>56</v>
      </c>
      <c r="M440" s="29" t="str">
        <f t="shared" si="30"/>
        <v>⚠ Missing</v>
      </c>
      <c r="N440" s="4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70">
        <v>46248</v>
      </c>
      <c r="X440" s="30" t="s">
        <v>55</v>
      </c>
      <c r="Y440" s="30" t="s">
        <v>56</v>
      </c>
      <c r="Z440" s="30" t="s">
        <v>57</v>
      </c>
      <c r="AA440" s="30" t="s">
        <v>58</v>
      </c>
      <c r="AB440" s="30" t="s">
        <v>56</v>
      </c>
      <c r="AC440" s="27"/>
      <c r="AD440" s="31" t="s">
        <v>57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2202</v>
      </c>
      <c r="C441" s="25" t="s">
        <v>2203</v>
      </c>
      <c r="D441" s="23" t="s">
        <v>1331</v>
      </c>
      <c r="E441" s="42">
        <v>46132</v>
      </c>
      <c r="F441" s="26" t="s">
        <v>55</v>
      </c>
      <c r="G441" s="26" t="s">
        <v>57</v>
      </c>
      <c r="H441" s="26" t="s">
        <v>57</v>
      </c>
      <c r="I441" s="26" t="s">
        <v>89</v>
      </c>
      <c r="J441" s="26" t="s">
        <v>57</v>
      </c>
      <c r="K441" s="27" t="s">
        <v>90</v>
      </c>
      <c r="L441" s="28" t="s">
        <v>56</v>
      </c>
      <c r="M441" s="29" t="str">
        <f t="shared" si="30"/>
        <v>⚠ Missing</v>
      </c>
      <c r="N441" s="4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70">
        <v>46248</v>
      </c>
      <c r="X441" s="30" t="s">
        <v>55</v>
      </c>
      <c r="Y441" s="30" t="s">
        <v>56</v>
      </c>
      <c r="Z441" s="30" t="s">
        <v>57</v>
      </c>
      <c r="AA441" s="30" t="s">
        <v>58</v>
      </c>
      <c r="AB441" s="30" t="s">
        <v>56</v>
      </c>
      <c r="AC441" s="27"/>
      <c r="AD441" s="31" t="s">
        <v>57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2204</v>
      </c>
      <c r="C442" s="41" t="s">
        <v>2205</v>
      </c>
      <c r="D442" s="39" t="s">
        <v>1331</v>
      </c>
      <c r="E442" s="42">
        <v>46132</v>
      </c>
      <c r="F442" s="26" t="s">
        <v>55</v>
      </c>
      <c r="G442" s="26" t="s">
        <v>57</v>
      </c>
      <c r="H442" s="26" t="s">
        <v>57</v>
      </c>
      <c r="I442" s="26" t="s">
        <v>89</v>
      </c>
      <c r="J442" s="26" t="s">
        <v>57</v>
      </c>
      <c r="K442" s="27" t="s">
        <v>90</v>
      </c>
      <c r="L442" s="28" t="s">
        <v>56</v>
      </c>
      <c r="M442" s="29" t="str">
        <f t="shared" si="30"/>
        <v>⚠ Missing</v>
      </c>
      <c r="N442" s="4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70">
        <v>46248</v>
      </c>
      <c r="X442" s="30" t="s">
        <v>55</v>
      </c>
      <c r="Y442" s="30" t="s">
        <v>56</v>
      </c>
      <c r="Z442" s="30" t="s">
        <v>57</v>
      </c>
      <c r="AA442" s="30" t="s">
        <v>58</v>
      </c>
      <c r="AB442" s="30" t="s">
        <v>56</v>
      </c>
      <c r="AC442" s="27"/>
      <c r="AD442" s="31" t="s">
        <v>57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2206</v>
      </c>
      <c r="C443" s="25" t="s">
        <v>2207</v>
      </c>
      <c r="D443" s="23" t="s">
        <v>1331</v>
      </c>
      <c r="E443" s="42">
        <v>46132</v>
      </c>
      <c r="F443" s="26" t="s">
        <v>55</v>
      </c>
      <c r="G443" s="26" t="s">
        <v>57</v>
      </c>
      <c r="H443" s="26" t="s">
        <v>57</v>
      </c>
      <c r="I443" s="26" t="s">
        <v>89</v>
      </c>
      <c r="J443" s="26" t="s">
        <v>57</v>
      </c>
      <c r="K443" s="27" t="s">
        <v>90</v>
      </c>
      <c r="L443" s="28" t="s">
        <v>56</v>
      </c>
      <c r="M443" s="29" t="str">
        <f t="shared" si="30"/>
        <v>⚠ Missing</v>
      </c>
      <c r="N443" s="4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70">
        <v>46248</v>
      </c>
      <c r="X443" s="30" t="s">
        <v>55</v>
      </c>
      <c r="Y443" s="30" t="s">
        <v>56</v>
      </c>
      <c r="Z443" s="30" t="s">
        <v>57</v>
      </c>
      <c r="AA443" s="30" t="s">
        <v>58</v>
      </c>
      <c r="AB443" s="30" t="s">
        <v>56</v>
      </c>
      <c r="AC443" s="27"/>
      <c r="AD443" s="31" t="s">
        <v>57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2208</v>
      </c>
      <c r="C444" s="41" t="s">
        <v>2209</v>
      </c>
      <c r="D444" s="39" t="s">
        <v>1331</v>
      </c>
      <c r="E444" s="42">
        <v>46132</v>
      </c>
      <c r="F444" s="26" t="s">
        <v>55</v>
      </c>
      <c r="G444" s="26" t="s">
        <v>57</v>
      </c>
      <c r="H444" s="26" t="s">
        <v>57</v>
      </c>
      <c r="I444" s="26" t="s">
        <v>89</v>
      </c>
      <c r="J444" s="26" t="s">
        <v>57</v>
      </c>
      <c r="K444" s="27" t="s">
        <v>90</v>
      </c>
      <c r="L444" s="28" t="s">
        <v>56</v>
      </c>
      <c r="M444" s="29" t="str">
        <f t="shared" si="30"/>
        <v>⚠ Missing</v>
      </c>
      <c r="N444" s="4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70">
        <v>46248</v>
      </c>
      <c r="X444" s="30" t="s">
        <v>55</v>
      </c>
      <c r="Y444" s="30" t="s">
        <v>56</v>
      </c>
      <c r="Z444" s="30" t="s">
        <v>57</v>
      </c>
      <c r="AA444" s="30" t="s">
        <v>58</v>
      </c>
      <c r="AB444" s="30" t="s">
        <v>56</v>
      </c>
      <c r="AC444" s="27"/>
      <c r="AD444" s="31" t="s">
        <v>57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2210</v>
      </c>
      <c r="C445" s="25" t="s">
        <v>2211</v>
      </c>
      <c r="D445" s="23" t="s">
        <v>1331</v>
      </c>
      <c r="E445" s="42">
        <v>46132</v>
      </c>
      <c r="F445" s="26" t="s">
        <v>55</v>
      </c>
      <c r="G445" s="26" t="s">
        <v>57</v>
      </c>
      <c r="H445" s="26" t="s">
        <v>57</v>
      </c>
      <c r="I445" s="26" t="s">
        <v>89</v>
      </c>
      <c r="J445" s="26" t="s">
        <v>57</v>
      </c>
      <c r="K445" s="27" t="s">
        <v>90</v>
      </c>
      <c r="L445" s="28" t="s">
        <v>56</v>
      </c>
      <c r="M445" s="29" t="str">
        <f t="shared" si="30"/>
        <v>⚠ Missing</v>
      </c>
      <c r="N445" s="4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70">
        <v>46248</v>
      </c>
      <c r="X445" s="30" t="s">
        <v>55</v>
      </c>
      <c r="Y445" s="30" t="s">
        <v>56</v>
      </c>
      <c r="Z445" s="30" t="s">
        <v>57</v>
      </c>
      <c r="AA445" s="30" t="s">
        <v>58</v>
      </c>
      <c r="AB445" s="30" t="s">
        <v>56</v>
      </c>
      <c r="AC445" s="27"/>
      <c r="AD445" s="31" t="s">
        <v>57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2212</v>
      </c>
      <c r="C446" s="41" t="s">
        <v>2213</v>
      </c>
      <c r="D446" s="39" t="s">
        <v>1331</v>
      </c>
      <c r="E446" s="42">
        <v>46132</v>
      </c>
      <c r="F446" s="26" t="s">
        <v>55</v>
      </c>
      <c r="G446" s="26" t="s">
        <v>57</v>
      </c>
      <c r="H446" s="26" t="s">
        <v>57</v>
      </c>
      <c r="I446" s="26" t="s">
        <v>89</v>
      </c>
      <c r="J446" s="26" t="s">
        <v>57</v>
      </c>
      <c r="K446" s="27" t="s">
        <v>90</v>
      </c>
      <c r="L446" s="28" t="s">
        <v>56</v>
      </c>
      <c r="M446" s="29" t="str">
        <f t="shared" si="30"/>
        <v>⚠ Missing</v>
      </c>
      <c r="N446" s="4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70">
        <v>46248</v>
      </c>
      <c r="X446" s="30" t="s">
        <v>55</v>
      </c>
      <c r="Y446" s="30" t="s">
        <v>56</v>
      </c>
      <c r="Z446" s="30" t="s">
        <v>57</v>
      </c>
      <c r="AA446" s="30" t="s">
        <v>58</v>
      </c>
      <c r="AB446" s="30" t="s">
        <v>56</v>
      </c>
      <c r="AC446" s="27"/>
      <c r="AD446" s="31" t="s">
        <v>57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2214</v>
      </c>
      <c r="C447" s="25" t="s">
        <v>2215</v>
      </c>
      <c r="D447" s="23" t="s">
        <v>1331</v>
      </c>
      <c r="E447" s="42">
        <v>46132</v>
      </c>
      <c r="F447" s="26" t="s">
        <v>55</v>
      </c>
      <c r="G447" s="26" t="s">
        <v>57</v>
      </c>
      <c r="H447" s="26" t="s">
        <v>57</v>
      </c>
      <c r="I447" s="26" t="s">
        <v>89</v>
      </c>
      <c r="J447" s="26" t="s">
        <v>57</v>
      </c>
      <c r="K447" s="27" t="s">
        <v>90</v>
      </c>
      <c r="L447" s="28" t="s">
        <v>56</v>
      </c>
      <c r="M447" s="29" t="str">
        <f t="shared" si="30"/>
        <v>⚠ Missing</v>
      </c>
      <c r="N447" s="4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70">
        <v>46248</v>
      </c>
      <c r="X447" s="30" t="s">
        <v>55</v>
      </c>
      <c r="Y447" s="30" t="s">
        <v>56</v>
      </c>
      <c r="Z447" s="30" t="s">
        <v>57</v>
      </c>
      <c r="AA447" s="30" t="s">
        <v>58</v>
      </c>
      <c r="AB447" s="30" t="s">
        <v>56</v>
      </c>
      <c r="AC447" s="27"/>
      <c r="AD447" s="31" t="s">
        <v>57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2216</v>
      </c>
      <c r="C448" s="41" t="s">
        <v>2217</v>
      </c>
      <c r="D448" s="39" t="s">
        <v>1331</v>
      </c>
      <c r="E448" s="42">
        <v>46132</v>
      </c>
      <c r="F448" s="26" t="s">
        <v>55</v>
      </c>
      <c r="G448" s="26" t="s">
        <v>57</v>
      </c>
      <c r="H448" s="26" t="s">
        <v>57</v>
      </c>
      <c r="I448" s="26" t="s">
        <v>89</v>
      </c>
      <c r="J448" s="26" t="s">
        <v>57</v>
      </c>
      <c r="K448" s="27" t="s">
        <v>90</v>
      </c>
      <c r="L448" s="28" t="s">
        <v>56</v>
      </c>
      <c r="M448" s="29" t="str">
        <f t="shared" si="30"/>
        <v>⚠ Missing</v>
      </c>
      <c r="N448" s="4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70">
        <v>46248</v>
      </c>
      <c r="X448" s="30" t="s">
        <v>55</v>
      </c>
      <c r="Y448" s="30" t="s">
        <v>56</v>
      </c>
      <c r="Z448" s="30" t="s">
        <v>57</v>
      </c>
      <c r="AA448" s="30" t="s">
        <v>58</v>
      </c>
      <c r="AB448" s="30" t="s">
        <v>56</v>
      </c>
      <c r="AC448" s="27"/>
      <c r="AD448" s="31" t="s">
        <v>57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2218</v>
      </c>
      <c r="C449" s="25" t="s">
        <v>2219</v>
      </c>
      <c r="D449" s="23" t="s">
        <v>1331</v>
      </c>
      <c r="E449" s="42">
        <v>46132</v>
      </c>
      <c r="F449" s="26" t="s">
        <v>55</v>
      </c>
      <c r="G449" s="26" t="s">
        <v>57</v>
      </c>
      <c r="H449" s="26" t="s">
        <v>57</v>
      </c>
      <c r="I449" s="26" t="s">
        <v>89</v>
      </c>
      <c r="J449" s="26" t="s">
        <v>57</v>
      </c>
      <c r="K449" s="27" t="s">
        <v>90</v>
      </c>
      <c r="L449" s="28" t="s">
        <v>56</v>
      </c>
      <c r="M449" s="29" t="str">
        <f t="shared" si="30"/>
        <v>⚠ Missing</v>
      </c>
      <c r="N449" s="4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70">
        <v>46248</v>
      </c>
      <c r="X449" s="30" t="s">
        <v>55</v>
      </c>
      <c r="Y449" s="30" t="s">
        <v>56</v>
      </c>
      <c r="Z449" s="30" t="s">
        <v>57</v>
      </c>
      <c r="AA449" s="30" t="s">
        <v>58</v>
      </c>
      <c r="AB449" s="30" t="s">
        <v>56</v>
      </c>
      <c r="AC449" s="27"/>
      <c r="AD449" s="31" t="s">
        <v>57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2220</v>
      </c>
      <c r="C450" s="41" t="s">
        <v>2221</v>
      </c>
      <c r="D450" s="39" t="s">
        <v>1331</v>
      </c>
      <c r="E450" s="42">
        <v>46132</v>
      </c>
      <c r="F450" s="26" t="s">
        <v>55</v>
      </c>
      <c r="G450" s="26" t="s">
        <v>57</v>
      </c>
      <c r="H450" s="26" t="s">
        <v>57</v>
      </c>
      <c r="I450" s="26" t="s">
        <v>89</v>
      </c>
      <c r="J450" s="26" t="s">
        <v>57</v>
      </c>
      <c r="K450" s="27" t="s">
        <v>90</v>
      </c>
      <c r="L450" s="28" t="s">
        <v>56</v>
      </c>
      <c r="M450" s="29" t="str">
        <f t="shared" si="30"/>
        <v>⚠ Missing</v>
      </c>
      <c r="N450" s="4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70">
        <v>46248</v>
      </c>
      <c r="X450" s="30" t="s">
        <v>55</v>
      </c>
      <c r="Y450" s="30" t="s">
        <v>56</v>
      </c>
      <c r="Z450" s="30" t="s">
        <v>57</v>
      </c>
      <c r="AA450" s="30" t="s">
        <v>58</v>
      </c>
      <c r="AB450" s="30" t="s">
        <v>56</v>
      </c>
      <c r="AC450" s="27"/>
      <c r="AD450" s="31" t="s">
        <v>57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2222</v>
      </c>
      <c r="C451" s="25" t="s">
        <v>2223</v>
      </c>
      <c r="D451" s="23" t="s">
        <v>1331</v>
      </c>
      <c r="E451" s="42">
        <v>46132</v>
      </c>
      <c r="F451" s="26" t="s">
        <v>55</v>
      </c>
      <c r="G451" s="26" t="s">
        <v>57</v>
      </c>
      <c r="H451" s="26" t="s">
        <v>57</v>
      </c>
      <c r="I451" s="26" t="s">
        <v>89</v>
      </c>
      <c r="J451" s="26" t="s">
        <v>57</v>
      </c>
      <c r="K451" s="27" t="s">
        <v>90</v>
      </c>
      <c r="L451" s="28" t="s">
        <v>56</v>
      </c>
      <c r="M451" s="29" t="str">
        <f t="shared" si="30"/>
        <v>⚠ Missing</v>
      </c>
      <c r="N451" s="4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70">
        <v>46248</v>
      </c>
      <c r="X451" s="30" t="s">
        <v>55</v>
      </c>
      <c r="Y451" s="30" t="s">
        <v>56</v>
      </c>
      <c r="Z451" s="30" t="s">
        <v>57</v>
      </c>
      <c r="AA451" s="30" t="s">
        <v>58</v>
      </c>
      <c r="AB451" s="30" t="s">
        <v>56</v>
      </c>
      <c r="AC451" s="27"/>
      <c r="AD451" s="31" t="s">
        <v>57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2224</v>
      </c>
      <c r="C452" s="41" t="s">
        <v>2225</v>
      </c>
      <c r="D452" s="39" t="s">
        <v>1331</v>
      </c>
      <c r="E452" s="42">
        <v>46132</v>
      </c>
      <c r="F452" s="26" t="s">
        <v>55</v>
      </c>
      <c r="G452" s="26" t="s">
        <v>57</v>
      </c>
      <c r="H452" s="26" t="s">
        <v>57</v>
      </c>
      <c r="I452" s="26" t="s">
        <v>89</v>
      </c>
      <c r="J452" s="26" t="s">
        <v>57</v>
      </c>
      <c r="K452" s="27" t="s">
        <v>90</v>
      </c>
      <c r="L452" s="28" t="s">
        <v>56</v>
      </c>
      <c r="M452" s="29" t="str">
        <f t="shared" si="30"/>
        <v>⚠ Missing</v>
      </c>
      <c r="N452" s="4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70">
        <v>46248</v>
      </c>
      <c r="X452" s="30" t="s">
        <v>55</v>
      </c>
      <c r="Y452" s="30" t="s">
        <v>56</v>
      </c>
      <c r="Z452" s="30" t="s">
        <v>57</v>
      </c>
      <c r="AA452" s="30" t="s">
        <v>58</v>
      </c>
      <c r="AB452" s="30" t="s">
        <v>56</v>
      </c>
      <c r="AC452" s="27"/>
      <c r="AD452" s="31" t="s">
        <v>57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2226</v>
      </c>
      <c r="C453" s="25" t="s">
        <v>2227</v>
      </c>
      <c r="D453" s="23" t="s">
        <v>1331</v>
      </c>
      <c r="E453" s="42">
        <v>46132</v>
      </c>
      <c r="F453" s="26" t="s">
        <v>55</v>
      </c>
      <c r="G453" s="26" t="s">
        <v>57</v>
      </c>
      <c r="H453" s="26" t="s">
        <v>57</v>
      </c>
      <c r="I453" s="26" t="s">
        <v>89</v>
      </c>
      <c r="J453" s="26" t="s">
        <v>57</v>
      </c>
      <c r="K453" s="27" t="s">
        <v>90</v>
      </c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70">
        <v>46248</v>
      </c>
      <c r="X453" s="30" t="s">
        <v>55</v>
      </c>
      <c r="Y453" s="30" t="s">
        <v>56</v>
      </c>
      <c r="Z453" s="30" t="s">
        <v>57</v>
      </c>
      <c r="AA453" s="30" t="s">
        <v>58</v>
      </c>
      <c r="AB453" s="30" t="s">
        <v>56</v>
      </c>
      <c r="AC453" s="27"/>
      <c r="AD453" s="31" t="s">
        <v>57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2228</v>
      </c>
      <c r="C454" s="41" t="s">
        <v>2229</v>
      </c>
      <c r="D454" s="39" t="s">
        <v>1331</v>
      </c>
      <c r="E454" s="42">
        <v>46132</v>
      </c>
      <c r="F454" s="26" t="s">
        <v>55</v>
      </c>
      <c r="G454" s="26" t="s">
        <v>57</v>
      </c>
      <c r="H454" s="26" t="s">
        <v>57</v>
      </c>
      <c r="I454" s="26" t="s">
        <v>89</v>
      </c>
      <c r="J454" s="26" t="s">
        <v>57</v>
      </c>
      <c r="K454" s="27" t="s">
        <v>90</v>
      </c>
      <c r="L454" s="28" t="s">
        <v>56</v>
      </c>
      <c r="M454" s="29" t="str">
        <f t="shared" si="35"/>
        <v>⚠ Missing</v>
      </c>
      <c r="N454" s="4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70">
        <v>46248</v>
      </c>
      <c r="X454" s="30" t="s">
        <v>55</v>
      </c>
      <c r="Y454" s="30" t="s">
        <v>56</v>
      </c>
      <c r="Z454" s="30" t="s">
        <v>57</v>
      </c>
      <c r="AA454" s="30" t="s">
        <v>58</v>
      </c>
      <c r="AB454" s="30" t="s">
        <v>56</v>
      </c>
      <c r="AC454" s="27"/>
      <c r="AD454" s="31" t="s">
        <v>57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2230</v>
      </c>
      <c r="C455" s="25" t="s">
        <v>2231</v>
      </c>
      <c r="D455" s="23" t="s">
        <v>1331</v>
      </c>
      <c r="E455" s="42">
        <v>46132</v>
      </c>
      <c r="F455" s="26" t="s">
        <v>55</v>
      </c>
      <c r="G455" s="26" t="s">
        <v>57</v>
      </c>
      <c r="H455" s="26" t="s">
        <v>57</v>
      </c>
      <c r="I455" s="26" t="s">
        <v>89</v>
      </c>
      <c r="J455" s="26" t="s">
        <v>57</v>
      </c>
      <c r="K455" s="27" t="s">
        <v>90</v>
      </c>
      <c r="L455" s="28" t="s">
        <v>56</v>
      </c>
      <c r="M455" s="29" t="str">
        <f t="shared" si="35"/>
        <v>⚠ Missing</v>
      </c>
      <c r="N455" s="4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70">
        <v>46248</v>
      </c>
      <c r="X455" s="30" t="s">
        <v>55</v>
      </c>
      <c r="Y455" s="30" t="s">
        <v>56</v>
      </c>
      <c r="Z455" s="30" t="s">
        <v>57</v>
      </c>
      <c r="AA455" s="30" t="s">
        <v>58</v>
      </c>
      <c r="AB455" s="30" t="s">
        <v>56</v>
      </c>
      <c r="AC455" s="27"/>
      <c r="AD455" s="31" t="s">
        <v>57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2232</v>
      </c>
      <c r="C456" s="41" t="s">
        <v>2233</v>
      </c>
      <c r="D456" s="39" t="s">
        <v>1331</v>
      </c>
      <c r="E456" s="42">
        <v>46132</v>
      </c>
      <c r="F456" s="26" t="s">
        <v>55</v>
      </c>
      <c r="G456" s="26" t="s">
        <v>57</v>
      </c>
      <c r="H456" s="26" t="s">
        <v>57</v>
      </c>
      <c r="I456" s="26" t="s">
        <v>89</v>
      </c>
      <c r="J456" s="26" t="s">
        <v>57</v>
      </c>
      <c r="K456" s="27" t="s">
        <v>90</v>
      </c>
      <c r="L456" s="28" t="s">
        <v>56</v>
      </c>
      <c r="M456" s="29" t="str">
        <f t="shared" si="35"/>
        <v>⚠ Missing</v>
      </c>
      <c r="N456" s="4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70">
        <v>46248</v>
      </c>
      <c r="X456" s="30" t="s">
        <v>55</v>
      </c>
      <c r="Y456" s="30" t="s">
        <v>56</v>
      </c>
      <c r="Z456" s="30" t="s">
        <v>57</v>
      </c>
      <c r="AA456" s="30" t="s">
        <v>58</v>
      </c>
      <c r="AB456" s="30" t="s">
        <v>56</v>
      </c>
      <c r="AC456" s="27"/>
      <c r="AD456" s="31" t="s">
        <v>57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2234</v>
      </c>
      <c r="C457" s="25" t="s">
        <v>2235</v>
      </c>
      <c r="D457" s="23" t="s">
        <v>1331</v>
      </c>
      <c r="E457" s="42">
        <v>46132</v>
      </c>
      <c r="F457" s="26" t="s">
        <v>55</v>
      </c>
      <c r="G457" s="26" t="s">
        <v>57</v>
      </c>
      <c r="H457" s="26" t="s">
        <v>57</v>
      </c>
      <c r="I457" s="26" t="s">
        <v>89</v>
      </c>
      <c r="J457" s="26" t="s">
        <v>57</v>
      </c>
      <c r="K457" s="27" t="s">
        <v>90</v>
      </c>
      <c r="L457" s="28" t="s">
        <v>56</v>
      </c>
      <c r="M457" s="29" t="str">
        <f t="shared" si="35"/>
        <v>⚠ Missing</v>
      </c>
      <c r="N457" s="4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70">
        <v>46248</v>
      </c>
      <c r="X457" s="30" t="s">
        <v>55</v>
      </c>
      <c r="Y457" s="30" t="s">
        <v>56</v>
      </c>
      <c r="Z457" s="30" t="s">
        <v>57</v>
      </c>
      <c r="AA457" s="30" t="s">
        <v>58</v>
      </c>
      <c r="AB457" s="30" t="s">
        <v>56</v>
      </c>
      <c r="AC457" s="27"/>
      <c r="AD457" s="31" t="s">
        <v>57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2236</v>
      </c>
      <c r="C458" s="41" t="s">
        <v>2237</v>
      </c>
      <c r="D458" s="39" t="s">
        <v>1331</v>
      </c>
      <c r="E458" s="42">
        <v>46132</v>
      </c>
      <c r="F458" s="26" t="s">
        <v>55</v>
      </c>
      <c r="G458" s="26" t="s">
        <v>57</v>
      </c>
      <c r="H458" s="26" t="s">
        <v>57</v>
      </c>
      <c r="I458" s="26" t="s">
        <v>89</v>
      </c>
      <c r="J458" s="26" t="s">
        <v>57</v>
      </c>
      <c r="K458" s="27" t="s">
        <v>90</v>
      </c>
      <c r="L458" s="28" t="s">
        <v>56</v>
      </c>
      <c r="M458" s="29" t="str">
        <f t="shared" si="35"/>
        <v>⚠ Missing</v>
      </c>
      <c r="N458" s="4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70">
        <v>46248</v>
      </c>
      <c r="X458" s="30" t="s">
        <v>55</v>
      </c>
      <c r="Y458" s="30" t="s">
        <v>56</v>
      </c>
      <c r="Z458" s="30" t="s">
        <v>57</v>
      </c>
      <c r="AA458" s="30" t="s">
        <v>58</v>
      </c>
      <c r="AB458" s="30" t="s">
        <v>56</v>
      </c>
      <c r="AC458" s="27"/>
      <c r="AD458" s="31" t="s">
        <v>57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2238</v>
      </c>
      <c r="C459" s="25" t="s">
        <v>2239</v>
      </c>
      <c r="D459" s="23" t="s">
        <v>1331</v>
      </c>
      <c r="E459" s="42">
        <v>46132</v>
      </c>
      <c r="F459" s="26" t="s">
        <v>55</v>
      </c>
      <c r="G459" s="26" t="s">
        <v>57</v>
      </c>
      <c r="H459" s="26" t="s">
        <v>57</v>
      </c>
      <c r="I459" s="26" t="s">
        <v>89</v>
      </c>
      <c r="J459" s="26" t="s">
        <v>57</v>
      </c>
      <c r="K459" s="27" t="s">
        <v>90</v>
      </c>
      <c r="L459" s="28" t="s">
        <v>56</v>
      </c>
      <c r="M459" s="29" t="str">
        <f t="shared" si="35"/>
        <v>⚠ Missing</v>
      </c>
      <c r="N459" s="4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70">
        <v>46248</v>
      </c>
      <c r="X459" s="30" t="s">
        <v>55</v>
      </c>
      <c r="Y459" s="30" t="s">
        <v>56</v>
      </c>
      <c r="Z459" s="30" t="s">
        <v>57</v>
      </c>
      <c r="AA459" s="30" t="s">
        <v>58</v>
      </c>
      <c r="AB459" s="30" t="s">
        <v>56</v>
      </c>
      <c r="AC459" s="27"/>
      <c r="AD459" s="31" t="s">
        <v>57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2240</v>
      </c>
      <c r="C460" s="41" t="s">
        <v>2241</v>
      </c>
      <c r="D460" s="39" t="s">
        <v>1331</v>
      </c>
      <c r="E460" s="42">
        <v>46132</v>
      </c>
      <c r="F460" s="26" t="s">
        <v>55</v>
      </c>
      <c r="G460" s="26" t="s">
        <v>57</v>
      </c>
      <c r="H460" s="26" t="s">
        <v>57</v>
      </c>
      <c r="I460" s="26" t="s">
        <v>89</v>
      </c>
      <c r="J460" s="26" t="s">
        <v>57</v>
      </c>
      <c r="K460" s="27" t="s">
        <v>90</v>
      </c>
      <c r="L460" s="28" t="s">
        <v>56</v>
      </c>
      <c r="M460" s="29" t="str">
        <f t="shared" si="35"/>
        <v>⚠ Missing</v>
      </c>
      <c r="N460" s="4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70">
        <v>46248</v>
      </c>
      <c r="X460" s="30" t="s">
        <v>55</v>
      </c>
      <c r="Y460" s="30" t="s">
        <v>56</v>
      </c>
      <c r="Z460" s="30" t="s">
        <v>57</v>
      </c>
      <c r="AA460" s="30" t="s">
        <v>58</v>
      </c>
      <c r="AB460" s="30" t="s">
        <v>56</v>
      </c>
      <c r="AC460" s="27"/>
      <c r="AD460" s="31" t="s">
        <v>57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2242</v>
      </c>
      <c r="C461" s="25" t="s">
        <v>2243</v>
      </c>
      <c r="D461" s="23" t="s">
        <v>1331</v>
      </c>
      <c r="E461" s="42">
        <v>46132</v>
      </c>
      <c r="F461" s="26" t="s">
        <v>55</v>
      </c>
      <c r="G461" s="26" t="s">
        <v>57</v>
      </c>
      <c r="H461" s="26" t="s">
        <v>57</v>
      </c>
      <c r="I461" s="26" t="s">
        <v>89</v>
      </c>
      <c r="J461" s="26" t="s">
        <v>57</v>
      </c>
      <c r="K461" s="27" t="s">
        <v>90</v>
      </c>
      <c r="L461" s="28" t="s">
        <v>56</v>
      </c>
      <c r="M461" s="29" t="str">
        <f t="shared" si="35"/>
        <v>⚠ Missing</v>
      </c>
      <c r="N461" s="4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70">
        <v>46248</v>
      </c>
      <c r="X461" s="30" t="s">
        <v>55</v>
      </c>
      <c r="Y461" s="30" t="s">
        <v>56</v>
      </c>
      <c r="Z461" s="30" t="s">
        <v>57</v>
      </c>
      <c r="AA461" s="30" t="s">
        <v>58</v>
      </c>
      <c r="AB461" s="30" t="s">
        <v>56</v>
      </c>
      <c r="AC461" s="27"/>
      <c r="AD461" s="31" t="s">
        <v>57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2244</v>
      </c>
      <c r="C462" s="41" t="s">
        <v>2245</v>
      </c>
      <c r="D462" s="39" t="s">
        <v>1331</v>
      </c>
      <c r="E462" s="42">
        <v>46132</v>
      </c>
      <c r="F462" s="26" t="s">
        <v>55</v>
      </c>
      <c r="G462" s="26" t="s">
        <v>57</v>
      </c>
      <c r="H462" s="26" t="s">
        <v>57</v>
      </c>
      <c r="I462" s="26" t="s">
        <v>89</v>
      </c>
      <c r="J462" s="26" t="s">
        <v>57</v>
      </c>
      <c r="K462" s="27" t="s">
        <v>90</v>
      </c>
      <c r="L462" s="28" t="s">
        <v>56</v>
      </c>
      <c r="M462" s="29" t="str">
        <f t="shared" si="35"/>
        <v>⚠ Missing</v>
      </c>
      <c r="N462" s="4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70">
        <v>46248</v>
      </c>
      <c r="X462" s="30" t="s">
        <v>55</v>
      </c>
      <c r="Y462" s="30" t="s">
        <v>56</v>
      </c>
      <c r="Z462" s="30" t="s">
        <v>57</v>
      </c>
      <c r="AA462" s="30" t="s">
        <v>58</v>
      </c>
      <c r="AB462" s="30" t="s">
        <v>56</v>
      </c>
      <c r="AC462" s="27"/>
      <c r="AD462" s="31" t="s">
        <v>57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2246</v>
      </c>
      <c r="C463" s="25" t="s">
        <v>2247</v>
      </c>
      <c r="D463" s="23" t="s">
        <v>1331</v>
      </c>
      <c r="E463" s="42">
        <v>46132</v>
      </c>
      <c r="F463" s="26" t="s">
        <v>55</v>
      </c>
      <c r="G463" s="26" t="s">
        <v>57</v>
      </c>
      <c r="H463" s="26" t="s">
        <v>57</v>
      </c>
      <c r="I463" s="26" t="s">
        <v>89</v>
      </c>
      <c r="J463" s="26" t="s">
        <v>57</v>
      </c>
      <c r="K463" s="27" t="s">
        <v>90</v>
      </c>
      <c r="L463" s="28" t="s">
        <v>56</v>
      </c>
      <c r="M463" s="29" t="str">
        <f t="shared" si="35"/>
        <v>⚠ Missing</v>
      </c>
      <c r="N463" s="4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70">
        <v>46248</v>
      </c>
      <c r="X463" s="30" t="s">
        <v>55</v>
      </c>
      <c r="Y463" s="30" t="s">
        <v>56</v>
      </c>
      <c r="Z463" s="30" t="s">
        <v>57</v>
      </c>
      <c r="AA463" s="30" t="s">
        <v>58</v>
      </c>
      <c r="AB463" s="30" t="s">
        <v>56</v>
      </c>
      <c r="AC463" s="27"/>
      <c r="AD463" s="31" t="s">
        <v>57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2248</v>
      </c>
      <c r="C464" s="41" t="s">
        <v>2249</v>
      </c>
      <c r="D464" s="39" t="s">
        <v>1331</v>
      </c>
      <c r="E464" s="42">
        <v>46132</v>
      </c>
      <c r="F464" s="26" t="s">
        <v>55</v>
      </c>
      <c r="G464" s="26" t="s">
        <v>57</v>
      </c>
      <c r="H464" s="26" t="s">
        <v>57</v>
      </c>
      <c r="I464" s="26" t="s">
        <v>89</v>
      </c>
      <c r="J464" s="26" t="s">
        <v>57</v>
      </c>
      <c r="K464" s="27" t="s">
        <v>90</v>
      </c>
      <c r="L464" s="28" t="s">
        <v>56</v>
      </c>
      <c r="M464" s="29" t="str">
        <f t="shared" si="35"/>
        <v>⚠ Missing</v>
      </c>
      <c r="N464" s="4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70">
        <v>46248</v>
      </c>
      <c r="X464" s="30" t="s">
        <v>55</v>
      </c>
      <c r="Y464" s="30" t="s">
        <v>56</v>
      </c>
      <c r="Z464" s="30" t="s">
        <v>57</v>
      </c>
      <c r="AA464" s="30" t="s">
        <v>58</v>
      </c>
      <c r="AB464" s="30" t="s">
        <v>56</v>
      </c>
      <c r="AC464" s="27"/>
      <c r="AD464" s="31" t="s">
        <v>57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2250</v>
      </c>
      <c r="C465" s="25" t="s">
        <v>2251</v>
      </c>
      <c r="D465" s="23" t="s">
        <v>1331</v>
      </c>
      <c r="E465" s="42">
        <v>46132</v>
      </c>
      <c r="F465" s="26" t="s">
        <v>55</v>
      </c>
      <c r="G465" s="26" t="s">
        <v>57</v>
      </c>
      <c r="H465" s="26" t="s">
        <v>57</v>
      </c>
      <c r="I465" s="26" t="s">
        <v>89</v>
      </c>
      <c r="J465" s="26" t="s">
        <v>57</v>
      </c>
      <c r="K465" s="27" t="s">
        <v>90</v>
      </c>
      <c r="L465" s="28" t="s">
        <v>56</v>
      </c>
      <c r="M465" s="29" t="str">
        <f t="shared" si="35"/>
        <v>⚠ Missing</v>
      </c>
      <c r="N465" s="4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70">
        <v>46248</v>
      </c>
      <c r="X465" s="30" t="s">
        <v>55</v>
      </c>
      <c r="Y465" s="30" t="s">
        <v>56</v>
      </c>
      <c r="Z465" s="30" t="s">
        <v>57</v>
      </c>
      <c r="AA465" s="30" t="s">
        <v>58</v>
      </c>
      <c r="AB465" s="30" t="s">
        <v>56</v>
      </c>
      <c r="AC465" s="27"/>
      <c r="AD465" s="31" t="s">
        <v>57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2252</v>
      </c>
      <c r="C466" s="41" t="s">
        <v>2253</v>
      </c>
      <c r="D466" s="39" t="s">
        <v>1331</v>
      </c>
      <c r="E466" s="42">
        <v>46132</v>
      </c>
      <c r="F466" s="26" t="s">
        <v>55</v>
      </c>
      <c r="G466" s="26" t="s">
        <v>57</v>
      </c>
      <c r="H466" s="26" t="s">
        <v>57</v>
      </c>
      <c r="I466" s="26" t="s">
        <v>89</v>
      </c>
      <c r="J466" s="26" t="s">
        <v>57</v>
      </c>
      <c r="K466" s="27" t="s">
        <v>90</v>
      </c>
      <c r="L466" s="28" t="s">
        <v>56</v>
      </c>
      <c r="M466" s="29" t="str">
        <f t="shared" si="35"/>
        <v>⚠ Missing</v>
      </c>
      <c r="N466" s="4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70">
        <v>46248</v>
      </c>
      <c r="X466" s="30" t="s">
        <v>55</v>
      </c>
      <c r="Y466" s="30" t="s">
        <v>56</v>
      </c>
      <c r="Z466" s="30" t="s">
        <v>57</v>
      </c>
      <c r="AA466" s="30" t="s">
        <v>58</v>
      </c>
      <c r="AB466" s="30" t="s">
        <v>56</v>
      </c>
      <c r="AC466" s="27"/>
      <c r="AD466" s="31" t="s">
        <v>57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2254</v>
      </c>
      <c r="C467" s="25" t="s">
        <v>2255</v>
      </c>
      <c r="D467" s="23" t="s">
        <v>1331</v>
      </c>
      <c r="E467" s="42">
        <v>46132</v>
      </c>
      <c r="F467" s="26" t="s">
        <v>55</v>
      </c>
      <c r="G467" s="26" t="s">
        <v>57</v>
      </c>
      <c r="H467" s="26" t="s">
        <v>57</v>
      </c>
      <c r="I467" s="26" t="s">
        <v>89</v>
      </c>
      <c r="J467" s="26" t="s">
        <v>57</v>
      </c>
      <c r="K467" s="27" t="s">
        <v>90</v>
      </c>
      <c r="L467" s="28" t="s">
        <v>56</v>
      </c>
      <c r="M467" s="29" t="str">
        <f t="shared" si="35"/>
        <v>⚠ Missing</v>
      </c>
      <c r="N467" s="4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70">
        <v>46248</v>
      </c>
      <c r="X467" s="30" t="s">
        <v>55</v>
      </c>
      <c r="Y467" s="30" t="s">
        <v>56</v>
      </c>
      <c r="Z467" s="30" t="s">
        <v>57</v>
      </c>
      <c r="AA467" s="30" t="s">
        <v>58</v>
      </c>
      <c r="AB467" s="30" t="s">
        <v>56</v>
      </c>
      <c r="AC467" s="27"/>
      <c r="AD467" s="31" t="s">
        <v>57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2256</v>
      </c>
      <c r="C468" s="41" t="s">
        <v>2257</v>
      </c>
      <c r="D468" s="39" t="s">
        <v>1331</v>
      </c>
      <c r="E468" s="42">
        <v>46132</v>
      </c>
      <c r="F468" s="26" t="s">
        <v>55</v>
      </c>
      <c r="G468" s="26" t="s">
        <v>57</v>
      </c>
      <c r="H468" s="26" t="s">
        <v>57</v>
      </c>
      <c r="I468" s="26" t="s">
        <v>89</v>
      </c>
      <c r="J468" s="26" t="s">
        <v>57</v>
      </c>
      <c r="K468" s="27" t="s">
        <v>90</v>
      </c>
      <c r="L468" s="28" t="s">
        <v>56</v>
      </c>
      <c r="M468" s="29" t="str">
        <f t="shared" si="35"/>
        <v>⚠ Missing</v>
      </c>
      <c r="N468" s="4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70">
        <v>46248</v>
      </c>
      <c r="X468" s="30" t="s">
        <v>55</v>
      </c>
      <c r="Y468" s="30" t="s">
        <v>56</v>
      </c>
      <c r="Z468" s="30" t="s">
        <v>57</v>
      </c>
      <c r="AA468" s="30" t="s">
        <v>58</v>
      </c>
      <c r="AB468" s="30" t="s">
        <v>56</v>
      </c>
      <c r="AC468" s="27"/>
      <c r="AD468" s="31" t="s">
        <v>57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2258</v>
      </c>
      <c r="C469" s="25" t="s">
        <v>2259</v>
      </c>
      <c r="D469" s="23" t="s">
        <v>1331</v>
      </c>
      <c r="E469" s="42">
        <v>46132</v>
      </c>
      <c r="F469" s="26" t="s">
        <v>55</v>
      </c>
      <c r="G469" s="26" t="s">
        <v>57</v>
      </c>
      <c r="H469" s="26" t="s">
        <v>57</v>
      </c>
      <c r="I469" s="26" t="s">
        <v>89</v>
      </c>
      <c r="J469" s="26" t="s">
        <v>57</v>
      </c>
      <c r="K469" s="27" t="s">
        <v>90</v>
      </c>
      <c r="L469" s="28" t="s">
        <v>56</v>
      </c>
      <c r="M469" s="29" t="str">
        <f t="shared" si="35"/>
        <v>⚠ Missing</v>
      </c>
      <c r="N469" s="4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70">
        <v>46248</v>
      </c>
      <c r="X469" s="30" t="s">
        <v>55</v>
      </c>
      <c r="Y469" s="30" t="s">
        <v>56</v>
      </c>
      <c r="Z469" s="30" t="s">
        <v>57</v>
      </c>
      <c r="AA469" s="30" t="s">
        <v>58</v>
      </c>
      <c r="AB469" s="30" t="s">
        <v>56</v>
      </c>
      <c r="AC469" s="27"/>
      <c r="AD469" s="31" t="s">
        <v>57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2260</v>
      </c>
      <c r="C470" s="41" t="s">
        <v>2261</v>
      </c>
      <c r="D470" s="39" t="s">
        <v>1331</v>
      </c>
      <c r="E470" s="42">
        <v>46132</v>
      </c>
      <c r="F470" s="26" t="s">
        <v>55</v>
      </c>
      <c r="G470" s="26" t="s">
        <v>57</v>
      </c>
      <c r="H470" s="26" t="s">
        <v>57</v>
      </c>
      <c r="I470" s="26" t="s">
        <v>89</v>
      </c>
      <c r="J470" s="26" t="s">
        <v>57</v>
      </c>
      <c r="K470" s="27" t="s">
        <v>90</v>
      </c>
      <c r="L470" s="28" t="s">
        <v>56</v>
      </c>
      <c r="M470" s="29" t="str">
        <f t="shared" si="35"/>
        <v>⚠ Missing</v>
      </c>
      <c r="N470" s="4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70">
        <v>46248</v>
      </c>
      <c r="X470" s="30" t="s">
        <v>55</v>
      </c>
      <c r="Y470" s="30" t="s">
        <v>56</v>
      </c>
      <c r="Z470" s="30" t="s">
        <v>57</v>
      </c>
      <c r="AA470" s="30" t="s">
        <v>58</v>
      </c>
      <c r="AB470" s="30" t="s">
        <v>56</v>
      </c>
      <c r="AC470" s="27"/>
      <c r="AD470" s="31" t="s">
        <v>57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2262</v>
      </c>
      <c r="C471" s="25" t="s">
        <v>2263</v>
      </c>
      <c r="D471" s="23" t="s">
        <v>1331</v>
      </c>
      <c r="E471" s="42">
        <v>46132</v>
      </c>
      <c r="F471" s="26" t="s">
        <v>55</v>
      </c>
      <c r="G471" s="26" t="s">
        <v>57</v>
      </c>
      <c r="H471" s="26" t="s">
        <v>57</v>
      </c>
      <c r="I471" s="26" t="s">
        <v>89</v>
      </c>
      <c r="J471" s="26" t="s">
        <v>57</v>
      </c>
      <c r="K471" s="27" t="s">
        <v>90</v>
      </c>
      <c r="L471" s="28" t="s">
        <v>56</v>
      </c>
      <c r="M471" s="29" t="str">
        <f t="shared" si="35"/>
        <v>⚠ Missing</v>
      </c>
      <c r="N471" s="4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70">
        <v>46248</v>
      </c>
      <c r="X471" s="30" t="s">
        <v>55</v>
      </c>
      <c r="Y471" s="30" t="s">
        <v>56</v>
      </c>
      <c r="Z471" s="30" t="s">
        <v>57</v>
      </c>
      <c r="AA471" s="30" t="s">
        <v>58</v>
      </c>
      <c r="AB471" s="30" t="s">
        <v>56</v>
      </c>
      <c r="AC471" s="27"/>
      <c r="AD471" s="31" t="s">
        <v>57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2264</v>
      </c>
      <c r="C472" s="41" t="s">
        <v>2265</v>
      </c>
      <c r="D472" s="39" t="s">
        <v>1331</v>
      </c>
      <c r="E472" s="42">
        <v>46132</v>
      </c>
      <c r="F472" s="26" t="s">
        <v>55</v>
      </c>
      <c r="G472" s="26" t="s">
        <v>57</v>
      </c>
      <c r="H472" s="26" t="s">
        <v>57</v>
      </c>
      <c r="I472" s="26" t="s">
        <v>89</v>
      </c>
      <c r="J472" s="26" t="s">
        <v>57</v>
      </c>
      <c r="K472" s="27" t="s">
        <v>90</v>
      </c>
      <c r="L472" s="28" t="s">
        <v>56</v>
      </c>
      <c r="M472" s="29" t="str">
        <f t="shared" si="35"/>
        <v>⚠ Missing</v>
      </c>
      <c r="N472" s="4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70">
        <v>46248</v>
      </c>
      <c r="X472" s="30" t="s">
        <v>55</v>
      </c>
      <c r="Y472" s="30" t="s">
        <v>56</v>
      </c>
      <c r="Z472" s="30" t="s">
        <v>57</v>
      </c>
      <c r="AA472" s="30" t="s">
        <v>58</v>
      </c>
      <c r="AB472" s="30" t="s">
        <v>56</v>
      </c>
      <c r="AC472" s="27"/>
      <c r="AD472" s="31" t="s">
        <v>57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2266</v>
      </c>
      <c r="C473" s="25" t="s">
        <v>2267</v>
      </c>
      <c r="D473" s="23" t="s">
        <v>1331</v>
      </c>
      <c r="E473" s="42">
        <v>46132</v>
      </c>
      <c r="F473" s="26" t="s">
        <v>55</v>
      </c>
      <c r="G473" s="26" t="s">
        <v>57</v>
      </c>
      <c r="H473" s="26" t="s">
        <v>57</v>
      </c>
      <c r="I473" s="26" t="s">
        <v>89</v>
      </c>
      <c r="J473" s="26" t="s">
        <v>57</v>
      </c>
      <c r="K473" s="27" t="s">
        <v>90</v>
      </c>
      <c r="L473" s="28" t="s">
        <v>56</v>
      </c>
      <c r="M473" s="29" t="str">
        <f t="shared" si="35"/>
        <v>⚠ Missing</v>
      </c>
      <c r="N473" s="4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70">
        <v>46248</v>
      </c>
      <c r="X473" s="30" t="s">
        <v>55</v>
      </c>
      <c r="Y473" s="30" t="s">
        <v>56</v>
      </c>
      <c r="Z473" s="30" t="s">
        <v>57</v>
      </c>
      <c r="AA473" s="30" t="s">
        <v>58</v>
      </c>
      <c r="AB473" s="30" t="s">
        <v>56</v>
      </c>
      <c r="AC473" s="27"/>
      <c r="AD473" s="31" t="s">
        <v>57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2268</v>
      </c>
      <c r="C474" s="41" t="s">
        <v>2269</v>
      </c>
      <c r="D474" s="39" t="s">
        <v>1331</v>
      </c>
      <c r="E474" s="42">
        <v>46132</v>
      </c>
      <c r="F474" s="26" t="s">
        <v>55</v>
      </c>
      <c r="G474" s="26" t="s">
        <v>57</v>
      </c>
      <c r="H474" s="26" t="s">
        <v>57</v>
      </c>
      <c r="I474" s="26" t="s">
        <v>89</v>
      </c>
      <c r="J474" s="26" t="s">
        <v>57</v>
      </c>
      <c r="K474" s="27" t="s">
        <v>90</v>
      </c>
      <c r="L474" s="28" t="s">
        <v>56</v>
      </c>
      <c r="M474" s="29" t="str">
        <f t="shared" si="35"/>
        <v>⚠ Missing</v>
      </c>
      <c r="N474" s="4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70">
        <v>46248</v>
      </c>
      <c r="X474" s="30" t="s">
        <v>55</v>
      </c>
      <c r="Y474" s="30" t="s">
        <v>56</v>
      </c>
      <c r="Z474" s="30" t="s">
        <v>57</v>
      </c>
      <c r="AA474" s="30" t="s">
        <v>58</v>
      </c>
      <c r="AB474" s="30" t="s">
        <v>56</v>
      </c>
      <c r="AC474" s="27"/>
      <c r="AD474" s="31" t="s">
        <v>57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2270</v>
      </c>
      <c r="C475" s="25" t="s">
        <v>2271</v>
      </c>
      <c r="D475" s="23" t="s">
        <v>1331</v>
      </c>
      <c r="E475" s="42">
        <v>46132</v>
      </c>
      <c r="F475" s="26" t="s">
        <v>55</v>
      </c>
      <c r="G475" s="26" t="s">
        <v>57</v>
      </c>
      <c r="H475" s="26" t="s">
        <v>57</v>
      </c>
      <c r="I475" s="26" t="s">
        <v>89</v>
      </c>
      <c r="J475" s="26" t="s">
        <v>57</v>
      </c>
      <c r="K475" s="27" t="s">
        <v>90</v>
      </c>
      <c r="L475" s="28" t="s">
        <v>56</v>
      </c>
      <c r="M475" s="29" t="str">
        <f t="shared" si="35"/>
        <v>⚠ Missing</v>
      </c>
      <c r="N475" s="4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70">
        <v>46248</v>
      </c>
      <c r="X475" s="30" t="s">
        <v>55</v>
      </c>
      <c r="Y475" s="30" t="s">
        <v>56</v>
      </c>
      <c r="Z475" s="30" t="s">
        <v>57</v>
      </c>
      <c r="AA475" s="30" t="s">
        <v>58</v>
      </c>
      <c r="AB475" s="30" t="s">
        <v>56</v>
      </c>
      <c r="AC475" s="27"/>
      <c r="AD475" s="31" t="s">
        <v>57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2272</v>
      </c>
      <c r="C476" s="41" t="s">
        <v>2273</v>
      </c>
      <c r="D476" s="39" t="s">
        <v>1331</v>
      </c>
      <c r="E476" s="42">
        <v>46132</v>
      </c>
      <c r="F476" s="26" t="s">
        <v>55</v>
      </c>
      <c r="G476" s="26" t="s">
        <v>57</v>
      </c>
      <c r="H476" s="26" t="s">
        <v>57</v>
      </c>
      <c r="I476" s="26" t="s">
        <v>89</v>
      </c>
      <c r="J476" s="26" t="s">
        <v>57</v>
      </c>
      <c r="K476" s="27" t="s">
        <v>90</v>
      </c>
      <c r="L476" s="28" t="s">
        <v>56</v>
      </c>
      <c r="M476" s="29" t="str">
        <f t="shared" si="35"/>
        <v>⚠ Missing</v>
      </c>
      <c r="N476" s="4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70">
        <v>46248</v>
      </c>
      <c r="X476" s="30" t="s">
        <v>55</v>
      </c>
      <c r="Y476" s="30" t="s">
        <v>56</v>
      </c>
      <c r="Z476" s="30" t="s">
        <v>57</v>
      </c>
      <c r="AA476" s="30" t="s">
        <v>58</v>
      </c>
      <c r="AB476" s="30" t="s">
        <v>56</v>
      </c>
      <c r="AC476" s="27"/>
      <c r="AD476" s="31" t="s">
        <v>57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2274</v>
      </c>
      <c r="C477" s="25" t="s">
        <v>2275</v>
      </c>
      <c r="D477" s="23" t="s">
        <v>1331</v>
      </c>
      <c r="E477" s="42">
        <v>46132</v>
      </c>
      <c r="F477" s="26" t="s">
        <v>55</v>
      </c>
      <c r="G477" s="26" t="s">
        <v>57</v>
      </c>
      <c r="H477" s="26" t="s">
        <v>57</v>
      </c>
      <c r="I477" s="26" t="s">
        <v>89</v>
      </c>
      <c r="J477" s="26" t="s">
        <v>57</v>
      </c>
      <c r="K477" s="27" t="s">
        <v>90</v>
      </c>
      <c r="L477" s="28" t="s">
        <v>56</v>
      </c>
      <c r="M477" s="29" t="str">
        <f t="shared" si="35"/>
        <v>⚠ Missing</v>
      </c>
      <c r="N477" s="4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70">
        <v>46248</v>
      </c>
      <c r="X477" s="30" t="s">
        <v>55</v>
      </c>
      <c r="Y477" s="30" t="s">
        <v>56</v>
      </c>
      <c r="Z477" s="30" t="s">
        <v>57</v>
      </c>
      <c r="AA477" s="30" t="s">
        <v>58</v>
      </c>
      <c r="AB477" s="30" t="s">
        <v>56</v>
      </c>
      <c r="AC477" s="27"/>
      <c r="AD477" s="31" t="s">
        <v>57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2276</v>
      </c>
      <c r="C478" s="41" t="s">
        <v>2277</v>
      </c>
      <c r="D478" s="39" t="s">
        <v>1331</v>
      </c>
      <c r="E478" s="42">
        <v>46132</v>
      </c>
      <c r="F478" s="26" t="s">
        <v>55</v>
      </c>
      <c r="G478" s="26" t="s">
        <v>57</v>
      </c>
      <c r="H478" s="26" t="s">
        <v>57</v>
      </c>
      <c r="I478" s="26" t="s">
        <v>89</v>
      </c>
      <c r="J478" s="26" t="s">
        <v>57</v>
      </c>
      <c r="K478" s="27" t="s">
        <v>90</v>
      </c>
      <c r="L478" s="28" t="s">
        <v>56</v>
      </c>
      <c r="M478" s="29" t="str">
        <f t="shared" si="35"/>
        <v>⚠ Missing</v>
      </c>
      <c r="N478" s="4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70">
        <v>46248</v>
      </c>
      <c r="X478" s="30" t="s">
        <v>55</v>
      </c>
      <c r="Y478" s="30" t="s">
        <v>56</v>
      </c>
      <c r="Z478" s="30" t="s">
        <v>57</v>
      </c>
      <c r="AA478" s="30" t="s">
        <v>58</v>
      </c>
      <c r="AB478" s="30" t="s">
        <v>56</v>
      </c>
      <c r="AC478" s="27"/>
      <c r="AD478" s="31" t="s">
        <v>57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2278</v>
      </c>
      <c r="C479" s="25" t="s">
        <v>2279</v>
      </c>
      <c r="D479" s="23" t="s">
        <v>1331</v>
      </c>
      <c r="E479" s="42">
        <v>46132</v>
      </c>
      <c r="F479" s="26" t="s">
        <v>55</v>
      </c>
      <c r="G479" s="26" t="s">
        <v>57</v>
      </c>
      <c r="H479" s="26" t="s">
        <v>57</v>
      </c>
      <c r="I479" s="26" t="s">
        <v>89</v>
      </c>
      <c r="J479" s="26" t="s">
        <v>57</v>
      </c>
      <c r="K479" s="27" t="s">
        <v>90</v>
      </c>
      <c r="L479" s="28" t="s">
        <v>56</v>
      </c>
      <c r="M479" s="29" t="str">
        <f t="shared" si="35"/>
        <v>⚠ Missing</v>
      </c>
      <c r="N479" s="4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70">
        <v>46248</v>
      </c>
      <c r="X479" s="30" t="s">
        <v>55</v>
      </c>
      <c r="Y479" s="30" t="s">
        <v>56</v>
      </c>
      <c r="Z479" s="30" t="s">
        <v>57</v>
      </c>
      <c r="AA479" s="30" t="s">
        <v>58</v>
      </c>
      <c r="AB479" s="30" t="s">
        <v>56</v>
      </c>
      <c r="AC479" s="27"/>
      <c r="AD479" s="31" t="s">
        <v>57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2280</v>
      </c>
      <c r="C480" s="41" t="s">
        <v>2281</v>
      </c>
      <c r="D480" s="39" t="s">
        <v>1331</v>
      </c>
      <c r="E480" s="42">
        <v>46132</v>
      </c>
      <c r="F480" s="26" t="s">
        <v>55</v>
      </c>
      <c r="G480" s="26" t="s">
        <v>57</v>
      </c>
      <c r="H480" s="26" t="s">
        <v>57</v>
      </c>
      <c r="I480" s="26" t="s">
        <v>89</v>
      </c>
      <c r="J480" s="26" t="s">
        <v>57</v>
      </c>
      <c r="K480" s="27" t="s">
        <v>90</v>
      </c>
      <c r="L480" s="28" t="s">
        <v>56</v>
      </c>
      <c r="M480" s="29" t="str">
        <f t="shared" si="35"/>
        <v>⚠ Missing</v>
      </c>
      <c r="N480" s="4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70">
        <v>46248</v>
      </c>
      <c r="X480" s="30" t="s">
        <v>55</v>
      </c>
      <c r="Y480" s="30" t="s">
        <v>56</v>
      </c>
      <c r="Z480" s="30" t="s">
        <v>57</v>
      </c>
      <c r="AA480" s="30" t="s">
        <v>58</v>
      </c>
      <c r="AB480" s="30" t="s">
        <v>56</v>
      </c>
      <c r="AC480" s="27"/>
      <c r="AD480" s="31" t="s">
        <v>57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2282</v>
      </c>
      <c r="C481" s="25" t="s">
        <v>2283</v>
      </c>
      <c r="D481" s="23" t="s">
        <v>1331</v>
      </c>
      <c r="E481" s="42">
        <v>46132</v>
      </c>
      <c r="F481" s="26" t="s">
        <v>55</v>
      </c>
      <c r="G481" s="26" t="s">
        <v>57</v>
      </c>
      <c r="H481" s="26" t="s">
        <v>57</v>
      </c>
      <c r="I481" s="26" t="s">
        <v>89</v>
      </c>
      <c r="J481" s="26" t="s">
        <v>57</v>
      </c>
      <c r="K481" s="27" t="s">
        <v>90</v>
      </c>
      <c r="L481" s="28" t="s">
        <v>56</v>
      </c>
      <c r="M481" s="29" t="str">
        <f t="shared" si="35"/>
        <v>⚠ Missing</v>
      </c>
      <c r="N481" s="4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70">
        <v>46248</v>
      </c>
      <c r="X481" s="30" t="s">
        <v>55</v>
      </c>
      <c r="Y481" s="30" t="s">
        <v>56</v>
      </c>
      <c r="Z481" s="30" t="s">
        <v>57</v>
      </c>
      <c r="AA481" s="30" t="s">
        <v>58</v>
      </c>
      <c r="AB481" s="30" t="s">
        <v>56</v>
      </c>
      <c r="AC481" s="27"/>
      <c r="AD481" s="31" t="s">
        <v>57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2284</v>
      </c>
      <c r="C482" s="41" t="s">
        <v>2285</v>
      </c>
      <c r="D482" s="39" t="s">
        <v>1331</v>
      </c>
      <c r="E482" s="42">
        <v>46132</v>
      </c>
      <c r="F482" s="26" t="s">
        <v>55</v>
      </c>
      <c r="G482" s="26" t="s">
        <v>57</v>
      </c>
      <c r="H482" s="26" t="s">
        <v>57</v>
      </c>
      <c r="I482" s="26" t="s">
        <v>89</v>
      </c>
      <c r="J482" s="26" t="s">
        <v>57</v>
      </c>
      <c r="K482" s="27" t="s">
        <v>90</v>
      </c>
      <c r="L482" s="28" t="s">
        <v>56</v>
      </c>
      <c r="M482" s="29" t="str">
        <f t="shared" si="35"/>
        <v>⚠ Missing</v>
      </c>
      <c r="N482" s="4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70">
        <v>46248</v>
      </c>
      <c r="X482" s="30" t="s">
        <v>55</v>
      </c>
      <c r="Y482" s="30" t="s">
        <v>56</v>
      </c>
      <c r="Z482" s="30" t="s">
        <v>57</v>
      </c>
      <c r="AA482" s="30" t="s">
        <v>58</v>
      </c>
      <c r="AB482" s="30" t="s">
        <v>56</v>
      </c>
      <c r="AC482" s="27"/>
      <c r="AD482" s="31" t="s">
        <v>57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2286</v>
      </c>
      <c r="C483" s="25" t="s">
        <v>2287</v>
      </c>
      <c r="D483" s="23" t="s">
        <v>1331</v>
      </c>
      <c r="E483" s="42">
        <v>46132</v>
      </c>
      <c r="F483" s="26" t="s">
        <v>55</v>
      </c>
      <c r="G483" s="26" t="s">
        <v>57</v>
      </c>
      <c r="H483" s="26" t="s">
        <v>57</v>
      </c>
      <c r="I483" s="26" t="s">
        <v>89</v>
      </c>
      <c r="J483" s="26" t="s">
        <v>57</v>
      </c>
      <c r="K483" s="27" t="s">
        <v>90</v>
      </c>
      <c r="L483" s="28" t="s">
        <v>56</v>
      </c>
      <c r="M483" s="29" t="str">
        <f t="shared" si="35"/>
        <v>⚠ Missing</v>
      </c>
      <c r="N483" s="4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70">
        <v>46248</v>
      </c>
      <c r="X483" s="30" t="s">
        <v>55</v>
      </c>
      <c r="Y483" s="30" t="s">
        <v>56</v>
      </c>
      <c r="Z483" s="30" t="s">
        <v>57</v>
      </c>
      <c r="AA483" s="30" t="s">
        <v>58</v>
      </c>
      <c r="AB483" s="30" t="s">
        <v>56</v>
      </c>
      <c r="AC483" s="27"/>
      <c r="AD483" s="31" t="s">
        <v>57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2288</v>
      </c>
      <c r="C484" s="41" t="s">
        <v>2289</v>
      </c>
      <c r="D484" s="39" t="s">
        <v>1331</v>
      </c>
      <c r="E484" s="42">
        <v>46132</v>
      </c>
      <c r="F484" s="26" t="s">
        <v>55</v>
      </c>
      <c r="G484" s="26" t="s">
        <v>57</v>
      </c>
      <c r="H484" s="26" t="s">
        <v>57</v>
      </c>
      <c r="I484" s="26" t="s">
        <v>89</v>
      </c>
      <c r="J484" s="26" t="s">
        <v>57</v>
      </c>
      <c r="K484" s="27" t="s">
        <v>90</v>
      </c>
      <c r="L484" s="28" t="s">
        <v>56</v>
      </c>
      <c r="M484" s="29" t="str">
        <f t="shared" si="35"/>
        <v>⚠ Missing</v>
      </c>
      <c r="N484" s="4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70">
        <v>46248</v>
      </c>
      <c r="X484" s="30" t="s">
        <v>55</v>
      </c>
      <c r="Y484" s="30" t="s">
        <v>56</v>
      </c>
      <c r="Z484" s="30" t="s">
        <v>57</v>
      </c>
      <c r="AA484" s="30" t="s">
        <v>58</v>
      </c>
      <c r="AB484" s="30" t="s">
        <v>56</v>
      </c>
      <c r="AC484" s="27"/>
      <c r="AD484" s="31" t="s">
        <v>57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2290</v>
      </c>
      <c r="C485" s="25" t="s">
        <v>2291</v>
      </c>
      <c r="D485" s="23" t="s">
        <v>1331</v>
      </c>
      <c r="E485" s="42">
        <v>46132</v>
      </c>
      <c r="F485" s="26" t="s">
        <v>55</v>
      </c>
      <c r="G485" s="26" t="s">
        <v>57</v>
      </c>
      <c r="H485" s="26" t="s">
        <v>57</v>
      </c>
      <c r="I485" s="26" t="s">
        <v>89</v>
      </c>
      <c r="J485" s="26" t="s">
        <v>57</v>
      </c>
      <c r="K485" s="27" t="s">
        <v>90</v>
      </c>
      <c r="L485" s="28" t="s">
        <v>56</v>
      </c>
      <c r="M485" s="29" t="str">
        <f t="shared" si="35"/>
        <v>⚠ Missing</v>
      </c>
      <c r="N485" s="4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70">
        <v>46248</v>
      </c>
      <c r="X485" s="30" t="s">
        <v>55</v>
      </c>
      <c r="Y485" s="30" t="s">
        <v>56</v>
      </c>
      <c r="Z485" s="30" t="s">
        <v>57</v>
      </c>
      <c r="AA485" s="30" t="s">
        <v>58</v>
      </c>
      <c r="AB485" s="30" t="s">
        <v>56</v>
      </c>
      <c r="AC485" s="27"/>
      <c r="AD485" s="31" t="s">
        <v>57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2292</v>
      </c>
      <c r="C486" s="41" t="s">
        <v>2293</v>
      </c>
      <c r="D486" s="39" t="s">
        <v>1331</v>
      </c>
      <c r="E486" s="42">
        <v>46132</v>
      </c>
      <c r="F486" s="26" t="s">
        <v>55</v>
      </c>
      <c r="G486" s="26" t="s">
        <v>57</v>
      </c>
      <c r="H486" s="26" t="s">
        <v>57</v>
      </c>
      <c r="I486" s="26" t="s">
        <v>89</v>
      </c>
      <c r="J486" s="26" t="s">
        <v>57</v>
      </c>
      <c r="K486" s="27" t="s">
        <v>90</v>
      </c>
      <c r="L486" s="28" t="s">
        <v>56</v>
      </c>
      <c r="M486" s="29" t="str">
        <f t="shared" si="35"/>
        <v>⚠ Missing</v>
      </c>
      <c r="N486" s="4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70">
        <v>46248</v>
      </c>
      <c r="X486" s="30" t="s">
        <v>55</v>
      </c>
      <c r="Y486" s="30" t="s">
        <v>56</v>
      </c>
      <c r="Z486" s="30" t="s">
        <v>57</v>
      </c>
      <c r="AA486" s="30" t="s">
        <v>58</v>
      </c>
      <c r="AB486" s="30" t="s">
        <v>56</v>
      </c>
      <c r="AC486" s="27"/>
      <c r="AD486" s="31" t="s">
        <v>57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2294</v>
      </c>
      <c r="C487" s="25" t="s">
        <v>2295</v>
      </c>
      <c r="D487" s="23" t="s">
        <v>1331</v>
      </c>
      <c r="E487" s="42">
        <v>46132</v>
      </c>
      <c r="F487" s="26" t="s">
        <v>55</v>
      </c>
      <c r="G487" s="26" t="s">
        <v>57</v>
      </c>
      <c r="H487" s="26" t="s">
        <v>57</v>
      </c>
      <c r="I487" s="26" t="s">
        <v>89</v>
      </c>
      <c r="J487" s="26" t="s">
        <v>57</v>
      </c>
      <c r="K487" s="27" t="s">
        <v>90</v>
      </c>
      <c r="L487" s="28" t="s">
        <v>56</v>
      </c>
      <c r="M487" s="29" t="str">
        <f t="shared" si="35"/>
        <v>⚠ Missing</v>
      </c>
      <c r="N487" s="4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70">
        <v>46248</v>
      </c>
      <c r="X487" s="30" t="s">
        <v>55</v>
      </c>
      <c r="Y487" s="30" t="s">
        <v>56</v>
      </c>
      <c r="Z487" s="30" t="s">
        <v>57</v>
      </c>
      <c r="AA487" s="30" t="s">
        <v>58</v>
      </c>
      <c r="AB487" s="30" t="s">
        <v>56</v>
      </c>
      <c r="AC487" s="27"/>
      <c r="AD487" s="31" t="s">
        <v>57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2296</v>
      </c>
      <c r="C488" s="41" t="s">
        <v>2297</v>
      </c>
      <c r="D488" s="39" t="s">
        <v>1331</v>
      </c>
      <c r="E488" s="42">
        <v>46132</v>
      </c>
      <c r="F488" s="26" t="s">
        <v>55</v>
      </c>
      <c r="G488" s="26" t="s">
        <v>57</v>
      </c>
      <c r="H488" s="26" t="s">
        <v>57</v>
      </c>
      <c r="I488" s="26" t="s">
        <v>89</v>
      </c>
      <c r="J488" s="26" t="s">
        <v>57</v>
      </c>
      <c r="K488" s="27" t="s">
        <v>90</v>
      </c>
      <c r="L488" s="28" t="s">
        <v>56</v>
      </c>
      <c r="M488" s="29" t="str">
        <f t="shared" si="35"/>
        <v>⚠ Missing</v>
      </c>
      <c r="N488" s="4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70">
        <v>46248</v>
      </c>
      <c r="X488" s="30" t="s">
        <v>55</v>
      </c>
      <c r="Y488" s="30" t="s">
        <v>56</v>
      </c>
      <c r="Z488" s="30" t="s">
        <v>57</v>
      </c>
      <c r="AA488" s="30" t="s">
        <v>58</v>
      </c>
      <c r="AB488" s="30" t="s">
        <v>56</v>
      </c>
      <c r="AC488" s="27"/>
      <c r="AD488" s="31" t="s">
        <v>57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2298</v>
      </c>
      <c r="C489" s="25" t="s">
        <v>2299</v>
      </c>
      <c r="D489" s="23" t="s">
        <v>2300</v>
      </c>
      <c r="E489" s="42">
        <v>46129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70">
        <v>46248</v>
      </c>
      <c r="X489" s="30" t="s">
        <v>55</v>
      </c>
      <c r="Y489" s="30" t="s">
        <v>56</v>
      </c>
      <c r="Z489" s="30" t="s">
        <v>57</v>
      </c>
      <c r="AA489" s="30" t="s">
        <v>58</v>
      </c>
      <c r="AB489" s="30" t="s">
        <v>56</v>
      </c>
      <c r="AC489" s="27"/>
      <c r="AD489" s="31" t="s">
        <v>57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2301</v>
      </c>
      <c r="C490" s="41" t="s">
        <v>2302</v>
      </c>
      <c r="D490" s="39" t="s">
        <v>2300</v>
      </c>
      <c r="E490" s="42">
        <v>46129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70">
        <v>46248</v>
      </c>
      <c r="X490" s="30" t="s">
        <v>55</v>
      </c>
      <c r="Y490" s="30" t="s">
        <v>56</v>
      </c>
      <c r="Z490" s="30" t="s">
        <v>57</v>
      </c>
      <c r="AA490" s="30" t="s">
        <v>58</v>
      </c>
      <c r="AB490" s="30" t="s">
        <v>56</v>
      </c>
      <c r="AC490" s="27"/>
      <c r="AD490" s="31" t="s">
        <v>57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2303</v>
      </c>
      <c r="C491" s="25" t="s">
        <v>2304</v>
      </c>
      <c r="D491" s="23" t="s">
        <v>2300</v>
      </c>
      <c r="E491" s="42">
        <v>46129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70">
        <v>46248</v>
      </c>
      <c r="X491" s="30" t="s">
        <v>55</v>
      </c>
      <c r="Y491" s="30" t="s">
        <v>56</v>
      </c>
      <c r="Z491" s="30" t="s">
        <v>57</v>
      </c>
      <c r="AA491" s="30" t="s">
        <v>58</v>
      </c>
      <c r="AB491" s="30" t="s">
        <v>56</v>
      </c>
      <c r="AC491" s="27"/>
      <c r="AD491" s="31" t="s">
        <v>57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2305</v>
      </c>
      <c r="C492" s="41" t="s">
        <v>2306</v>
      </c>
      <c r="D492" s="39" t="s">
        <v>2300</v>
      </c>
      <c r="E492" s="42">
        <v>46129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70">
        <v>46248</v>
      </c>
      <c r="X492" s="30" t="s">
        <v>55</v>
      </c>
      <c r="Y492" s="30" t="s">
        <v>56</v>
      </c>
      <c r="Z492" s="30" t="s">
        <v>57</v>
      </c>
      <c r="AA492" s="30" t="s">
        <v>58</v>
      </c>
      <c r="AB492" s="30" t="s">
        <v>56</v>
      </c>
      <c r="AC492" s="27"/>
      <c r="AD492" s="31" t="s">
        <v>57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2307</v>
      </c>
      <c r="C493" s="25" t="s">
        <v>2308</v>
      </c>
      <c r="D493" s="23" t="s">
        <v>2300</v>
      </c>
      <c r="E493" s="42">
        <v>46129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70">
        <v>46248</v>
      </c>
      <c r="X493" s="30" t="s">
        <v>55</v>
      </c>
      <c r="Y493" s="30" t="s">
        <v>56</v>
      </c>
      <c r="Z493" s="30" t="s">
        <v>57</v>
      </c>
      <c r="AA493" s="30" t="s">
        <v>58</v>
      </c>
      <c r="AB493" s="30" t="s">
        <v>56</v>
      </c>
      <c r="AC493" s="27"/>
      <c r="AD493" s="31" t="s">
        <v>57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2309</v>
      </c>
      <c r="C494" s="41" t="s">
        <v>2310</v>
      </c>
      <c r="D494" s="39" t="s">
        <v>2300</v>
      </c>
      <c r="E494" s="42">
        <v>46129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70">
        <v>46248</v>
      </c>
      <c r="X494" s="30" t="s">
        <v>55</v>
      </c>
      <c r="Y494" s="30" t="s">
        <v>56</v>
      </c>
      <c r="Z494" s="30" t="s">
        <v>57</v>
      </c>
      <c r="AA494" s="30" t="s">
        <v>58</v>
      </c>
      <c r="AB494" s="30" t="s">
        <v>56</v>
      </c>
      <c r="AC494" s="27"/>
      <c r="AD494" s="31" t="s">
        <v>57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2311</v>
      </c>
      <c r="C495" s="25" t="s">
        <v>2312</v>
      </c>
      <c r="D495" s="23" t="s">
        <v>2300</v>
      </c>
      <c r="E495" s="42">
        <v>46129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70">
        <v>46248</v>
      </c>
      <c r="X495" s="30" t="s">
        <v>55</v>
      </c>
      <c r="Y495" s="30" t="s">
        <v>56</v>
      </c>
      <c r="Z495" s="30" t="s">
        <v>57</v>
      </c>
      <c r="AA495" s="30" t="s">
        <v>58</v>
      </c>
      <c r="AB495" s="30" t="s">
        <v>56</v>
      </c>
      <c r="AC495" s="27"/>
      <c r="AD495" s="31" t="s">
        <v>57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2313</v>
      </c>
      <c r="C496" s="41" t="s">
        <v>2314</v>
      </c>
      <c r="D496" s="39" t="s">
        <v>2300</v>
      </c>
      <c r="E496" s="42">
        <v>46129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70">
        <v>46248</v>
      </c>
      <c r="X496" s="30" t="s">
        <v>55</v>
      </c>
      <c r="Y496" s="30" t="s">
        <v>56</v>
      </c>
      <c r="Z496" s="30" t="s">
        <v>57</v>
      </c>
      <c r="AA496" s="30" t="s">
        <v>58</v>
      </c>
      <c r="AB496" s="30" t="s">
        <v>56</v>
      </c>
      <c r="AC496" s="27"/>
      <c r="AD496" s="31" t="s">
        <v>57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2315</v>
      </c>
      <c r="C497" s="25" t="s">
        <v>2316</v>
      </c>
      <c r="D497" s="23" t="s">
        <v>2300</v>
      </c>
      <c r="E497" s="4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70">
        <v>46248</v>
      </c>
      <c r="X497" s="30" t="s">
        <v>55</v>
      </c>
      <c r="Y497" s="30" t="s">
        <v>56</v>
      </c>
      <c r="Z497" s="30" t="s">
        <v>57</v>
      </c>
      <c r="AA497" s="30" t="s">
        <v>58</v>
      </c>
      <c r="AB497" s="30" t="s">
        <v>56</v>
      </c>
      <c r="AC497" s="27"/>
      <c r="AD497" s="31" t="s">
        <v>57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2317</v>
      </c>
      <c r="C498" s="41" t="s">
        <v>2318</v>
      </c>
      <c r="D498" s="39" t="s">
        <v>2300</v>
      </c>
      <c r="E498" s="4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70">
        <v>46248</v>
      </c>
      <c r="X498" s="30" t="s">
        <v>55</v>
      </c>
      <c r="Y498" s="30" t="s">
        <v>56</v>
      </c>
      <c r="Z498" s="30" t="s">
        <v>57</v>
      </c>
      <c r="AA498" s="30" t="s">
        <v>58</v>
      </c>
      <c r="AB498" s="30" t="s">
        <v>56</v>
      </c>
      <c r="AC498" s="27"/>
      <c r="AD498" s="31" t="s">
        <v>57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2319</v>
      </c>
      <c r="C499" s="25" t="s">
        <v>2320</v>
      </c>
      <c r="D499" s="23" t="s">
        <v>2300</v>
      </c>
      <c r="E499" s="42">
        <v>46129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70">
        <v>46248</v>
      </c>
      <c r="X499" s="30" t="s">
        <v>55</v>
      </c>
      <c r="Y499" s="30" t="s">
        <v>56</v>
      </c>
      <c r="Z499" s="30" t="s">
        <v>57</v>
      </c>
      <c r="AA499" s="30" t="s">
        <v>58</v>
      </c>
      <c r="AB499" s="30" t="s">
        <v>56</v>
      </c>
      <c r="AC499" s="27"/>
      <c r="AD499" s="31" t="s">
        <v>57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2321</v>
      </c>
      <c r="C500" s="41" t="s">
        <v>2322</v>
      </c>
      <c r="D500" s="39" t="s">
        <v>2300</v>
      </c>
      <c r="E500" s="42">
        <v>46129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70">
        <v>46248</v>
      </c>
      <c r="X500" s="30" t="s">
        <v>55</v>
      </c>
      <c r="Y500" s="30" t="s">
        <v>56</v>
      </c>
      <c r="Z500" s="30" t="s">
        <v>57</v>
      </c>
      <c r="AA500" s="30" t="s">
        <v>58</v>
      </c>
      <c r="AB500" s="30" t="s">
        <v>56</v>
      </c>
      <c r="AC500" s="27"/>
      <c r="AD500" s="31" t="s">
        <v>57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2323</v>
      </c>
      <c r="C501" s="25" t="s">
        <v>2324</v>
      </c>
      <c r="D501" s="23" t="s">
        <v>2300</v>
      </c>
      <c r="E501" s="42">
        <v>46129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70">
        <v>46248</v>
      </c>
      <c r="X501" s="30" t="s">
        <v>55</v>
      </c>
      <c r="Y501" s="30" t="s">
        <v>56</v>
      </c>
      <c r="Z501" s="30" t="s">
        <v>57</v>
      </c>
      <c r="AA501" s="30" t="s">
        <v>58</v>
      </c>
      <c r="AB501" s="30" t="s">
        <v>56</v>
      </c>
      <c r="AC501" s="27"/>
      <c r="AD501" s="31" t="s">
        <v>57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2325</v>
      </c>
      <c r="C502" s="41" t="s">
        <v>2326</v>
      </c>
      <c r="D502" s="39" t="s">
        <v>2300</v>
      </c>
      <c r="E502" s="42">
        <v>46129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70">
        <v>46248</v>
      </c>
      <c r="X502" s="30" t="s">
        <v>55</v>
      </c>
      <c r="Y502" s="30" t="s">
        <v>56</v>
      </c>
      <c r="Z502" s="30" t="s">
        <v>57</v>
      </c>
      <c r="AA502" s="30" t="s">
        <v>58</v>
      </c>
      <c r="AB502" s="30" t="s">
        <v>56</v>
      </c>
      <c r="AC502" s="27"/>
      <c r="AD502" s="31" t="s">
        <v>57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2327</v>
      </c>
      <c r="C503" s="25" t="s">
        <v>2328</v>
      </c>
      <c r="D503" s="23" t="s">
        <v>2300</v>
      </c>
      <c r="E503" s="4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70">
        <v>46248</v>
      </c>
      <c r="X503" s="30" t="s">
        <v>55</v>
      </c>
      <c r="Y503" s="30" t="s">
        <v>56</v>
      </c>
      <c r="Z503" s="30" t="s">
        <v>57</v>
      </c>
      <c r="AA503" s="30" t="s">
        <v>58</v>
      </c>
      <c r="AB503" s="30" t="s">
        <v>56</v>
      </c>
      <c r="AC503" s="27"/>
      <c r="AD503" s="31" t="s">
        <v>57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2329</v>
      </c>
      <c r="C504" s="41" t="s">
        <v>2330</v>
      </c>
      <c r="D504" s="39" t="s">
        <v>2300</v>
      </c>
      <c r="E504" s="42">
        <v>46129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70">
        <v>46248</v>
      </c>
      <c r="X504" s="30" t="s">
        <v>55</v>
      </c>
      <c r="Y504" s="30" t="s">
        <v>56</v>
      </c>
      <c r="Z504" s="30" t="s">
        <v>57</v>
      </c>
      <c r="AA504" s="30" t="s">
        <v>58</v>
      </c>
      <c r="AB504" s="30" t="s">
        <v>56</v>
      </c>
      <c r="AC504" s="27"/>
      <c r="AD504" s="31" t="s">
        <v>57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2331</v>
      </c>
      <c r="C505" s="25" t="s">
        <v>2332</v>
      </c>
      <c r="D505" s="23" t="s">
        <v>2300</v>
      </c>
      <c r="E505" s="42">
        <v>46129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70">
        <v>46248</v>
      </c>
      <c r="X505" s="30" t="s">
        <v>55</v>
      </c>
      <c r="Y505" s="30" t="s">
        <v>56</v>
      </c>
      <c r="Z505" s="30" t="s">
        <v>57</v>
      </c>
      <c r="AA505" s="30" t="s">
        <v>58</v>
      </c>
      <c r="AB505" s="30" t="s">
        <v>56</v>
      </c>
      <c r="AC505" s="27"/>
      <c r="AD505" s="31" t="s">
        <v>57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2333</v>
      </c>
      <c r="C506" s="41" t="s">
        <v>2334</v>
      </c>
      <c r="D506" s="39" t="s">
        <v>2300</v>
      </c>
      <c r="E506" s="4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70">
        <v>46248</v>
      </c>
      <c r="X506" s="30" t="s">
        <v>55</v>
      </c>
      <c r="Y506" s="30" t="s">
        <v>56</v>
      </c>
      <c r="Z506" s="30" t="s">
        <v>57</v>
      </c>
      <c r="AA506" s="30" t="s">
        <v>58</v>
      </c>
      <c r="AB506" s="30" t="s">
        <v>56</v>
      </c>
      <c r="AC506" s="27"/>
      <c r="AD506" s="31" t="s">
        <v>57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2335</v>
      </c>
      <c r="C507" s="25" t="s">
        <v>2336</v>
      </c>
      <c r="D507" s="23" t="s">
        <v>2300</v>
      </c>
      <c r="E507" s="4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70">
        <v>46248</v>
      </c>
      <c r="X507" s="30" t="s">
        <v>55</v>
      </c>
      <c r="Y507" s="30" t="s">
        <v>56</v>
      </c>
      <c r="Z507" s="30" t="s">
        <v>57</v>
      </c>
      <c r="AA507" s="30" t="s">
        <v>58</v>
      </c>
      <c r="AB507" s="30" t="s">
        <v>56</v>
      </c>
      <c r="AC507" s="27"/>
      <c r="AD507" s="31" t="s">
        <v>57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2337</v>
      </c>
      <c r="C508" s="41" t="s">
        <v>2338</v>
      </c>
      <c r="D508" s="39" t="s">
        <v>2300</v>
      </c>
      <c r="E508" s="42">
        <v>46129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70">
        <v>46248</v>
      </c>
      <c r="X508" s="30" t="s">
        <v>55</v>
      </c>
      <c r="Y508" s="30" t="s">
        <v>56</v>
      </c>
      <c r="Z508" s="30" t="s">
        <v>57</v>
      </c>
      <c r="AA508" s="30" t="s">
        <v>58</v>
      </c>
      <c r="AB508" s="30" t="s">
        <v>56</v>
      </c>
      <c r="AC508" s="27"/>
      <c r="AD508" s="31" t="s">
        <v>57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2339</v>
      </c>
      <c r="C509" s="25" t="s">
        <v>2340</v>
      </c>
      <c r="D509" s="23" t="s">
        <v>2300</v>
      </c>
      <c r="E509" s="42">
        <v>46129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70">
        <v>46248</v>
      </c>
      <c r="X509" s="30" t="s">
        <v>55</v>
      </c>
      <c r="Y509" s="30" t="s">
        <v>56</v>
      </c>
      <c r="Z509" s="30" t="s">
        <v>57</v>
      </c>
      <c r="AA509" s="30" t="s">
        <v>58</v>
      </c>
      <c r="AB509" s="30" t="s">
        <v>56</v>
      </c>
      <c r="AC509" s="27"/>
      <c r="AD509" s="31" t="s">
        <v>57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2341</v>
      </c>
      <c r="C510" s="41" t="s">
        <v>2342</v>
      </c>
      <c r="D510" s="39" t="s">
        <v>2300</v>
      </c>
      <c r="E510" s="42">
        <v>46129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70">
        <v>46248</v>
      </c>
      <c r="X510" s="30" t="s">
        <v>55</v>
      </c>
      <c r="Y510" s="30" t="s">
        <v>56</v>
      </c>
      <c r="Z510" s="30" t="s">
        <v>57</v>
      </c>
      <c r="AA510" s="30" t="s">
        <v>58</v>
      </c>
      <c r="AB510" s="30" t="s">
        <v>56</v>
      </c>
      <c r="AC510" s="27"/>
      <c r="AD510" s="31" t="s">
        <v>57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2343</v>
      </c>
      <c r="C511" s="25" t="s">
        <v>2344</v>
      </c>
      <c r="D511" s="23" t="s">
        <v>2300</v>
      </c>
      <c r="E511" s="42">
        <v>46129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70">
        <v>46248</v>
      </c>
      <c r="X511" s="30" t="s">
        <v>55</v>
      </c>
      <c r="Y511" s="30" t="s">
        <v>56</v>
      </c>
      <c r="Z511" s="30" t="s">
        <v>57</v>
      </c>
      <c r="AA511" s="30" t="s">
        <v>58</v>
      </c>
      <c r="AB511" s="30" t="s">
        <v>56</v>
      </c>
      <c r="AC511" s="27"/>
      <c r="AD511" s="31" t="s">
        <v>57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2345</v>
      </c>
      <c r="C512" s="41" t="s">
        <v>2346</v>
      </c>
      <c r="D512" s="39" t="s">
        <v>2300</v>
      </c>
      <c r="E512" s="4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70">
        <v>46248</v>
      </c>
      <c r="X512" s="30" t="s">
        <v>55</v>
      </c>
      <c r="Y512" s="30" t="s">
        <v>56</v>
      </c>
      <c r="Z512" s="30" t="s">
        <v>57</v>
      </c>
      <c r="AA512" s="30" t="s">
        <v>58</v>
      </c>
      <c r="AB512" s="30" t="s">
        <v>56</v>
      </c>
      <c r="AC512" s="27"/>
      <c r="AD512" s="31" t="s">
        <v>57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2347</v>
      </c>
      <c r="C513" s="25" t="s">
        <v>2348</v>
      </c>
      <c r="D513" s="23" t="s">
        <v>2300</v>
      </c>
      <c r="E513" s="4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70">
        <v>46248</v>
      </c>
      <c r="X513" s="30" t="s">
        <v>55</v>
      </c>
      <c r="Y513" s="30" t="s">
        <v>56</v>
      </c>
      <c r="Z513" s="30" t="s">
        <v>57</v>
      </c>
      <c r="AA513" s="30" t="s">
        <v>58</v>
      </c>
      <c r="AB513" s="30" t="s">
        <v>56</v>
      </c>
      <c r="AC513" s="27"/>
      <c r="AD513" s="31" t="s">
        <v>57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2349</v>
      </c>
      <c r="C514" s="41" t="s">
        <v>2350</v>
      </c>
      <c r="D514" s="39" t="s">
        <v>2300</v>
      </c>
      <c r="E514" s="42">
        <v>46129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70">
        <v>46248</v>
      </c>
      <c r="X514" s="30" t="s">
        <v>55</v>
      </c>
      <c r="Y514" s="30" t="s">
        <v>56</v>
      </c>
      <c r="Z514" s="30" t="s">
        <v>57</v>
      </c>
      <c r="AA514" s="30" t="s">
        <v>58</v>
      </c>
      <c r="AB514" s="30" t="s">
        <v>56</v>
      </c>
      <c r="AC514" s="27"/>
      <c r="AD514" s="31" t="s">
        <v>57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2351</v>
      </c>
      <c r="C515" s="25" t="s">
        <v>2352</v>
      </c>
      <c r="D515" s="23" t="s">
        <v>2300</v>
      </c>
      <c r="E515" s="42">
        <v>46129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70">
        <v>46248</v>
      </c>
      <c r="X515" s="30" t="s">
        <v>55</v>
      </c>
      <c r="Y515" s="30" t="s">
        <v>56</v>
      </c>
      <c r="Z515" s="30" t="s">
        <v>57</v>
      </c>
      <c r="AA515" s="30" t="s">
        <v>58</v>
      </c>
      <c r="AB515" s="30" t="s">
        <v>56</v>
      </c>
      <c r="AC515" s="27"/>
      <c r="AD515" s="31" t="s">
        <v>57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2353</v>
      </c>
      <c r="C516" s="41" t="s">
        <v>2354</v>
      </c>
      <c r="D516" s="39" t="s">
        <v>2300</v>
      </c>
      <c r="E516" s="42">
        <v>46129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70">
        <v>46248</v>
      </c>
      <c r="X516" s="30" t="s">
        <v>55</v>
      </c>
      <c r="Y516" s="30" t="s">
        <v>56</v>
      </c>
      <c r="Z516" s="30" t="s">
        <v>57</v>
      </c>
      <c r="AA516" s="30" t="s">
        <v>58</v>
      </c>
      <c r="AB516" s="30" t="s">
        <v>56</v>
      </c>
      <c r="AC516" s="27"/>
      <c r="AD516" s="31" t="s">
        <v>57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2355</v>
      </c>
      <c r="C517" s="25" t="s">
        <v>2356</v>
      </c>
      <c r="D517" s="23" t="s">
        <v>2300</v>
      </c>
      <c r="E517" s="42">
        <v>46129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4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70">
        <v>46248</v>
      </c>
      <c r="X517" s="30" t="s">
        <v>55</v>
      </c>
      <c r="Y517" s="30" t="s">
        <v>56</v>
      </c>
      <c r="Z517" s="30" t="s">
        <v>57</v>
      </c>
      <c r="AA517" s="30" t="s">
        <v>58</v>
      </c>
      <c r="AB517" s="30" t="s">
        <v>56</v>
      </c>
      <c r="AC517" s="27"/>
      <c r="AD517" s="31" t="s">
        <v>57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2357</v>
      </c>
      <c r="C518" s="41" t="s">
        <v>2358</v>
      </c>
      <c r="D518" s="39" t="s">
        <v>2300</v>
      </c>
      <c r="E518" s="4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4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70">
        <v>46248</v>
      </c>
      <c r="X518" s="30" t="s">
        <v>55</v>
      </c>
      <c r="Y518" s="30" t="s">
        <v>56</v>
      </c>
      <c r="Z518" s="30" t="s">
        <v>57</v>
      </c>
      <c r="AA518" s="30" t="s">
        <v>58</v>
      </c>
      <c r="AB518" s="30" t="s">
        <v>56</v>
      </c>
      <c r="AC518" s="27"/>
      <c r="AD518" s="31" t="s">
        <v>57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2359</v>
      </c>
      <c r="C519" s="25" t="s">
        <v>2360</v>
      </c>
      <c r="D519" s="23" t="s">
        <v>2300</v>
      </c>
      <c r="E519" s="4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4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70">
        <v>46248</v>
      </c>
      <c r="X519" s="30" t="s">
        <v>55</v>
      </c>
      <c r="Y519" s="30" t="s">
        <v>56</v>
      </c>
      <c r="Z519" s="30" t="s">
        <v>57</v>
      </c>
      <c r="AA519" s="30" t="s">
        <v>58</v>
      </c>
      <c r="AB519" s="30" t="s">
        <v>56</v>
      </c>
      <c r="AC519" s="27"/>
      <c r="AD519" s="31" t="s">
        <v>57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2361</v>
      </c>
      <c r="C520" s="41" t="s">
        <v>2362</v>
      </c>
      <c r="D520" s="39" t="s">
        <v>2300</v>
      </c>
      <c r="E520" s="42">
        <v>46129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4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70">
        <v>46248</v>
      </c>
      <c r="X520" s="30" t="s">
        <v>55</v>
      </c>
      <c r="Y520" s="30" t="s">
        <v>56</v>
      </c>
      <c r="Z520" s="30" t="s">
        <v>57</v>
      </c>
      <c r="AA520" s="30" t="s">
        <v>58</v>
      </c>
      <c r="AB520" s="30" t="s">
        <v>56</v>
      </c>
      <c r="AC520" s="27"/>
      <c r="AD520" s="31" t="s">
        <v>57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2363</v>
      </c>
      <c r="C521" s="25" t="s">
        <v>2364</v>
      </c>
      <c r="D521" s="23" t="s">
        <v>2300</v>
      </c>
      <c r="E521" s="42">
        <v>46129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4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70">
        <v>46248</v>
      </c>
      <c r="X521" s="30" t="s">
        <v>55</v>
      </c>
      <c r="Y521" s="30" t="s">
        <v>56</v>
      </c>
      <c r="Z521" s="30" t="s">
        <v>57</v>
      </c>
      <c r="AA521" s="30" t="s">
        <v>58</v>
      </c>
      <c r="AB521" s="30" t="s">
        <v>56</v>
      </c>
      <c r="AC521" s="27"/>
      <c r="AD521" s="31" t="s">
        <v>57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2365</v>
      </c>
      <c r="C522" s="41" t="s">
        <v>2366</v>
      </c>
      <c r="D522" s="39" t="s">
        <v>2300</v>
      </c>
      <c r="E522" s="42">
        <v>46129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4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70">
        <v>46248</v>
      </c>
      <c r="X522" s="30" t="s">
        <v>55</v>
      </c>
      <c r="Y522" s="30" t="s">
        <v>56</v>
      </c>
      <c r="Z522" s="30" t="s">
        <v>57</v>
      </c>
      <c r="AA522" s="30" t="s">
        <v>58</v>
      </c>
      <c r="AB522" s="30" t="s">
        <v>56</v>
      </c>
      <c r="AC522" s="27"/>
      <c r="AD522" s="31" t="s">
        <v>57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2367</v>
      </c>
      <c r="C523" s="25" t="s">
        <v>2368</v>
      </c>
      <c r="D523" s="23" t="s">
        <v>2300</v>
      </c>
      <c r="E523" s="42">
        <v>46129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4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70">
        <v>46248</v>
      </c>
      <c r="X523" s="30" t="s">
        <v>55</v>
      </c>
      <c r="Y523" s="30" t="s">
        <v>56</v>
      </c>
      <c r="Z523" s="30" t="s">
        <v>57</v>
      </c>
      <c r="AA523" s="30" t="s">
        <v>58</v>
      </c>
      <c r="AB523" s="30" t="s">
        <v>56</v>
      </c>
      <c r="AC523" s="27"/>
      <c r="AD523" s="31" t="s">
        <v>57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2369</v>
      </c>
      <c r="C524" s="41" t="s">
        <v>2370</v>
      </c>
      <c r="D524" s="39" t="s">
        <v>2300</v>
      </c>
      <c r="E524" s="4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4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70">
        <v>46248</v>
      </c>
      <c r="X524" s="30" t="s">
        <v>55</v>
      </c>
      <c r="Y524" s="30" t="s">
        <v>56</v>
      </c>
      <c r="Z524" s="30" t="s">
        <v>57</v>
      </c>
      <c r="AA524" s="30" t="s">
        <v>58</v>
      </c>
      <c r="AB524" s="30" t="s">
        <v>56</v>
      </c>
      <c r="AC524" s="27"/>
      <c r="AD524" s="31" t="s">
        <v>57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2371</v>
      </c>
      <c r="C525" s="25" t="s">
        <v>2372</v>
      </c>
      <c r="D525" s="23" t="s">
        <v>2300</v>
      </c>
      <c r="E525" s="4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4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70">
        <v>46248</v>
      </c>
      <c r="X525" s="30" t="s">
        <v>55</v>
      </c>
      <c r="Y525" s="30" t="s">
        <v>56</v>
      </c>
      <c r="Z525" s="30" t="s">
        <v>57</v>
      </c>
      <c r="AA525" s="30" t="s">
        <v>58</v>
      </c>
      <c r="AB525" s="30" t="s">
        <v>56</v>
      </c>
      <c r="AC525" s="27"/>
      <c r="AD525" s="31" t="s">
        <v>57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2373</v>
      </c>
      <c r="C526" s="41" t="s">
        <v>2374</v>
      </c>
      <c r="D526" s="39" t="s">
        <v>2300</v>
      </c>
      <c r="E526" s="4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4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70">
        <v>46248</v>
      </c>
      <c r="X526" s="30" t="s">
        <v>55</v>
      </c>
      <c r="Y526" s="30" t="s">
        <v>56</v>
      </c>
      <c r="Z526" s="30" t="s">
        <v>57</v>
      </c>
      <c r="AA526" s="30" t="s">
        <v>58</v>
      </c>
      <c r="AB526" s="30" t="s">
        <v>56</v>
      </c>
      <c r="AC526" s="27"/>
      <c r="AD526" s="31" t="s">
        <v>57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2375</v>
      </c>
      <c r="C527" s="25" t="s">
        <v>2376</v>
      </c>
      <c r="D527" s="23" t="s">
        <v>2300</v>
      </c>
      <c r="E527" s="4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4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70">
        <v>46248</v>
      </c>
      <c r="X527" s="30" t="s">
        <v>55</v>
      </c>
      <c r="Y527" s="30" t="s">
        <v>56</v>
      </c>
      <c r="Z527" s="30" t="s">
        <v>57</v>
      </c>
      <c r="AA527" s="30" t="s">
        <v>58</v>
      </c>
      <c r="AB527" s="30" t="s">
        <v>56</v>
      </c>
      <c r="AC527" s="27"/>
      <c r="AD527" s="31" t="s">
        <v>57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2377</v>
      </c>
      <c r="C528" s="41" t="s">
        <v>2378</v>
      </c>
      <c r="D528" s="39" t="s">
        <v>2300</v>
      </c>
      <c r="E528" s="4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4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70">
        <v>46248</v>
      </c>
      <c r="X528" s="30" t="s">
        <v>55</v>
      </c>
      <c r="Y528" s="30" t="s">
        <v>56</v>
      </c>
      <c r="Z528" s="30" t="s">
        <v>57</v>
      </c>
      <c r="AA528" s="30" t="s">
        <v>58</v>
      </c>
      <c r="AB528" s="30" t="s">
        <v>56</v>
      </c>
      <c r="AC528" s="27"/>
      <c r="AD528" s="31" t="s">
        <v>57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2379</v>
      </c>
      <c r="C529" s="25" t="s">
        <v>2380</v>
      </c>
      <c r="D529" s="23" t="s">
        <v>2300</v>
      </c>
      <c r="E529" s="4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4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70">
        <v>46248</v>
      </c>
      <c r="X529" s="30" t="s">
        <v>55</v>
      </c>
      <c r="Y529" s="30" t="s">
        <v>56</v>
      </c>
      <c r="Z529" s="30" t="s">
        <v>57</v>
      </c>
      <c r="AA529" s="30" t="s">
        <v>58</v>
      </c>
      <c r="AB529" s="30" t="s">
        <v>56</v>
      </c>
      <c r="AC529" s="27"/>
      <c r="AD529" s="31" t="s">
        <v>57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2381</v>
      </c>
      <c r="C530" s="41" t="s">
        <v>2382</v>
      </c>
      <c r="D530" s="39" t="s">
        <v>2300</v>
      </c>
      <c r="E530" s="42">
        <v>46129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4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70">
        <v>46248</v>
      </c>
      <c r="X530" s="30" t="s">
        <v>55</v>
      </c>
      <c r="Y530" s="30" t="s">
        <v>56</v>
      </c>
      <c r="Z530" s="30" t="s">
        <v>57</v>
      </c>
      <c r="AA530" s="30" t="s">
        <v>58</v>
      </c>
      <c r="AB530" s="30" t="s">
        <v>56</v>
      </c>
      <c r="AC530" s="27"/>
      <c r="AD530" s="31" t="s">
        <v>57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2383</v>
      </c>
      <c r="C531" s="25" t="s">
        <v>2384</v>
      </c>
      <c r="D531" s="23" t="s">
        <v>2300</v>
      </c>
      <c r="E531" s="42">
        <v>46129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4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70">
        <v>46248</v>
      </c>
      <c r="X531" s="30" t="s">
        <v>55</v>
      </c>
      <c r="Y531" s="30" t="s">
        <v>56</v>
      </c>
      <c r="Z531" s="30" t="s">
        <v>57</v>
      </c>
      <c r="AA531" s="30" t="s">
        <v>58</v>
      </c>
      <c r="AB531" s="30" t="s">
        <v>56</v>
      </c>
      <c r="AC531" s="27"/>
      <c r="AD531" s="31" t="s">
        <v>57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2385</v>
      </c>
      <c r="C532" s="41" t="s">
        <v>2386</v>
      </c>
      <c r="D532" s="39" t="s">
        <v>2300</v>
      </c>
      <c r="E532" s="42">
        <v>46132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4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70">
        <v>46248</v>
      </c>
      <c r="X532" s="30" t="s">
        <v>55</v>
      </c>
      <c r="Y532" s="30" t="s">
        <v>56</v>
      </c>
      <c r="Z532" s="30" t="s">
        <v>57</v>
      </c>
      <c r="AA532" s="30" t="s">
        <v>58</v>
      </c>
      <c r="AB532" s="30" t="s">
        <v>56</v>
      </c>
      <c r="AC532" s="27"/>
      <c r="AD532" s="31" t="s">
        <v>57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2387</v>
      </c>
      <c r="C533" s="25" t="s">
        <v>2388</v>
      </c>
      <c r="D533" s="23" t="s">
        <v>2300</v>
      </c>
      <c r="E533" s="42">
        <v>46132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4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70">
        <v>46248</v>
      </c>
      <c r="X533" s="30" t="s">
        <v>55</v>
      </c>
      <c r="Y533" s="30" t="s">
        <v>56</v>
      </c>
      <c r="Z533" s="30" t="s">
        <v>57</v>
      </c>
      <c r="AA533" s="30" t="s">
        <v>58</v>
      </c>
      <c r="AB533" s="30" t="s">
        <v>56</v>
      </c>
      <c r="AC533" s="27"/>
      <c r="AD533" s="31" t="s">
        <v>57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2389</v>
      </c>
      <c r="C534" s="41" t="s">
        <v>2390</v>
      </c>
      <c r="D534" s="39" t="s">
        <v>2300</v>
      </c>
      <c r="E534" s="42">
        <v>46129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4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70">
        <v>46248</v>
      </c>
      <c r="X534" s="30" t="s">
        <v>55</v>
      </c>
      <c r="Y534" s="30" t="s">
        <v>56</v>
      </c>
      <c r="Z534" s="30" t="s">
        <v>57</v>
      </c>
      <c r="AA534" s="30" t="s">
        <v>58</v>
      </c>
      <c r="AB534" s="30" t="s">
        <v>56</v>
      </c>
      <c r="AC534" s="27"/>
      <c r="AD534" s="31" t="s">
        <v>57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2391</v>
      </c>
      <c r="C535" s="25" t="s">
        <v>2392</v>
      </c>
      <c r="D535" s="23" t="s">
        <v>2300</v>
      </c>
      <c r="E535" s="42">
        <v>46129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4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70">
        <v>46248</v>
      </c>
      <c r="X535" s="30" t="s">
        <v>55</v>
      </c>
      <c r="Y535" s="30" t="s">
        <v>56</v>
      </c>
      <c r="Z535" s="30" t="s">
        <v>57</v>
      </c>
      <c r="AA535" s="30" t="s">
        <v>58</v>
      </c>
      <c r="AB535" s="30" t="s">
        <v>56</v>
      </c>
      <c r="AC535" s="27"/>
      <c r="AD535" s="31" t="s">
        <v>57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2393</v>
      </c>
      <c r="C536" s="41" t="s">
        <v>2394</v>
      </c>
      <c r="D536" s="39" t="s">
        <v>2300</v>
      </c>
      <c r="E536" s="42">
        <v>46129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4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70">
        <v>46248</v>
      </c>
      <c r="X536" s="30" t="s">
        <v>55</v>
      </c>
      <c r="Y536" s="30" t="s">
        <v>56</v>
      </c>
      <c r="Z536" s="30" t="s">
        <v>57</v>
      </c>
      <c r="AA536" s="30" t="s">
        <v>58</v>
      </c>
      <c r="AB536" s="30" t="s">
        <v>56</v>
      </c>
      <c r="AC536" s="27"/>
      <c r="AD536" s="31" t="s">
        <v>57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2395</v>
      </c>
      <c r="C537" s="25" t="s">
        <v>2396</v>
      </c>
      <c r="D537" s="23" t="s">
        <v>2300</v>
      </c>
      <c r="E537" s="42">
        <v>46129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4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70">
        <v>46248</v>
      </c>
      <c r="X537" s="30" t="s">
        <v>55</v>
      </c>
      <c r="Y537" s="30" t="s">
        <v>56</v>
      </c>
      <c r="Z537" s="30" t="s">
        <v>57</v>
      </c>
      <c r="AA537" s="30" t="s">
        <v>58</v>
      </c>
      <c r="AB537" s="30" t="s">
        <v>56</v>
      </c>
      <c r="AC537" s="27"/>
      <c r="AD537" s="31" t="s">
        <v>57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2397</v>
      </c>
      <c r="C538" s="41" t="s">
        <v>2398</v>
      </c>
      <c r="D538" s="39" t="s">
        <v>2300</v>
      </c>
      <c r="E538" s="4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4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70">
        <v>46248</v>
      </c>
      <c r="X538" s="30" t="s">
        <v>55</v>
      </c>
      <c r="Y538" s="30" t="s">
        <v>56</v>
      </c>
      <c r="Z538" s="30" t="s">
        <v>57</v>
      </c>
      <c r="AA538" s="30" t="s">
        <v>58</v>
      </c>
      <c r="AB538" s="30" t="s">
        <v>56</v>
      </c>
      <c r="AC538" s="27"/>
      <c r="AD538" s="31" t="s">
        <v>57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2399</v>
      </c>
      <c r="C539" s="25" t="s">
        <v>2400</v>
      </c>
      <c r="D539" s="23" t="s">
        <v>2300</v>
      </c>
      <c r="E539" s="4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4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70">
        <v>46248</v>
      </c>
      <c r="X539" s="30" t="s">
        <v>55</v>
      </c>
      <c r="Y539" s="30" t="s">
        <v>56</v>
      </c>
      <c r="Z539" s="30" t="s">
        <v>57</v>
      </c>
      <c r="AA539" s="30" t="s">
        <v>58</v>
      </c>
      <c r="AB539" s="30" t="s">
        <v>56</v>
      </c>
      <c r="AC539" s="27"/>
      <c r="AD539" s="31" t="s">
        <v>57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2401</v>
      </c>
      <c r="C540" s="41" t="s">
        <v>2402</v>
      </c>
      <c r="D540" s="39" t="s">
        <v>2300</v>
      </c>
      <c r="E540" s="4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4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70">
        <v>46248</v>
      </c>
      <c r="X540" s="30" t="s">
        <v>55</v>
      </c>
      <c r="Y540" s="30" t="s">
        <v>56</v>
      </c>
      <c r="Z540" s="30" t="s">
        <v>57</v>
      </c>
      <c r="AA540" s="30" t="s">
        <v>58</v>
      </c>
      <c r="AB540" s="30" t="s">
        <v>56</v>
      </c>
      <c r="AC540" s="27"/>
      <c r="AD540" s="31" t="s">
        <v>57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2403</v>
      </c>
      <c r="C541" s="25" t="s">
        <v>2404</v>
      </c>
      <c r="D541" s="23" t="s">
        <v>2300</v>
      </c>
      <c r="E541" s="4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4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70">
        <v>46248</v>
      </c>
      <c r="X541" s="30" t="s">
        <v>55</v>
      </c>
      <c r="Y541" s="30" t="s">
        <v>56</v>
      </c>
      <c r="Z541" s="30" t="s">
        <v>57</v>
      </c>
      <c r="AA541" s="30" t="s">
        <v>58</v>
      </c>
      <c r="AB541" s="30" t="s">
        <v>56</v>
      </c>
      <c r="AC541" s="27"/>
      <c r="AD541" s="31" t="s">
        <v>57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2405</v>
      </c>
      <c r="C542" s="41" t="s">
        <v>2406</v>
      </c>
      <c r="D542" s="39" t="s">
        <v>2300</v>
      </c>
      <c r="E542" s="42">
        <v>46129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4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70">
        <v>46248</v>
      </c>
      <c r="X542" s="30" t="s">
        <v>55</v>
      </c>
      <c r="Y542" s="30" t="s">
        <v>56</v>
      </c>
      <c r="Z542" s="30" t="s">
        <v>57</v>
      </c>
      <c r="AA542" s="30" t="s">
        <v>58</v>
      </c>
      <c r="AB542" s="30" t="s">
        <v>56</v>
      </c>
      <c r="AC542" s="27"/>
      <c r="AD542" s="31" t="s">
        <v>57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2407</v>
      </c>
      <c r="C543" s="25" t="s">
        <v>2408</v>
      </c>
      <c r="D543" s="23" t="s">
        <v>2300</v>
      </c>
      <c r="E543" s="42">
        <v>46129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4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70">
        <v>46248</v>
      </c>
      <c r="X543" s="30" t="s">
        <v>55</v>
      </c>
      <c r="Y543" s="30" t="s">
        <v>56</v>
      </c>
      <c r="Z543" s="30" t="s">
        <v>57</v>
      </c>
      <c r="AA543" s="30" t="s">
        <v>58</v>
      </c>
      <c r="AB543" s="30" t="s">
        <v>56</v>
      </c>
      <c r="AC543" s="27"/>
      <c r="AD543" s="31" t="s">
        <v>57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2409</v>
      </c>
      <c r="C544" s="41" t="s">
        <v>2410</v>
      </c>
      <c r="D544" s="39" t="s">
        <v>2300</v>
      </c>
      <c r="E544" s="42">
        <v>46129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4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70">
        <v>46248</v>
      </c>
      <c r="X544" s="30" t="s">
        <v>55</v>
      </c>
      <c r="Y544" s="30" t="s">
        <v>56</v>
      </c>
      <c r="Z544" s="30" t="s">
        <v>57</v>
      </c>
      <c r="AA544" s="30" t="s">
        <v>58</v>
      </c>
      <c r="AB544" s="30" t="s">
        <v>56</v>
      </c>
      <c r="AC544" s="27"/>
      <c r="AD544" s="31" t="s">
        <v>57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2411</v>
      </c>
      <c r="C545" s="25" t="s">
        <v>2412</v>
      </c>
      <c r="D545" s="23" t="s">
        <v>2300</v>
      </c>
      <c r="E545" s="42">
        <v>46129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4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70">
        <v>46248</v>
      </c>
      <c r="X545" s="30" t="s">
        <v>55</v>
      </c>
      <c r="Y545" s="30" t="s">
        <v>56</v>
      </c>
      <c r="Z545" s="30" t="s">
        <v>57</v>
      </c>
      <c r="AA545" s="30" t="s">
        <v>58</v>
      </c>
      <c r="AB545" s="30" t="s">
        <v>56</v>
      </c>
      <c r="AC545" s="27"/>
      <c r="AD545" s="31" t="s">
        <v>57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2413</v>
      </c>
      <c r="C546" s="41" t="s">
        <v>2414</v>
      </c>
      <c r="D546" s="39" t="s">
        <v>2300</v>
      </c>
      <c r="E546" s="4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4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70">
        <v>46248</v>
      </c>
      <c r="X546" s="30" t="s">
        <v>55</v>
      </c>
      <c r="Y546" s="30" t="s">
        <v>56</v>
      </c>
      <c r="Z546" s="30" t="s">
        <v>57</v>
      </c>
      <c r="AA546" s="30" t="s">
        <v>58</v>
      </c>
      <c r="AB546" s="30" t="s">
        <v>56</v>
      </c>
      <c r="AC546" s="27"/>
      <c r="AD546" s="31" t="s">
        <v>57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2415</v>
      </c>
      <c r="C547" s="25" t="s">
        <v>2416</v>
      </c>
      <c r="D547" s="23" t="s">
        <v>2300</v>
      </c>
      <c r="E547" s="4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4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70">
        <v>46248</v>
      </c>
      <c r="X547" s="30" t="s">
        <v>55</v>
      </c>
      <c r="Y547" s="30" t="s">
        <v>56</v>
      </c>
      <c r="Z547" s="30" t="s">
        <v>57</v>
      </c>
      <c r="AA547" s="30" t="s">
        <v>58</v>
      </c>
      <c r="AB547" s="30" t="s">
        <v>56</v>
      </c>
      <c r="AC547" s="27"/>
      <c r="AD547" s="31" t="s">
        <v>57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2417</v>
      </c>
      <c r="C548" s="41" t="s">
        <v>2418</v>
      </c>
      <c r="D548" s="39" t="s">
        <v>2300</v>
      </c>
      <c r="E548" s="4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4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70">
        <v>46248</v>
      </c>
      <c r="X548" s="30" t="s">
        <v>55</v>
      </c>
      <c r="Y548" s="30" t="s">
        <v>56</v>
      </c>
      <c r="Z548" s="30" t="s">
        <v>57</v>
      </c>
      <c r="AA548" s="30" t="s">
        <v>58</v>
      </c>
      <c r="AB548" s="30" t="s">
        <v>56</v>
      </c>
      <c r="AC548" s="27"/>
      <c r="AD548" s="31" t="s">
        <v>57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2419</v>
      </c>
      <c r="C549" s="25" t="s">
        <v>2420</v>
      </c>
      <c r="D549" s="23" t="s">
        <v>2300</v>
      </c>
      <c r="E549" s="42">
        <v>46129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4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70">
        <v>46248</v>
      </c>
      <c r="X549" s="30" t="s">
        <v>55</v>
      </c>
      <c r="Y549" s="30" t="s">
        <v>56</v>
      </c>
      <c r="Z549" s="30" t="s">
        <v>57</v>
      </c>
      <c r="AA549" s="30" t="s">
        <v>58</v>
      </c>
      <c r="AB549" s="30" t="s">
        <v>56</v>
      </c>
      <c r="AC549" s="27"/>
      <c r="AD549" s="31" t="s">
        <v>57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2421</v>
      </c>
      <c r="C550" s="41" t="s">
        <v>2422</v>
      </c>
      <c r="D550" s="39" t="s">
        <v>2300</v>
      </c>
      <c r="E550" s="42">
        <v>46129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4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70">
        <v>46248</v>
      </c>
      <c r="X550" s="30" t="s">
        <v>55</v>
      </c>
      <c r="Y550" s="30" t="s">
        <v>56</v>
      </c>
      <c r="Z550" s="30" t="s">
        <v>57</v>
      </c>
      <c r="AA550" s="30" t="s">
        <v>58</v>
      </c>
      <c r="AB550" s="30" t="s">
        <v>56</v>
      </c>
      <c r="AC550" s="27"/>
      <c r="AD550" s="31" t="s">
        <v>57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2423</v>
      </c>
      <c r="C551" s="25" t="s">
        <v>2424</v>
      </c>
      <c r="D551" s="23" t="s">
        <v>2300</v>
      </c>
      <c r="E551" s="4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4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70">
        <v>46248</v>
      </c>
      <c r="X551" s="30" t="s">
        <v>55</v>
      </c>
      <c r="Y551" s="30" t="s">
        <v>56</v>
      </c>
      <c r="Z551" s="30" t="s">
        <v>57</v>
      </c>
      <c r="AA551" s="30" t="s">
        <v>58</v>
      </c>
      <c r="AB551" s="30" t="s">
        <v>56</v>
      </c>
      <c r="AC551" s="27"/>
      <c r="AD551" s="31" t="s">
        <v>57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2425</v>
      </c>
      <c r="C552" s="41" t="s">
        <v>2426</v>
      </c>
      <c r="D552" s="39" t="s">
        <v>2300</v>
      </c>
      <c r="E552" s="4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4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70">
        <v>46248</v>
      </c>
      <c r="X552" s="30" t="s">
        <v>55</v>
      </c>
      <c r="Y552" s="30" t="s">
        <v>56</v>
      </c>
      <c r="Z552" s="30" t="s">
        <v>57</v>
      </c>
      <c r="AA552" s="30" t="s">
        <v>58</v>
      </c>
      <c r="AB552" s="30" t="s">
        <v>56</v>
      </c>
      <c r="AC552" s="27"/>
      <c r="AD552" s="31" t="s">
        <v>57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2427</v>
      </c>
      <c r="C553" s="25" t="s">
        <v>2428</v>
      </c>
      <c r="D553" s="23" t="s">
        <v>2300</v>
      </c>
      <c r="E553" s="42">
        <v>46129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4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70">
        <v>46248</v>
      </c>
      <c r="X553" s="30" t="s">
        <v>55</v>
      </c>
      <c r="Y553" s="30" t="s">
        <v>56</v>
      </c>
      <c r="Z553" s="30" t="s">
        <v>57</v>
      </c>
      <c r="AA553" s="30" t="s">
        <v>58</v>
      </c>
      <c r="AB553" s="30" t="s">
        <v>56</v>
      </c>
      <c r="AC553" s="27"/>
      <c r="AD553" s="31" t="s">
        <v>57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2429</v>
      </c>
      <c r="C554" s="41" t="s">
        <v>2430</v>
      </c>
      <c r="D554" s="39" t="s">
        <v>2300</v>
      </c>
      <c r="E554" s="42">
        <v>46129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4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70">
        <v>46248</v>
      </c>
      <c r="X554" s="30" t="s">
        <v>55</v>
      </c>
      <c r="Y554" s="30" t="s">
        <v>56</v>
      </c>
      <c r="Z554" s="30" t="s">
        <v>57</v>
      </c>
      <c r="AA554" s="30" t="s">
        <v>58</v>
      </c>
      <c r="AB554" s="30" t="s">
        <v>56</v>
      </c>
      <c r="AC554" s="27"/>
      <c r="AD554" s="31" t="s">
        <v>57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2431</v>
      </c>
      <c r="C555" s="25" t="s">
        <v>2432</v>
      </c>
      <c r="D555" s="23" t="s">
        <v>2300</v>
      </c>
      <c r="E555" s="42">
        <v>46132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4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70">
        <v>46248</v>
      </c>
      <c r="X555" s="30" t="s">
        <v>55</v>
      </c>
      <c r="Y555" s="30" t="s">
        <v>56</v>
      </c>
      <c r="Z555" s="30" t="s">
        <v>57</v>
      </c>
      <c r="AA555" s="30" t="s">
        <v>58</v>
      </c>
      <c r="AB555" s="30" t="s">
        <v>56</v>
      </c>
      <c r="AC555" s="27"/>
      <c r="AD555" s="31" t="s">
        <v>57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2433</v>
      </c>
      <c r="C556" s="41" t="s">
        <v>2434</v>
      </c>
      <c r="D556" s="39" t="s">
        <v>2300</v>
      </c>
      <c r="E556" s="42">
        <v>46132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4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70">
        <v>46248</v>
      </c>
      <c r="X556" s="30" t="s">
        <v>55</v>
      </c>
      <c r="Y556" s="30" t="s">
        <v>56</v>
      </c>
      <c r="Z556" s="30" t="s">
        <v>57</v>
      </c>
      <c r="AA556" s="30" t="s">
        <v>58</v>
      </c>
      <c r="AB556" s="30" t="s">
        <v>56</v>
      </c>
      <c r="AC556" s="27"/>
      <c r="AD556" s="31" t="s">
        <v>57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2435</v>
      </c>
      <c r="C557" s="25" t="s">
        <v>2436</v>
      </c>
      <c r="D557" s="23" t="s">
        <v>2300</v>
      </c>
      <c r="E557" s="42">
        <v>46129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4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70">
        <v>46248</v>
      </c>
      <c r="X557" s="30" t="s">
        <v>55</v>
      </c>
      <c r="Y557" s="30" t="s">
        <v>56</v>
      </c>
      <c r="Z557" s="30" t="s">
        <v>57</v>
      </c>
      <c r="AA557" s="30" t="s">
        <v>58</v>
      </c>
      <c r="AB557" s="30" t="s">
        <v>56</v>
      </c>
      <c r="AC557" s="27"/>
      <c r="AD557" s="31" t="s">
        <v>57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2437</v>
      </c>
      <c r="C558" s="41" t="s">
        <v>2438</v>
      </c>
      <c r="D558" s="39" t="s">
        <v>2300</v>
      </c>
      <c r="E558" s="42">
        <v>46129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4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70">
        <v>46248</v>
      </c>
      <c r="X558" s="30" t="s">
        <v>55</v>
      </c>
      <c r="Y558" s="30" t="s">
        <v>56</v>
      </c>
      <c r="Z558" s="30" t="s">
        <v>57</v>
      </c>
      <c r="AA558" s="30" t="s">
        <v>58</v>
      </c>
      <c r="AB558" s="30" t="s">
        <v>56</v>
      </c>
      <c r="AC558" s="27"/>
      <c r="AD558" s="31" t="s">
        <v>57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2439</v>
      </c>
      <c r="C559" s="25" t="s">
        <v>2440</v>
      </c>
      <c r="D559" s="23" t="s">
        <v>2300</v>
      </c>
      <c r="E559" s="4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4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70">
        <v>46248</v>
      </c>
      <c r="X559" s="30" t="s">
        <v>55</v>
      </c>
      <c r="Y559" s="30" t="s">
        <v>56</v>
      </c>
      <c r="Z559" s="30" t="s">
        <v>57</v>
      </c>
      <c r="AA559" s="30" t="s">
        <v>58</v>
      </c>
      <c r="AB559" s="30" t="s">
        <v>56</v>
      </c>
      <c r="AC559" s="27"/>
      <c r="AD559" s="31" t="s">
        <v>57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2441</v>
      </c>
      <c r="C560" s="41" t="s">
        <v>2442</v>
      </c>
      <c r="D560" s="39" t="s">
        <v>2300</v>
      </c>
      <c r="E560" s="4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4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70">
        <v>46248</v>
      </c>
      <c r="X560" s="30" t="s">
        <v>55</v>
      </c>
      <c r="Y560" s="30" t="s">
        <v>56</v>
      </c>
      <c r="Z560" s="30" t="s">
        <v>57</v>
      </c>
      <c r="AA560" s="30" t="s">
        <v>58</v>
      </c>
      <c r="AB560" s="30" t="s">
        <v>56</v>
      </c>
      <c r="AC560" s="27"/>
      <c r="AD560" s="31" t="s">
        <v>57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2443</v>
      </c>
      <c r="C561" s="25" t="s">
        <v>2444</v>
      </c>
      <c r="D561" s="23" t="s">
        <v>2300</v>
      </c>
      <c r="E561" s="42">
        <v>46129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4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70">
        <v>46248</v>
      </c>
      <c r="X561" s="30" t="s">
        <v>55</v>
      </c>
      <c r="Y561" s="30" t="s">
        <v>56</v>
      </c>
      <c r="Z561" s="30" t="s">
        <v>57</v>
      </c>
      <c r="AA561" s="30" t="s">
        <v>58</v>
      </c>
      <c r="AB561" s="30" t="s">
        <v>56</v>
      </c>
      <c r="AC561" s="27"/>
      <c r="AD561" s="31" t="s">
        <v>57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2445</v>
      </c>
      <c r="C562" s="41" t="s">
        <v>2446</v>
      </c>
      <c r="D562" s="39" t="s">
        <v>2300</v>
      </c>
      <c r="E562" s="42">
        <v>46129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4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70">
        <v>46248</v>
      </c>
      <c r="X562" s="30" t="s">
        <v>55</v>
      </c>
      <c r="Y562" s="30" t="s">
        <v>56</v>
      </c>
      <c r="Z562" s="30" t="s">
        <v>57</v>
      </c>
      <c r="AA562" s="30" t="s">
        <v>58</v>
      </c>
      <c r="AB562" s="30" t="s">
        <v>56</v>
      </c>
      <c r="AC562" s="27"/>
      <c r="AD562" s="31" t="s">
        <v>57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2447</v>
      </c>
      <c r="C563" s="25" t="s">
        <v>2448</v>
      </c>
      <c r="D563" s="23" t="s">
        <v>2300</v>
      </c>
      <c r="E563" s="42">
        <v>46129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4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70">
        <v>46248</v>
      </c>
      <c r="X563" s="30" t="s">
        <v>55</v>
      </c>
      <c r="Y563" s="30" t="s">
        <v>56</v>
      </c>
      <c r="Z563" s="30" t="s">
        <v>57</v>
      </c>
      <c r="AA563" s="30" t="s">
        <v>58</v>
      </c>
      <c r="AB563" s="30" t="s">
        <v>56</v>
      </c>
      <c r="AC563" s="27"/>
      <c r="AD563" s="31" t="s">
        <v>57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2449</v>
      </c>
      <c r="C564" s="41" t="s">
        <v>2450</v>
      </c>
      <c r="D564" s="39" t="s">
        <v>2300</v>
      </c>
      <c r="E564" s="42">
        <v>46129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4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70">
        <v>46248</v>
      </c>
      <c r="X564" s="30" t="s">
        <v>55</v>
      </c>
      <c r="Y564" s="30" t="s">
        <v>56</v>
      </c>
      <c r="Z564" s="30" t="s">
        <v>57</v>
      </c>
      <c r="AA564" s="30" t="s">
        <v>58</v>
      </c>
      <c r="AB564" s="30" t="s">
        <v>56</v>
      </c>
      <c r="AC564" s="27"/>
      <c r="AD564" s="31" t="s">
        <v>57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2451</v>
      </c>
      <c r="C565" s="25" t="s">
        <v>2452</v>
      </c>
      <c r="D565" s="23" t="s">
        <v>2300</v>
      </c>
      <c r="E565" s="42">
        <v>46129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4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70">
        <v>46248</v>
      </c>
      <c r="X565" s="30" t="s">
        <v>55</v>
      </c>
      <c r="Y565" s="30" t="s">
        <v>56</v>
      </c>
      <c r="Z565" s="30" t="s">
        <v>57</v>
      </c>
      <c r="AA565" s="30" t="s">
        <v>58</v>
      </c>
      <c r="AB565" s="30" t="s">
        <v>56</v>
      </c>
      <c r="AC565" s="27"/>
      <c r="AD565" s="31" t="s">
        <v>57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2453</v>
      </c>
      <c r="C566" s="41" t="s">
        <v>2454</v>
      </c>
      <c r="D566" s="39" t="s">
        <v>2300</v>
      </c>
      <c r="E566" s="42">
        <v>46129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4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70">
        <v>46248</v>
      </c>
      <c r="X566" s="30" t="s">
        <v>55</v>
      </c>
      <c r="Y566" s="30" t="s">
        <v>56</v>
      </c>
      <c r="Z566" s="30" t="s">
        <v>57</v>
      </c>
      <c r="AA566" s="30" t="s">
        <v>58</v>
      </c>
      <c r="AB566" s="30" t="s">
        <v>56</v>
      </c>
      <c r="AC566" s="27"/>
      <c r="AD566" s="31" t="s">
        <v>57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2455</v>
      </c>
      <c r="C567" s="25" t="s">
        <v>2456</v>
      </c>
      <c r="D567" s="23" t="s">
        <v>2300</v>
      </c>
      <c r="E567" s="42">
        <v>46129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4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70">
        <v>46248</v>
      </c>
      <c r="X567" s="30" t="s">
        <v>55</v>
      </c>
      <c r="Y567" s="30" t="s">
        <v>56</v>
      </c>
      <c r="Z567" s="30" t="s">
        <v>57</v>
      </c>
      <c r="AA567" s="30" t="s">
        <v>58</v>
      </c>
      <c r="AB567" s="30" t="s">
        <v>56</v>
      </c>
      <c r="AC567" s="27"/>
      <c r="AD567" s="31" t="s">
        <v>57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2457</v>
      </c>
      <c r="C568" s="41" t="s">
        <v>2458</v>
      </c>
      <c r="D568" s="39" t="s">
        <v>2300</v>
      </c>
      <c r="E568" s="42">
        <v>46129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4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70">
        <v>46248</v>
      </c>
      <c r="X568" s="30" t="s">
        <v>55</v>
      </c>
      <c r="Y568" s="30" t="s">
        <v>56</v>
      </c>
      <c r="Z568" s="30" t="s">
        <v>57</v>
      </c>
      <c r="AA568" s="30" t="s">
        <v>58</v>
      </c>
      <c r="AB568" s="30" t="s">
        <v>56</v>
      </c>
      <c r="AC568" s="27"/>
      <c r="AD568" s="31" t="s">
        <v>57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2459</v>
      </c>
      <c r="C569" s="25" t="s">
        <v>2460</v>
      </c>
      <c r="D569" s="23" t="s">
        <v>2300</v>
      </c>
      <c r="E569" s="42">
        <v>46129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4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70">
        <v>46248</v>
      </c>
      <c r="X569" s="30" t="s">
        <v>55</v>
      </c>
      <c r="Y569" s="30" t="s">
        <v>56</v>
      </c>
      <c r="Z569" s="30" t="s">
        <v>57</v>
      </c>
      <c r="AA569" s="30" t="s">
        <v>58</v>
      </c>
      <c r="AB569" s="30" t="s">
        <v>56</v>
      </c>
      <c r="AC569" s="27"/>
      <c r="AD569" s="31" t="s">
        <v>57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2461</v>
      </c>
      <c r="C570" s="41" t="s">
        <v>2462</v>
      </c>
      <c r="D570" s="39" t="s">
        <v>2300</v>
      </c>
      <c r="E570" s="42">
        <v>46129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4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70">
        <v>46248</v>
      </c>
      <c r="X570" s="30" t="s">
        <v>55</v>
      </c>
      <c r="Y570" s="30" t="s">
        <v>56</v>
      </c>
      <c r="Z570" s="30" t="s">
        <v>57</v>
      </c>
      <c r="AA570" s="30" t="s">
        <v>58</v>
      </c>
      <c r="AB570" s="30" t="s">
        <v>56</v>
      </c>
      <c r="AC570" s="27"/>
      <c r="AD570" s="31" t="s">
        <v>57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2463</v>
      </c>
      <c r="C571" s="25" t="s">
        <v>2464</v>
      </c>
      <c r="D571" s="23" t="s">
        <v>2300</v>
      </c>
      <c r="E571" s="42">
        <v>46129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4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70">
        <v>46248</v>
      </c>
      <c r="X571" s="30" t="s">
        <v>55</v>
      </c>
      <c r="Y571" s="30" t="s">
        <v>56</v>
      </c>
      <c r="Z571" s="30" t="s">
        <v>57</v>
      </c>
      <c r="AA571" s="30" t="s">
        <v>58</v>
      </c>
      <c r="AB571" s="30" t="s">
        <v>56</v>
      </c>
      <c r="AC571" s="27"/>
      <c r="AD571" s="31" t="s">
        <v>57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2465</v>
      </c>
      <c r="C572" s="41" t="s">
        <v>2466</v>
      </c>
      <c r="D572" s="39" t="s">
        <v>2300</v>
      </c>
      <c r="E572" s="42">
        <v>46129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4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70">
        <v>46248</v>
      </c>
      <c r="X572" s="30" t="s">
        <v>55</v>
      </c>
      <c r="Y572" s="30" t="s">
        <v>56</v>
      </c>
      <c r="Z572" s="30" t="s">
        <v>57</v>
      </c>
      <c r="AA572" s="30" t="s">
        <v>58</v>
      </c>
      <c r="AB572" s="30" t="s">
        <v>56</v>
      </c>
      <c r="AC572" s="27"/>
      <c r="AD572" s="31" t="s">
        <v>57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2467</v>
      </c>
      <c r="C573" s="25" t="s">
        <v>2468</v>
      </c>
      <c r="D573" s="23" t="s">
        <v>2300</v>
      </c>
      <c r="E573" s="42">
        <v>46129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4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70">
        <v>46248</v>
      </c>
      <c r="X573" s="30" t="s">
        <v>55</v>
      </c>
      <c r="Y573" s="30" t="s">
        <v>56</v>
      </c>
      <c r="Z573" s="30" t="s">
        <v>57</v>
      </c>
      <c r="AA573" s="30" t="s">
        <v>58</v>
      </c>
      <c r="AB573" s="30" t="s">
        <v>56</v>
      </c>
      <c r="AC573" s="27"/>
      <c r="AD573" s="31" t="s">
        <v>57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2469</v>
      </c>
      <c r="C574" s="41" t="s">
        <v>2470</v>
      </c>
      <c r="D574" s="39" t="s">
        <v>2300</v>
      </c>
      <c r="E574" s="42">
        <v>46129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4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70">
        <v>46248</v>
      </c>
      <c r="X574" s="30" t="s">
        <v>55</v>
      </c>
      <c r="Y574" s="30" t="s">
        <v>56</v>
      </c>
      <c r="Z574" s="30" t="s">
        <v>57</v>
      </c>
      <c r="AA574" s="30" t="s">
        <v>58</v>
      </c>
      <c r="AB574" s="30" t="s">
        <v>56</v>
      </c>
      <c r="AC574" s="27"/>
      <c r="AD574" s="31" t="s">
        <v>57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2471</v>
      </c>
      <c r="C575" s="25" t="s">
        <v>2472</v>
      </c>
      <c r="D575" s="23" t="s">
        <v>2300</v>
      </c>
      <c r="E575" s="4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4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70">
        <v>46248</v>
      </c>
      <c r="X575" s="30" t="s">
        <v>55</v>
      </c>
      <c r="Y575" s="30" t="s">
        <v>56</v>
      </c>
      <c r="Z575" s="30" t="s">
        <v>57</v>
      </c>
      <c r="AA575" s="30" t="s">
        <v>58</v>
      </c>
      <c r="AB575" s="30" t="s">
        <v>56</v>
      </c>
      <c r="AC575" s="27"/>
      <c r="AD575" s="31" t="s">
        <v>57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2473</v>
      </c>
      <c r="C576" s="41" t="s">
        <v>2474</v>
      </c>
      <c r="D576" s="39" t="s">
        <v>2300</v>
      </c>
      <c r="E576" s="4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4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70">
        <v>46248</v>
      </c>
      <c r="X576" s="30" t="s">
        <v>55</v>
      </c>
      <c r="Y576" s="30" t="s">
        <v>56</v>
      </c>
      <c r="Z576" s="30" t="s">
        <v>57</v>
      </c>
      <c r="AA576" s="30" t="s">
        <v>58</v>
      </c>
      <c r="AB576" s="30" t="s">
        <v>56</v>
      </c>
      <c r="AC576" s="27"/>
      <c r="AD576" s="31" t="s">
        <v>57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2475</v>
      </c>
      <c r="C577" s="25" t="s">
        <v>2476</v>
      </c>
      <c r="D577" s="23" t="s">
        <v>2300</v>
      </c>
      <c r="E577" s="42">
        <v>46129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4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70">
        <v>46248</v>
      </c>
      <c r="X577" s="30" t="s">
        <v>55</v>
      </c>
      <c r="Y577" s="30" t="s">
        <v>56</v>
      </c>
      <c r="Z577" s="30" t="s">
        <v>57</v>
      </c>
      <c r="AA577" s="30" t="s">
        <v>58</v>
      </c>
      <c r="AB577" s="30" t="s">
        <v>56</v>
      </c>
      <c r="AC577" s="27"/>
      <c r="AD577" s="31" t="s">
        <v>57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2477</v>
      </c>
      <c r="C578" s="41" t="s">
        <v>2478</v>
      </c>
      <c r="D578" s="39" t="s">
        <v>2300</v>
      </c>
      <c r="E578" s="42">
        <v>46129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4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70">
        <v>46248</v>
      </c>
      <c r="X578" s="30" t="s">
        <v>55</v>
      </c>
      <c r="Y578" s="30" t="s">
        <v>56</v>
      </c>
      <c r="Z578" s="30" t="s">
        <v>57</v>
      </c>
      <c r="AA578" s="30" t="s">
        <v>58</v>
      </c>
      <c r="AB578" s="30" t="s">
        <v>56</v>
      </c>
      <c r="AC578" s="27"/>
      <c r="AD578" s="31" t="s">
        <v>57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2479</v>
      </c>
      <c r="C579" s="25" t="s">
        <v>2480</v>
      </c>
      <c r="D579" s="23" t="s">
        <v>2300</v>
      </c>
      <c r="E579" s="42">
        <v>46129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4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70">
        <v>46248</v>
      </c>
      <c r="X579" s="30" t="s">
        <v>55</v>
      </c>
      <c r="Y579" s="30" t="s">
        <v>56</v>
      </c>
      <c r="Z579" s="30" t="s">
        <v>57</v>
      </c>
      <c r="AA579" s="30" t="s">
        <v>58</v>
      </c>
      <c r="AB579" s="30" t="s">
        <v>56</v>
      </c>
      <c r="AC579" s="27"/>
      <c r="AD579" s="31" t="s">
        <v>57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2481</v>
      </c>
      <c r="C580" s="41" t="s">
        <v>2482</v>
      </c>
      <c r="D580" s="39" t="s">
        <v>2300</v>
      </c>
      <c r="E580" s="42">
        <v>46129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4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70">
        <v>46248</v>
      </c>
      <c r="X580" s="30" t="s">
        <v>55</v>
      </c>
      <c r="Y580" s="30" t="s">
        <v>56</v>
      </c>
      <c r="Z580" s="30" t="s">
        <v>57</v>
      </c>
      <c r="AA580" s="30" t="s">
        <v>58</v>
      </c>
      <c r="AB580" s="30" t="s">
        <v>56</v>
      </c>
      <c r="AC580" s="27"/>
      <c r="AD580" s="31" t="s">
        <v>57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2483</v>
      </c>
      <c r="C581" s="25" t="s">
        <v>2484</v>
      </c>
      <c r="D581" s="23" t="s">
        <v>2300</v>
      </c>
      <c r="E581" s="4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4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70">
        <v>46248</v>
      </c>
      <c r="X581" s="30" t="s">
        <v>55</v>
      </c>
      <c r="Y581" s="30" t="s">
        <v>56</v>
      </c>
      <c r="Z581" s="30" t="s">
        <v>57</v>
      </c>
      <c r="AA581" s="30" t="s">
        <v>58</v>
      </c>
      <c r="AB581" s="30" t="s">
        <v>56</v>
      </c>
      <c r="AC581" s="27"/>
      <c r="AD581" s="31" t="s">
        <v>57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2485</v>
      </c>
      <c r="C582" s="41" t="s">
        <v>2486</v>
      </c>
      <c r="D582" s="39" t="s">
        <v>2300</v>
      </c>
      <c r="E582" s="4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4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70">
        <v>46248</v>
      </c>
      <c r="X582" s="30" t="s">
        <v>55</v>
      </c>
      <c r="Y582" s="30" t="s">
        <v>56</v>
      </c>
      <c r="Z582" s="30" t="s">
        <v>57</v>
      </c>
      <c r="AA582" s="30" t="s">
        <v>58</v>
      </c>
      <c r="AB582" s="30" t="s">
        <v>56</v>
      </c>
      <c r="AC582" s="27"/>
      <c r="AD582" s="31" t="s">
        <v>57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2487</v>
      </c>
      <c r="C583" s="25" t="s">
        <v>2488</v>
      </c>
      <c r="D583" s="23" t="s">
        <v>2300</v>
      </c>
      <c r="E583" s="42">
        <v>46132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4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70">
        <v>46248</v>
      </c>
      <c r="X583" s="30" t="s">
        <v>55</v>
      </c>
      <c r="Y583" s="30" t="s">
        <v>56</v>
      </c>
      <c r="Z583" s="30" t="s">
        <v>57</v>
      </c>
      <c r="AA583" s="30" t="s">
        <v>58</v>
      </c>
      <c r="AB583" s="30" t="s">
        <v>56</v>
      </c>
      <c r="AC583" s="27"/>
      <c r="AD583" s="31" t="s">
        <v>57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2489</v>
      </c>
      <c r="C584" s="41" t="s">
        <v>2490</v>
      </c>
      <c r="D584" s="39" t="s">
        <v>2300</v>
      </c>
      <c r="E584" s="42">
        <v>46132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4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70">
        <v>46248</v>
      </c>
      <c r="X584" s="30" t="s">
        <v>55</v>
      </c>
      <c r="Y584" s="30" t="s">
        <v>56</v>
      </c>
      <c r="Z584" s="30" t="s">
        <v>57</v>
      </c>
      <c r="AA584" s="30" t="s">
        <v>58</v>
      </c>
      <c r="AB584" s="30" t="s">
        <v>56</v>
      </c>
      <c r="AC584" s="27"/>
      <c r="AD584" s="31" t="s">
        <v>57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2491</v>
      </c>
      <c r="C585" s="25" t="s">
        <v>2492</v>
      </c>
      <c r="D585" s="23" t="s">
        <v>2300</v>
      </c>
      <c r="E585" s="42">
        <v>46129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4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70">
        <v>46248</v>
      </c>
      <c r="X585" s="30" t="s">
        <v>55</v>
      </c>
      <c r="Y585" s="30" t="s">
        <v>56</v>
      </c>
      <c r="Z585" s="30" t="s">
        <v>57</v>
      </c>
      <c r="AA585" s="30" t="s">
        <v>58</v>
      </c>
      <c r="AB585" s="30" t="s">
        <v>56</v>
      </c>
      <c r="AC585" s="27"/>
      <c r="AD585" s="31" t="s">
        <v>57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2493</v>
      </c>
      <c r="C586" s="41" t="s">
        <v>2494</v>
      </c>
      <c r="D586" s="39" t="s">
        <v>2300</v>
      </c>
      <c r="E586" s="42">
        <v>46129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4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70">
        <v>46248</v>
      </c>
      <c r="X586" s="30" t="s">
        <v>55</v>
      </c>
      <c r="Y586" s="30" t="s">
        <v>56</v>
      </c>
      <c r="Z586" s="30" t="s">
        <v>57</v>
      </c>
      <c r="AA586" s="30" t="s">
        <v>58</v>
      </c>
      <c r="AB586" s="30" t="s">
        <v>56</v>
      </c>
      <c r="AC586" s="27"/>
      <c r="AD586" s="31" t="s">
        <v>57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2495</v>
      </c>
      <c r="C587" s="25" t="s">
        <v>2496</v>
      </c>
      <c r="D587" s="23" t="s">
        <v>2300</v>
      </c>
      <c r="E587" s="42">
        <v>46132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4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70">
        <v>46248</v>
      </c>
      <c r="X587" s="30" t="s">
        <v>55</v>
      </c>
      <c r="Y587" s="30" t="s">
        <v>56</v>
      </c>
      <c r="Z587" s="30" t="s">
        <v>57</v>
      </c>
      <c r="AA587" s="30" t="s">
        <v>58</v>
      </c>
      <c r="AB587" s="30" t="s">
        <v>56</v>
      </c>
      <c r="AC587" s="27"/>
      <c r="AD587" s="31" t="s">
        <v>57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2497</v>
      </c>
      <c r="C588" s="41" t="s">
        <v>2498</v>
      </c>
      <c r="D588" s="39" t="s">
        <v>2300</v>
      </c>
      <c r="E588" s="42">
        <v>46132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4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70">
        <v>46248</v>
      </c>
      <c r="X588" s="30" t="s">
        <v>55</v>
      </c>
      <c r="Y588" s="30" t="s">
        <v>56</v>
      </c>
      <c r="Z588" s="30" t="s">
        <v>57</v>
      </c>
      <c r="AA588" s="30" t="s">
        <v>58</v>
      </c>
      <c r="AB588" s="30" t="s">
        <v>56</v>
      </c>
      <c r="AC588" s="27"/>
      <c r="AD588" s="31" t="s">
        <v>57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2499</v>
      </c>
      <c r="C589" s="25" t="s">
        <v>2500</v>
      </c>
      <c r="D589" s="23" t="s">
        <v>2300</v>
      </c>
      <c r="E589" s="42">
        <v>46132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4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70">
        <v>46248</v>
      </c>
      <c r="X589" s="30" t="s">
        <v>55</v>
      </c>
      <c r="Y589" s="30" t="s">
        <v>56</v>
      </c>
      <c r="Z589" s="30" t="s">
        <v>57</v>
      </c>
      <c r="AA589" s="30" t="s">
        <v>58</v>
      </c>
      <c r="AB589" s="30" t="s">
        <v>56</v>
      </c>
      <c r="AC589" s="27"/>
      <c r="AD589" s="31" t="s">
        <v>57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2501</v>
      </c>
      <c r="C590" s="41" t="s">
        <v>2502</v>
      </c>
      <c r="D590" s="39" t="s">
        <v>2300</v>
      </c>
      <c r="E590" s="42">
        <v>46132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4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70">
        <v>46248</v>
      </c>
      <c r="X590" s="30" t="s">
        <v>55</v>
      </c>
      <c r="Y590" s="30" t="s">
        <v>56</v>
      </c>
      <c r="Z590" s="30" t="s">
        <v>57</v>
      </c>
      <c r="AA590" s="30" t="s">
        <v>58</v>
      </c>
      <c r="AB590" s="30" t="s">
        <v>56</v>
      </c>
      <c r="AC590" s="27"/>
      <c r="AD590" s="31" t="s">
        <v>57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2503</v>
      </c>
      <c r="C591" s="25" t="s">
        <v>2504</v>
      </c>
      <c r="D591" s="23" t="s">
        <v>2300</v>
      </c>
      <c r="E591" s="42">
        <v>46129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4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70">
        <v>46248</v>
      </c>
      <c r="X591" s="30" t="s">
        <v>55</v>
      </c>
      <c r="Y591" s="30" t="s">
        <v>56</v>
      </c>
      <c r="Z591" s="30" t="s">
        <v>57</v>
      </c>
      <c r="AA591" s="30" t="s">
        <v>58</v>
      </c>
      <c r="AB591" s="30" t="s">
        <v>56</v>
      </c>
      <c r="AC591" s="27"/>
      <c r="AD591" s="31" t="s">
        <v>57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2505</v>
      </c>
      <c r="C592" s="41" t="s">
        <v>2506</v>
      </c>
      <c r="D592" s="39" t="s">
        <v>2300</v>
      </c>
      <c r="E592" s="42">
        <v>46129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4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70">
        <v>46248</v>
      </c>
      <c r="X592" s="30" t="s">
        <v>55</v>
      </c>
      <c r="Y592" s="30" t="s">
        <v>56</v>
      </c>
      <c r="Z592" s="30" t="s">
        <v>57</v>
      </c>
      <c r="AA592" s="30" t="s">
        <v>58</v>
      </c>
      <c r="AB592" s="30" t="s">
        <v>56</v>
      </c>
      <c r="AC592" s="27"/>
      <c r="AD592" s="31" t="s">
        <v>57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2507</v>
      </c>
      <c r="C593" s="25" t="s">
        <v>2508</v>
      </c>
      <c r="D593" s="23" t="s">
        <v>2300</v>
      </c>
      <c r="E593" s="42">
        <v>46129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4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70">
        <v>46248</v>
      </c>
      <c r="X593" s="30" t="s">
        <v>55</v>
      </c>
      <c r="Y593" s="30" t="s">
        <v>56</v>
      </c>
      <c r="Z593" s="30" t="s">
        <v>57</v>
      </c>
      <c r="AA593" s="30" t="s">
        <v>58</v>
      </c>
      <c r="AB593" s="30" t="s">
        <v>56</v>
      </c>
      <c r="AC593" s="27"/>
      <c r="AD593" s="31" t="s">
        <v>57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2509</v>
      </c>
      <c r="C594" s="41" t="s">
        <v>2510</v>
      </c>
      <c r="D594" s="39" t="s">
        <v>2300</v>
      </c>
      <c r="E594" s="42">
        <v>46129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4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70">
        <v>46248</v>
      </c>
      <c r="X594" s="30" t="s">
        <v>55</v>
      </c>
      <c r="Y594" s="30" t="s">
        <v>56</v>
      </c>
      <c r="Z594" s="30" t="s">
        <v>57</v>
      </c>
      <c r="AA594" s="30" t="s">
        <v>58</v>
      </c>
      <c r="AB594" s="30" t="s">
        <v>56</v>
      </c>
      <c r="AC594" s="27"/>
      <c r="AD594" s="31" t="s">
        <v>57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2511</v>
      </c>
      <c r="C595" s="25" t="s">
        <v>2512</v>
      </c>
      <c r="D595" s="23" t="s">
        <v>2300</v>
      </c>
      <c r="E595" s="42">
        <v>46129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4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70">
        <v>46248</v>
      </c>
      <c r="X595" s="30" t="s">
        <v>55</v>
      </c>
      <c r="Y595" s="30" t="s">
        <v>56</v>
      </c>
      <c r="Z595" s="30" t="s">
        <v>57</v>
      </c>
      <c r="AA595" s="30" t="s">
        <v>58</v>
      </c>
      <c r="AB595" s="30" t="s">
        <v>56</v>
      </c>
      <c r="AC595" s="27"/>
      <c r="AD595" s="31" t="s">
        <v>57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2513</v>
      </c>
      <c r="C596" s="41" t="s">
        <v>2514</v>
      </c>
      <c r="D596" s="39" t="s">
        <v>2300</v>
      </c>
      <c r="E596" s="42">
        <v>46129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4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70">
        <v>46248</v>
      </c>
      <c r="X596" s="30" t="s">
        <v>55</v>
      </c>
      <c r="Y596" s="30" t="s">
        <v>56</v>
      </c>
      <c r="Z596" s="30" t="s">
        <v>57</v>
      </c>
      <c r="AA596" s="30" t="s">
        <v>58</v>
      </c>
      <c r="AB596" s="30" t="s">
        <v>56</v>
      </c>
      <c r="AC596" s="27"/>
      <c r="AD596" s="31" t="s">
        <v>57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2515</v>
      </c>
      <c r="C597" s="25" t="s">
        <v>2516</v>
      </c>
      <c r="D597" s="23" t="s">
        <v>2300</v>
      </c>
      <c r="E597" s="42">
        <v>46129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4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70">
        <v>46248</v>
      </c>
      <c r="X597" s="30" t="s">
        <v>55</v>
      </c>
      <c r="Y597" s="30" t="s">
        <v>56</v>
      </c>
      <c r="Z597" s="30" t="s">
        <v>57</v>
      </c>
      <c r="AA597" s="30" t="s">
        <v>58</v>
      </c>
      <c r="AB597" s="30" t="s">
        <v>56</v>
      </c>
      <c r="AC597" s="27"/>
      <c r="AD597" s="31" t="s">
        <v>57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2517</v>
      </c>
      <c r="C598" s="41" t="s">
        <v>2518</v>
      </c>
      <c r="D598" s="39" t="s">
        <v>2300</v>
      </c>
      <c r="E598" s="42">
        <v>46129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4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70">
        <v>46248</v>
      </c>
      <c r="X598" s="30" t="s">
        <v>55</v>
      </c>
      <c r="Y598" s="30" t="s">
        <v>56</v>
      </c>
      <c r="Z598" s="30" t="s">
        <v>57</v>
      </c>
      <c r="AA598" s="30" t="s">
        <v>58</v>
      </c>
      <c r="AB598" s="30" t="s">
        <v>56</v>
      </c>
      <c r="AC598" s="27"/>
      <c r="AD598" s="31" t="s">
        <v>57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2519</v>
      </c>
      <c r="C599" s="25" t="s">
        <v>2520</v>
      </c>
      <c r="D599" s="23" t="s">
        <v>2300</v>
      </c>
      <c r="E599" s="42">
        <v>46129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4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70">
        <v>46248</v>
      </c>
      <c r="X599" s="30" t="s">
        <v>55</v>
      </c>
      <c r="Y599" s="30" t="s">
        <v>56</v>
      </c>
      <c r="Z599" s="30" t="s">
        <v>57</v>
      </c>
      <c r="AA599" s="30" t="s">
        <v>58</v>
      </c>
      <c r="AB599" s="30" t="s">
        <v>56</v>
      </c>
      <c r="AC599" s="27"/>
      <c r="AD599" s="31" t="s">
        <v>57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2521</v>
      </c>
      <c r="C600" s="41" t="s">
        <v>2522</v>
      </c>
      <c r="D600" s="39" t="s">
        <v>2300</v>
      </c>
      <c r="E600" s="42">
        <v>46129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4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70">
        <v>46248</v>
      </c>
      <c r="X600" s="30" t="s">
        <v>55</v>
      </c>
      <c r="Y600" s="30" t="s">
        <v>56</v>
      </c>
      <c r="Z600" s="30" t="s">
        <v>57</v>
      </c>
      <c r="AA600" s="30" t="s">
        <v>58</v>
      </c>
      <c r="AB600" s="30" t="s">
        <v>56</v>
      </c>
      <c r="AC600" s="27"/>
      <c r="AD600" s="31" t="s">
        <v>57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2523</v>
      </c>
      <c r="C601" s="25" t="s">
        <v>2524</v>
      </c>
      <c r="D601" s="23" t="s">
        <v>2300</v>
      </c>
      <c r="E601" s="42">
        <v>46129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4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70">
        <v>46248</v>
      </c>
      <c r="X601" s="30" t="s">
        <v>55</v>
      </c>
      <c r="Y601" s="30" t="s">
        <v>56</v>
      </c>
      <c r="Z601" s="30" t="s">
        <v>57</v>
      </c>
      <c r="AA601" s="30" t="s">
        <v>58</v>
      </c>
      <c r="AB601" s="30" t="s">
        <v>56</v>
      </c>
      <c r="AC601" s="27"/>
      <c r="AD601" s="31" t="s">
        <v>57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2525</v>
      </c>
      <c r="C602" s="41" t="s">
        <v>2526</v>
      </c>
      <c r="D602" s="39" t="s">
        <v>2300</v>
      </c>
      <c r="E602" s="42">
        <v>46129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4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70">
        <v>46248</v>
      </c>
      <c r="X602" s="30" t="s">
        <v>55</v>
      </c>
      <c r="Y602" s="30" t="s">
        <v>56</v>
      </c>
      <c r="Z602" s="30" t="s">
        <v>57</v>
      </c>
      <c r="AA602" s="30" t="s">
        <v>58</v>
      </c>
      <c r="AB602" s="30" t="s">
        <v>56</v>
      </c>
      <c r="AC602" s="27"/>
      <c r="AD602" s="31" t="s">
        <v>57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2527</v>
      </c>
      <c r="C603" s="25" t="s">
        <v>2528</v>
      </c>
      <c r="D603" s="23" t="s">
        <v>2300</v>
      </c>
      <c r="E603" s="42">
        <v>46129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4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70">
        <v>46248</v>
      </c>
      <c r="X603" s="30" t="s">
        <v>55</v>
      </c>
      <c r="Y603" s="30" t="s">
        <v>56</v>
      </c>
      <c r="Z603" s="30" t="s">
        <v>57</v>
      </c>
      <c r="AA603" s="30" t="s">
        <v>58</v>
      </c>
      <c r="AB603" s="30" t="s">
        <v>56</v>
      </c>
      <c r="AC603" s="27"/>
      <c r="AD603" s="31" t="s">
        <v>57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2529</v>
      </c>
      <c r="C604" s="41" t="s">
        <v>2530</v>
      </c>
      <c r="D604" s="39" t="s">
        <v>2300</v>
      </c>
      <c r="E604" s="42">
        <v>46129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4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70">
        <v>46248</v>
      </c>
      <c r="X604" s="30" t="s">
        <v>55</v>
      </c>
      <c r="Y604" s="30" t="s">
        <v>56</v>
      </c>
      <c r="Z604" s="30" t="s">
        <v>57</v>
      </c>
      <c r="AA604" s="30" t="s">
        <v>58</v>
      </c>
      <c r="AB604" s="30" t="s">
        <v>56</v>
      </c>
      <c r="AC604" s="27"/>
      <c r="AD604" s="31" t="s">
        <v>57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2531</v>
      </c>
      <c r="C605" s="25" t="s">
        <v>2532</v>
      </c>
      <c r="D605" s="23" t="s">
        <v>2300</v>
      </c>
      <c r="E605" s="4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4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70">
        <v>46248</v>
      </c>
      <c r="X605" s="30" t="s">
        <v>55</v>
      </c>
      <c r="Y605" s="30" t="s">
        <v>56</v>
      </c>
      <c r="Z605" s="30" t="s">
        <v>57</v>
      </c>
      <c r="AA605" s="30" t="s">
        <v>58</v>
      </c>
      <c r="AB605" s="30" t="s">
        <v>56</v>
      </c>
      <c r="AC605" s="27"/>
      <c r="AD605" s="31" t="s">
        <v>57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2533</v>
      </c>
      <c r="C606" s="41" t="s">
        <v>2534</v>
      </c>
      <c r="D606" s="39" t="s">
        <v>2300</v>
      </c>
      <c r="E606" s="4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4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70">
        <v>46248</v>
      </c>
      <c r="X606" s="30" t="s">
        <v>55</v>
      </c>
      <c r="Y606" s="30" t="s">
        <v>56</v>
      </c>
      <c r="Z606" s="30" t="s">
        <v>57</v>
      </c>
      <c r="AA606" s="30" t="s">
        <v>58</v>
      </c>
      <c r="AB606" s="30" t="s">
        <v>56</v>
      </c>
      <c r="AC606" s="27"/>
      <c r="AD606" s="31" t="s">
        <v>57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2535</v>
      </c>
      <c r="C607" s="25" t="s">
        <v>2536</v>
      </c>
      <c r="D607" s="23" t="s">
        <v>2300</v>
      </c>
      <c r="E607" s="4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4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70">
        <v>46248</v>
      </c>
      <c r="X607" s="30" t="s">
        <v>55</v>
      </c>
      <c r="Y607" s="30" t="s">
        <v>56</v>
      </c>
      <c r="Z607" s="30" t="s">
        <v>57</v>
      </c>
      <c r="AA607" s="30" t="s">
        <v>58</v>
      </c>
      <c r="AB607" s="30" t="s">
        <v>56</v>
      </c>
      <c r="AC607" s="27"/>
      <c r="AD607" s="31" t="s">
        <v>57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2537</v>
      </c>
      <c r="C608" s="41" t="s">
        <v>2538</v>
      </c>
      <c r="D608" s="39" t="s">
        <v>2300</v>
      </c>
      <c r="E608" s="4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4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70">
        <v>46248</v>
      </c>
      <c r="X608" s="30" t="s">
        <v>55</v>
      </c>
      <c r="Y608" s="30" t="s">
        <v>56</v>
      </c>
      <c r="Z608" s="30" t="s">
        <v>57</v>
      </c>
      <c r="AA608" s="30" t="s">
        <v>58</v>
      </c>
      <c r="AB608" s="30" t="s">
        <v>56</v>
      </c>
      <c r="AC608" s="27"/>
      <c r="AD608" s="31" t="s">
        <v>57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2539</v>
      </c>
      <c r="C609" s="25" t="s">
        <v>2540</v>
      </c>
      <c r="D609" s="23" t="s">
        <v>2300</v>
      </c>
      <c r="E609" s="42">
        <v>46132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4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70">
        <v>46248</v>
      </c>
      <c r="X609" s="30" t="s">
        <v>55</v>
      </c>
      <c r="Y609" s="30" t="s">
        <v>56</v>
      </c>
      <c r="Z609" s="30" t="s">
        <v>57</v>
      </c>
      <c r="AA609" s="30" t="s">
        <v>58</v>
      </c>
      <c r="AB609" s="30" t="s">
        <v>56</v>
      </c>
      <c r="AC609" s="27"/>
      <c r="AD609" s="31" t="s">
        <v>57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2541</v>
      </c>
      <c r="C610" s="41" t="s">
        <v>2542</v>
      </c>
      <c r="D610" s="39" t="s">
        <v>2300</v>
      </c>
      <c r="E610" s="42">
        <v>46132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4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70">
        <v>46248</v>
      </c>
      <c r="X610" s="30" t="s">
        <v>55</v>
      </c>
      <c r="Y610" s="30" t="s">
        <v>56</v>
      </c>
      <c r="Z610" s="30" t="s">
        <v>57</v>
      </c>
      <c r="AA610" s="30" t="s">
        <v>58</v>
      </c>
      <c r="AB610" s="30" t="s">
        <v>56</v>
      </c>
      <c r="AC610" s="27"/>
      <c r="AD610" s="31" t="s">
        <v>57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2543</v>
      </c>
      <c r="C611" s="25" t="s">
        <v>2544</v>
      </c>
      <c r="D611" s="23" t="s">
        <v>2300</v>
      </c>
      <c r="E611" s="42">
        <v>46132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4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70">
        <v>46248</v>
      </c>
      <c r="X611" s="30" t="s">
        <v>55</v>
      </c>
      <c r="Y611" s="30" t="s">
        <v>56</v>
      </c>
      <c r="Z611" s="30" t="s">
        <v>57</v>
      </c>
      <c r="AA611" s="30" t="s">
        <v>58</v>
      </c>
      <c r="AB611" s="30" t="s">
        <v>56</v>
      </c>
      <c r="AC611" s="27"/>
      <c r="AD611" s="31" t="s">
        <v>57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2545</v>
      </c>
      <c r="C612" s="41" t="s">
        <v>2546</v>
      </c>
      <c r="D612" s="39" t="s">
        <v>2300</v>
      </c>
      <c r="E612" s="42">
        <v>46132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4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70">
        <v>46248</v>
      </c>
      <c r="X612" s="30" t="s">
        <v>55</v>
      </c>
      <c r="Y612" s="30" t="s">
        <v>56</v>
      </c>
      <c r="Z612" s="30" t="s">
        <v>57</v>
      </c>
      <c r="AA612" s="30" t="s">
        <v>58</v>
      </c>
      <c r="AB612" s="30" t="s">
        <v>56</v>
      </c>
      <c r="AC612" s="27"/>
      <c r="AD612" s="31" t="s">
        <v>57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2547</v>
      </c>
      <c r="C613" s="25" t="s">
        <v>2548</v>
      </c>
      <c r="D613" s="23" t="s">
        <v>2300</v>
      </c>
      <c r="E613" s="42">
        <v>46132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4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70">
        <v>46248</v>
      </c>
      <c r="X613" s="30" t="s">
        <v>55</v>
      </c>
      <c r="Y613" s="30" t="s">
        <v>56</v>
      </c>
      <c r="Z613" s="30" t="s">
        <v>57</v>
      </c>
      <c r="AA613" s="30" t="s">
        <v>58</v>
      </c>
      <c r="AB613" s="30" t="s">
        <v>56</v>
      </c>
      <c r="AC613" s="27"/>
      <c r="AD613" s="31" t="s">
        <v>57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2549</v>
      </c>
      <c r="C614" s="41" t="s">
        <v>2550</v>
      </c>
      <c r="D614" s="39" t="s">
        <v>2300</v>
      </c>
      <c r="E614" s="42">
        <v>46132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4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70">
        <v>46248</v>
      </c>
      <c r="X614" s="30" t="s">
        <v>55</v>
      </c>
      <c r="Y614" s="30" t="s">
        <v>56</v>
      </c>
      <c r="Z614" s="30" t="s">
        <v>57</v>
      </c>
      <c r="AA614" s="30" t="s">
        <v>58</v>
      </c>
      <c r="AB614" s="30" t="s">
        <v>56</v>
      </c>
      <c r="AC614" s="27"/>
      <c r="AD614" s="31" t="s">
        <v>57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2551</v>
      </c>
      <c r="C615" s="25" t="s">
        <v>2552</v>
      </c>
      <c r="D615" s="23" t="s">
        <v>2300</v>
      </c>
      <c r="E615" s="42">
        <v>46129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4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70">
        <v>46248</v>
      </c>
      <c r="X615" s="30" t="s">
        <v>55</v>
      </c>
      <c r="Y615" s="30" t="s">
        <v>56</v>
      </c>
      <c r="Z615" s="30" t="s">
        <v>57</v>
      </c>
      <c r="AA615" s="30" t="s">
        <v>58</v>
      </c>
      <c r="AB615" s="30" t="s">
        <v>56</v>
      </c>
      <c r="AC615" s="27"/>
      <c r="AD615" s="31" t="s">
        <v>57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2553</v>
      </c>
      <c r="C616" s="41" t="s">
        <v>2554</v>
      </c>
      <c r="D616" s="39" t="s">
        <v>2300</v>
      </c>
      <c r="E616" s="42">
        <v>46129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4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70">
        <v>46248</v>
      </c>
      <c r="X616" s="30" t="s">
        <v>55</v>
      </c>
      <c r="Y616" s="30" t="s">
        <v>56</v>
      </c>
      <c r="Z616" s="30" t="s">
        <v>57</v>
      </c>
      <c r="AA616" s="30" t="s">
        <v>58</v>
      </c>
      <c r="AB616" s="30" t="s">
        <v>56</v>
      </c>
      <c r="AC616" s="27"/>
      <c r="AD616" s="31" t="s">
        <v>57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2555</v>
      </c>
      <c r="C617" s="25" t="s">
        <v>2556</v>
      </c>
      <c r="D617" s="23" t="s">
        <v>2300</v>
      </c>
      <c r="E617" s="4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4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70">
        <v>46248</v>
      </c>
      <c r="X617" s="30" t="s">
        <v>55</v>
      </c>
      <c r="Y617" s="30" t="s">
        <v>56</v>
      </c>
      <c r="Z617" s="30" t="s">
        <v>57</v>
      </c>
      <c r="AA617" s="30" t="s">
        <v>58</v>
      </c>
      <c r="AB617" s="30" t="s">
        <v>56</v>
      </c>
      <c r="AC617" s="27"/>
      <c r="AD617" s="31" t="s">
        <v>57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2557</v>
      </c>
      <c r="C618" s="41" t="s">
        <v>2558</v>
      </c>
      <c r="D618" s="39" t="s">
        <v>2300</v>
      </c>
      <c r="E618" s="4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4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70">
        <v>46248</v>
      </c>
      <c r="X618" s="30" t="s">
        <v>55</v>
      </c>
      <c r="Y618" s="30" t="s">
        <v>56</v>
      </c>
      <c r="Z618" s="30" t="s">
        <v>57</v>
      </c>
      <c r="AA618" s="30" t="s">
        <v>58</v>
      </c>
      <c r="AB618" s="30" t="s">
        <v>56</v>
      </c>
      <c r="AC618" s="27"/>
      <c r="AD618" s="31" t="s">
        <v>57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2559</v>
      </c>
      <c r="C619" s="25" t="s">
        <v>2560</v>
      </c>
      <c r="D619" s="23" t="s">
        <v>2300</v>
      </c>
      <c r="E619" s="4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4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70">
        <v>46248</v>
      </c>
      <c r="X619" s="30" t="s">
        <v>55</v>
      </c>
      <c r="Y619" s="30" t="s">
        <v>56</v>
      </c>
      <c r="Z619" s="30" t="s">
        <v>57</v>
      </c>
      <c r="AA619" s="30" t="s">
        <v>58</v>
      </c>
      <c r="AB619" s="30" t="s">
        <v>56</v>
      </c>
      <c r="AC619" s="27"/>
      <c r="AD619" s="31" t="s">
        <v>57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2561</v>
      </c>
      <c r="C620" s="41" t="s">
        <v>2562</v>
      </c>
      <c r="D620" s="39" t="s">
        <v>2300</v>
      </c>
      <c r="E620" s="42">
        <v>46132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4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70">
        <v>46248</v>
      </c>
      <c r="X620" s="30" t="s">
        <v>55</v>
      </c>
      <c r="Y620" s="30" t="s">
        <v>56</v>
      </c>
      <c r="Z620" s="30" t="s">
        <v>57</v>
      </c>
      <c r="AA620" s="30" t="s">
        <v>58</v>
      </c>
      <c r="AB620" s="30" t="s">
        <v>56</v>
      </c>
      <c r="AC620" s="27"/>
      <c r="AD620" s="31" t="s">
        <v>57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2563</v>
      </c>
      <c r="C621" s="25" t="s">
        <v>2564</v>
      </c>
      <c r="D621" s="23" t="s">
        <v>2300</v>
      </c>
      <c r="E621" s="42">
        <v>46132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4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70">
        <v>46248</v>
      </c>
      <c r="X621" s="30" t="s">
        <v>55</v>
      </c>
      <c r="Y621" s="30" t="s">
        <v>56</v>
      </c>
      <c r="Z621" s="30" t="s">
        <v>57</v>
      </c>
      <c r="AA621" s="30" t="s">
        <v>58</v>
      </c>
      <c r="AB621" s="30" t="s">
        <v>56</v>
      </c>
      <c r="AC621" s="27"/>
      <c r="AD621" s="31" t="s">
        <v>57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2565</v>
      </c>
      <c r="C622" s="41" t="s">
        <v>2566</v>
      </c>
      <c r="D622" s="39" t="s">
        <v>2300</v>
      </c>
      <c r="E622" s="42">
        <v>46129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4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70">
        <v>46248</v>
      </c>
      <c r="X622" s="30" t="s">
        <v>55</v>
      </c>
      <c r="Y622" s="30" t="s">
        <v>56</v>
      </c>
      <c r="Z622" s="30" t="s">
        <v>57</v>
      </c>
      <c r="AA622" s="30" t="s">
        <v>58</v>
      </c>
      <c r="AB622" s="30" t="s">
        <v>56</v>
      </c>
      <c r="AC622" s="27"/>
      <c r="AD622" s="31" t="s">
        <v>57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2567</v>
      </c>
      <c r="C623" s="25" t="s">
        <v>2568</v>
      </c>
      <c r="D623" s="23" t="s">
        <v>2300</v>
      </c>
      <c r="E623" s="42">
        <v>46129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4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70">
        <v>46248</v>
      </c>
      <c r="X623" s="30" t="s">
        <v>55</v>
      </c>
      <c r="Y623" s="30" t="s">
        <v>56</v>
      </c>
      <c r="Z623" s="30" t="s">
        <v>57</v>
      </c>
      <c r="AA623" s="30" t="s">
        <v>58</v>
      </c>
      <c r="AB623" s="30" t="s">
        <v>56</v>
      </c>
      <c r="AC623" s="27"/>
      <c r="AD623" s="31" t="s">
        <v>57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2569</v>
      </c>
      <c r="C624" s="41" t="s">
        <v>2570</v>
      </c>
      <c r="D624" s="39" t="s">
        <v>2300</v>
      </c>
      <c r="E624" s="4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4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70">
        <v>46248</v>
      </c>
      <c r="X624" s="30" t="s">
        <v>55</v>
      </c>
      <c r="Y624" s="30" t="s">
        <v>56</v>
      </c>
      <c r="Z624" s="30" t="s">
        <v>57</v>
      </c>
      <c r="AA624" s="30" t="s">
        <v>58</v>
      </c>
      <c r="AB624" s="30" t="s">
        <v>56</v>
      </c>
      <c r="AC624" s="27"/>
      <c r="AD624" s="31" t="s">
        <v>57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2571</v>
      </c>
      <c r="C625" s="25" t="s">
        <v>2572</v>
      </c>
      <c r="D625" s="23" t="s">
        <v>2300</v>
      </c>
      <c r="E625" s="42">
        <v>46129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4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70">
        <v>46248</v>
      </c>
      <c r="X625" s="30" t="s">
        <v>55</v>
      </c>
      <c r="Y625" s="30" t="s">
        <v>56</v>
      </c>
      <c r="Z625" s="30" t="s">
        <v>57</v>
      </c>
      <c r="AA625" s="30" t="s">
        <v>58</v>
      </c>
      <c r="AB625" s="30" t="s">
        <v>56</v>
      </c>
      <c r="AC625" s="27"/>
      <c r="AD625" s="31" t="s">
        <v>57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2573</v>
      </c>
      <c r="C626" s="41" t="s">
        <v>2574</v>
      </c>
      <c r="D626" s="39" t="s">
        <v>2300</v>
      </c>
      <c r="E626" s="42">
        <v>46129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4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70">
        <v>46248</v>
      </c>
      <c r="X626" s="30" t="s">
        <v>55</v>
      </c>
      <c r="Y626" s="30" t="s">
        <v>56</v>
      </c>
      <c r="Z626" s="30" t="s">
        <v>57</v>
      </c>
      <c r="AA626" s="30" t="s">
        <v>58</v>
      </c>
      <c r="AB626" s="30" t="s">
        <v>56</v>
      </c>
      <c r="AC626" s="27"/>
      <c r="AD626" s="31" t="s">
        <v>57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2575</v>
      </c>
      <c r="C627" s="25" t="s">
        <v>2576</v>
      </c>
      <c r="D627" s="23" t="s">
        <v>2300</v>
      </c>
      <c r="E627" s="4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4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70">
        <v>46248</v>
      </c>
      <c r="X627" s="30" t="s">
        <v>55</v>
      </c>
      <c r="Y627" s="30" t="s">
        <v>56</v>
      </c>
      <c r="Z627" s="30" t="s">
        <v>57</v>
      </c>
      <c r="AA627" s="30" t="s">
        <v>58</v>
      </c>
      <c r="AB627" s="30" t="s">
        <v>56</v>
      </c>
      <c r="AC627" s="27"/>
      <c r="AD627" s="31" t="s">
        <v>57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2577</v>
      </c>
      <c r="C628" s="41" t="s">
        <v>2578</v>
      </c>
      <c r="D628" s="39" t="s">
        <v>2300</v>
      </c>
      <c r="E628" s="4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4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70">
        <v>46248</v>
      </c>
      <c r="X628" s="30" t="s">
        <v>55</v>
      </c>
      <c r="Y628" s="30" t="s">
        <v>56</v>
      </c>
      <c r="Z628" s="30" t="s">
        <v>57</v>
      </c>
      <c r="AA628" s="30" t="s">
        <v>58</v>
      </c>
      <c r="AB628" s="30" t="s">
        <v>56</v>
      </c>
      <c r="AC628" s="27"/>
      <c r="AD628" s="31" t="s">
        <v>57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2579</v>
      </c>
      <c r="C629" s="25" t="s">
        <v>2580</v>
      </c>
      <c r="D629" s="23" t="s">
        <v>2300</v>
      </c>
      <c r="E629" s="4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4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70">
        <v>46248</v>
      </c>
      <c r="X629" s="30" t="s">
        <v>55</v>
      </c>
      <c r="Y629" s="30" t="s">
        <v>56</v>
      </c>
      <c r="Z629" s="30" t="s">
        <v>57</v>
      </c>
      <c r="AA629" s="30" t="s">
        <v>58</v>
      </c>
      <c r="AB629" s="30" t="s">
        <v>56</v>
      </c>
      <c r="AC629" s="27"/>
      <c r="AD629" s="31" t="s">
        <v>57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2581</v>
      </c>
      <c r="C630" s="41" t="s">
        <v>2582</v>
      </c>
      <c r="D630" s="39" t="s">
        <v>2300</v>
      </c>
      <c r="E630" s="42">
        <v>46129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4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70">
        <v>46248</v>
      </c>
      <c r="X630" s="30" t="s">
        <v>55</v>
      </c>
      <c r="Y630" s="30" t="s">
        <v>56</v>
      </c>
      <c r="Z630" s="30" t="s">
        <v>57</v>
      </c>
      <c r="AA630" s="30" t="s">
        <v>58</v>
      </c>
      <c r="AB630" s="30" t="s">
        <v>56</v>
      </c>
      <c r="AC630" s="27"/>
      <c r="AD630" s="31" t="s">
        <v>57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2583</v>
      </c>
      <c r="C631" s="25" t="s">
        <v>2584</v>
      </c>
      <c r="D631" s="23" t="s">
        <v>2300</v>
      </c>
      <c r="E631" s="42">
        <v>46132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4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70">
        <v>46248</v>
      </c>
      <c r="X631" s="30" t="s">
        <v>55</v>
      </c>
      <c r="Y631" s="30" t="s">
        <v>56</v>
      </c>
      <c r="Z631" s="30" t="s">
        <v>57</v>
      </c>
      <c r="AA631" s="30" t="s">
        <v>58</v>
      </c>
      <c r="AB631" s="30" t="s">
        <v>56</v>
      </c>
      <c r="AC631" s="27"/>
      <c r="AD631" s="31" t="s">
        <v>57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2585</v>
      </c>
      <c r="C632" s="41" t="s">
        <v>2586</v>
      </c>
      <c r="D632" s="39" t="s">
        <v>2300</v>
      </c>
      <c r="E632" s="42">
        <v>46129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4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70">
        <v>46248</v>
      </c>
      <c r="X632" s="30" t="s">
        <v>55</v>
      </c>
      <c r="Y632" s="30" t="s">
        <v>56</v>
      </c>
      <c r="Z632" s="30" t="s">
        <v>57</v>
      </c>
      <c r="AA632" s="30" t="s">
        <v>58</v>
      </c>
      <c r="AB632" s="30" t="s">
        <v>56</v>
      </c>
      <c r="AC632" s="27"/>
      <c r="AD632" s="31" t="s">
        <v>57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2587</v>
      </c>
      <c r="C633" s="25" t="s">
        <v>2588</v>
      </c>
      <c r="D633" s="23" t="s">
        <v>2300</v>
      </c>
      <c r="E633" s="42">
        <v>46129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4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70">
        <v>46248</v>
      </c>
      <c r="X633" s="30" t="s">
        <v>55</v>
      </c>
      <c r="Y633" s="30" t="s">
        <v>56</v>
      </c>
      <c r="Z633" s="30" t="s">
        <v>57</v>
      </c>
      <c r="AA633" s="30" t="s">
        <v>58</v>
      </c>
      <c r="AB633" s="30" t="s">
        <v>56</v>
      </c>
      <c r="AC633" s="27"/>
      <c r="AD633" s="31" t="s">
        <v>57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2589</v>
      </c>
      <c r="C634" s="41" t="s">
        <v>2590</v>
      </c>
      <c r="D634" s="39" t="s">
        <v>2300</v>
      </c>
      <c r="E634" s="42">
        <v>46132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4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70">
        <v>46248</v>
      </c>
      <c r="X634" s="30" t="s">
        <v>55</v>
      </c>
      <c r="Y634" s="30" t="s">
        <v>56</v>
      </c>
      <c r="Z634" s="30" t="s">
        <v>57</v>
      </c>
      <c r="AA634" s="30" t="s">
        <v>58</v>
      </c>
      <c r="AB634" s="30" t="s">
        <v>56</v>
      </c>
      <c r="AC634" s="27"/>
      <c r="AD634" s="31" t="s">
        <v>57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2591</v>
      </c>
      <c r="C635" s="25" t="s">
        <v>2592</v>
      </c>
      <c r="D635" s="23" t="s">
        <v>2300</v>
      </c>
      <c r="E635" s="42">
        <v>46132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4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70">
        <v>46248</v>
      </c>
      <c r="X635" s="30" t="s">
        <v>55</v>
      </c>
      <c r="Y635" s="30" t="s">
        <v>56</v>
      </c>
      <c r="Z635" s="30" t="s">
        <v>57</v>
      </c>
      <c r="AA635" s="30" t="s">
        <v>58</v>
      </c>
      <c r="AB635" s="30" t="s">
        <v>56</v>
      </c>
      <c r="AC635" s="27"/>
      <c r="AD635" s="31" t="s">
        <v>57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2593</v>
      </c>
      <c r="C636" s="41" t="s">
        <v>2594</v>
      </c>
      <c r="D636" s="39" t="s">
        <v>2300</v>
      </c>
      <c r="E636" s="4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4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70">
        <v>46248</v>
      </c>
      <c r="X636" s="30" t="s">
        <v>55</v>
      </c>
      <c r="Y636" s="30" t="s">
        <v>56</v>
      </c>
      <c r="Z636" s="30" t="s">
        <v>57</v>
      </c>
      <c r="AA636" s="30" t="s">
        <v>58</v>
      </c>
      <c r="AB636" s="30" t="s">
        <v>56</v>
      </c>
      <c r="AC636" s="27"/>
      <c r="AD636" s="31" t="s">
        <v>57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2595</v>
      </c>
      <c r="C637" s="25" t="s">
        <v>2596</v>
      </c>
      <c r="D637" s="23" t="s">
        <v>2300</v>
      </c>
      <c r="E637" s="4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4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70">
        <v>46248</v>
      </c>
      <c r="X637" s="30" t="s">
        <v>55</v>
      </c>
      <c r="Y637" s="30" t="s">
        <v>56</v>
      </c>
      <c r="Z637" s="30" t="s">
        <v>57</v>
      </c>
      <c r="AA637" s="30" t="s">
        <v>58</v>
      </c>
      <c r="AB637" s="30" t="s">
        <v>56</v>
      </c>
      <c r="AC637" s="27"/>
      <c r="AD637" s="31" t="s">
        <v>57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2597</v>
      </c>
      <c r="C638" s="41" t="s">
        <v>2598</v>
      </c>
      <c r="D638" s="39" t="s">
        <v>2300</v>
      </c>
      <c r="E638" s="4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4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70">
        <v>46248</v>
      </c>
      <c r="X638" s="30" t="s">
        <v>55</v>
      </c>
      <c r="Y638" s="30" t="s">
        <v>56</v>
      </c>
      <c r="Z638" s="30" t="s">
        <v>57</v>
      </c>
      <c r="AA638" s="30" t="s">
        <v>58</v>
      </c>
      <c r="AB638" s="30" t="s">
        <v>56</v>
      </c>
      <c r="AC638" s="27"/>
      <c r="AD638" s="31" t="s">
        <v>57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2599</v>
      </c>
      <c r="C639" s="25" t="s">
        <v>2600</v>
      </c>
      <c r="D639" s="23" t="s">
        <v>2300</v>
      </c>
      <c r="E639" s="42">
        <v>46129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4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70">
        <v>46248</v>
      </c>
      <c r="X639" s="30" t="s">
        <v>55</v>
      </c>
      <c r="Y639" s="30" t="s">
        <v>56</v>
      </c>
      <c r="Z639" s="30" t="s">
        <v>57</v>
      </c>
      <c r="AA639" s="30" t="s">
        <v>58</v>
      </c>
      <c r="AB639" s="30" t="s">
        <v>56</v>
      </c>
      <c r="AC639" s="27"/>
      <c r="AD639" s="31" t="s">
        <v>57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2601</v>
      </c>
      <c r="C640" s="41" t="s">
        <v>2602</v>
      </c>
      <c r="D640" s="39" t="s">
        <v>2300</v>
      </c>
      <c r="E640" s="42">
        <v>46129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4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70">
        <v>46248</v>
      </c>
      <c r="X640" s="30" t="s">
        <v>55</v>
      </c>
      <c r="Y640" s="30" t="s">
        <v>56</v>
      </c>
      <c r="Z640" s="30" t="s">
        <v>57</v>
      </c>
      <c r="AA640" s="30" t="s">
        <v>58</v>
      </c>
      <c r="AB640" s="30" t="s">
        <v>56</v>
      </c>
      <c r="AC640" s="27"/>
      <c r="AD640" s="31" t="s">
        <v>57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2603</v>
      </c>
      <c r="C641" s="25" t="s">
        <v>2604</v>
      </c>
      <c r="D641" s="23" t="s">
        <v>2300</v>
      </c>
      <c r="E641" s="4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4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70">
        <v>46248</v>
      </c>
      <c r="X641" s="30" t="s">
        <v>55</v>
      </c>
      <c r="Y641" s="30" t="s">
        <v>56</v>
      </c>
      <c r="Z641" s="30" t="s">
        <v>57</v>
      </c>
      <c r="AA641" s="30" t="s">
        <v>58</v>
      </c>
      <c r="AB641" s="30" t="s">
        <v>56</v>
      </c>
      <c r="AC641" s="27"/>
      <c r="AD641" s="31" t="s">
        <v>57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2605</v>
      </c>
      <c r="C642" s="41" t="s">
        <v>2606</v>
      </c>
      <c r="D642" s="39" t="s">
        <v>2300</v>
      </c>
      <c r="E642" s="4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4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70">
        <v>46248</v>
      </c>
      <c r="X642" s="30" t="s">
        <v>55</v>
      </c>
      <c r="Y642" s="30" t="s">
        <v>56</v>
      </c>
      <c r="Z642" s="30" t="s">
        <v>57</v>
      </c>
      <c r="AA642" s="30" t="s">
        <v>58</v>
      </c>
      <c r="AB642" s="30" t="s">
        <v>56</v>
      </c>
      <c r="AC642" s="27"/>
      <c r="AD642" s="31" t="s">
        <v>57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2607</v>
      </c>
      <c r="C643" s="25" t="s">
        <v>2608</v>
      </c>
      <c r="D643" s="23" t="s">
        <v>2300</v>
      </c>
      <c r="E643" s="42">
        <v>46132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4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70">
        <v>46248</v>
      </c>
      <c r="X643" s="30" t="s">
        <v>55</v>
      </c>
      <c r="Y643" s="30" t="s">
        <v>56</v>
      </c>
      <c r="Z643" s="30" t="s">
        <v>57</v>
      </c>
      <c r="AA643" s="30" t="s">
        <v>58</v>
      </c>
      <c r="AB643" s="30" t="s">
        <v>56</v>
      </c>
      <c r="AC643" s="27"/>
      <c r="AD643" s="31" t="s">
        <v>57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2609</v>
      </c>
      <c r="C644" s="41" t="s">
        <v>2610</v>
      </c>
      <c r="D644" s="39" t="s">
        <v>2300</v>
      </c>
      <c r="E644" s="42">
        <v>46132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4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70">
        <v>46248</v>
      </c>
      <c r="X644" s="30" t="s">
        <v>55</v>
      </c>
      <c r="Y644" s="30" t="s">
        <v>56</v>
      </c>
      <c r="Z644" s="30" t="s">
        <v>57</v>
      </c>
      <c r="AA644" s="30" t="s">
        <v>58</v>
      </c>
      <c r="AB644" s="30" t="s">
        <v>56</v>
      </c>
      <c r="AC644" s="27"/>
      <c r="AD644" s="31" t="s">
        <v>57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2611</v>
      </c>
      <c r="C645" s="25" t="s">
        <v>2612</v>
      </c>
      <c r="D645" s="23" t="s">
        <v>2300</v>
      </c>
      <c r="E645" s="4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4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70">
        <v>46248</v>
      </c>
      <c r="X645" s="30" t="s">
        <v>55</v>
      </c>
      <c r="Y645" s="30" t="s">
        <v>56</v>
      </c>
      <c r="Z645" s="30" t="s">
        <v>57</v>
      </c>
      <c r="AA645" s="30" t="s">
        <v>58</v>
      </c>
      <c r="AB645" s="30" t="s">
        <v>56</v>
      </c>
      <c r="AC645" s="27"/>
      <c r="AD645" s="31" t="s">
        <v>57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2613</v>
      </c>
      <c r="C646" s="41" t="s">
        <v>2614</v>
      </c>
      <c r="D646" s="39" t="s">
        <v>2300</v>
      </c>
      <c r="E646" s="4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4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70">
        <v>46248</v>
      </c>
      <c r="X646" s="30" t="s">
        <v>55</v>
      </c>
      <c r="Y646" s="30" t="s">
        <v>56</v>
      </c>
      <c r="Z646" s="30" t="s">
        <v>57</v>
      </c>
      <c r="AA646" s="30" t="s">
        <v>58</v>
      </c>
      <c r="AB646" s="30" t="s">
        <v>56</v>
      </c>
      <c r="AC646" s="27"/>
      <c r="AD646" s="31" t="s">
        <v>57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2615</v>
      </c>
      <c r="C647" s="25" t="s">
        <v>2616</v>
      </c>
      <c r="D647" s="23" t="s">
        <v>2300</v>
      </c>
      <c r="E647" s="42">
        <v>46132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4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70">
        <v>46248</v>
      </c>
      <c r="X647" s="30" t="s">
        <v>55</v>
      </c>
      <c r="Y647" s="30" t="s">
        <v>56</v>
      </c>
      <c r="Z647" s="30" t="s">
        <v>57</v>
      </c>
      <c r="AA647" s="30" t="s">
        <v>58</v>
      </c>
      <c r="AB647" s="30" t="s">
        <v>56</v>
      </c>
      <c r="AC647" s="27"/>
      <c r="AD647" s="31" t="s">
        <v>57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2617</v>
      </c>
      <c r="C648" s="41" t="s">
        <v>2618</v>
      </c>
      <c r="D648" s="39" t="s">
        <v>2300</v>
      </c>
      <c r="E648" s="42">
        <v>46132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4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70">
        <v>46248</v>
      </c>
      <c r="X648" s="30" t="s">
        <v>55</v>
      </c>
      <c r="Y648" s="30" t="s">
        <v>56</v>
      </c>
      <c r="Z648" s="30" t="s">
        <v>57</v>
      </c>
      <c r="AA648" s="30" t="s">
        <v>58</v>
      </c>
      <c r="AB648" s="30" t="s">
        <v>56</v>
      </c>
      <c r="AC648" s="27"/>
      <c r="AD648" s="31" t="s">
        <v>57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2619</v>
      </c>
      <c r="C649" s="25" t="s">
        <v>2620</v>
      </c>
      <c r="D649" s="23" t="s">
        <v>2300</v>
      </c>
      <c r="E649" s="42">
        <v>46132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4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70">
        <v>46248</v>
      </c>
      <c r="X649" s="30" t="s">
        <v>55</v>
      </c>
      <c r="Y649" s="30" t="s">
        <v>56</v>
      </c>
      <c r="Z649" s="30" t="s">
        <v>57</v>
      </c>
      <c r="AA649" s="30" t="s">
        <v>58</v>
      </c>
      <c r="AB649" s="30" t="s">
        <v>56</v>
      </c>
      <c r="AC649" s="27"/>
      <c r="AD649" s="31" t="s">
        <v>57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2621</v>
      </c>
      <c r="C650" s="41" t="s">
        <v>2622</v>
      </c>
      <c r="D650" s="39" t="s">
        <v>2300</v>
      </c>
      <c r="E650" s="42">
        <v>46132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4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70">
        <v>46248</v>
      </c>
      <c r="X650" s="30" t="s">
        <v>55</v>
      </c>
      <c r="Y650" s="30" t="s">
        <v>56</v>
      </c>
      <c r="Z650" s="30" t="s">
        <v>57</v>
      </c>
      <c r="AA650" s="30" t="s">
        <v>58</v>
      </c>
      <c r="AB650" s="30" t="s">
        <v>56</v>
      </c>
      <c r="AC650" s="27"/>
      <c r="AD650" s="31" t="s">
        <v>57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2623</v>
      </c>
      <c r="C651" s="25" t="s">
        <v>2624</v>
      </c>
      <c r="D651" s="23" t="s">
        <v>2300</v>
      </c>
      <c r="E651" s="42">
        <v>46132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4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70">
        <v>46248</v>
      </c>
      <c r="X651" s="30" t="s">
        <v>55</v>
      </c>
      <c r="Y651" s="30" t="s">
        <v>56</v>
      </c>
      <c r="Z651" s="30" t="s">
        <v>57</v>
      </c>
      <c r="AA651" s="30" t="s">
        <v>58</v>
      </c>
      <c r="AB651" s="30" t="s">
        <v>56</v>
      </c>
      <c r="AC651" s="27"/>
      <c r="AD651" s="31" t="s">
        <v>57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2625</v>
      </c>
      <c r="C652" s="41" t="s">
        <v>2626</v>
      </c>
      <c r="D652" s="39" t="s">
        <v>2300</v>
      </c>
      <c r="E652" s="42">
        <v>46132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4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70">
        <v>46248</v>
      </c>
      <c r="X652" s="30" t="s">
        <v>55</v>
      </c>
      <c r="Y652" s="30" t="s">
        <v>56</v>
      </c>
      <c r="Z652" s="30" t="s">
        <v>57</v>
      </c>
      <c r="AA652" s="30" t="s">
        <v>58</v>
      </c>
      <c r="AB652" s="30" t="s">
        <v>56</v>
      </c>
      <c r="AC652" s="27"/>
      <c r="AD652" s="31" t="s">
        <v>57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2627</v>
      </c>
      <c r="C653" s="25" t="s">
        <v>2628</v>
      </c>
      <c r="D653" s="23" t="s">
        <v>2300</v>
      </c>
      <c r="E653" s="42">
        <v>46129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4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70">
        <v>46248</v>
      </c>
      <c r="X653" s="30" t="s">
        <v>55</v>
      </c>
      <c r="Y653" s="30" t="s">
        <v>56</v>
      </c>
      <c r="Z653" s="30" t="s">
        <v>57</v>
      </c>
      <c r="AA653" s="30" t="s">
        <v>58</v>
      </c>
      <c r="AB653" s="30" t="s">
        <v>56</v>
      </c>
      <c r="AC653" s="27"/>
      <c r="AD653" s="31" t="s">
        <v>57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2629</v>
      </c>
      <c r="C654" s="41" t="s">
        <v>2630</v>
      </c>
      <c r="D654" s="39" t="s">
        <v>2300</v>
      </c>
      <c r="E654" s="42">
        <v>46129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4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70">
        <v>46248</v>
      </c>
      <c r="X654" s="30" t="s">
        <v>55</v>
      </c>
      <c r="Y654" s="30" t="s">
        <v>56</v>
      </c>
      <c r="Z654" s="30" t="s">
        <v>57</v>
      </c>
      <c r="AA654" s="30" t="s">
        <v>58</v>
      </c>
      <c r="AB654" s="30" t="s">
        <v>56</v>
      </c>
      <c r="AC654" s="27"/>
      <c r="AD654" s="31" t="s">
        <v>57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2631</v>
      </c>
      <c r="C655" s="25" t="s">
        <v>2632</v>
      </c>
      <c r="D655" s="23" t="s">
        <v>2300</v>
      </c>
      <c r="E655" s="42">
        <v>46132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4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70">
        <v>46248</v>
      </c>
      <c r="X655" s="30" t="s">
        <v>55</v>
      </c>
      <c r="Y655" s="30" t="s">
        <v>56</v>
      </c>
      <c r="Z655" s="30" t="s">
        <v>57</v>
      </c>
      <c r="AA655" s="30" t="s">
        <v>58</v>
      </c>
      <c r="AB655" s="30" t="s">
        <v>56</v>
      </c>
      <c r="AC655" s="27"/>
      <c r="AD655" s="31" t="s">
        <v>57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2633</v>
      </c>
      <c r="C656" s="41" t="s">
        <v>2634</v>
      </c>
      <c r="D656" s="39" t="s">
        <v>2300</v>
      </c>
      <c r="E656" s="42">
        <v>46132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4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70">
        <v>46248</v>
      </c>
      <c r="X656" s="30" t="s">
        <v>55</v>
      </c>
      <c r="Y656" s="30" t="s">
        <v>56</v>
      </c>
      <c r="Z656" s="30" t="s">
        <v>57</v>
      </c>
      <c r="AA656" s="30" t="s">
        <v>58</v>
      </c>
      <c r="AB656" s="30" t="s">
        <v>56</v>
      </c>
      <c r="AC656" s="27"/>
      <c r="AD656" s="31" t="s">
        <v>57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2635</v>
      </c>
      <c r="C657" s="25" t="s">
        <v>2636</v>
      </c>
      <c r="D657" s="23" t="s">
        <v>2300</v>
      </c>
      <c r="E657" s="42">
        <v>46132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4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70">
        <v>46248</v>
      </c>
      <c r="X657" s="30" t="s">
        <v>55</v>
      </c>
      <c r="Y657" s="30" t="s">
        <v>56</v>
      </c>
      <c r="Z657" s="30" t="s">
        <v>57</v>
      </c>
      <c r="AA657" s="30" t="s">
        <v>58</v>
      </c>
      <c r="AB657" s="30" t="s">
        <v>56</v>
      </c>
      <c r="AC657" s="27"/>
      <c r="AD657" s="31" t="s">
        <v>57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2637</v>
      </c>
      <c r="C658" s="41" t="s">
        <v>2638</v>
      </c>
      <c r="D658" s="39" t="s">
        <v>2300</v>
      </c>
      <c r="E658" s="42">
        <v>46132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4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70">
        <v>46248</v>
      </c>
      <c r="X658" s="30" t="s">
        <v>55</v>
      </c>
      <c r="Y658" s="30" t="s">
        <v>56</v>
      </c>
      <c r="Z658" s="30" t="s">
        <v>57</v>
      </c>
      <c r="AA658" s="30" t="s">
        <v>58</v>
      </c>
      <c r="AB658" s="30" t="s">
        <v>56</v>
      </c>
      <c r="AC658" s="27"/>
      <c r="AD658" s="31" t="s">
        <v>57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2639</v>
      </c>
      <c r="C659" s="25" t="s">
        <v>2640</v>
      </c>
      <c r="D659" s="23" t="s">
        <v>2300</v>
      </c>
      <c r="E659" s="4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4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70">
        <v>46248</v>
      </c>
      <c r="X659" s="30" t="s">
        <v>55</v>
      </c>
      <c r="Y659" s="30" t="s">
        <v>56</v>
      </c>
      <c r="Z659" s="30" t="s">
        <v>57</v>
      </c>
      <c r="AA659" s="30" t="s">
        <v>58</v>
      </c>
      <c r="AB659" s="30" t="s">
        <v>56</v>
      </c>
      <c r="AC659" s="27"/>
      <c r="AD659" s="31" t="s">
        <v>57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2641</v>
      </c>
      <c r="C660" s="41" t="s">
        <v>2642</v>
      </c>
      <c r="D660" s="39" t="s">
        <v>2300</v>
      </c>
      <c r="E660" s="4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4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70">
        <v>46248</v>
      </c>
      <c r="X660" s="30" t="s">
        <v>55</v>
      </c>
      <c r="Y660" s="30" t="s">
        <v>56</v>
      </c>
      <c r="Z660" s="30" t="s">
        <v>57</v>
      </c>
      <c r="AA660" s="30" t="s">
        <v>58</v>
      </c>
      <c r="AB660" s="30" t="s">
        <v>56</v>
      </c>
      <c r="AC660" s="27"/>
      <c r="AD660" s="31" t="s">
        <v>57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2643</v>
      </c>
      <c r="C661" s="25" t="s">
        <v>2644</v>
      </c>
      <c r="D661" s="23" t="s">
        <v>2300</v>
      </c>
      <c r="E661" s="42">
        <v>46132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4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70">
        <v>46248</v>
      </c>
      <c r="X661" s="30" t="s">
        <v>55</v>
      </c>
      <c r="Y661" s="30" t="s">
        <v>56</v>
      </c>
      <c r="Z661" s="30" t="s">
        <v>57</v>
      </c>
      <c r="AA661" s="30" t="s">
        <v>58</v>
      </c>
      <c r="AB661" s="30" t="s">
        <v>56</v>
      </c>
      <c r="AC661" s="27"/>
      <c r="AD661" s="31" t="s">
        <v>57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2645</v>
      </c>
      <c r="C662" s="41" t="s">
        <v>2646</v>
      </c>
      <c r="D662" s="39" t="s">
        <v>2300</v>
      </c>
      <c r="E662" s="42">
        <v>46132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4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70">
        <v>46248</v>
      </c>
      <c r="X662" s="30" t="s">
        <v>55</v>
      </c>
      <c r="Y662" s="30" t="s">
        <v>56</v>
      </c>
      <c r="Z662" s="30" t="s">
        <v>57</v>
      </c>
      <c r="AA662" s="30" t="s">
        <v>58</v>
      </c>
      <c r="AB662" s="30" t="s">
        <v>56</v>
      </c>
      <c r="AC662" s="27"/>
      <c r="AD662" s="31" t="s">
        <v>57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2647</v>
      </c>
      <c r="C663" s="25" t="s">
        <v>2648</v>
      </c>
      <c r="D663" s="23" t="s">
        <v>2300</v>
      </c>
      <c r="E663" s="4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4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70">
        <v>46248</v>
      </c>
      <c r="X663" s="30" t="s">
        <v>55</v>
      </c>
      <c r="Y663" s="30" t="s">
        <v>56</v>
      </c>
      <c r="Z663" s="30" t="s">
        <v>57</v>
      </c>
      <c r="AA663" s="30" t="s">
        <v>58</v>
      </c>
      <c r="AB663" s="30" t="s">
        <v>56</v>
      </c>
      <c r="AC663" s="27"/>
      <c r="AD663" s="31" t="s">
        <v>57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2649</v>
      </c>
      <c r="C664" s="41" t="s">
        <v>2650</v>
      </c>
      <c r="D664" s="39" t="s">
        <v>2300</v>
      </c>
      <c r="E664" s="4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4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70">
        <v>46248</v>
      </c>
      <c r="X664" s="30" t="s">
        <v>55</v>
      </c>
      <c r="Y664" s="30" t="s">
        <v>56</v>
      </c>
      <c r="Z664" s="30" t="s">
        <v>57</v>
      </c>
      <c r="AA664" s="30" t="s">
        <v>58</v>
      </c>
      <c r="AB664" s="30" t="s">
        <v>56</v>
      </c>
      <c r="AC664" s="27"/>
      <c r="AD664" s="31" t="s">
        <v>57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2651</v>
      </c>
      <c r="C665" s="25" t="s">
        <v>2652</v>
      </c>
      <c r="D665" s="23" t="s">
        <v>2300</v>
      </c>
      <c r="E665" s="4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4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70">
        <v>46248</v>
      </c>
      <c r="X665" s="30" t="s">
        <v>55</v>
      </c>
      <c r="Y665" s="30" t="s">
        <v>56</v>
      </c>
      <c r="Z665" s="30" t="s">
        <v>57</v>
      </c>
      <c r="AA665" s="30" t="s">
        <v>58</v>
      </c>
      <c r="AB665" s="30" t="s">
        <v>56</v>
      </c>
      <c r="AC665" s="27"/>
      <c r="AD665" s="31" t="s">
        <v>57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2653</v>
      </c>
      <c r="C666" s="41" t="s">
        <v>2654</v>
      </c>
      <c r="D666" s="39" t="s">
        <v>2300</v>
      </c>
      <c r="E666" s="4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4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70">
        <v>46248</v>
      </c>
      <c r="X666" s="30" t="s">
        <v>55</v>
      </c>
      <c r="Y666" s="30" t="s">
        <v>56</v>
      </c>
      <c r="Z666" s="30" t="s">
        <v>57</v>
      </c>
      <c r="AA666" s="30" t="s">
        <v>58</v>
      </c>
      <c r="AB666" s="30" t="s">
        <v>56</v>
      </c>
      <c r="AC666" s="27"/>
      <c r="AD666" s="31" t="s">
        <v>57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2655</v>
      </c>
      <c r="C667" s="25" t="s">
        <v>2656</v>
      </c>
      <c r="D667" s="23" t="s">
        <v>2300</v>
      </c>
      <c r="E667" s="4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4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70">
        <v>46248</v>
      </c>
      <c r="X667" s="30" t="s">
        <v>55</v>
      </c>
      <c r="Y667" s="30" t="s">
        <v>56</v>
      </c>
      <c r="Z667" s="30" t="s">
        <v>57</v>
      </c>
      <c r="AA667" s="30" t="s">
        <v>58</v>
      </c>
      <c r="AB667" s="30" t="s">
        <v>56</v>
      </c>
      <c r="AC667" s="27"/>
      <c r="AD667" s="31" t="s">
        <v>57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2657</v>
      </c>
      <c r="C668" s="41" t="s">
        <v>2658</v>
      </c>
      <c r="D668" s="39" t="s">
        <v>2300</v>
      </c>
      <c r="E668" s="42">
        <v>46129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4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70">
        <v>46248</v>
      </c>
      <c r="X668" s="30" t="s">
        <v>55</v>
      </c>
      <c r="Y668" s="30" t="s">
        <v>56</v>
      </c>
      <c r="Z668" s="30" t="s">
        <v>57</v>
      </c>
      <c r="AA668" s="30" t="s">
        <v>58</v>
      </c>
      <c r="AB668" s="30" t="s">
        <v>56</v>
      </c>
      <c r="AC668" s="27"/>
      <c r="AD668" s="31" t="s">
        <v>57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2659</v>
      </c>
      <c r="C669" s="25" t="s">
        <v>2660</v>
      </c>
      <c r="D669" s="23" t="s">
        <v>2300</v>
      </c>
      <c r="E669" s="42">
        <v>46129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4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70">
        <v>46248</v>
      </c>
      <c r="X669" s="30" t="s">
        <v>55</v>
      </c>
      <c r="Y669" s="30" t="s">
        <v>56</v>
      </c>
      <c r="Z669" s="30" t="s">
        <v>57</v>
      </c>
      <c r="AA669" s="30" t="s">
        <v>58</v>
      </c>
      <c r="AB669" s="30" t="s">
        <v>56</v>
      </c>
      <c r="AC669" s="27"/>
      <c r="AD669" s="31" t="s">
        <v>57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2661</v>
      </c>
      <c r="C670" s="41" t="s">
        <v>2662</v>
      </c>
      <c r="D670" s="39" t="s">
        <v>2300</v>
      </c>
      <c r="E670" s="42">
        <v>46129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4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70">
        <v>46248</v>
      </c>
      <c r="X670" s="30" t="s">
        <v>55</v>
      </c>
      <c r="Y670" s="30" t="s">
        <v>56</v>
      </c>
      <c r="Z670" s="30" t="s">
        <v>57</v>
      </c>
      <c r="AA670" s="30" t="s">
        <v>58</v>
      </c>
      <c r="AB670" s="30" t="s">
        <v>56</v>
      </c>
      <c r="AC670" s="27"/>
      <c r="AD670" s="31" t="s">
        <v>57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2663</v>
      </c>
      <c r="C671" s="25" t="s">
        <v>2664</v>
      </c>
      <c r="D671" s="23" t="s">
        <v>2300</v>
      </c>
      <c r="E671" s="42">
        <v>46129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4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70">
        <v>46248</v>
      </c>
      <c r="X671" s="30" t="s">
        <v>55</v>
      </c>
      <c r="Y671" s="30" t="s">
        <v>56</v>
      </c>
      <c r="Z671" s="30" t="s">
        <v>57</v>
      </c>
      <c r="AA671" s="30" t="s">
        <v>58</v>
      </c>
      <c r="AB671" s="30" t="s">
        <v>56</v>
      </c>
      <c r="AC671" s="27"/>
      <c r="AD671" s="31" t="s">
        <v>57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2665</v>
      </c>
      <c r="C672" s="41" t="s">
        <v>2666</v>
      </c>
      <c r="D672" s="39" t="s">
        <v>2300</v>
      </c>
      <c r="E672" s="42">
        <v>46132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4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70">
        <v>46248</v>
      </c>
      <c r="X672" s="30" t="s">
        <v>55</v>
      </c>
      <c r="Y672" s="30" t="s">
        <v>56</v>
      </c>
      <c r="Z672" s="30" t="s">
        <v>57</v>
      </c>
      <c r="AA672" s="30" t="s">
        <v>58</v>
      </c>
      <c r="AB672" s="30" t="s">
        <v>56</v>
      </c>
      <c r="AC672" s="27"/>
      <c r="AD672" s="31" t="s">
        <v>57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2667</v>
      </c>
      <c r="C673" s="25" t="s">
        <v>2668</v>
      </c>
      <c r="D673" s="23" t="s">
        <v>2300</v>
      </c>
      <c r="E673" s="42">
        <v>46132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4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70">
        <v>46248</v>
      </c>
      <c r="X673" s="30" t="s">
        <v>55</v>
      </c>
      <c r="Y673" s="30" t="s">
        <v>56</v>
      </c>
      <c r="Z673" s="30" t="s">
        <v>57</v>
      </c>
      <c r="AA673" s="30" t="s">
        <v>58</v>
      </c>
      <c r="AB673" s="30" t="s">
        <v>56</v>
      </c>
      <c r="AC673" s="27"/>
      <c r="AD673" s="31" t="s">
        <v>57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2669</v>
      </c>
      <c r="C674" s="41" t="s">
        <v>2670</v>
      </c>
      <c r="D674" s="39" t="s">
        <v>2300</v>
      </c>
      <c r="E674" s="4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4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70">
        <v>46248</v>
      </c>
      <c r="X674" s="30" t="s">
        <v>55</v>
      </c>
      <c r="Y674" s="30" t="s">
        <v>56</v>
      </c>
      <c r="Z674" s="30" t="s">
        <v>57</v>
      </c>
      <c r="AA674" s="30" t="s">
        <v>58</v>
      </c>
      <c r="AB674" s="30" t="s">
        <v>56</v>
      </c>
      <c r="AC674" s="27"/>
      <c r="AD674" s="31" t="s">
        <v>57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2671</v>
      </c>
      <c r="C675" s="25" t="s">
        <v>2672</v>
      </c>
      <c r="D675" s="23" t="s">
        <v>2300</v>
      </c>
      <c r="E675" s="4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4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70">
        <v>46248</v>
      </c>
      <c r="X675" s="30" t="s">
        <v>55</v>
      </c>
      <c r="Y675" s="30" t="s">
        <v>56</v>
      </c>
      <c r="Z675" s="30" t="s">
        <v>57</v>
      </c>
      <c r="AA675" s="30" t="s">
        <v>58</v>
      </c>
      <c r="AB675" s="30" t="s">
        <v>56</v>
      </c>
      <c r="AC675" s="27"/>
      <c r="AD675" s="31" t="s">
        <v>57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2673</v>
      </c>
      <c r="C676" s="41" t="s">
        <v>2674</v>
      </c>
      <c r="D676" s="39" t="s">
        <v>2300</v>
      </c>
      <c r="E676" s="42">
        <v>46132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4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70">
        <v>46248</v>
      </c>
      <c r="X676" s="30" t="s">
        <v>55</v>
      </c>
      <c r="Y676" s="30" t="s">
        <v>56</v>
      </c>
      <c r="Z676" s="30" t="s">
        <v>57</v>
      </c>
      <c r="AA676" s="30" t="s">
        <v>58</v>
      </c>
      <c r="AB676" s="30" t="s">
        <v>56</v>
      </c>
      <c r="AC676" s="27"/>
      <c r="AD676" s="31" t="s">
        <v>57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2675</v>
      </c>
      <c r="C677" s="25" t="s">
        <v>2676</v>
      </c>
      <c r="D677" s="23" t="s">
        <v>2300</v>
      </c>
      <c r="E677" s="42">
        <v>46132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4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70">
        <v>46248</v>
      </c>
      <c r="X677" s="30" t="s">
        <v>55</v>
      </c>
      <c r="Y677" s="30" t="s">
        <v>56</v>
      </c>
      <c r="Z677" s="30" t="s">
        <v>57</v>
      </c>
      <c r="AA677" s="30" t="s">
        <v>58</v>
      </c>
      <c r="AB677" s="30" t="s">
        <v>56</v>
      </c>
      <c r="AC677" s="27"/>
      <c r="AD677" s="31" t="s">
        <v>57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2677</v>
      </c>
      <c r="C678" s="41" t="s">
        <v>2678</v>
      </c>
      <c r="D678" s="39" t="s">
        <v>2300</v>
      </c>
      <c r="E678" s="42">
        <v>46129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4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70">
        <v>46248</v>
      </c>
      <c r="X678" s="30" t="s">
        <v>55</v>
      </c>
      <c r="Y678" s="30" t="s">
        <v>56</v>
      </c>
      <c r="Z678" s="30" t="s">
        <v>57</v>
      </c>
      <c r="AA678" s="30" t="s">
        <v>58</v>
      </c>
      <c r="AB678" s="30" t="s">
        <v>56</v>
      </c>
      <c r="AC678" s="27"/>
      <c r="AD678" s="31" t="s">
        <v>57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2679</v>
      </c>
      <c r="C679" s="25" t="s">
        <v>2680</v>
      </c>
      <c r="D679" s="23" t="s">
        <v>2300</v>
      </c>
      <c r="E679" s="42">
        <v>46129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4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70">
        <v>46248</v>
      </c>
      <c r="X679" s="30" t="s">
        <v>55</v>
      </c>
      <c r="Y679" s="30" t="s">
        <v>56</v>
      </c>
      <c r="Z679" s="30" t="s">
        <v>57</v>
      </c>
      <c r="AA679" s="30" t="s">
        <v>58</v>
      </c>
      <c r="AB679" s="30" t="s">
        <v>56</v>
      </c>
      <c r="AC679" s="27"/>
      <c r="AD679" s="31" t="s">
        <v>57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2681</v>
      </c>
      <c r="C680" s="41" t="s">
        <v>2682</v>
      </c>
      <c r="D680" s="39" t="s">
        <v>2300</v>
      </c>
      <c r="E680" s="42">
        <v>46132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4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70">
        <v>46248</v>
      </c>
      <c r="X680" s="30" t="s">
        <v>55</v>
      </c>
      <c r="Y680" s="30" t="s">
        <v>56</v>
      </c>
      <c r="Z680" s="30" t="s">
        <v>57</v>
      </c>
      <c r="AA680" s="30" t="s">
        <v>58</v>
      </c>
      <c r="AB680" s="30" t="s">
        <v>56</v>
      </c>
      <c r="AC680" s="27"/>
      <c r="AD680" s="31" t="s">
        <v>57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2683</v>
      </c>
      <c r="C681" s="25" t="s">
        <v>2684</v>
      </c>
      <c r="D681" s="23" t="s">
        <v>2300</v>
      </c>
      <c r="E681" s="42">
        <v>46132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4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70">
        <v>46248</v>
      </c>
      <c r="X681" s="30" t="s">
        <v>55</v>
      </c>
      <c r="Y681" s="30" t="s">
        <v>56</v>
      </c>
      <c r="Z681" s="30" t="s">
        <v>57</v>
      </c>
      <c r="AA681" s="30" t="s">
        <v>58</v>
      </c>
      <c r="AB681" s="30" t="s">
        <v>56</v>
      </c>
      <c r="AC681" s="27"/>
      <c r="AD681" s="31" t="s">
        <v>57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2685</v>
      </c>
      <c r="C682" s="41" t="s">
        <v>2686</v>
      </c>
      <c r="D682" s="39" t="s">
        <v>2300</v>
      </c>
      <c r="E682" s="42">
        <v>46132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4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70">
        <v>46248</v>
      </c>
      <c r="X682" s="30" t="s">
        <v>55</v>
      </c>
      <c r="Y682" s="30" t="s">
        <v>56</v>
      </c>
      <c r="Z682" s="30" t="s">
        <v>57</v>
      </c>
      <c r="AA682" s="30" t="s">
        <v>58</v>
      </c>
      <c r="AB682" s="30" t="s">
        <v>56</v>
      </c>
      <c r="AC682" s="27"/>
      <c r="AD682" s="31" t="s">
        <v>57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2687</v>
      </c>
      <c r="C683" s="25" t="s">
        <v>2688</v>
      </c>
      <c r="D683" s="23" t="s">
        <v>2300</v>
      </c>
      <c r="E683" s="42">
        <v>46132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4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70">
        <v>46248</v>
      </c>
      <c r="X683" s="30" t="s">
        <v>55</v>
      </c>
      <c r="Y683" s="30" t="s">
        <v>56</v>
      </c>
      <c r="Z683" s="30" t="s">
        <v>57</v>
      </c>
      <c r="AA683" s="30" t="s">
        <v>58</v>
      </c>
      <c r="AB683" s="30" t="s">
        <v>56</v>
      </c>
      <c r="AC683" s="27"/>
      <c r="AD683" s="31" t="s">
        <v>57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2689</v>
      </c>
      <c r="C684" s="41" t="s">
        <v>2690</v>
      </c>
      <c r="D684" s="39" t="s">
        <v>2300</v>
      </c>
      <c r="E684" s="4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4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70">
        <v>46248</v>
      </c>
      <c r="X684" s="30" t="s">
        <v>55</v>
      </c>
      <c r="Y684" s="30" t="s">
        <v>56</v>
      </c>
      <c r="Z684" s="30" t="s">
        <v>57</v>
      </c>
      <c r="AA684" s="30" t="s">
        <v>58</v>
      </c>
      <c r="AB684" s="30" t="s">
        <v>56</v>
      </c>
      <c r="AC684" s="27"/>
      <c r="AD684" s="31" t="s">
        <v>57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2691</v>
      </c>
      <c r="C685" s="25" t="s">
        <v>2692</v>
      </c>
      <c r="D685" s="23" t="s">
        <v>2300</v>
      </c>
      <c r="E685" s="42">
        <v>46132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4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70">
        <v>46248</v>
      </c>
      <c r="X685" s="30" t="s">
        <v>55</v>
      </c>
      <c r="Y685" s="30" t="s">
        <v>56</v>
      </c>
      <c r="Z685" s="30" t="s">
        <v>57</v>
      </c>
      <c r="AA685" s="30" t="s">
        <v>58</v>
      </c>
      <c r="AB685" s="30" t="s">
        <v>56</v>
      </c>
      <c r="AC685" s="27"/>
      <c r="AD685" s="31" t="s">
        <v>57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2693</v>
      </c>
      <c r="C686" s="41" t="s">
        <v>2694</v>
      </c>
      <c r="D686" s="39" t="s">
        <v>2300</v>
      </c>
      <c r="E686" s="42">
        <v>46132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4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70">
        <v>46248</v>
      </c>
      <c r="X686" s="30" t="s">
        <v>55</v>
      </c>
      <c r="Y686" s="30" t="s">
        <v>56</v>
      </c>
      <c r="Z686" s="30" t="s">
        <v>57</v>
      </c>
      <c r="AA686" s="30" t="s">
        <v>58</v>
      </c>
      <c r="AB686" s="30" t="s">
        <v>56</v>
      </c>
      <c r="AC686" s="27"/>
      <c r="AD686" s="31" t="s">
        <v>57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2695</v>
      </c>
      <c r="C687" s="25" t="s">
        <v>2696</v>
      </c>
      <c r="D687" s="23" t="s">
        <v>2300</v>
      </c>
      <c r="E687" s="42">
        <v>46132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4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70">
        <v>46248</v>
      </c>
      <c r="X687" s="30" t="s">
        <v>55</v>
      </c>
      <c r="Y687" s="30" t="s">
        <v>56</v>
      </c>
      <c r="Z687" s="30" t="s">
        <v>57</v>
      </c>
      <c r="AA687" s="30" t="s">
        <v>58</v>
      </c>
      <c r="AB687" s="30" t="s">
        <v>56</v>
      </c>
      <c r="AC687" s="27"/>
      <c r="AD687" s="31" t="s">
        <v>57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2697</v>
      </c>
      <c r="C688" s="41" t="s">
        <v>2698</v>
      </c>
      <c r="D688" s="39" t="s">
        <v>2300</v>
      </c>
      <c r="E688" s="42">
        <v>46132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4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70">
        <v>46248</v>
      </c>
      <c r="X688" s="30" t="s">
        <v>55</v>
      </c>
      <c r="Y688" s="30" t="s">
        <v>56</v>
      </c>
      <c r="Z688" s="30" t="s">
        <v>57</v>
      </c>
      <c r="AA688" s="30" t="s">
        <v>58</v>
      </c>
      <c r="AB688" s="30" t="s">
        <v>56</v>
      </c>
      <c r="AC688" s="27"/>
      <c r="AD688" s="31" t="s">
        <v>57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2699</v>
      </c>
      <c r="C689" s="25" t="s">
        <v>2700</v>
      </c>
      <c r="D689" s="23" t="s">
        <v>2300</v>
      </c>
      <c r="E689" s="42">
        <v>46129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4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70">
        <v>46248</v>
      </c>
      <c r="X689" s="30" t="s">
        <v>55</v>
      </c>
      <c r="Y689" s="30" t="s">
        <v>56</v>
      </c>
      <c r="Z689" s="30" t="s">
        <v>57</v>
      </c>
      <c r="AA689" s="30" t="s">
        <v>58</v>
      </c>
      <c r="AB689" s="30" t="s">
        <v>56</v>
      </c>
      <c r="AC689" s="27"/>
      <c r="AD689" s="31" t="s">
        <v>57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2701</v>
      </c>
      <c r="C690" s="41" t="s">
        <v>2702</v>
      </c>
      <c r="D690" s="39" t="s">
        <v>2300</v>
      </c>
      <c r="E690" s="42">
        <v>46129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4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70">
        <v>46248</v>
      </c>
      <c r="X690" s="30" t="s">
        <v>55</v>
      </c>
      <c r="Y690" s="30" t="s">
        <v>56</v>
      </c>
      <c r="Z690" s="30" t="s">
        <v>57</v>
      </c>
      <c r="AA690" s="30" t="s">
        <v>58</v>
      </c>
      <c r="AB690" s="30" t="s">
        <v>56</v>
      </c>
      <c r="AC690" s="27"/>
      <c r="AD690" s="31" t="s">
        <v>57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2703</v>
      </c>
      <c r="C691" s="25" t="s">
        <v>2704</v>
      </c>
      <c r="D691" s="23" t="s">
        <v>2300</v>
      </c>
      <c r="E691" s="42">
        <v>46129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4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70">
        <v>46248</v>
      </c>
      <c r="X691" s="30" t="s">
        <v>55</v>
      </c>
      <c r="Y691" s="30" t="s">
        <v>56</v>
      </c>
      <c r="Z691" s="30" t="s">
        <v>57</v>
      </c>
      <c r="AA691" s="30" t="s">
        <v>58</v>
      </c>
      <c r="AB691" s="30" t="s">
        <v>56</v>
      </c>
      <c r="AC691" s="27"/>
      <c r="AD691" s="31" t="s">
        <v>57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2705</v>
      </c>
      <c r="C692" s="41" t="s">
        <v>2706</v>
      </c>
      <c r="D692" s="39" t="s">
        <v>2300</v>
      </c>
      <c r="E692" s="42">
        <v>46129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4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70">
        <v>46248</v>
      </c>
      <c r="X692" s="30" t="s">
        <v>55</v>
      </c>
      <c r="Y692" s="30" t="s">
        <v>56</v>
      </c>
      <c r="Z692" s="30" t="s">
        <v>57</v>
      </c>
      <c r="AA692" s="30" t="s">
        <v>58</v>
      </c>
      <c r="AB692" s="30" t="s">
        <v>56</v>
      </c>
      <c r="AC692" s="27"/>
      <c r="AD692" s="31" t="s">
        <v>57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2707</v>
      </c>
      <c r="C693" s="25" t="s">
        <v>2708</v>
      </c>
      <c r="D693" s="23" t="s">
        <v>2300</v>
      </c>
      <c r="E693" s="42">
        <v>46132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4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70">
        <v>46248</v>
      </c>
      <c r="X693" s="30" t="s">
        <v>55</v>
      </c>
      <c r="Y693" s="30" t="s">
        <v>56</v>
      </c>
      <c r="Z693" s="30" t="s">
        <v>57</v>
      </c>
      <c r="AA693" s="30" t="s">
        <v>58</v>
      </c>
      <c r="AB693" s="30" t="s">
        <v>56</v>
      </c>
      <c r="AC693" s="27"/>
      <c r="AD693" s="31" t="s">
        <v>57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2709</v>
      </c>
      <c r="C694" s="41" t="s">
        <v>2710</v>
      </c>
      <c r="D694" s="39" t="s">
        <v>2300</v>
      </c>
      <c r="E694" s="42">
        <v>46132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4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70">
        <v>46248</v>
      </c>
      <c r="X694" s="30" t="s">
        <v>55</v>
      </c>
      <c r="Y694" s="30" t="s">
        <v>56</v>
      </c>
      <c r="Z694" s="30" t="s">
        <v>57</v>
      </c>
      <c r="AA694" s="30" t="s">
        <v>58</v>
      </c>
      <c r="AB694" s="30" t="s">
        <v>56</v>
      </c>
      <c r="AC694" s="27"/>
      <c r="AD694" s="31" t="s">
        <v>57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2711</v>
      </c>
      <c r="C695" s="25" t="s">
        <v>2712</v>
      </c>
      <c r="D695" s="23" t="s">
        <v>2300</v>
      </c>
      <c r="E695" s="42">
        <v>46129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4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70">
        <v>46248</v>
      </c>
      <c r="X695" s="30" t="s">
        <v>55</v>
      </c>
      <c r="Y695" s="30" t="s">
        <v>56</v>
      </c>
      <c r="Z695" s="30" t="s">
        <v>57</v>
      </c>
      <c r="AA695" s="30" t="s">
        <v>58</v>
      </c>
      <c r="AB695" s="30" t="s">
        <v>56</v>
      </c>
      <c r="AC695" s="27"/>
      <c r="AD695" s="31" t="s">
        <v>57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2713</v>
      </c>
      <c r="C696" s="41" t="s">
        <v>2714</v>
      </c>
      <c r="D696" s="39" t="s">
        <v>2300</v>
      </c>
      <c r="E696" s="42">
        <v>46129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4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70">
        <v>46248</v>
      </c>
      <c r="X696" s="30" t="s">
        <v>55</v>
      </c>
      <c r="Y696" s="30" t="s">
        <v>56</v>
      </c>
      <c r="Z696" s="30" t="s">
        <v>57</v>
      </c>
      <c r="AA696" s="30" t="s">
        <v>58</v>
      </c>
      <c r="AB696" s="30" t="s">
        <v>56</v>
      </c>
      <c r="AC696" s="27"/>
      <c r="AD696" s="31" t="s">
        <v>57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2715</v>
      </c>
      <c r="C697" s="25" t="s">
        <v>2716</v>
      </c>
      <c r="D697" s="23" t="s">
        <v>2300</v>
      </c>
      <c r="E697" s="42">
        <v>46132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4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70">
        <v>46248</v>
      </c>
      <c r="X697" s="30" t="s">
        <v>55</v>
      </c>
      <c r="Y697" s="30" t="s">
        <v>56</v>
      </c>
      <c r="Z697" s="30" t="s">
        <v>57</v>
      </c>
      <c r="AA697" s="30" t="s">
        <v>58</v>
      </c>
      <c r="AB697" s="30" t="s">
        <v>56</v>
      </c>
      <c r="AC697" s="27"/>
      <c r="AD697" s="31" t="s">
        <v>57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2717</v>
      </c>
      <c r="C698" s="41" t="s">
        <v>2718</v>
      </c>
      <c r="D698" s="39" t="s">
        <v>2300</v>
      </c>
      <c r="E698" s="42">
        <v>46132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4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70">
        <v>46248</v>
      </c>
      <c r="X698" s="30" t="s">
        <v>55</v>
      </c>
      <c r="Y698" s="30" t="s">
        <v>56</v>
      </c>
      <c r="Z698" s="30" t="s">
        <v>57</v>
      </c>
      <c r="AA698" s="30" t="s">
        <v>58</v>
      </c>
      <c r="AB698" s="30" t="s">
        <v>56</v>
      </c>
      <c r="AC698" s="27"/>
      <c r="AD698" s="31" t="s">
        <v>57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2719</v>
      </c>
      <c r="C699" s="25" t="s">
        <v>2720</v>
      </c>
      <c r="D699" s="23" t="s">
        <v>2300</v>
      </c>
      <c r="E699" s="42">
        <v>46132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4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70">
        <v>46248</v>
      </c>
      <c r="X699" s="30" t="s">
        <v>55</v>
      </c>
      <c r="Y699" s="30" t="s">
        <v>56</v>
      </c>
      <c r="Z699" s="30" t="s">
        <v>57</v>
      </c>
      <c r="AA699" s="30" t="s">
        <v>58</v>
      </c>
      <c r="AB699" s="30" t="s">
        <v>56</v>
      </c>
      <c r="AC699" s="27"/>
      <c r="AD699" s="31" t="s">
        <v>57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2721</v>
      </c>
      <c r="C700" s="41" t="s">
        <v>2722</v>
      </c>
      <c r="D700" s="39" t="s">
        <v>2300</v>
      </c>
      <c r="E700" s="42">
        <v>46132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4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70">
        <v>46248</v>
      </c>
      <c r="X700" s="30" t="s">
        <v>55</v>
      </c>
      <c r="Y700" s="30" t="s">
        <v>56</v>
      </c>
      <c r="Z700" s="30" t="s">
        <v>57</v>
      </c>
      <c r="AA700" s="30" t="s">
        <v>58</v>
      </c>
      <c r="AB700" s="30" t="s">
        <v>56</v>
      </c>
      <c r="AC700" s="27"/>
      <c r="AD700" s="31" t="s">
        <v>57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2723</v>
      </c>
      <c r="C701" s="25" t="s">
        <v>2724</v>
      </c>
      <c r="D701" s="23" t="s">
        <v>2300</v>
      </c>
      <c r="E701" s="42">
        <v>46129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4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70">
        <v>46248</v>
      </c>
      <c r="X701" s="30" t="s">
        <v>55</v>
      </c>
      <c r="Y701" s="30" t="s">
        <v>56</v>
      </c>
      <c r="Z701" s="30" t="s">
        <v>57</v>
      </c>
      <c r="AA701" s="30" t="s">
        <v>58</v>
      </c>
      <c r="AB701" s="30" t="s">
        <v>56</v>
      </c>
      <c r="AC701" s="27"/>
      <c r="AD701" s="31" t="s">
        <v>57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2725</v>
      </c>
      <c r="C702" s="41" t="s">
        <v>2726</v>
      </c>
      <c r="D702" s="39" t="s">
        <v>2300</v>
      </c>
      <c r="E702" s="42">
        <v>46129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4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70">
        <v>46248</v>
      </c>
      <c r="X702" s="30" t="s">
        <v>55</v>
      </c>
      <c r="Y702" s="30" t="s">
        <v>56</v>
      </c>
      <c r="Z702" s="30" t="s">
        <v>57</v>
      </c>
      <c r="AA702" s="30" t="s">
        <v>58</v>
      </c>
      <c r="AB702" s="30" t="s">
        <v>56</v>
      </c>
      <c r="AC702" s="27"/>
      <c r="AD702" s="31" t="s">
        <v>57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2727</v>
      </c>
      <c r="C703" s="25" t="s">
        <v>2728</v>
      </c>
      <c r="D703" s="23" t="s">
        <v>2300</v>
      </c>
      <c r="E703" s="42">
        <v>46129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4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70">
        <v>46248</v>
      </c>
      <c r="X703" s="30" t="s">
        <v>55</v>
      </c>
      <c r="Y703" s="30" t="s">
        <v>56</v>
      </c>
      <c r="Z703" s="30" t="s">
        <v>57</v>
      </c>
      <c r="AA703" s="30" t="s">
        <v>58</v>
      </c>
      <c r="AB703" s="30" t="s">
        <v>56</v>
      </c>
      <c r="AC703" s="27"/>
      <c r="AD703" s="31" t="s">
        <v>57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2729</v>
      </c>
      <c r="C704" s="41" t="s">
        <v>2730</v>
      </c>
      <c r="D704" s="39" t="s">
        <v>2300</v>
      </c>
      <c r="E704" s="42">
        <v>46129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4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70">
        <v>46248</v>
      </c>
      <c r="X704" s="30" t="s">
        <v>55</v>
      </c>
      <c r="Y704" s="30" t="s">
        <v>56</v>
      </c>
      <c r="Z704" s="30" t="s">
        <v>57</v>
      </c>
      <c r="AA704" s="30" t="s">
        <v>58</v>
      </c>
      <c r="AB704" s="30" t="s">
        <v>56</v>
      </c>
      <c r="AC704" s="27"/>
      <c r="AD704" s="31" t="s">
        <v>57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2731</v>
      </c>
      <c r="C705" s="25" t="s">
        <v>2732</v>
      </c>
      <c r="D705" s="23" t="s">
        <v>2300</v>
      </c>
      <c r="E705" s="42">
        <v>46129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4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70">
        <v>46248</v>
      </c>
      <c r="X705" s="30" t="s">
        <v>55</v>
      </c>
      <c r="Y705" s="30" t="s">
        <v>56</v>
      </c>
      <c r="Z705" s="30" t="s">
        <v>57</v>
      </c>
      <c r="AA705" s="30" t="s">
        <v>58</v>
      </c>
      <c r="AB705" s="30" t="s">
        <v>56</v>
      </c>
      <c r="AC705" s="27"/>
      <c r="AD705" s="31" t="s">
        <v>57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2733</v>
      </c>
      <c r="C706" s="41" t="s">
        <v>2734</v>
      </c>
      <c r="D706" s="39" t="s">
        <v>2300</v>
      </c>
      <c r="E706" s="42">
        <v>46129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4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70">
        <v>46248</v>
      </c>
      <c r="X706" s="30" t="s">
        <v>55</v>
      </c>
      <c r="Y706" s="30" t="s">
        <v>56</v>
      </c>
      <c r="Z706" s="30" t="s">
        <v>57</v>
      </c>
      <c r="AA706" s="30" t="s">
        <v>58</v>
      </c>
      <c r="AB706" s="30" t="s">
        <v>56</v>
      </c>
      <c r="AC706" s="27"/>
      <c r="AD706" s="31" t="s">
        <v>57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2735</v>
      </c>
      <c r="C707" s="25" t="s">
        <v>2736</v>
      </c>
      <c r="D707" s="23" t="s">
        <v>2300</v>
      </c>
      <c r="E707" s="42">
        <v>46129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4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70">
        <v>46248</v>
      </c>
      <c r="X707" s="30" t="s">
        <v>55</v>
      </c>
      <c r="Y707" s="30" t="s">
        <v>56</v>
      </c>
      <c r="Z707" s="30" t="s">
        <v>57</v>
      </c>
      <c r="AA707" s="30" t="s">
        <v>58</v>
      </c>
      <c r="AB707" s="30" t="s">
        <v>56</v>
      </c>
      <c r="AC707" s="27"/>
      <c r="AD707" s="31" t="s">
        <v>57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2737</v>
      </c>
      <c r="C708" s="41" t="s">
        <v>2738</v>
      </c>
      <c r="D708" s="39" t="s">
        <v>2300</v>
      </c>
      <c r="E708" s="42">
        <v>46129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4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70">
        <v>46248</v>
      </c>
      <c r="X708" s="30" t="s">
        <v>55</v>
      </c>
      <c r="Y708" s="30" t="s">
        <v>56</v>
      </c>
      <c r="Z708" s="30" t="s">
        <v>57</v>
      </c>
      <c r="AA708" s="30" t="s">
        <v>58</v>
      </c>
      <c r="AB708" s="30" t="s">
        <v>56</v>
      </c>
      <c r="AC708" s="27"/>
      <c r="AD708" s="31" t="s">
        <v>57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2739</v>
      </c>
      <c r="C709" s="25" t="s">
        <v>2740</v>
      </c>
      <c r="D709" s="23" t="s">
        <v>2300</v>
      </c>
      <c r="E709" s="4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4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70">
        <v>46248</v>
      </c>
      <c r="X709" s="30" t="s">
        <v>55</v>
      </c>
      <c r="Y709" s="30" t="s">
        <v>56</v>
      </c>
      <c r="Z709" s="30" t="s">
        <v>57</v>
      </c>
      <c r="AA709" s="30" t="s">
        <v>58</v>
      </c>
      <c r="AB709" s="30" t="s">
        <v>56</v>
      </c>
      <c r="AC709" s="27"/>
      <c r="AD709" s="31" t="s">
        <v>57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2741</v>
      </c>
      <c r="C710" s="41" t="s">
        <v>2742</v>
      </c>
      <c r="D710" s="39" t="s">
        <v>2300</v>
      </c>
      <c r="E710" s="4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4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70">
        <v>46248</v>
      </c>
      <c r="X710" s="30" t="s">
        <v>55</v>
      </c>
      <c r="Y710" s="30" t="s">
        <v>56</v>
      </c>
      <c r="Z710" s="30" t="s">
        <v>57</v>
      </c>
      <c r="AA710" s="30" t="s">
        <v>58</v>
      </c>
      <c r="AB710" s="30" t="s">
        <v>56</v>
      </c>
      <c r="AC710" s="27"/>
      <c r="AD710" s="31" t="s">
        <v>57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2743</v>
      </c>
      <c r="C711" s="25" t="s">
        <v>2744</v>
      </c>
      <c r="D711" s="23" t="s">
        <v>2300</v>
      </c>
      <c r="E711" s="42">
        <v>46132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4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70">
        <v>46248</v>
      </c>
      <c r="X711" s="30" t="s">
        <v>55</v>
      </c>
      <c r="Y711" s="30" t="s">
        <v>56</v>
      </c>
      <c r="Z711" s="30" t="s">
        <v>57</v>
      </c>
      <c r="AA711" s="30" t="s">
        <v>58</v>
      </c>
      <c r="AB711" s="30" t="s">
        <v>56</v>
      </c>
      <c r="AC711" s="27"/>
      <c r="AD711" s="31" t="s">
        <v>57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2745</v>
      </c>
      <c r="C712" s="41" t="s">
        <v>2746</v>
      </c>
      <c r="D712" s="39" t="s">
        <v>2300</v>
      </c>
      <c r="E712" s="42">
        <v>46132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4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70">
        <v>46248</v>
      </c>
      <c r="X712" s="30" t="s">
        <v>55</v>
      </c>
      <c r="Y712" s="30" t="s">
        <v>56</v>
      </c>
      <c r="Z712" s="30" t="s">
        <v>57</v>
      </c>
      <c r="AA712" s="30" t="s">
        <v>58</v>
      </c>
      <c r="AB712" s="30" t="s">
        <v>56</v>
      </c>
      <c r="AC712" s="27"/>
      <c r="AD712" s="31" t="s">
        <v>57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2747</v>
      </c>
      <c r="C713" s="25" t="s">
        <v>2748</v>
      </c>
      <c r="D713" s="23" t="s">
        <v>2300</v>
      </c>
      <c r="E713" s="42">
        <v>46129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4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70">
        <v>46248</v>
      </c>
      <c r="X713" s="30" t="s">
        <v>55</v>
      </c>
      <c r="Y713" s="30" t="s">
        <v>56</v>
      </c>
      <c r="Z713" s="30" t="s">
        <v>57</v>
      </c>
      <c r="AA713" s="30" t="s">
        <v>58</v>
      </c>
      <c r="AB713" s="30" t="s">
        <v>56</v>
      </c>
      <c r="AC713" s="27"/>
      <c r="AD713" s="31" t="s">
        <v>57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2749</v>
      </c>
      <c r="C714" s="41" t="s">
        <v>2750</v>
      </c>
      <c r="D714" s="39" t="s">
        <v>2300</v>
      </c>
      <c r="E714" s="42">
        <v>46129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4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70">
        <v>46248</v>
      </c>
      <c r="X714" s="30" t="s">
        <v>55</v>
      </c>
      <c r="Y714" s="30" t="s">
        <v>56</v>
      </c>
      <c r="Z714" s="30" t="s">
        <v>57</v>
      </c>
      <c r="AA714" s="30" t="s">
        <v>58</v>
      </c>
      <c r="AB714" s="30" t="s">
        <v>56</v>
      </c>
      <c r="AC714" s="27"/>
      <c r="AD714" s="31" t="s">
        <v>57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2751</v>
      </c>
      <c r="C715" s="25" t="s">
        <v>2752</v>
      </c>
      <c r="D715" s="23" t="s">
        <v>2300</v>
      </c>
      <c r="E715" s="42">
        <v>46132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4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70">
        <v>46248</v>
      </c>
      <c r="X715" s="30" t="s">
        <v>55</v>
      </c>
      <c r="Y715" s="30" t="s">
        <v>56</v>
      </c>
      <c r="Z715" s="30" t="s">
        <v>57</v>
      </c>
      <c r="AA715" s="30" t="s">
        <v>58</v>
      </c>
      <c r="AB715" s="30" t="s">
        <v>56</v>
      </c>
      <c r="AC715" s="27"/>
      <c r="AD715" s="31" t="s">
        <v>57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2753</v>
      </c>
      <c r="C716" s="41" t="s">
        <v>2754</v>
      </c>
      <c r="D716" s="39" t="s">
        <v>2300</v>
      </c>
      <c r="E716" s="42">
        <v>46132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4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70">
        <v>46248</v>
      </c>
      <c r="X716" s="30" t="s">
        <v>55</v>
      </c>
      <c r="Y716" s="30" t="s">
        <v>56</v>
      </c>
      <c r="Z716" s="30" t="s">
        <v>57</v>
      </c>
      <c r="AA716" s="30" t="s">
        <v>58</v>
      </c>
      <c r="AB716" s="30" t="s">
        <v>56</v>
      </c>
      <c r="AC716" s="27"/>
      <c r="AD716" s="31" t="s">
        <v>57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2755</v>
      </c>
      <c r="C717" s="25" t="s">
        <v>2756</v>
      </c>
      <c r="D717" s="23" t="s">
        <v>2300</v>
      </c>
      <c r="E717" s="42">
        <v>46132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4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70">
        <v>46248</v>
      </c>
      <c r="X717" s="30" t="s">
        <v>55</v>
      </c>
      <c r="Y717" s="30" t="s">
        <v>56</v>
      </c>
      <c r="Z717" s="30" t="s">
        <v>57</v>
      </c>
      <c r="AA717" s="30" t="s">
        <v>58</v>
      </c>
      <c r="AB717" s="30" t="s">
        <v>56</v>
      </c>
      <c r="AC717" s="27"/>
      <c r="AD717" s="31" t="s">
        <v>57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2757</v>
      </c>
      <c r="C718" s="41" t="s">
        <v>2758</v>
      </c>
      <c r="D718" s="39" t="s">
        <v>2300</v>
      </c>
      <c r="E718" s="42">
        <v>46132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4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70">
        <v>46248</v>
      </c>
      <c r="X718" s="30" t="s">
        <v>55</v>
      </c>
      <c r="Y718" s="30" t="s">
        <v>56</v>
      </c>
      <c r="Z718" s="30" t="s">
        <v>57</v>
      </c>
      <c r="AA718" s="30" t="s">
        <v>58</v>
      </c>
      <c r="AB718" s="30" t="s">
        <v>56</v>
      </c>
      <c r="AC718" s="27"/>
      <c r="AD718" s="31" t="s">
        <v>57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2759</v>
      </c>
      <c r="C719" s="25" t="s">
        <v>2760</v>
      </c>
      <c r="D719" s="23" t="s">
        <v>2300</v>
      </c>
      <c r="E719" s="4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4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70">
        <v>46248</v>
      </c>
      <c r="X719" s="30" t="s">
        <v>55</v>
      </c>
      <c r="Y719" s="30" t="s">
        <v>56</v>
      </c>
      <c r="Z719" s="30" t="s">
        <v>57</v>
      </c>
      <c r="AA719" s="30" t="s">
        <v>58</v>
      </c>
      <c r="AB719" s="30" t="s">
        <v>56</v>
      </c>
      <c r="AC719" s="27"/>
      <c r="AD719" s="31" t="s">
        <v>57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2761</v>
      </c>
      <c r="C720" s="41" t="s">
        <v>2762</v>
      </c>
      <c r="D720" s="39" t="s">
        <v>2300</v>
      </c>
      <c r="E720" s="4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4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70">
        <v>46248</v>
      </c>
      <c r="X720" s="30" t="s">
        <v>55</v>
      </c>
      <c r="Y720" s="30" t="s">
        <v>56</v>
      </c>
      <c r="Z720" s="30" t="s">
        <v>57</v>
      </c>
      <c r="AA720" s="30" t="s">
        <v>58</v>
      </c>
      <c r="AB720" s="30" t="s">
        <v>56</v>
      </c>
      <c r="AC720" s="27"/>
      <c r="AD720" s="31" t="s">
        <v>57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2763</v>
      </c>
      <c r="C721" s="25" t="s">
        <v>2764</v>
      </c>
      <c r="D721" s="23" t="s">
        <v>2300</v>
      </c>
      <c r="E721" s="4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4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70">
        <v>46248</v>
      </c>
      <c r="X721" s="30" t="s">
        <v>55</v>
      </c>
      <c r="Y721" s="30" t="s">
        <v>56</v>
      </c>
      <c r="Z721" s="30" t="s">
        <v>57</v>
      </c>
      <c r="AA721" s="30" t="s">
        <v>58</v>
      </c>
      <c r="AB721" s="30" t="s">
        <v>56</v>
      </c>
      <c r="AC721" s="27"/>
      <c r="AD721" s="31" t="s">
        <v>57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2765</v>
      </c>
      <c r="C722" s="41" t="s">
        <v>2766</v>
      </c>
      <c r="D722" s="39" t="s">
        <v>2300</v>
      </c>
      <c r="E722" s="42">
        <v>46129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4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70">
        <v>46248</v>
      </c>
      <c r="X722" s="30" t="s">
        <v>55</v>
      </c>
      <c r="Y722" s="30" t="s">
        <v>56</v>
      </c>
      <c r="Z722" s="30" t="s">
        <v>57</v>
      </c>
      <c r="AA722" s="30" t="s">
        <v>58</v>
      </c>
      <c r="AB722" s="30" t="s">
        <v>56</v>
      </c>
      <c r="AC722" s="27"/>
      <c r="AD722" s="31" t="s">
        <v>57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2767</v>
      </c>
      <c r="C723" s="25" t="s">
        <v>2768</v>
      </c>
      <c r="D723" s="23" t="s">
        <v>2300</v>
      </c>
      <c r="E723" s="42">
        <v>46129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4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70">
        <v>46248</v>
      </c>
      <c r="X723" s="30" t="s">
        <v>55</v>
      </c>
      <c r="Y723" s="30" t="s">
        <v>56</v>
      </c>
      <c r="Z723" s="30" t="s">
        <v>57</v>
      </c>
      <c r="AA723" s="30" t="s">
        <v>58</v>
      </c>
      <c r="AB723" s="30" t="s">
        <v>56</v>
      </c>
      <c r="AC723" s="27"/>
      <c r="AD723" s="31" t="s">
        <v>57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2769</v>
      </c>
      <c r="C724" s="41" t="s">
        <v>2770</v>
      </c>
      <c r="D724" s="39" t="s">
        <v>2300</v>
      </c>
      <c r="E724" s="42">
        <v>46129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4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70">
        <v>46248</v>
      </c>
      <c r="X724" s="30" t="s">
        <v>55</v>
      </c>
      <c r="Y724" s="30" t="s">
        <v>56</v>
      </c>
      <c r="Z724" s="30" t="s">
        <v>57</v>
      </c>
      <c r="AA724" s="30" t="s">
        <v>58</v>
      </c>
      <c r="AB724" s="30" t="s">
        <v>56</v>
      </c>
      <c r="AC724" s="27"/>
      <c r="AD724" s="31" t="s">
        <v>57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2771</v>
      </c>
      <c r="C725" s="25" t="s">
        <v>2772</v>
      </c>
      <c r="D725" s="23" t="s">
        <v>2300</v>
      </c>
      <c r="E725" s="42">
        <v>46129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4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70">
        <v>46248</v>
      </c>
      <c r="X725" s="30" t="s">
        <v>55</v>
      </c>
      <c r="Y725" s="30" t="s">
        <v>56</v>
      </c>
      <c r="Z725" s="30" t="s">
        <v>57</v>
      </c>
      <c r="AA725" s="30" t="s">
        <v>58</v>
      </c>
      <c r="AB725" s="30" t="s">
        <v>56</v>
      </c>
      <c r="AC725" s="27"/>
      <c r="AD725" s="31" t="s">
        <v>57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2773</v>
      </c>
      <c r="C726" s="41" t="s">
        <v>2774</v>
      </c>
      <c r="D726" s="39" t="s">
        <v>2300</v>
      </c>
      <c r="E726" s="42">
        <v>46132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4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70">
        <v>46248</v>
      </c>
      <c r="X726" s="30" t="s">
        <v>55</v>
      </c>
      <c r="Y726" s="30" t="s">
        <v>56</v>
      </c>
      <c r="Z726" s="30" t="s">
        <v>57</v>
      </c>
      <c r="AA726" s="30" t="s">
        <v>58</v>
      </c>
      <c r="AB726" s="30" t="s">
        <v>56</v>
      </c>
      <c r="AC726" s="27"/>
      <c r="AD726" s="31" t="s">
        <v>57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2775</v>
      </c>
      <c r="C727" s="25" t="s">
        <v>2776</v>
      </c>
      <c r="D727" s="23" t="s">
        <v>2300</v>
      </c>
      <c r="E727" s="42">
        <v>46132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4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70">
        <v>46248</v>
      </c>
      <c r="X727" s="30" t="s">
        <v>55</v>
      </c>
      <c r="Y727" s="30" t="s">
        <v>56</v>
      </c>
      <c r="Z727" s="30" t="s">
        <v>57</v>
      </c>
      <c r="AA727" s="30" t="s">
        <v>58</v>
      </c>
      <c r="AB727" s="30" t="s">
        <v>56</v>
      </c>
      <c r="AC727" s="27"/>
      <c r="AD727" s="31" t="s">
        <v>57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2777</v>
      </c>
      <c r="C728" s="41" t="s">
        <v>2778</v>
      </c>
      <c r="D728" s="39" t="s">
        <v>2300</v>
      </c>
      <c r="E728" s="42">
        <v>46132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4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70">
        <v>46248</v>
      </c>
      <c r="X728" s="30" t="s">
        <v>55</v>
      </c>
      <c r="Y728" s="30" t="s">
        <v>56</v>
      </c>
      <c r="Z728" s="30" t="s">
        <v>57</v>
      </c>
      <c r="AA728" s="30" t="s">
        <v>58</v>
      </c>
      <c r="AB728" s="30" t="s">
        <v>56</v>
      </c>
      <c r="AC728" s="27"/>
      <c r="AD728" s="31" t="s">
        <v>57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2779</v>
      </c>
      <c r="C729" s="25" t="s">
        <v>2780</v>
      </c>
      <c r="D729" s="23" t="s">
        <v>2300</v>
      </c>
      <c r="E729" s="42">
        <v>46132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4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70">
        <v>46248</v>
      </c>
      <c r="X729" s="30" t="s">
        <v>55</v>
      </c>
      <c r="Y729" s="30" t="s">
        <v>56</v>
      </c>
      <c r="Z729" s="30" t="s">
        <v>57</v>
      </c>
      <c r="AA729" s="30" t="s">
        <v>58</v>
      </c>
      <c r="AB729" s="30" t="s">
        <v>56</v>
      </c>
      <c r="AC729" s="27"/>
      <c r="AD729" s="31" t="s">
        <v>57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2781</v>
      </c>
      <c r="C730" s="41" t="s">
        <v>2782</v>
      </c>
      <c r="D730" s="39" t="s">
        <v>2300</v>
      </c>
      <c r="E730" s="42">
        <v>46129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4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70">
        <v>46248</v>
      </c>
      <c r="X730" s="30" t="s">
        <v>55</v>
      </c>
      <c r="Y730" s="30" t="s">
        <v>56</v>
      </c>
      <c r="Z730" s="30" t="s">
        <v>57</v>
      </c>
      <c r="AA730" s="30" t="s">
        <v>58</v>
      </c>
      <c r="AB730" s="30" t="s">
        <v>56</v>
      </c>
      <c r="AC730" s="27"/>
      <c r="AD730" s="31" t="s">
        <v>57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2783</v>
      </c>
      <c r="C731" s="25" t="s">
        <v>2784</v>
      </c>
      <c r="D731" s="23" t="s">
        <v>2300</v>
      </c>
      <c r="E731" s="42">
        <v>46129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4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70">
        <v>46248</v>
      </c>
      <c r="X731" s="30" t="s">
        <v>55</v>
      </c>
      <c r="Y731" s="30" t="s">
        <v>56</v>
      </c>
      <c r="Z731" s="30" t="s">
        <v>57</v>
      </c>
      <c r="AA731" s="30" t="s">
        <v>58</v>
      </c>
      <c r="AB731" s="30" t="s">
        <v>56</v>
      </c>
      <c r="AC731" s="27"/>
      <c r="AD731" s="31" t="s">
        <v>57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2785</v>
      </c>
      <c r="C732" s="41" t="s">
        <v>2786</v>
      </c>
      <c r="D732" s="39" t="s">
        <v>2300</v>
      </c>
      <c r="E732" s="42">
        <v>46129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4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70">
        <v>46248</v>
      </c>
      <c r="X732" s="30" t="s">
        <v>55</v>
      </c>
      <c r="Y732" s="30" t="s">
        <v>56</v>
      </c>
      <c r="Z732" s="30" t="s">
        <v>57</v>
      </c>
      <c r="AA732" s="30" t="s">
        <v>58</v>
      </c>
      <c r="AB732" s="30" t="s">
        <v>56</v>
      </c>
      <c r="AC732" s="27"/>
      <c r="AD732" s="31" t="s">
        <v>57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2787</v>
      </c>
      <c r="C733" s="25" t="s">
        <v>2788</v>
      </c>
      <c r="D733" s="23" t="s">
        <v>2300</v>
      </c>
      <c r="E733" s="42">
        <v>46129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4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70">
        <v>46248</v>
      </c>
      <c r="X733" s="30" t="s">
        <v>55</v>
      </c>
      <c r="Y733" s="30" t="s">
        <v>56</v>
      </c>
      <c r="Z733" s="30" t="s">
        <v>57</v>
      </c>
      <c r="AA733" s="30" t="s">
        <v>58</v>
      </c>
      <c r="AB733" s="30" t="s">
        <v>56</v>
      </c>
      <c r="AC733" s="27"/>
      <c r="AD733" s="31" t="s">
        <v>57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2789</v>
      </c>
      <c r="C734" s="41" t="s">
        <v>2790</v>
      </c>
      <c r="D734" s="39" t="s">
        <v>2300</v>
      </c>
      <c r="E734" s="42">
        <v>46129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4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70">
        <v>46248</v>
      </c>
      <c r="X734" s="30" t="s">
        <v>55</v>
      </c>
      <c r="Y734" s="30" t="s">
        <v>56</v>
      </c>
      <c r="Z734" s="30" t="s">
        <v>57</v>
      </c>
      <c r="AA734" s="30" t="s">
        <v>58</v>
      </c>
      <c r="AB734" s="30" t="s">
        <v>56</v>
      </c>
      <c r="AC734" s="27"/>
      <c r="AD734" s="31" t="s">
        <v>57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2791</v>
      </c>
      <c r="C735" s="25" t="s">
        <v>2792</v>
      </c>
      <c r="D735" s="23" t="s">
        <v>2300</v>
      </c>
      <c r="E735" s="42">
        <v>46129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4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70">
        <v>46248</v>
      </c>
      <c r="X735" s="30" t="s">
        <v>55</v>
      </c>
      <c r="Y735" s="30" t="s">
        <v>56</v>
      </c>
      <c r="Z735" s="30" t="s">
        <v>57</v>
      </c>
      <c r="AA735" s="30" t="s">
        <v>58</v>
      </c>
      <c r="AB735" s="30" t="s">
        <v>56</v>
      </c>
      <c r="AC735" s="27"/>
      <c r="AD735" s="31" t="s">
        <v>57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2793</v>
      </c>
      <c r="C736" s="41" t="s">
        <v>2794</v>
      </c>
      <c r="D736" s="39" t="s">
        <v>2300</v>
      </c>
      <c r="E736" s="4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4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70">
        <v>46248</v>
      </c>
      <c r="X736" s="30" t="s">
        <v>55</v>
      </c>
      <c r="Y736" s="30" t="s">
        <v>56</v>
      </c>
      <c r="Z736" s="30" t="s">
        <v>57</v>
      </c>
      <c r="AA736" s="30" t="s">
        <v>58</v>
      </c>
      <c r="AB736" s="30" t="s">
        <v>56</v>
      </c>
      <c r="AC736" s="27"/>
      <c r="AD736" s="31" t="s">
        <v>57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2795</v>
      </c>
      <c r="C737" s="25" t="s">
        <v>2796</v>
      </c>
      <c r="D737" s="23" t="s">
        <v>2300</v>
      </c>
      <c r="E737" s="4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4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70">
        <v>46248</v>
      </c>
      <c r="X737" s="30" t="s">
        <v>55</v>
      </c>
      <c r="Y737" s="30" t="s">
        <v>56</v>
      </c>
      <c r="Z737" s="30" t="s">
        <v>57</v>
      </c>
      <c r="AA737" s="30" t="s">
        <v>58</v>
      </c>
      <c r="AB737" s="30" t="s">
        <v>56</v>
      </c>
      <c r="AC737" s="27"/>
      <c r="AD737" s="31" t="s">
        <v>57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2797</v>
      </c>
      <c r="C738" s="41" t="s">
        <v>2798</v>
      </c>
      <c r="D738" s="39" t="s">
        <v>2300</v>
      </c>
      <c r="E738" s="4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4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70">
        <v>46248</v>
      </c>
      <c r="X738" s="30" t="s">
        <v>55</v>
      </c>
      <c r="Y738" s="30" t="s">
        <v>56</v>
      </c>
      <c r="Z738" s="30" t="s">
        <v>57</v>
      </c>
      <c r="AA738" s="30" t="s">
        <v>58</v>
      </c>
      <c r="AB738" s="30" t="s">
        <v>56</v>
      </c>
      <c r="AC738" s="27"/>
      <c r="AD738" s="31" t="s">
        <v>57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2799</v>
      </c>
      <c r="C739" s="25" t="s">
        <v>2800</v>
      </c>
      <c r="D739" s="23" t="s">
        <v>2300</v>
      </c>
      <c r="E739" s="4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4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70">
        <v>46248</v>
      </c>
      <c r="X739" s="30" t="s">
        <v>55</v>
      </c>
      <c r="Y739" s="30" t="s">
        <v>56</v>
      </c>
      <c r="Z739" s="30" t="s">
        <v>57</v>
      </c>
      <c r="AA739" s="30" t="s">
        <v>58</v>
      </c>
      <c r="AB739" s="30" t="s">
        <v>56</v>
      </c>
      <c r="AC739" s="27"/>
      <c r="AD739" s="31" t="s">
        <v>57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2801</v>
      </c>
      <c r="C740" s="41" t="s">
        <v>2802</v>
      </c>
      <c r="D740" s="39" t="s">
        <v>2300</v>
      </c>
      <c r="E740" s="4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4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70">
        <v>46248</v>
      </c>
      <c r="X740" s="30" t="s">
        <v>55</v>
      </c>
      <c r="Y740" s="30" t="s">
        <v>56</v>
      </c>
      <c r="Z740" s="30" t="s">
        <v>57</v>
      </c>
      <c r="AA740" s="30" t="s">
        <v>58</v>
      </c>
      <c r="AB740" s="30" t="s">
        <v>56</v>
      </c>
      <c r="AC740" s="27"/>
      <c r="AD740" s="31" t="s">
        <v>57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2803</v>
      </c>
      <c r="C741" s="25" t="s">
        <v>2804</v>
      </c>
      <c r="D741" s="23" t="s">
        <v>2300</v>
      </c>
      <c r="E741" s="4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4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70">
        <v>46248</v>
      </c>
      <c r="X741" s="30" t="s">
        <v>55</v>
      </c>
      <c r="Y741" s="30" t="s">
        <v>56</v>
      </c>
      <c r="Z741" s="30" t="s">
        <v>57</v>
      </c>
      <c r="AA741" s="30" t="s">
        <v>58</v>
      </c>
      <c r="AB741" s="30" t="s">
        <v>56</v>
      </c>
      <c r="AC741" s="27"/>
      <c r="AD741" s="31" t="s">
        <v>57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2805</v>
      </c>
      <c r="C742" s="41" t="s">
        <v>2806</v>
      </c>
      <c r="D742" s="39" t="s">
        <v>2300</v>
      </c>
      <c r="E742" s="42">
        <v>46129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4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70">
        <v>46248</v>
      </c>
      <c r="X742" s="30" t="s">
        <v>55</v>
      </c>
      <c r="Y742" s="30" t="s">
        <v>56</v>
      </c>
      <c r="Z742" s="30" t="s">
        <v>57</v>
      </c>
      <c r="AA742" s="30" t="s">
        <v>58</v>
      </c>
      <c r="AB742" s="30" t="s">
        <v>56</v>
      </c>
      <c r="AC742" s="27"/>
      <c r="AD742" s="31" t="s">
        <v>57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2807</v>
      </c>
      <c r="C743" s="25" t="s">
        <v>2808</v>
      </c>
      <c r="D743" s="23" t="s">
        <v>2300</v>
      </c>
      <c r="E743" s="42">
        <v>46129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4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70">
        <v>46248</v>
      </c>
      <c r="X743" s="30" t="s">
        <v>55</v>
      </c>
      <c r="Y743" s="30" t="s">
        <v>56</v>
      </c>
      <c r="Z743" s="30" t="s">
        <v>57</v>
      </c>
      <c r="AA743" s="30" t="s">
        <v>58</v>
      </c>
      <c r="AB743" s="30" t="s">
        <v>56</v>
      </c>
      <c r="AC743" s="27"/>
      <c r="AD743" s="31" t="s">
        <v>57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2809</v>
      </c>
      <c r="C744" s="41" t="s">
        <v>2810</v>
      </c>
      <c r="D744" s="39" t="s">
        <v>2300</v>
      </c>
      <c r="E744" s="42">
        <v>46132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4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70">
        <v>46248</v>
      </c>
      <c r="X744" s="30" t="s">
        <v>55</v>
      </c>
      <c r="Y744" s="30" t="s">
        <v>56</v>
      </c>
      <c r="Z744" s="30" t="s">
        <v>57</v>
      </c>
      <c r="AA744" s="30" t="s">
        <v>58</v>
      </c>
      <c r="AB744" s="30" t="s">
        <v>56</v>
      </c>
      <c r="AC744" s="27"/>
      <c r="AD744" s="31" t="s">
        <v>57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2811</v>
      </c>
      <c r="C745" s="25" t="s">
        <v>2812</v>
      </c>
      <c r="D745" s="23" t="s">
        <v>2300</v>
      </c>
      <c r="E745" s="42">
        <v>46132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4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70">
        <v>46248</v>
      </c>
      <c r="X745" s="30" t="s">
        <v>55</v>
      </c>
      <c r="Y745" s="30" t="s">
        <v>56</v>
      </c>
      <c r="Z745" s="30" t="s">
        <v>57</v>
      </c>
      <c r="AA745" s="30" t="s">
        <v>58</v>
      </c>
      <c r="AB745" s="30" t="s">
        <v>56</v>
      </c>
      <c r="AC745" s="27"/>
      <c r="AD745" s="31" t="s">
        <v>57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2813</v>
      </c>
      <c r="C746" s="41" t="s">
        <v>2814</v>
      </c>
      <c r="D746" s="39" t="s">
        <v>2300</v>
      </c>
      <c r="E746" s="42">
        <v>46129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4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70">
        <v>46248</v>
      </c>
      <c r="X746" s="30" t="s">
        <v>55</v>
      </c>
      <c r="Y746" s="30" t="s">
        <v>56</v>
      </c>
      <c r="Z746" s="30" t="s">
        <v>57</v>
      </c>
      <c r="AA746" s="30" t="s">
        <v>58</v>
      </c>
      <c r="AB746" s="30" t="s">
        <v>56</v>
      </c>
      <c r="AC746" s="27"/>
      <c r="AD746" s="31" t="s">
        <v>57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2815</v>
      </c>
      <c r="C747" s="25" t="s">
        <v>2816</v>
      </c>
      <c r="D747" s="23" t="s">
        <v>2300</v>
      </c>
      <c r="E747" s="42">
        <v>46129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4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70">
        <v>46248</v>
      </c>
      <c r="X747" s="30" t="s">
        <v>55</v>
      </c>
      <c r="Y747" s="30" t="s">
        <v>56</v>
      </c>
      <c r="Z747" s="30" t="s">
        <v>57</v>
      </c>
      <c r="AA747" s="30" t="s">
        <v>58</v>
      </c>
      <c r="AB747" s="30" t="s">
        <v>56</v>
      </c>
      <c r="AC747" s="27"/>
      <c r="AD747" s="31" t="s">
        <v>57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2817</v>
      </c>
      <c r="C748" s="41" t="s">
        <v>2818</v>
      </c>
      <c r="D748" s="39" t="s">
        <v>2300</v>
      </c>
      <c r="E748" s="42">
        <v>46129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4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70">
        <v>46248</v>
      </c>
      <c r="X748" s="30" t="s">
        <v>55</v>
      </c>
      <c r="Y748" s="30" t="s">
        <v>56</v>
      </c>
      <c r="Z748" s="30" t="s">
        <v>57</v>
      </c>
      <c r="AA748" s="30" t="s">
        <v>58</v>
      </c>
      <c r="AB748" s="30" t="s">
        <v>56</v>
      </c>
      <c r="AC748" s="27"/>
      <c r="AD748" s="31" t="s">
        <v>57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2819</v>
      </c>
      <c r="C749" s="25" t="s">
        <v>2820</v>
      </c>
      <c r="D749" s="23" t="s">
        <v>2300</v>
      </c>
      <c r="E749" s="42">
        <v>46129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4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70">
        <v>46248</v>
      </c>
      <c r="X749" s="30" t="s">
        <v>55</v>
      </c>
      <c r="Y749" s="30" t="s">
        <v>56</v>
      </c>
      <c r="Z749" s="30" t="s">
        <v>57</v>
      </c>
      <c r="AA749" s="30" t="s">
        <v>58</v>
      </c>
      <c r="AB749" s="30" t="s">
        <v>56</v>
      </c>
      <c r="AC749" s="27"/>
      <c r="AD749" s="31" t="s">
        <v>57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2821</v>
      </c>
      <c r="C750" s="41" t="s">
        <v>2822</v>
      </c>
      <c r="D750" s="39" t="s">
        <v>2300</v>
      </c>
      <c r="E750" s="4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4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70">
        <v>46248</v>
      </c>
      <c r="X750" s="30" t="s">
        <v>55</v>
      </c>
      <c r="Y750" s="30" t="s">
        <v>56</v>
      </c>
      <c r="Z750" s="30" t="s">
        <v>57</v>
      </c>
      <c r="AA750" s="30" t="s">
        <v>58</v>
      </c>
      <c r="AB750" s="30" t="s">
        <v>56</v>
      </c>
      <c r="AC750" s="27"/>
      <c r="AD750" s="31" t="s">
        <v>57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2823</v>
      </c>
      <c r="C751" s="25" t="s">
        <v>2824</v>
      </c>
      <c r="D751" s="23" t="s">
        <v>2300</v>
      </c>
      <c r="E751" s="4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4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70">
        <v>46248</v>
      </c>
      <c r="X751" s="30" t="s">
        <v>55</v>
      </c>
      <c r="Y751" s="30" t="s">
        <v>56</v>
      </c>
      <c r="Z751" s="30" t="s">
        <v>57</v>
      </c>
      <c r="AA751" s="30" t="s">
        <v>58</v>
      </c>
      <c r="AB751" s="30" t="s">
        <v>56</v>
      </c>
      <c r="AC751" s="27"/>
      <c r="AD751" s="31" t="s">
        <v>57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2825</v>
      </c>
      <c r="C752" s="41" t="s">
        <v>2826</v>
      </c>
      <c r="D752" s="39" t="s">
        <v>2300</v>
      </c>
      <c r="E752" s="42">
        <v>46129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4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70">
        <v>46248</v>
      </c>
      <c r="X752" s="30" t="s">
        <v>55</v>
      </c>
      <c r="Y752" s="30" t="s">
        <v>56</v>
      </c>
      <c r="Z752" s="30" t="s">
        <v>57</v>
      </c>
      <c r="AA752" s="30" t="s">
        <v>58</v>
      </c>
      <c r="AB752" s="30" t="s">
        <v>56</v>
      </c>
      <c r="AC752" s="27"/>
      <c r="AD752" s="31" t="s">
        <v>57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2827</v>
      </c>
      <c r="C753" s="25" t="s">
        <v>2828</v>
      </c>
      <c r="D753" s="23" t="s">
        <v>2300</v>
      </c>
      <c r="E753" s="42">
        <v>46129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4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70">
        <v>46248</v>
      </c>
      <c r="X753" s="30" t="s">
        <v>55</v>
      </c>
      <c r="Y753" s="30" t="s">
        <v>56</v>
      </c>
      <c r="Z753" s="30" t="s">
        <v>57</v>
      </c>
      <c r="AA753" s="30" t="s">
        <v>58</v>
      </c>
      <c r="AB753" s="30" t="s">
        <v>56</v>
      </c>
      <c r="AC753" s="27"/>
      <c r="AD753" s="31" t="s">
        <v>57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2829</v>
      </c>
      <c r="C754" s="41" t="s">
        <v>2830</v>
      </c>
      <c r="D754" s="39" t="s">
        <v>2300</v>
      </c>
      <c r="E754" s="42">
        <v>46132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4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70">
        <v>46248</v>
      </c>
      <c r="X754" s="30" t="s">
        <v>55</v>
      </c>
      <c r="Y754" s="30" t="s">
        <v>56</v>
      </c>
      <c r="Z754" s="30" t="s">
        <v>57</v>
      </c>
      <c r="AA754" s="30" t="s">
        <v>58</v>
      </c>
      <c r="AB754" s="30" t="s">
        <v>56</v>
      </c>
      <c r="AC754" s="27"/>
      <c r="AD754" s="31" t="s">
        <v>57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2831</v>
      </c>
      <c r="C755" s="25" t="s">
        <v>2832</v>
      </c>
      <c r="D755" s="23" t="s">
        <v>2300</v>
      </c>
      <c r="E755" s="42">
        <v>46132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4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70">
        <v>46248</v>
      </c>
      <c r="X755" s="30" t="s">
        <v>55</v>
      </c>
      <c r="Y755" s="30" t="s">
        <v>56</v>
      </c>
      <c r="Z755" s="30" t="s">
        <v>57</v>
      </c>
      <c r="AA755" s="30" t="s">
        <v>58</v>
      </c>
      <c r="AB755" s="30" t="s">
        <v>56</v>
      </c>
      <c r="AC755" s="27"/>
      <c r="AD755" s="31" t="s">
        <v>57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2833</v>
      </c>
      <c r="C756" s="41" t="s">
        <v>2834</v>
      </c>
      <c r="D756" s="39" t="s">
        <v>2300</v>
      </c>
      <c r="E756" s="4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4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70">
        <v>46248</v>
      </c>
      <c r="X756" s="30" t="s">
        <v>55</v>
      </c>
      <c r="Y756" s="30" t="s">
        <v>56</v>
      </c>
      <c r="Z756" s="30" t="s">
        <v>57</v>
      </c>
      <c r="AA756" s="30" t="s">
        <v>58</v>
      </c>
      <c r="AB756" s="30" t="s">
        <v>56</v>
      </c>
      <c r="AC756" s="27"/>
      <c r="AD756" s="31" t="s">
        <v>57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2835</v>
      </c>
      <c r="C757" s="25" t="s">
        <v>2836</v>
      </c>
      <c r="D757" s="23" t="s">
        <v>2300</v>
      </c>
      <c r="E757" s="42">
        <v>46129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4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70">
        <v>46248</v>
      </c>
      <c r="X757" s="30" t="s">
        <v>55</v>
      </c>
      <c r="Y757" s="30" t="s">
        <v>56</v>
      </c>
      <c r="Z757" s="30" t="s">
        <v>57</v>
      </c>
      <c r="AA757" s="30" t="s">
        <v>58</v>
      </c>
      <c r="AB757" s="30" t="s">
        <v>56</v>
      </c>
      <c r="AC757" s="27"/>
      <c r="AD757" s="31" t="s">
        <v>57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2837</v>
      </c>
      <c r="C758" s="41" t="s">
        <v>2838</v>
      </c>
      <c r="D758" s="39" t="s">
        <v>2300</v>
      </c>
      <c r="E758" s="42">
        <v>46129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4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70">
        <v>46248</v>
      </c>
      <c r="X758" s="30" t="s">
        <v>55</v>
      </c>
      <c r="Y758" s="30" t="s">
        <v>56</v>
      </c>
      <c r="Z758" s="30" t="s">
        <v>57</v>
      </c>
      <c r="AA758" s="30" t="s">
        <v>58</v>
      </c>
      <c r="AB758" s="30" t="s">
        <v>56</v>
      </c>
      <c r="AC758" s="27"/>
      <c r="AD758" s="31" t="s">
        <v>57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2839</v>
      </c>
      <c r="C759" s="25" t="s">
        <v>2840</v>
      </c>
      <c r="D759" s="23" t="s">
        <v>2300</v>
      </c>
      <c r="E759" s="4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4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70">
        <v>46248</v>
      </c>
      <c r="X759" s="30" t="s">
        <v>55</v>
      </c>
      <c r="Y759" s="30" t="s">
        <v>56</v>
      </c>
      <c r="Z759" s="30" t="s">
        <v>57</v>
      </c>
      <c r="AA759" s="30" t="s">
        <v>58</v>
      </c>
      <c r="AB759" s="30" t="s">
        <v>56</v>
      </c>
      <c r="AC759" s="27"/>
      <c r="AD759" s="31" t="s">
        <v>57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2841</v>
      </c>
      <c r="C760" s="41" t="s">
        <v>2842</v>
      </c>
      <c r="D760" s="39" t="s">
        <v>2300</v>
      </c>
      <c r="E760" s="4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4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70">
        <v>46248</v>
      </c>
      <c r="X760" s="30" t="s">
        <v>55</v>
      </c>
      <c r="Y760" s="30" t="s">
        <v>56</v>
      </c>
      <c r="Z760" s="30" t="s">
        <v>57</v>
      </c>
      <c r="AA760" s="30" t="s">
        <v>58</v>
      </c>
      <c r="AB760" s="30" t="s">
        <v>56</v>
      </c>
      <c r="AC760" s="27"/>
      <c r="AD760" s="31" t="s">
        <v>57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2843</v>
      </c>
      <c r="C761" s="25" t="s">
        <v>2844</v>
      </c>
      <c r="D761" s="23" t="s">
        <v>2300</v>
      </c>
      <c r="E761" s="4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4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70">
        <v>46248</v>
      </c>
      <c r="X761" s="30" t="s">
        <v>55</v>
      </c>
      <c r="Y761" s="30" t="s">
        <v>56</v>
      </c>
      <c r="Z761" s="30" t="s">
        <v>57</v>
      </c>
      <c r="AA761" s="30" t="s">
        <v>58</v>
      </c>
      <c r="AB761" s="30" t="s">
        <v>56</v>
      </c>
      <c r="AC761" s="27"/>
      <c r="AD761" s="31" t="s">
        <v>57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2845</v>
      </c>
      <c r="C762" s="41" t="s">
        <v>2846</v>
      </c>
      <c r="D762" s="39" t="s">
        <v>2300</v>
      </c>
      <c r="E762" s="4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4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70">
        <v>46248</v>
      </c>
      <c r="X762" s="30" t="s">
        <v>55</v>
      </c>
      <c r="Y762" s="30" t="s">
        <v>56</v>
      </c>
      <c r="Z762" s="30" t="s">
        <v>57</v>
      </c>
      <c r="AA762" s="30" t="s">
        <v>58</v>
      </c>
      <c r="AB762" s="30" t="s">
        <v>56</v>
      </c>
      <c r="AC762" s="27"/>
      <c r="AD762" s="31" t="s">
        <v>57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2847</v>
      </c>
      <c r="C763" s="25" t="s">
        <v>2848</v>
      </c>
      <c r="D763" s="23" t="s">
        <v>2300</v>
      </c>
      <c r="E763" s="42">
        <v>46132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4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70">
        <v>46248</v>
      </c>
      <c r="X763" s="30" t="s">
        <v>55</v>
      </c>
      <c r="Y763" s="30" t="s">
        <v>56</v>
      </c>
      <c r="Z763" s="30" t="s">
        <v>57</v>
      </c>
      <c r="AA763" s="30" t="s">
        <v>58</v>
      </c>
      <c r="AB763" s="30" t="s">
        <v>56</v>
      </c>
      <c r="AC763" s="27"/>
      <c r="AD763" s="31" t="s">
        <v>57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2849</v>
      </c>
      <c r="C764" s="41" t="s">
        <v>2850</v>
      </c>
      <c r="D764" s="39" t="s">
        <v>2300</v>
      </c>
      <c r="E764" s="42">
        <v>46132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4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70">
        <v>46248</v>
      </c>
      <c r="X764" s="30" t="s">
        <v>55</v>
      </c>
      <c r="Y764" s="30" t="s">
        <v>56</v>
      </c>
      <c r="Z764" s="30" t="s">
        <v>57</v>
      </c>
      <c r="AA764" s="30" t="s">
        <v>58</v>
      </c>
      <c r="AB764" s="30" t="s">
        <v>56</v>
      </c>
      <c r="AC764" s="27"/>
      <c r="AD764" s="31" t="s">
        <v>57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2851</v>
      </c>
      <c r="C765" s="25" t="s">
        <v>2852</v>
      </c>
      <c r="D765" s="23" t="s">
        <v>2300</v>
      </c>
      <c r="E765" s="4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4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70">
        <v>46248</v>
      </c>
      <c r="X765" s="30" t="s">
        <v>55</v>
      </c>
      <c r="Y765" s="30" t="s">
        <v>56</v>
      </c>
      <c r="Z765" s="30" t="s">
        <v>57</v>
      </c>
      <c r="AA765" s="30" t="s">
        <v>58</v>
      </c>
      <c r="AB765" s="30" t="s">
        <v>56</v>
      </c>
      <c r="AC765" s="27"/>
      <c r="AD765" s="31" t="s">
        <v>57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2853</v>
      </c>
      <c r="C766" s="41" t="s">
        <v>2854</v>
      </c>
      <c r="D766" s="39" t="s">
        <v>2300</v>
      </c>
      <c r="E766" s="4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4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70">
        <v>46248</v>
      </c>
      <c r="X766" s="30" t="s">
        <v>55</v>
      </c>
      <c r="Y766" s="30" t="s">
        <v>56</v>
      </c>
      <c r="Z766" s="30" t="s">
        <v>57</v>
      </c>
      <c r="AA766" s="30" t="s">
        <v>58</v>
      </c>
      <c r="AB766" s="30" t="s">
        <v>56</v>
      </c>
      <c r="AC766" s="27"/>
      <c r="AD766" s="31" t="s">
        <v>57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2855</v>
      </c>
      <c r="C767" s="25" t="s">
        <v>2856</v>
      </c>
      <c r="D767" s="23" t="s">
        <v>2300</v>
      </c>
      <c r="E767" s="42">
        <v>46132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4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70">
        <v>46248</v>
      </c>
      <c r="X767" s="30" t="s">
        <v>55</v>
      </c>
      <c r="Y767" s="30" t="s">
        <v>56</v>
      </c>
      <c r="Z767" s="30" t="s">
        <v>57</v>
      </c>
      <c r="AA767" s="30" t="s">
        <v>58</v>
      </c>
      <c r="AB767" s="30" t="s">
        <v>56</v>
      </c>
      <c r="AC767" s="27"/>
      <c r="AD767" s="31" t="s">
        <v>57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2857</v>
      </c>
      <c r="C768" s="41" t="s">
        <v>2858</v>
      </c>
      <c r="D768" s="39" t="s">
        <v>2300</v>
      </c>
      <c r="E768" s="42">
        <v>46132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4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70">
        <v>46248</v>
      </c>
      <c r="X768" s="30" t="s">
        <v>55</v>
      </c>
      <c r="Y768" s="30" t="s">
        <v>56</v>
      </c>
      <c r="Z768" s="30" t="s">
        <v>57</v>
      </c>
      <c r="AA768" s="30" t="s">
        <v>58</v>
      </c>
      <c r="AB768" s="30" t="s">
        <v>56</v>
      </c>
      <c r="AC768" s="27"/>
      <c r="AD768" s="31" t="s">
        <v>57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2859</v>
      </c>
      <c r="C769" s="25" t="s">
        <v>2860</v>
      </c>
      <c r="D769" s="23" t="s">
        <v>2300</v>
      </c>
      <c r="E769" s="42">
        <v>46132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4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70">
        <v>46248</v>
      </c>
      <c r="X769" s="30" t="s">
        <v>55</v>
      </c>
      <c r="Y769" s="30" t="s">
        <v>56</v>
      </c>
      <c r="Z769" s="30" t="s">
        <v>57</v>
      </c>
      <c r="AA769" s="30" t="s">
        <v>58</v>
      </c>
      <c r="AB769" s="30" t="s">
        <v>56</v>
      </c>
      <c r="AC769" s="27"/>
      <c r="AD769" s="31" t="s">
        <v>57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2861</v>
      </c>
      <c r="C770" s="41" t="s">
        <v>2862</v>
      </c>
      <c r="D770" s="39" t="s">
        <v>2300</v>
      </c>
      <c r="E770" s="42">
        <v>46132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4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70">
        <v>46248</v>
      </c>
      <c r="X770" s="30" t="s">
        <v>55</v>
      </c>
      <c r="Y770" s="30" t="s">
        <v>56</v>
      </c>
      <c r="Z770" s="30" t="s">
        <v>57</v>
      </c>
      <c r="AA770" s="30" t="s">
        <v>58</v>
      </c>
      <c r="AB770" s="30" t="s">
        <v>56</v>
      </c>
      <c r="AC770" s="27"/>
      <c r="AD770" s="31" t="s">
        <v>57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2863</v>
      </c>
      <c r="C771" s="25" t="s">
        <v>2864</v>
      </c>
      <c r="D771" s="23" t="s">
        <v>2300</v>
      </c>
      <c r="E771" s="42">
        <v>46132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4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70">
        <v>46248</v>
      </c>
      <c r="X771" s="30" t="s">
        <v>55</v>
      </c>
      <c r="Y771" s="30" t="s">
        <v>56</v>
      </c>
      <c r="Z771" s="30" t="s">
        <v>57</v>
      </c>
      <c r="AA771" s="30" t="s">
        <v>58</v>
      </c>
      <c r="AB771" s="30" t="s">
        <v>56</v>
      </c>
      <c r="AC771" s="27"/>
      <c r="AD771" s="31" t="s">
        <v>57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2865</v>
      </c>
      <c r="C772" s="41" t="s">
        <v>2866</v>
      </c>
      <c r="D772" s="39" t="s">
        <v>2300</v>
      </c>
      <c r="E772" s="42">
        <v>46132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4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70">
        <v>46248</v>
      </c>
      <c r="X772" s="30" t="s">
        <v>55</v>
      </c>
      <c r="Y772" s="30" t="s">
        <v>56</v>
      </c>
      <c r="Z772" s="30" t="s">
        <v>57</v>
      </c>
      <c r="AA772" s="30" t="s">
        <v>58</v>
      </c>
      <c r="AB772" s="30" t="s">
        <v>56</v>
      </c>
      <c r="AC772" s="27"/>
      <c r="AD772" s="31" t="s">
        <v>57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2867</v>
      </c>
      <c r="C773" s="25" t="s">
        <v>2868</v>
      </c>
      <c r="D773" s="23" t="s">
        <v>2300</v>
      </c>
      <c r="E773" s="42">
        <v>46132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4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70">
        <v>46248</v>
      </c>
      <c r="X773" s="30" t="s">
        <v>55</v>
      </c>
      <c r="Y773" s="30" t="s">
        <v>56</v>
      </c>
      <c r="Z773" s="30" t="s">
        <v>57</v>
      </c>
      <c r="AA773" s="30" t="s">
        <v>58</v>
      </c>
      <c r="AB773" s="30" t="s">
        <v>56</v>
      </c>
      <c r="AC773" s="27"/>
      <c r="AD773" s="31" t="s">
        <v>57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2869</v>
      </c>
      <c r="C774" s="41" t="s">
        <v>2870</v>
      </c>
      <c r="D774" s="39" t="s">
        <v>2300</v>
      </c>
      <c r="E774" s="42">
        <v>46132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4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70">
        <v>46248</v>
      </c>
      <c r="X774" s="30" t="s">
        <v>55</v>
      </c>
      <c r="Y774" s="30" t="s">
        <v>56</v>
      </c>
      <c r="Z774" s="30" t="s">
        <v>57</v>
      </c>
      <c r="AA774" s="30" t="s">
        <v>58</v>
      </c>
      <c r="AB774" s="30" t="s">
        <v>56</v>
      </c>
      <c r="AC774" s="27"/>
      <c r="AD774" s="31" t="s">
        <v>57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2871</v>
      </c>
      <c r="C775" s="25" t="s">
        <v>2872</v>
      </c>
      <c r="D775" s="23" t="s">
        <v>2300</v>
      </c>
      <c r="E775" s="42">
        <v>46132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4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70">
        <v>46248</v>
      </c>
      <c r="X775" s="30" t="s">
        <v>55</v>
      </c>
      <c r="Y775" s="30" t="s">
        <v>56</v>
      </c>
      <c r="Z775" s="30" t="s">
        <v>57</v>
      </c>
      <c r="AA775" s="30" t="s">
        <v>58</v>
      </c>
      <c r="AB775" s="30" t="s">
        <v>56</v>
      </c>
      <c r="AC775" s="27"/>
      <c r="AD775" s="31" t="s">
        <v>57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2873</v>
      </c>
      <c r="C776" s="41" t="s">
        <v>2874</v>
      </c>
      <c r="D776" s="39" t="s">
        <v>2300</v>
      </c>
      <c r="E776" s="42">
        <v>46132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4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70">
        <v>46248</v>
      </c>
      <c r="X776" s="30" t="s">
        <v>55</v>
      </c>
      <c r="Y776" s="30" t="s">
        <v>56</v>
      </c>
      <c r="Z776" s="30" t="s">
        <v>57</v>
      </c>
      <c r="AA776" s="30" t="s">
        <v>58</v>
      </c>
      <c r="AB776" s="30" t="s">
        <v>56</v>
      </c>
      <c r="AC776" s="27"/>
      <c r="AD776" s="31" t="s">
        <v>57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2875</v>
      </c>
      <c r="C777" s="25" t="s">
        <v>2876</v>
      </c>
      <c r="D777" s="23" t="s">
        <v>2300</v>
      </c>
      <c r="E777" s="4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4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70">
        <v>46248</v>
      </c>
      <c r="X777" s="30" t="s">
        <v>55</v>
      </c>
      <c r="Y777" s="30" t="s">
        <v>56</v>
      </c>
      <c r="Z777" s="30" t="s">
        <v>57</v>
      </c>
      <c r="AA777" s="30" t="s">
        <v>58</v>
      </c>
      <c r="AB777" s="30" t="s">
        <v>56</v>
      </c>
      <c r="AC777" s="27"/>
      <c r="AD777" s="31" t="s">
        <v>57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2877</v>
      </c>
      <c r="C778" s="41" t="s">
        <v>2878</v>
      </c>
      <c r="D778" s="39" t="s">
        <v>2300</v>
      </c>
      <c r="E778" s="42">
        <v>46129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4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70">
        <v>46248</v>
      </c>
      <c r="X778" s="30" t="s">
        <v>55</v>
      </c>
      <c r="Y778" s="30" t="s">
        <v>56</v>
      </c>
      <c r="Z778" s="30" t="s">
        <v>57</v>
      </c>
      <c r="AA778" s="30" t="s">
        <v>58</v>
      </c>
      <c r="AB778" s="30" t="s">
        <v>56</v>
      </c>
      <c r="AC778" s="27"/>
      <c r="AD778" s="31" t="s">
        <v>57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2879</v>
      </c>
      <c r="C779" s="25" t="s">
        <v>2880</v>
      </c>
      <c r="D779" s="23" t="s">
        <v>2300</v>
      </c>
      <c r="E779" s="42">
        <v>46129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4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70">
        <v>46248</v>
      </c>
      <c r="X779" s="30" t="s">
        <v>55</v>
      </c>
      <c r="Y779" s="30" t="s">
        <v>56</v>
      </c>
      <c r="Z779" s="30" t="s">
        <v>57</v>
      </c>
      <c r="AA779" s="30" t="s">
        <v>58</v>
      </c>
      <c r="AB779" s="30" t="s">
        <v>56</v>
      </c>
      <c r="AC779" s="27"/>
      <c r="AD779" s="31" t="s">
        <v>57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2881</v>
      </c>
      <c r="C780" s="41" t="s">
        <v>2882</v>
      </c>
      <c r="D780" s="39" t="s">
        <v>2300</v>
      </c>
      <c r="E780" s="42">
        <v>46129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4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70">
        <v>46248</v>
      </c>
      <c r="X780" s="30" t="s">
        <v>55</v>
      </c>
      <c r="Y780" s="30" t="s">
        <v>56</v>
      </c>
      <c r="Z780" s="30" t="s">
        <v>57</v>
      </c>
      <c r="AA780" s="30" t="s">
        <v>58</v>
      </c>
      <c r="AB780" s="30" t="s">
        <v>56</v>
      </c>
      <c r="AC780" s="27"/>
      <c r="AD780" s="31" t="s">
        <v>57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2883</v>
      </c>
      <c r="C781" s="25" t="s">
        <v>2884</v>
      </c>
      <c r="D781" s="23" t="s">
        <v>2300</v>
      </c>
      <c r="E781" s="42">
        <v>46129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4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70">
        <v>46248</v>
      </c>
      <c r="X781" s="30" t="s">
        <v>55</v>
      </c>
      <c r="Y781" s="30" t="s">
        <v>56</v>
      </c>
      <c r="Z781" s="30" t="s">
        <v>57</v>
      </c>
      <c r="AA781" s="30" t="s">
        <v>58</v>
      </c>
      <c r="AB781" s="30" t="s">
        <v>56</v>
      </c>
      <c r="AC781" s="27"/>
      <c r="AD781" s="31" t="s">
        <v>57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2885</v>
      </c>
      <c r="C782" s="41" t="s">
        <v>2886</v>
      </c>
      <c r="D782" s="39" t="s">
        <v>2300</v>
      </c>
      <c r="E782" s="4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4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70">
        <v>46248</v>
      </c>
      <c r="X782" s="30" t="s">
        <v>55</v>
      </c>
      <c r="Y782" s="30" t="s">
        <v>56</v>
      </c>
      <c r="Z782" s="30" t="s">
        <v>57</v>
      </c>
      <c r="AA782" s="30" t="s">
        <v>58</v>
      </c>
      <c r="AB782" s="30" t="s">
        <v>56</v>
      </c>
      <c r="AC782" s="27"/>
      <c r="AD782" s="31" t="s">
        <v>57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2887</v>
      </c>
      <c r="C783" s="25" t="s">
        <v>2888</v>
      </c>
      <c r="D783" s="23" t="s">
        <v>2300</v>
      </c>
      <c r="E783" s="4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4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70">
        <v>46248</v>
      </c>
      <c r="X783" s="30" t="s">
        <v>55</v>
      </c>
      <c r="Y783" s="30" t="s">
        <v>56</v>
      </c>
      <c r="Z783" s="30" t="s">
        <v>57</v>
      </c>
      <c r="AA783" s="30" t="s">
        <v>58</v>
      </c>
      <c r="AB783" s="30" t="s">
        <v>56</v>
      </c>
      <c r="AC783" s="27"/>
      <c r="AD783" s="31" t="s">
        <v>57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2889</v>
      </c>
      <c r="C784" s="41" t="s">
        <v>2890</v>
      </c>
      <c r="D784" s="39" t="s">
        <v>2300</v>
      </c>
      <c r="E784" s="42">
        <v>46129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4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70">
        <v>46248</v>
      </c>
      <c r="X784" s="30" t="s">
        <v>55</v>
      </c>
      <c r="Y784" s="30" t="s">
        <v>56</v>
      </c>
      <c r="Z784" s="30" t="s">
        <v>57</v>
      </c>
      <c r="AA784" s="30" t="s">
        <v>58</v>
      </c>
      <c r="AB784" s="30" t="s">
        <v>56</v>
      </c>
      <c r="AC784" s="27"/>
      <c r="AD784" s="31" t="s">
        <v>57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2891</v>
      </c>
      <c r="C785" s="25" t="s">
        <v>2892</v>
      </c>
      <c r="D785" s="23" t="s">
        <v>2300</v>
      </c>
      <c r="E785" s="42">
        <v>46129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4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70">
        <v>46248</v>
      </c>
      <c r="X785" s="30" t="s">
        <v>55</v>
      </c>
      <c r="Y785" s="30" t="s">
        <v>56</v>
      </c>
      <c r="Z785" s="30" t="s">
        <v>57</v>
      </c>
      <c r="AA785" s="30" t="s">
        <v>58</v>
      </c>
      <c r="AB785" s="30" t="s">
        <v>56</v>
      </c>
      <c r="AC785" s="27"/>
      <c r="AD785" s="31" t="s">
        <v>57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2893</v>
      </c>
      <c r="C786" s="41" t="s">
        <v>2894</v>
      </c>
      <c r="D786" s="39" t="s">
        <v>2300</v>
      </c>
      <c r="E786" s="42">
        <v>46129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4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70">
        <v>46248</v>
      </c>
      <c r="X786" s="30" t="s">
        <v>55</v>
      </c>
      <c r="Y786" s="30" t="s">
        <v>56</v>
      </c>
      <c r="Z786" s="30" t="s">
        <v>57</v>
      </c>
      <c r="AA786" s="30" t="s">
        <v>58</v>
      </c>
      <c r="AB786" s="30" t="s">
        <v>56</v>
      </c>
      <c r="AC786" s="27"/>
      <c r="AD786" s="31" t="s">
        <v>57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2895</v>
      </c>
      <c r="C787" s="25" t="s">
        <v>2896</v>
      </c>
      <c r="D787" s="23" t="s">
        <v>2300</v>
      </c>
      <c r="E787" s="42">
        <v>46129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4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70">
        <v>46248</v>
      </c>
      <c r="X787" s="30" t="s">
        <v>55</v>
      </c>
      <c r="Y787" s="30" t="s">
        <v>56</v>
      </c>
      <c r="Z787" s="30" t="s">
        <v>57</v>
      </c>
      <c r="AA787" s="30" t="s">
        <v>58</v>
      </c>
      <c r="AB787" s="30" t="s">
        <v>56</v>
      </c>
      <c r="AC787" s="27"/>
      <c r="AD787" s="31" t="s">
        <v>57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2897</v>
      </c>
      <c r="C788" s="41" t="s">
        <v>2898</v>
      </c>
      <c r="D788" s="39" t="s">
        <v>2300</v>
      </c>
      <c r="E788" s="4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4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70">
        <v>46248</v>
      </c>
      <c r="X788" s="30" t="s">
        <v>55</v>
      </c>
      <c r="Y788" s="30" t="s">
        <v>56</v>
      </c>
      <c r="Z788" s="30" t="s">
        <v>57</v>
      </c>
      <c r="AA788" s="30" t="s">
        <v>58</v>
      </c>
      <c r="AB788" s="30" t="s">
        <v>56</v>
      </c>
      <c r="AC788" s="27"/>
      <c r="AD788" s="31" t="s">
        <v>57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2899</v>
      </c>
      <c r="C789" s="25" t="s">
        <v>2900</v>
      </c>
      <c r="D789" s="23" t="s">
        <v>2300</v>
      </c>
      <c r="E789" s="42">
        <v>46132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4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70">
        <v>46248</v>
      </c>
      <c r="X789" s="30" t="s">
        <v>55</v>
      </c>
      <c r="Y789" s="30" t="s">
        <v>56</v>
      </c>
      <c r="Z789" s="30" t="s">
        <v>57</v>
      </c>
      <c r="AA789" s="30" t="s">
        <v>58</v>
      </c>
      <c r="AB789" s="30" t="s">
        <v>56</v>
      </c>
      <c r="AC789" s="27"/>
      <c r="AD789" s="31" t="s">
        <v>57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2901</v>
      </c>
      <c r="C790" s="41" t="s">
        <v>2902</v>
      </c>
      <c r="D790" s="39" t="s">
        <v>2300</v>
      </c>
      <c r="E790" s="42">
        <v>46132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4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70">
        <v>46248</v>
      </c>
      <c r="X790" s="30" t="s">
        <v>55</v>
      </c>
      <c r="Y790" s="30" t="s">
        <v>56</v>
      </c>
      <c r="Z790" s="30" t="s">
        <v>57</v>
      </c>
      <c r="AA790" s="30" t="s">
        <v>58</v>
      </c>
      <c r="AB790" s="30" t="s">
        <v>56</v>
      </c>
      <c r="AC790" s="27"/>
      <c r="AD790" s="31" t="s">
        <v>57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2903</v>
      </c>
      <c r="C791" s="25" t="s">
        <v>2904</v>
      </c>
      <c r="D791" s="23" t="s">
        <v>2300</v>
      </c>
      <c r="E791" s="42">
        <v>46129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4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70">
        <v>46248</v>
      </c>
      <c r="X791" s="30" t="s">
        <v>55</v>
      </c>
      <c r="Y791" s="30" t="s">
        <v>56</v>
      </c>
      <c r="Z791" s="30" t="s">
        <v>57</v>
      </c>
      <c r="AA791" s="30" t="s">
        <v>58</v>
      </c>
      <c r="AB791" s="30" t="s">
        <v>56</v>
      </c>
      <c r="AC791" s="27"/>
      <c r="AD791" s="31" t="s">
        <v>57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2905</v>
      </c>
      <c r="C792" s="41" t="s">
        <v>2906</v>
      </c>
      <c r="D792" s="39" t="s">
        <v>2300</v>
      </c>
      <c r="E792" s="42">
        <v>46129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4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70">
        <v>46248</v>
      </c>
      <c r="X792" s="30" t="s">
        <v>55</v>
      </c>
      <c r="Y792" s="30" t="s">
        <v>56</v>
      </c>
      <c r="Z792" s="30" t="s">
        <v>57</v>
      </c>
      <c r="AA792" s="30" t="s">
        <v>58</v>
      </c>
      <c r="AB792" s="30" t="s">
        <v>56</v>
      </c>
      <c r="AC792" s="27"/>
      <c r="AD792" s="31" t="s">
        <v>57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2907</v>
      </c>
      <c r="C793" s="25" t="s">
        <v>2908</v>
      </c>
      <c r="D793" s="23" t="s">
        <v>2300</v>
      </c>
      <c r="E793" s="42">
        <v>46132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4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70">
        <v>46248</v>
      </c>
      <c r="X793" s="30" t="s">
        <v>55</v>
      </c>
      <c r="Y793" s="30" t="s">
        <v>56</v>
      </c>
      <c r="Z793" s="30" t="s">
        <v>57</v>
      </c>
      <c r="AA793" s="30" t="s">
        <v>58</v>
      </c>
      <c r="AB793" s="30" t="s">
        <v>56</v>
      </c>
      <c r="AC793" s="27"/>
      <c r="AD793" s="31" t="s">
        <v>57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2909</v>
      </c>
      <c r="C794" s="41" t="s">
        <v>2910</v>
      </c>
      <c r="D794" s="39" t="s">
        <v>2300</v>
      </c>
      <c r="E794" s="42">
        <v>46132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4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70">
        <v>46248</v>
      </c>
      <c r="X794" s="30" t="s">
        <v>55</v>
      </c>
      <c r="Y794" s="30" t="s">
        <v>56</v>
      </c>
      <c r="Z794" s="30" t="s">
        <v>57</v>
      </c>
      <c r="AA794" s="30" t="s">
        <v>58</v>
      </c>
      <c r="AB794" s="30" t="s">
        <v>56</v>
      </c>
      <c r="AC794" s="27"/>
      <c r="AD794" s="31" t="s">
        <v>57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2911</v>
      </c>
      <c r="C795" s="25" t="s">
        <v>2912</v>
      </c>
      <c r="D795" s="23" t="s">
        <v>2300</v>
      </c>
      <c r="E795" s="42">
        <v>46132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4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70">
        <v>46248</v>
      </c>
      <c r="X795" s="30" t="s">
        <v>55</v>
      </c>
      <c r="Y795" s="30" t="s">
        <v>56</v>
      </c>
      <c r="Z795" s="30" t="s">
        <v>57</v>
      </c>
      <c r="AA795" s="30" t="s">
        <v>58</v>
      </c>
      <c r="AB795" s="30" t="s">
        <v>56</v>
      </c>
      <c r="AC795" s="27"/>
      <c r="AD795" s="31" t="s">
        <v>57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2913</v>
      </c>
      <c r="C796" s="41" t="s">
        <v>2914</v>
      </c>
      <c r="D796" s="39" t="s">
        <v>2300</v>
      </c>
      <c r="E796" s="42">
        <v>46132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4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70">
        <v>46248</v>
      </c>
      <c r="X796" s="30" t="s">
        <v>55</v>
      </c>
      <c r="Y796" s="30" t="s">
        <v>56</v>
      </c>
      <c r="Z796" s="30" t="s">
        <v>57</v>
      </c>
      <c r="AA796" s="30" t="s">
        <v>58</v>
      </c>
      <c r="AB796" s="30" t="s">
        <v>56</v>
      </c>
      <c r="AC796" s="27"/>
      <c r="AD796" s="31" t="s">
        <v>57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2915</v>
      </c>
      <c r="C797" s="25" t="s">
        <v>2916</v>
      </c>
      <c r="D797" s="23" t="s">
        <v>2300</v>
      </c>
      <c r="E797" s="4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4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70">
        <v>46248</v>
      </c>
      <c r="X797" s="30" t="s">
        <v>55</v>
      </c>
      <c r="Y797" s="30" t="s">
        <v>56</v>
      </c>
      <c r="Z797" s="30" t="s">
        <v>57</v>
      </c>
      <c r="AA797" s="30" t="s">
        <v>58</v>
      </c>
      <c r="AB797" s="30" t="s">
        <v>56</v>
      </c>
      <c r="AC797" s="27"/>
      <c r="AD797" s="31" t="s">
        <v>57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2917</v>
      </c>
      <c r="C798" s="41" t="s">
        <v>2918</v>
      </c>
      <c r="D798" s="39" t="s">
        <v>2300</v>
      </c>
      <c r="E798" s="4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4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70">
        <v>46248</v>
      </c>
      <c r="X798" s="30" t="s">
        <v>55</v>
      </c>
      <c r="Y798" s="30" t="s">
        <v>56</v>
      </c>
      <c r="Z798" s="30" t="s">
        <v>57</v>
      </c>
      <c r="AA798" s="30" t="s">
        <v>58</v>
      </c>
      <c r="AB798" s="30" t="s">
        <v>56</v>
      </c>
      <c r="AC798" s="27"/>
      <c r="AD798" s="31" t="s">
        <v>57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2919</v>
      </c>
      <c r="C799" s="25" t="s">
        <v>2920</v>
      </c>
      <c r="D799" s="23" t="s">
        <v>2300</v>
      </c>
      <c r="E799" s="4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4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70">
        <v>46248</v>
      </c>
      <c r="X799" s="30" t="s">
        <v>55</v>
      </c>
      <c r="Y799" s="30" t="s">
        <v>56</v>
      </c>
      <c r="Z799" s="30" t="s">
        <v>57</v>
      </c>
      <c r="AA799" s="30" t="s">
        <v>58</v>
      </c>
      <c r="AB799" s="30" t="s">
        <v>56</v>
      </c>
      <c r="AC799" s="27"/>
      <c r="AD799" s="31" t="s">
        <v>57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2921</v>
      </c>
      <c r="C800" s="41" t="s">
        <v>2922</v>
      </c>
      <c r="D800" s="39" t="s">
        <v>2300</v>
      </c>
      <c r="E800" s="4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4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70">
        <v>46248</v>
      </c>
      <c r="X800" s="30" t="s">
        <v>55</v>
      </c>
      <c r="Y800" s="30" t="s">
        <v>56</v>
      </c>
      <c r="Z800" s="30" t="s">
        <v>57</v>
      </c>
      <c r="AA800" s="30" t="s">
        <v>58</v>
      </c>
      <c r="AB800" s="30" t="s">
        <v>56</v>
      </c>
      <c r="AC800" s="27"/>
      <c r="AD800" s="31" t="s">
        <v>57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2923</v>
      </c>
      <c r="C801" s="25" t="s">
        <v>2924</v>
      </c>
      <c r="D801" s="23" t="s">
        <v>2300</v>
      </c>
      <c r="E801" s="4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4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70">
        <v>46248</v>
      </c>
      <c r="X801" s="30" t="s">
        <v>55</v>
      </c>
      <c r="Y801" s="30" t="s">
        <v>56</v>
      </c>
      <c r="Z801" s="30" t="s">
        <v>57</v>
      </c>
      <c r="AA801" s="30" t="s">
        <v>58</v>
      </c>
      <c r="AB801" s="30" t="s">
        <v>56</v>
      </c>
      <c r="AC801" s="27"/>
      <c r="AD801" s="31" t="s">
        <v>57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2925</v>
      </c>
      <c r="C802" s="41" t="s">
        <v>2926</v>
      </c>
      <c r="D802" s="39" t="s">
        <v>2300</v>
      </c>
      <c r="E802" s="4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4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70">
        <v>46248</v>
      </c>
      <c r="X802" s="30" t="s">
        <v>55</v>
      </c>
      <c r="Y802" s="30" t="s">
        <v>56</v>
      </c>
      <c r="Z802" s="30" t="s">
        <v>57</v>
      </c>
      <c r="AA802" s="30" t="s">
        <v>58</v>
      </c>
      <c r="AB802" s="30" t="s">
        <v>56</v>
      </c>
      <c r="AC802" s="27"/>
      <c r="AD802" s="31" t="s">
        <v>57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2927</v>
      </c>
      <c r="C803" s="25" t="s">
        <v>2928</v>
      </c>
      <c r="D803" s="23" t="s">
        <v>2300</v>
      </c>
      <c r="E803" s="4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4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70">
        <v>46248</v>
      </c>
      <c r="X803" s="30" t="s">
        <v>55</v>
      </c>
      <c r="Y803" s="30" t="s">
        <v>56</v>
      </c>
      <c r="Z803" s="30" t="s">
        <v>57</v>
      </c>
      <c r="AA803" s="30" t="s">
        <v>58</v>
      </c>
      <c r="AB803" s="30" t="s">
        <v>56</v>
      </c>
      <c r="AC803" s="27"/>
      <c r="AD803" s="31" t="s">
        <v>57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2929</v>
      </c>
      <c r="C804" s="41" t="s">
        <v>2930</v>
      </c>
      <c r="D804" s="39" t="s">
        <v>2300</v>
      </c>
      <c r="E804" s="42">
        <v>46132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4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70">
        <v>46248</v>
      </c>
      <c r="X804" s="30" t="s">
        <v>55</v>
      </c>
      <c r="Y804" s="30" t="s">
        <v>56</v>
      </c>
      <c r="Z804" s="30" t="s">
        <v>57</v>
      </c>
      <c r="AA804" s="30" t="s">
        <v>58</v>
      </c>
      <c r="AB804" s="30" t="s">
        <v>56</v>
      </c>
      <c r="AC804" s="27"/>
      <c r="AD804" s="31" t="s">
        <v>57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2931</v>
      </c>
      <c r="C805" s="25" t="s">
        <v>2932</v>
      </c>
      <c r="D805" s="23" t="s">
        <v>2300</v>
      </c>
      <c r="E805" s="42">
        <v>46132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4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70">
        <v>46248</v>
      </c>
      <c r="X805" s="30" t="s">
        <v>55</v>
      </c>
      <c r="Y805" s="30" t="s">
        <v>56</v>
      </c>
      <c r="Z805" s="30" t="s">
        <v>57</v>
      </c>
      <c r="AA805" s="30" t="s">
        <v>58</v>
      </c>
      <c r="AB805" s="30" t="s">
        <v>56</v>
      </c>
      <c r="AC805" s="27"/>
      <c r="AD805" s="31" t="s">
        <v>57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2933</v>
      </c>
      <c r="C806" s="41" t="s">
        <v>2934</v>
      </c>
      <c r="D806" s="39" t="s">
        <v>2300</v>
      </c>
      <c r="E806" s="4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4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70">
        <v>46248</v>
      </c>
      <c r="X806" s="30" t="s">
        <v>55</v>
      </c>
      <c r="Y806" s="30" t="s">
        <v>56</v>
      </c>
      <c r="Z806" s="30" t="s">
        <v>57</v>
      </c>
      <c r="AA806" s="30" t="s">
        <v>58</v>
      </c>
      <c r="AB806" s="30" t="s">
        <v>56</v>
      </c>
      <c r="AC806" s="27"/>
      <c r="AD806" s="31" t="s">
        <v>57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2935</v>
      </c>
      <c r="C807" s="25" t="s">
        <v>2936</v>
      </c>
      <c r="D807" s="23" t="s">
        <v>2300</v>
      </c>
      <c r="E807" s="4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4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70">
        <v>46248</v>
      </c>
      <c r="X807" s="30" t="s">
        <v>55</v>
      </c>
      <c r="Y807" s="30" t="s">
        <v>56</v>
      </c>
      <c r="Z807" s="30" t="s">
        <v>57</v>
      </c>
      <c r="AA807" s="30" t="s">
        <v>58</v>
      </c>
      <c r="AB807" s="30" t="s">
        <v>56</v>
      </c>
      <c r="AC807" s="27"/>
      <c r="AD807" s="31" t="s">
        <v>57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2937</v>
      </c>
      <c r="C808" s="41" t="s">
        <v>2938</v>
      </c>
      <c r="D808" s="39" t="s">
        <v>2300</v>
      </c>
      <c r="E808" s="4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4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70">
        <v>46248</v>
      </c>
      <c r="X808" s="30" t="s">
        <v>55</v>
      </c>
      <c r="Y808" s="30" t="s">
        <v>56</v>
      </c>
      <c r="Z808" s="30" t="s">
        <v>57</v>
      </c>
      <c r="AA808" s="30" t="s">
        <v>58</v>
      </c>
      <c r="AB808" s="30" t="s">
        <v>56</v>
      </c>
      <c r="AC808" s="27"/>
      <c r="AD808" s="31" t="s">
        <v>57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2939</v>
      </c>
      <c r="C809" s="25" t="s">
        <v>2940</v>
      </c>
      <c r="D809" s="23" t="s">
        <v>2300</v>
      </c>
      <c r="E809" s="4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4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70">
        <v>46248</v>
      </c>
      <c r="X809" s="30" t="s">
        <v>55</v>
      </c>
      <c r="Y809" s="30" t="s">
        <v>56</v>
      </c>
      <c r="Z809" s="30" t="s">
        <v>57</v>
      </c>
      <c r="AA809" s="30" t="s">
        <v>58</v>
      </c>
      <c r="AB809" s="30" t="s">
        <v>56</v>
      </c>
      <c r="AC809" s="27"/>
      <c r="AD809" s="31" t="s">
        <v>57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2941</v>
      </c>
      <c r="C810" s="41" t="s">
        <v>2942</v>
      </c>
      <c r="D810" s="39" t="s">
        <v>2300</v>
      </c>
      <c r="E810" s="4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4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70">
        <v>46248</v>
      </c>
      <c r="X810" s="30" t="s">
        <v>55</v>
      </c>
      <c r="Y810" s="30" t="s">
        <v>56</v>
      </c>
      <c r="Z810" s="30" t="s">
        <v>57</v>
      </c>
      <c r="AA810" s="30" t="s">
        <v>58</v>
      </c>
      <c r="AB810" s="30" t="s">
        <v>56</v>
      </c>
      <c r="AC810" s="27"/>
      <c r="AD810" s="31" t="s">
        <v>57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2943</v>
      </c>
      <c r="C811" s="25" t="s">
        <v>2944</v>
      </c>
      <c r="D811" s="23" t="s">
        <v>2300</v>
      </c>
      <c r="E811" s="4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4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70">
        <v>46248</v>
      </c>
      <c r="X811" s="30" t="s">
        <v>55</v>
      </c>
      <c r="Y811" s="30" t="s">
        <v>56</v>
      </c>
      <c r="Z811" s="30" t="s">
        <v>57</v>
      </c>
      <c r="AA811" s="30" t="s">
        <v>58</v>
      </c>
      <c r="AB811" s="30" t="s">
        <v>56</v>
      </c>
      <c r="AC811" s="27"/>
      <c r="AD811" s="31" t="s">
        <v>57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2945</v>
      </c>
      <c r="C812" s="41" t="s">
        <v>2946</v>
      </c>
      <c r="D812" s="39" t="s">
        <v>2300</v>
      </c>
      <c r="E812" s="42">
        <v>46129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4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70">
        <v>46248</v>
      </c>
      <c r="X812" s="30" t="s">
        <v>55</v>
      </c>
      <c r="Y812" s="30" t="s">
        <v>56</v>
      </c>
      <c r="Z812" s="30" t="s">
        <v>57</v>
      </c>
      <c r="AA812" s="30" t="s">
        <v>58</v>
      </c>
      <c r="AB812" s="30" t="s">
        <v>56</v>
      </c>
      <c r="AC812" s="27"/>
      <c r="AD812" s="31" t="s">
        <v>57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2947</v>
      </c>
      <c r="C813" s="25" t="s">
        <v>2948</v>
      </c>
      <c r="D813" s="23" t="s">
        <v>2300</v>
      </c>
      <c r="E813" s="42">
        <v>46129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4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70">
        <v>46248</v>
      </c>
      <c r="X813" s="30" t="s">
        <v>55</v>
      </c>
      <c r="Y813" s="30" t="s">
        <v>56</v>
      </c>
      <c r="Z813" s="30" t="s">
        <v>57</v>
      </c>
      <c r="AA813" s="30" t="s">
        <v>58</v>
      </c>
      <c r="AB813" s="30" t="s">
        <v>56</v>
      </c>
      <c r="AC813" s="27"/>
      <c r="AD813" s="31" t="s">
        <v>57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2949</v>
      </c>
      <c r="C814" s="41" t="s">
        <v>2950</v>
      </c>
      <c r="D814" s="39" t="s">
        <v>2300</v>
      </c>
      <c r="E814" s="4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4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70">
        <v>46248</v>
      </c>
      <c r="X814" s="30" t="s">
        <v>55</v>
      </c>
      <c r="Y814" s="30" t="s">
        <v>56</v>
      </c>
      <c r="Z814" s="30" t="s">
        <v>57</v>
      </c>
      <c r="AA814" s="30" t="s">
        <v>58</v>
      </c>
      <c r="AB814" s="30" t="s">
        <v>56</v>
      </c>
      <c r="AC814" s="27"/>
      <c r="AD814" s="31" t="s">
        <v>57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2951</v>
      </c>
      <c r="C815" s="25" t="s">
        <v>2952</v>
      </c>
      <c r="D815" s="23" t="s">
        <v>2300</v>
      </c>
      <c r="E815" s="42">
        <v>46132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4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70">
        <v>46248</v>
      </c>
      <c r="X815" s="30" t="s">
        <v>55</v>
      </c>
      <c r="Y815" s="30" t="s">
        <v>56</v>
      </c>
      <c r="Z815" s="30" t="s">
        <v>57</v>
      </c>
      <c r="AA815" s="30" t="s">
        <v>58</v>
      </c>
      <c r="AB815" s="30" t="s">
        <v>56</v>
      </c>
      <c r="AC815" s="27"/>
      <c r="AD815" s="31" t="s">
        <v>57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2953</v>
      </c>
      <c r="C816" s="41" t="s">
        <v>2954</v>
      </c>
      <c r="D816" s="39" t="s">
        <v>2300</v>
      </c>
      <c r="E816" s="42">
        <v>46132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4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70">
        <v>46248</v>
      </c>
      <c r="X816" s="30" t="s">
        <v>55</v>
      </c>
      <c r="Y816" s="30" t="s">
        <v>56</v>
      </c>
      <c r="Z816" s="30" t="s">
        <v>57</v>
      </c>
      <c r="AA816" s="30" t="s">
        <v>58</v>
      </c>
      <c r="AB816" s="30" t="s">
        <v>56</v>
      </c>
      <c r="AC816" s="27"/>
      <c r="AD816" s="31" t="s">
        <v>57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2955</v>
      </c>
      <c r="C817" s="25" t="s">
        <v>2956</v>
      </c>
      <c r="D817" s="23" t="s">
        <v>2300</v>
      </c>
      <c r="E817" s="42">
        <v>46129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4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70">
        <v>46248</v>
      </c>
      <c r="X817" s="30" t="s">
        <v>55</v>
      </c>
      <c r="Y817" s="30" t="s">
        <v>56</v>
      </c>
      <c r="Z817" s="30" t="s">
        <v>57</v>
      </c>
      <c r="AA817" s="30" t="s">
        <v>58</v>
      </c>
      <c r="AB817" s="30" t="s">
        <v>56</v>
      </c>
      <c r="AC817" s="27"/>
      <c r="AD817" s="31" t="s">
        <v>57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2957</v>
      </c>
      <c r="C818" s="41" t="s">
        <v>2958</v>
      </c>
      <c r="D818" s="39" t="s">
        <v>2300</v>
      </c>
      <c r="E818" s="42">
        <v>46129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4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70">
        <v>46248</v>
      </c>
      <c r="X818" s="30" t="s">
        <v>55</v>
      </c>
      <c r="Y818" s="30" t="s">
        <v>56</v>
      </c>
      <c r="Z818" s="30" t="s">
        <v>57</v>
      </c>
      <c r="AA818" s="30" t="s">
        <v>58</v>
      </c>
      <c r="AB818" s="30" t="s">
        <v>56</v>
      </c>
      <c r="AC818" s="27"/>
      <c r="AD818" s="31" t="s">
        <v>57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2959</v>
      </c>
      <c r="C819" s="25" t="s">
        <v>2960</v>
      </c>
      <c r="D819" s="23" t="s">
        <v>2300</v>
      </c>
      <c r="E819" s="42">
        <v>46129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4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70">
        <v>46248</v>
      </c>
      <c r="X819" s="30" t="s">
        <v>55</v>
      </c>
      <c r="Y819" s="30" t="s">
        <v>56</v>
      </c>
      <c r="Z819" s="30" t="s">
        <v>57</v>
      </c>
      <c r="AA819" s="30" t="s">
        <v>58</v>
      </c>
      <c r="AB819" s="30" t="s">
        <v>56</v>
      </c>
      <c r="AC819" s="27"/>
      <c r="AD819" s="31" t="s">
        <v>57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2961</v>
      </c>
      <c r="C820" s="41" t="s">
        <v>2962</v>
      </c>
      <c r="D820" s="39" t="s">
        <v>2300</v>
      </c>
      <c r="E820" s="42">
        <v>46129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4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70">
        <v>46248</v>
      </c>
      <c r="X820" s="30" t="s">
        <v>55</v>
      </c>
      <c r="Y820" s="30" t="s">
        <v>56</v>
      </c>
      <c r="Z820" s="30" t="s">
        <v>57</v>
      </c>
      <c r="AA820" s="30" t="s">
        <v>58</v>
      </c>
      <c r="AB820" s="30" t="s">
        <v>56</v>
      </c>
      <c r="AC820" s="27"/>
      <c r="AD820" s="31" t="s">
        <v>57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2963</v>
      </c>
      <c r="C821" s="25" t="s">
        <v>2964</v>
      </c>
      <c r="D821" s="23" t="s">
        <v>2300</v>
      </c>
      <c r="E821" s="42">
        <v>46129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4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70">
        <v>46248</v>
      </c>
      <c r="X821" s="30" t="s">
        <v>55</v>
      </c>
      <c r="Y821" s="30" t="s">
        <v>56</v>
      </c>
      <c r="Z821" s="30" t="s">
        <v>57</v>
      </c>
      <c r="AA821" s="30" t="s">
        <v>58</v>
      </c>
      <c r="AB821" s="30" t="s">
        <v>56</v>
      </c>
      <c r="AC821" s="27"/>
      <c r="AD821" s="31" t="s">
        <v>57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2965</v>
      </c>
      <c r="C822" s="41" t="s">
        <v>2966</v>
      </c>
      <c r="D822" s="39" t="s">
        <v>2300</v>
      </c>
      <c r="E822" s="42">
        <v>46129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4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70">
        <v>46248</v>
      </c>
      <c r="X822" s="30" t="s">
        <v>55</v>
      </c>
      <c r="Y822" s="30" t="s">
        <v>56</v>
      </c>
      <c r="Z822" s="30" t="s">
        <v>57</v>
      </c>
      <c r="AA822" s="30" t="s">
        <v>58</v>
      </c>
      <c r="AB822" s="30" t="s">
        <v>56</v>
      </c>
      <c r="AC822" s="27"/>
      <c r="AD822" s="31" t="s">
        <v>57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2967</v>
      </c>
      <c r="C823" s="25" t="s">
        <v>2968</v>
      </c>
      <c r="D823" s="23" t="s">
        <v>2300</v>
      </c>
      <c r="E823" s="42">
        <v>46132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4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70">
        <v>46248</v>
      </c>
      <c r="X823" s="30" t="s">
        <v>55</v>
      </c>
      <c r="Y823" s="30" t="s">
        <v>56</v>
      </c>
      <c r="Z823" s="30" t="s">
        <v>57</v>
      </c>
      <c r="AA823" s="30" t="s">
        <v>58</v>
      </c>
      <c r="AB823" s="30" t="s">
        <v>56</v>
      </c>
      <c r="AC823" s="27"/>
      <c r="AD823" s="31" t="s">
        <v>57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2969</v>
      </c>
      <c r="C824" s="41" t="s">
        <v>2970</v>
      </c>
      <c r="D824" s="39" t="s">
        <v>2300</v>
      </c>
      <c r="E824" s="42">
        <v>46132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4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70">
        <v>46248</v>
      </c>
      <c r="X824" s="30" t="s">
        <v>55</v>
      </c>
      <c r="Y824" s="30" t="s">
        <v>56</v>
      </c>
      <c r="Z824" s="30" t="s">
        <v>57</v>
      </c>
      <c r="AA824" s="30" t="s">
        <v>58</v>
      </c>
      <c r="AB824" s="30" t="s">
        <v>56</v>
      </c>
      <c r="AC824" s="27"/>
      <c r="AD824" s="31" t="s">
        <v>57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2971</v>
      </c>
      <c r="C825" s="25" t="s">
        <v>2972</v>
      </c>
      <c r="D825" s="23" t="s">
        <v>2300</v>
      </c>
      <c r="E825" s="42">
        <v>46129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4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70">
        <v>46248</v>
      </c>
      <c r="X825" s="30" t="s">
        <v>55</v>
      </c>
      <c r="Y825" s="30" t="s">
        <v>56</v>
      </c>
      <c r="Z825" s="30" t="s">
        <v>57</v>
      </c>
      <c r="AA825" s="30" t="s">
        <v>58</v>
      </c>
      <c r="AB825" s="30" t="s">
        <v>56</v>
      </c>
      <c r="AC825" s="27"/>
      <c r="AD825" s="31" t="s">
        <v>57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2973</v>
      </c>
      <c r="C826" s="41" t="s">
        <v>2974</v>
      </c>
      <c r="D826" s="39" t="s">
        <v>2300</v>
      </c>
      <c r="E826" s="42">
        <v>46129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4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70">
        <v>46248</v>
      </c>
      <c r="X826" s="30" t="s">
        <v>55</v>
      </c>
      <c r="Y826" s="30" t="s">
        <v>56</v>
      </c>
      <c r="Z826" s="30" t="s">
        <v>57</v>
      </c>
      <c r="AA826" s="30" t="s">
        <v>58</v>
      </c>
      <c r="AB826" s="30" t="s">
        <v>56</v>
      </c>
      <c r="AC826" s="27"/>
      <c r="AD826" s="31" t="s">
        <v>57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2975</v>
      </c>
      <c r="C827" s="25" t="s">
        <v>2976</v>
      </c>
      <c r="D827" s="23" t="s">
        <v>2300</v>
      </c>
      <c r="E827" s="4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4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70">
        <v>46248</v>
      </c>
      <c r="X827" s="30" t="s">
        <v>55</v>
      </c>
      <c r="Y827" s="30" t="s">
        <v>56</v>
      </c>
      <c r="Z827" s="30" t="s">
        <v>57</v>
      </c>
      <c r="AA827" s="30" t="s">
        <v>58</v>
      </c>
      <c r="AB827" s="30" t="s">
        <v>56</v>
      </c>
      <c r="AC827" s="27"/>
      <c r="AD827" s="31" t="s">
        <v>57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2977</v>
      </c>
      <c r="C828" s="41" t="s">
        <v>2978</v>
      </c>
      <c r="D828" s="39" t="s">
        <v>2300</v>
      </c>
      <c r="E828" s="42">
        <v>46129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4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70">
        <v>46248</v>
      </c>
      <c r="X828" s="30" t="s">
        <v>55</v>
      </c>
      <c r="Y828" s="30" t="s">
        <v>56</v>
      </c>
      <c r="Z828" s="30" t="s">
        <v>57</v>
      </c>
      <c r="AA828" s="30" t="s">
        <v>58</v>
      </c>
      <c r="AB828" s="30" t="s">
        <v>56</v>
      </c>
      <c r="AC828" s="27"/>
      <c r="AD828" s="31" t="s">
        <v>57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2979</v>
      </c>
      <c r="C829" s="25" t="s">
        <v>2980</v>
      </c>
      <c r="D829" s="23" t="s">
        <v>2300</v>
      </c>
      <c r="E829" s="42">
        <v>46129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4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70">
        <v>46248</v>
      </c>
      <c r="X829" s="30" t="s">
        <v>55</v>
      </c>
      <c r="Y829" s="30" t="s">
        <v>56</v>
      </c>
      <c r="Z829" s="30" t="s">
        <v>57</v>
      </c>
      <c r="AA829" s="30" t="s">
        <v>58</v>
      </c>
      <c r="AB829" s="30" t="s">
        <v>56</v>
      </c>
      <c r="AC829" s="27"/>
      <c r="AD829" s="31" t="s">
        <v>57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2981</v>
      </c>
      <c r="C830" s="41" t="s">
        <v>2982</v>
      </c>
      <c r="D830" s="39" t="s">
        <v>2300</v>
      </c>
      <c r="E830" s="4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4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70">
        <v>46248</v>
      </c>
      <c r="X830" s="30" t="s">
        <v>55</v>
      </c>
      <c r="Y830" s="30" t="s">
        <v>56</v>
      </c>
      <c r="Z830" s="30" t="s">
        <v>57</v>
      </c>
      <c r="AA830" s="30" t="s">
        <v>58</v>
      </c>
      <c r="AB830" s="30" t="s">
        <v>56</v>
      </c>
      <c r="AC830" s="27"/>
      <c r="AD830" s="31" t="s">
        <v>57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2983</v>
      </c>
      <c r="C831" s="25" t="s">
        <v>2984</v>
      </c>
      <c r="D831" s="23" t="s">
        <v>2300</v>
      </c>
      <c r="E831" s="4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4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70">
        <v>46248</v>
      </c>
      <c r="X831" s="30" t="s">
        <v>55</v>
      </c>
      <c r="Y831" s="30" t="s">
        <v>56</v>
      </c>
      <c r="Z831" s="30" t="s">
        <v>57</v>
      </c>
      <c r="AA831" s="30" t="s">
        <v>58</v>
      </c>
      <c r="AB831" s="30" t="s">
        <v>56</v>
      </c>
      <c r="AC831" s="27"/>
      <c r="AD831" s="31" t="s">
        <v>57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2985</v>
      </c>
      <c r="C832" s="41" t="s">
        <v>2986</v>
      </c>
      <c r="D832" s="39" t="s">
        <v>2300</v>
      </c>
      <c r="E832" s="4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4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70">
        <v>46248</v>
      </c>
      <c r="X832" s="30" t="s">
        <v>55</v>
      </c>
      <c r="Y832" s="30" t="s">
        <v>56</v>
      </c>
      <c r="Z832" s="30" t="s">
        <v>57</v>
      </c>
      <c r="AA832" s="30" t="s">
        <v>58</v>
      </c>
      <c r="AB832" s="30" t="s">
        <v>56</v>
      </c>
      <c r="AC832" s="27"/>
      <c r="AD832" s="31" t="s">
        <v>57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2987</v>
      </c>
      <c r="C833" s="25" t="s">
        <v>2988</v>
      </c>
      <c r="D833" s="23" t="s">
        <v>2300</v>
      </c>
      <c r="E833" s="4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4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70">
        <v>46248</v>
      </c>
      <c r="X833" s="30" t="s">
        <v>55</v>
      </c>
      <c r="Y833" s="30" t="s">
        <v>56</v>
      </c>
      <c r="Z833" s="30" t="s">
        <v>57</v>
      </c>
      <c r="AA833" s="30" t="s">
        <v>58</v>
      </c>
      <c r="AB833" s="30" t="s">
        <v>56</v>
      </c>
      <c r="AC833" s="27"/>
      <c r="AD833" s="31" t="s">
        <v>57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2989</v>
      </c>
      <c r="C834" s="41" t="s">
        <v>2990</v>
      </c>
      <c r="D834" s="39" t="s">
        <v>2300</v>
      </c>
      <c r="E834" s="42">
        <v>46132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4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70">
        <v>46248</v>
      </c>
      <c r="X834" s="30" t="s">
        <v>55</v>
      </c>
      <c r="Y834" s="30" t="s">
        <v>56</v>
      </c>
      <c r="Z834" s="30" t="s">
        <v>57</v>
      </c>
      <c r="AA834" s="30" t="s">
        <v>58</v>
      </c>
      <c r="AB834" s="30" t="s">
        <v>56</v>
      </c>
      <c r="AC834" s="27"/>
      <c r="AD834" s="31" t="s">
        <v>57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2991</v>
      </c>
      <c r="C835" s="25" t="s">
        <v>2992</v>
      </c>
      <c r="D835" s="23" t="s">
        <v>2300</v>
      </c>
      <c r="E835" s="4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4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70">
        <v>46248</v>
      </c>
      <c r="X835" s="30" t="s">
        <v>55</v>
      </c>
      <c r="Y835" s="30" t="s">
        <v>56</v>
      </c>
      <c r="Z835" s="30" t="s">
        <v>57</v>
      </c>
      <c r="AA835" s="30" t="s">
        <v>58</v>
      </c>
      <c r="AB835" s="30" t="s">
        <v>56</v>
      </c>
      <c r="AC835" s="27"/>
      <c r="AD835" s="31" t="s">
        <v>57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2993</v>
      </c>
      <c r="C836" s="41" t="s">
        <v>2994</v>
      </c>
      <c r="D836" s="39" t="s">
        <v>2300</v>
      </c>
      <c r="E836" s="4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4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70">
        <v>46248</v>
      </c>
      <c r="X836" s="30" t="s">
        <v>55</v>
      </c>
      <c r="Y836" s="30" t="s">
        <v>56</v>
      </c>
      <c r="Z836" s="30" t="s">
        <v>57</v>
      </c>
      <c r="AA836" s="30" t="s">
        <v>58</v>
      </c>
      <c r="AB836" s="30" t="s">
        <v>56</v>
      </c>
      <c r="AC836" s="27"/>
      <c r="AD836" s="31" t="s">
        <v>57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2995</v>
      </c>
      <c r="C837" s="25" t="s">
        <v>2996</v>
      </c>
      <c r="D837" s="23" t="s">
        <v>2300</v>
      </c>
      <c r="E837" s="4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4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70">
        <v>46248</v>
      </c>
      <c r="X837" s="30" t="s">
        <v>55</v>
      </c>
      <c r="Y837" s="30" t="s">
        <v>56</v>
      </c>
      <c r="Z837" s="30" t="s">
        <v>57</v>
      </c>
      <c r="AA837" s="30" t="s">
        <v>58</v>
      </c>
      <c r="AB837" s="30" t="s">
        <v>56</v>
      </c>
      <c r="AC837" s="27"/>
      <c r="AD837" s="31" t="s">
        <v>57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2997</v>
      </c>
      <c r="C838" s="41" t="s">
        <v>2998</v>
      </c>
      <c r="D838" s="39" t="s">
        <v>2300</v>
      </c>
      <c r="E838" s="4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4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70">
        <v>46248</v>
      </c>
      <c r="X838" s="30" t="s">
        <v>55</v>
      </c>
      <c r="Y838" s="30" t="s">
        <v>56</v>
      </c>
      <c r="Z838" s="30" t="s">
        <v>57</v>
      </c>
      <c r="AA838" s="30" t="s">
        <v>58</v>
      </c>
      <c r="AB838" s="30" t="s">
        <v>56</v>
      </c>
      <c r="AC838" s="27"/>
      <c r="AD838" s="31" t="s">
        <v>57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2999</v>
      </c>
      <c r="C839" s="25" t="s">
        <v>3000</v>
      </c>
      <c r="D839" s="23" t="s">
        <v>2300</v>
      </c>
      <c r="E839" s="4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4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70">
        <v>46248</v>
      </c>
      <c r="X839" s="30" t="s">
        <v>55</v>
      </c>
      <c r="Y839" s="30" t="s">
        <v>56</v>
      </c>
      <c r="Z839" s="30" t="s">
        <v>57</v>
      </c>
      <c r="AA839" s="30" t="s">
        <v>58</v>
      </c>
      <c r="AB839" s="30" t="s">
        <v>56</v>
      </c>
      <c r="AC839" s="27"/>
      <c r="AD839" s="31" t="s">
        <v>57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3001</v>
      </c>
      <c r="C840" s="41" t="s">
        <v>3002</v>
      </c>
      <c r="D840" s="39" t="s">
        <v>2300</v>
      </c>
      <c r="E840" s="4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4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70">
        <v>46248</v>
      </c>
      <c r="X840" s="30" t="s">
        <v>55</v>
      </c>
      <c r="Y840" s="30" t="s">
        <v>56</v>
      </c>
      <c r="Z840" s="30" t="s">
        <v>57</v>
      </c>
      <c r="AA840" s="30" t="s">
        <v>58</v>
      </c>
      <c r="AB840" s="30" t="s">
        <v>56</v>
      </c>
      <c r="AC840" s="27"/>
      <c r="AD840" s="31" t="s">
        <v>57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3003</v>
      </c>
      <c r="C841" s="25" t="s">
        <v>3004</v>
      </c>
      <c r="D841" s="23" t="s">
        <v>2300</v>
      </c>
      <c r="E841" s="42">
        <v>46132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4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70">
        <v>46248</v>
      </c>
      <c r="X841" s="30" t="s">
        <v>55</v>
      </c>
      <c r="Y841" s="30" t="s">
        <v>56</v>
      </c>
      <c r="Z841" s="30" t="s">
        <v>57</v>
      </c>
      <c r="AA841" s="30" t="s">
        <v>58</v>
      </c>
      <c r="AB841" s="30" t="s">
        <v>56</v>
      </c>
      <c r="AC841" s="27"/>
      <c r="AD841" s="31" t="s">
        <v>57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3005</v>
      </c>
      <c r="C842" s="41" t="s">
        <v>3006</v>
      </c>
      <c r="D842" s="39" t="s">
        <v>2300</v>
      </c>
      <c r="E842" s="42">
        <v>46132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4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70">
        <v>46248</v>
      </c>
      <c r="X842" s="30" t="s">
        <v>55</v>
      </c>
      <c r="Y842" s="30" t="s">
        <v>56</v>
      </c>
      <c r="Z842" s="30" t="s">
        <v>57</v>
      </c>
      <c r="AA842" s="30" t="s">
        <v>58</v>
      </c>
      <c r="AB842" s="30" t="s">
        <v>56</v>
      </c>
      <c r="AC842" s="27"/>
      <c r="AD842" s="31" t="s">
        <v>57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3007</v>
      </c>
      <c r="C843" s="25" t="s">
        <v>3008</v>
      </c>
      <c r="D843" s="23" t="s">
        <v>2300</v>
      </c>
      <c r="E843" s="42">
        <v>46132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4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70">
        <v>46248</v>
      </c>
      <c r="X843" s="30" t="s">
        <v>55</v>
      </c>
      <c r="Y843" s="30" t="s">
        <v>56</v>
      </c>
      <c r="Z843" s="30" t="s">
        <v>57</v>
      </c>
      <c r="AA843" s="30" t="s">
        <v>58</v>
      </c>
      <c r="AB843" s="30" t="s">
        <v>56</v>
      </c>
      <c r="AC843" s="27"/>
      <c r="AD843" s="31" t="s">
        <v>57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3009</v>
      </c>
      <c r="C844" s="41" t="s">
        <v>3010</v>
      </c>
      <c r="D844" s="39" t="s">
        <v>2300</v>
      </c>
      <c r="E844" s="42">
        <v>46132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4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70">
        <v>46248</v>
      </c>
      <c r="X844" s="30" t="s">
        <v>55</v>
      </c>
      <c r="Y844" s="30" t="s">
        <v>56</v>
      </c>
      <c r="Z844" s="30" t="s">
        <v>57</v>
      </c>
      <c r="AA844" s="30" t="s">
        <v>58</v>
      </c>
      <c r="AB844" s="30" t="s">
        <v>56</v>
      </c>
      <c r="AC844" s="27"/>
      <c r="AD844" s="31" t="s">
        <v>57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3011</v>
      </c>
      <c r="C845" s="25" t="s">
        <v>3012</v>
      </c>
      <c r="D845" s="23" t="s">
        <v>2300</v>
      </c>
      <c r="E845" s="42">
        <v>46129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4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70">
        <v>46248</v>
      </c>
      <c r="X845" s="30" t="s">
        <v>55</v>
      </c>
      <c r="Y845" s="30" t="s">
        <v>56</v>
      </c>
      <c r="Z845" s="30" t="s">
        <v>57</v>
      </c>
      <c r="AA845" s="30" t="s">
        <v>58</v>
      </c>
      <c r="AB845" s="30" t="s">
        <v>56</v>
      </c>
      <c r="AC845" s="27"/>
      <c r="AD845" s="31" t="s">
        <v>57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3013</v>
      </c>
      <c r="C846" s="41" t="s">
        <v>3014</v>
      </c>
      <c r="D846" s="39" t="s">
        <v>2300</v>
      </c>
      <c r="E846" s="42">
        <v>46129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4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70">
        <v>46248</v>
      </c>
      <c r="X846" s="30" t="s">
        <v>55</v>
      </c>
      <c r="Y846" s="30" t="s">
        <v>56</v>
      </c>
      <c r="Z846" s="30" t="s">
        <v>57</v>
      </c>
      <c r="AA846" s="30" t="s">
        <v>58</v>
      </c>
      <c r="AB846" s="30" t="s">
        <v>56</v>
      </c>
      <c r="AC846" s="27"/>
      <c r="AD846" s="31" t="s">
        <v>57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3015</v>
      </c>
      <c r="C847" s="25" t="s">
        <v>3016</v>
      </c>
      <c r="D847" s="23" t="s">
        <v>2300</v>
      </c>
      <c r="E847" s="4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4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70">
        <v>46248</v>
      </c>
      <c r="X847" s="30" t="s">
        <v>55</v>
      </c>
      <c r="Y847" s="30" t="s">
        <v>56</v>
      </c>
      <c r="Z847" s="30" t="s">
        <v>57</v>
      </c>
      <c r="AA847" s="30" t="s">
        <v>58</v>
      </c>
      <c r="AB847" s="30" t="s">
        <v>56</v>
      </c>
      <c r="AC847" s="27"/>
      <c r="AD847" s="31" t="s">
        <v>57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3017</v>
      </c>
      <c r="C848" s="41" t="s">
        <v>3018</v>
      </c>
      <c r="D848" s="39" t="s">
        <v>2300</v>
      </c>
      <c r="E848" s="4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4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70">
        <v>46248</v>
      </c>
      <c r="X848" s="30" t="s">
        <v>55</v>
      </c>
      <c r="Y848" s="30" t="s">
        <v>56</v>
      </c>
      <c r="Z848" s="30" t="s">
        <v>57</v>
      </c>
      <c r="AA848" s="30" t="s">
        <v>58</v>
      </c>
      <c r="AB848" s="30" t="s">
        <v>56</v>
      </c>
      <c r="AC848" s="27"/>
      <c r="AD848" s="31" t="s">
        <v>57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3019</v>
      </c>
      <c r="C849" s="25" t="s">
        <v>3020</v>
      </c>
      <c r="D849" s="23" t="s">
        <v>2300</v>
      </c>
      <c r="E849" s="4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4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70">
        <v>46248</v>
      </c>
      <c r="X849" s="30" t="s">
        <v>55</v>
      </c>
      <c r="Y849" s="30" t="s">
        <v>56</v>
      </c>
      <c r="Z849" s="30" t="s">
        <v>57</v>
      </c>
      <c r="AA849" s="30" t="s">
        <v>58</v>
      </c>
      <c r="AB849" s="30" t="s">
        <v>56</v>
      </c>
      <c r="AC849" s="27"/>
      <c r="AD849" s="31" t="s">
        <v>57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3021</v>
      </c>
      <c r="C850" s="41" t="s">
        <v>3022</v>
      </c>
      <c r="D850" s="39" t="s">
        <v>2300</v>
      </c>
      <c r="E850" s="4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4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70">
        <v>46248</v>
      </c>
      <c r="X850" s="30" t="s">
        <v>55</v>
      </c>
      <c r="Y850" s="30" t="s">
        <v>56</v>
      </c>
      <c r="Z850" s="30" t="s">
        <v>57</v>
      </c>
      <c r="AA850" s="30" t="s">
        <v>58</v>
      </c>
      <c r="AB850" s="30" t="s">
        <v>56</v>
      </c>
      <c r="AC850" s="27"/>
      <c r="AD850" s="31" t="s">
        <v>57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3023</v>
      </c>
      <c r="C851" s="25" t="s">
        <v>3024</v>
      </c>
      <c r="D851" s="23" t="s">
        <v>2300</v>
      </c>
      <c r="E851" s="42">
        <v>46129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4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70">
        <v>46248</v>
      </c>
      <c r="X851" s="30" t="s">
        <v>55</v>
      </c>
      <c r="Y851" s="30" t="s">
        <v>56</v>
      </c>
      <c r="Z851" s="30" t="s">
        <v>57</v>
      </c>
      <c r="AA851" s="30" t="s">
        <v>58</v>
      </c>
      <c r="AB851" s="30" t="s">
        <v>56</v>
      </c>
      <c r="AC851" s="27"/>
      <c r="AD851" s="31" t="s">
        <v>57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3025</v>
      </c>
      <c r="C852" s="41" t="s">
        <v>3026</v>
      </c>
      <c r="D852" s="39" t="s">
        <v>2300</v>
      </c>
      <c r="E852" s="42">
        <v>46129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4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70">
        <v>46248</v>
      </c>
      <c r="X852" s="30" t="s">
        <v>55</v>
      </c>
      <c r="Y852" s="30" t="s">
        <v>56</v>
      </c>
      <c r="Z852" s="30" t="s">
        <v>57</v>
      </c>
      <c r="AA852" s="30" t="s">
        <v>58</v>
      </c>
      <c r="AB852" s="30" t="s">
        <v>56</v>
      </c>
      <c r="AC852" s="27"/>
      <c r="AD852" s="31" t="s">
        <v>57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3027</v>
      </c>
      <c r="C853" s="25" t="s">
        <v>3028</v>
      </c>
      <c r="D853" s="23" t="s">
        <v>2300</v>
      </c>
      <c r="E853" s="42">
        <v>46129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4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70">
        <v>46248</v>
      </c>
      <c r="X853" s="30" t="s">
        <v>55</v>
      </c>
      <c r="Y853" s="30" t="s">
        <v>56</v>
      </c>
      <c r="Z853" s="30" t="s">
        <v>57</v>
      </c>
      <c r="AA853" s="30" t="s">
        <v>58</v>
      </c>
      <c r="AB853" s="30" t="s">
        <v>56</v>
      </c>
      <c r="AC853" s="27"/>
      <c r="AD853" s="31" t="s">
        <v>57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3029</v>
      </c>
      <c r="C854" s="41" t="s">
        <v>3030</v>
      </c>
      <c r="D854" s="39" t="s">
        <v>2300</v>
      </c>
      <c r="E854" s="42">
        <v>46129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4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70">
        <v>46248</v>
      </c>
      <c r="X854" s="30" t="s">
        <v>55</v>
      </c>
      <c r="Y854" s="30" t="s">
        <v>56</v>
      </c>
      <c r="Z854" s="30" t="s">
        <v>57</v>
      </c>
      <c r="AA854" s="30" t="s">
        <v>58</v>
      </c>
      <c r="AB854" s="30" t="s">
        <v>56</v>
      </c>
      <c r="AC854" s="27"/>
      <c r="AD854" s="31" t="s">
        <v>57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3031</v>
      </c>
      <c r="C855" s="25" t="s">
        <v>3032</v>
      </c>
      <c r="D855" s="23" t="s">
        <v>2300</v>
      </c>
      <c r="E855" s="42">
        <v>46129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4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70">
        <v>46248</v>
      </c>
      <c r="X855" s="30" t="s">
        <v>55</v>
      </c>
      <c r="Y855" s="30" t="s">
        <v>56</v>
      </c>
      <c r="Z855" s="30" t="s">
        <v>57</v>
      </c>
      <c r="AA855" s="30" t="s">
        <v>58</v>
      </c>
      <c r="AB855" s="30" t="s">
        <v>56</v>
      </c>
      <c r="AC855" s="27"/>
      <c r="AD855" s="31" t="s">
        <v>57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3033</v>
      </c>
      <c r="C856" s="41" t="s">
        <v>3034</v>
      </c>
      <c r="D856" s="39" t="s">
        <v>2300</v>
      </c>
      <c r="E856" s="42">
        <v>46129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4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70">
        <v>46248</v>
      </c>
      <c r="X856" s="30" t="s">
        <v>55</v>
      </c>
      <c r="Y856" s="30" t="s">
        <v>56</v>
      </c>
      <c r="Z856" s="30" t="s">
        <v>57</v>
      </c>
      <c r="AA856" s="30" t="s">
        <v>58</v>
      </c>
      <c r="AB856" s="30" t="s">
        <v>56</v>
      </c>
      <c r="AC856" s="27"/>
      <c r="AD856" s="31" t="s">
        <v>57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3035</v>
      </c>
      <c r="C857" s="25" t="s">
        <v>3036</v>
      </c>
      <c r="D857" s="23" t="s">
        <v>2300</v>
      </c>
      <c r="E857" s="42">
        <v>46132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4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70">
        <v>46248</v>
      </c>
      <c r="X857" s="30" t="s">
        <v>55</v>
      </c>
      <c r="Y857" s="30" t="s">
        <v>56</v>
      </c>
      <c r="Z857" s="30" t="s">
        <v>57</v>
      </c>
      <c r="AA857" s="30" t="s">
        <v>58</v>
      </c>
      <c r="AB857" s="30" t="s">
        <v>56</v>
      </c>
      <c r="AC857" s="27"/>
      <c r="AD857" s="31" t="s">
        <v>57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3037</v>
      </c>
      <c r="C858" s="41" t="s">
        <v>3038</v>
      </c>
      <c r="D858" s="39" t="s">
        <v>2300</v>
      </c>
      <c r="E858" s="42">
        <v>46132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4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70">
        <v>46248</v>
      </c>
      <c r="X858" s="30" t="s">
        <v>55</v>
      </c>
      <c r="Y858" s="30" t="s">
        <v>56</v>
      </c>
      <c r="Z858" s="30" t="s">
        <v>57</v>
      </c>
      <c r="AA858" s="30" t="s">
        <v>58</v>
      </c>
      <c r="AB858" s="30" t="s">
        <v>56</v>
      </c>
      <c r="AC858" s="27"/>
      <c r="AD858" s="31" t="s">
        <v>57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3039</v>
      </c>
      <c r="C859" s="25" t="s">
        <v>3040</v>
      </c>
      <c r="D859" s="23" t="s">
        <v>2300</v>
      </c>
      <c r="E859" s="4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4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70">
        <v>46248</v>
      </c>
      <c r="X859" s="30" t="s">
        <v>55</v>
      </c>
      <c r="Y859" s="30" t="s">
        <v>56</v>
      </c>
      <c r="Z859" s="30" t="s">
        <v>57</v>
      </c>
      <c r="AA859" s="30" t="s">
        <v>58</v>
      </c>
      <c r="AB859" s="30" t="s">
        <v>56</v>
      </c>
      <c r="AC859" s="27"/>
      <c r="AD859" s="31" t="s">
        <v>57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3041</v>
      </c>
      <c r="C860" s="41" t="s">
        <v>3042</v>
      </c>
      <c r="D860" s="39" t="s">
        <v>2300</v>
      </c>
      <c r="E860" s="4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4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70">
        <v>46248</v>
      </c>
      <c r="X860" s="30" t="s">
        <v>55</v>
      </c>
      <c r="Y860" s="30" t="s">
        <v>56</v>
      </c>
      <c r="Z860" s="30" t="s">
        <v>57</v>
      </c>
      <c r="AA860" s="30" t="s">
        <v>58</v>
      </c>
      <c r="AB860" s="30" t="s">
        <v>56</v>
      </c>
      <c r="AC860" s="27"/>
      <c r="AD860" s="31" t="s">
        <v>57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3043</v>
      </c>
      <c r="C861" s="25" t="s">
        <v>3044</v>
      </c>
      <c r="D861" s="23" t="s">
        <v>2300</v>
      </c>
      <c r="E861" s="4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4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70">
        <v>46248</v>
      </c>
      <c r="X861" s="30" t="s">
        <v>55</v>
      </c>
      <c r="Y861" s="30" t="s">
        <v>56</v>
      </c>
      <c r="Z861" s="30" t="s">
        <v>57</v>
      </c>
      <c r="AA861" s="30" t="s">
        <v>58</v>
      </c>
      <c r="AB861" s="30" t="s">
        <v>56</v>
      </c>
      <c r="AC861" s="27"/>
      <c r="AD861" s="31" t="s">
        <v>57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3045</v>
      </c>
      <c r="C862" s="41" t="s">
        <v>3046</v>
      </c>
      <c r="D862" s="39" t="s">
        <v>2300</v>
      </c>
      <c r="E862" s="4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4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70">
        <v>46248</v>
      </c>
      <c r="X862" s="30" t="s">
        <v>55</v>
      </c>
      <c r="Y862" s="30" t="s">
        <v>56</v>
      </c>
      <c r="Z862" s="30" t="s">
        <v>57</v>
      </c>
      <c r="AA862" s="30" t="s">
        <v>58</v>
      </c>
      <c r="AB862" s="30" t="s">
        <v>56</v>
      </c>
      <c r="AC862" s="27"/>
      <c r="AD862" s="31" t="s">
        <v>57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3047</v>
      </c>
      <c r="C863" s="25" t="s">
        <v>3048</v>
      </c>
      <c r="D863" s="23" t="s">
        <v>2300</v>
      </c>
      <c r="E863" s="4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4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70">
        <v>46248</v>
      </c>
      <c r="X863" s="30" t="s">
        <v>55</v>
      </c>
      <c r="Y863" s="30" t="s">
        <v>56</v>
      </c>
      <c r="Z863" s="30" t="s">
        <v>57</v>
      </c>
      <c r="AA863" s="30" t="s">
        <v>58</v>
      </c>
      <c r="AB863" s="30" t="s">
        <v>56</v>
      </c>
      <c r="AC863" s="27"/>
      <c r="AD863" s="31" t="s">
        <v>57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3049</v>
      </c>
      <c r="C864" s="41" t="s">
        <v>3050</v>
      </c>
      <c r="D864" s="39" t="s">
        <v>2300</v>
      </c>
      <c r="E864" s="4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4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70">
        <v>46248</v>
      </c>
      <c r="X864" s="30" t="s">
        <v>55</v>
      </c>
      <c r="Y864" s="30" t="s">
        <v>56</v>
      </c>
      <c r="Z864" s="30" t="s">
        <v>57</v>
      </c>
      <c r="AA864" s="30" t="s">
        <v>58</v>
      </c>
      <c r="AB864" s="30" t="s">
        <v>56</v>
      </c>
      <c r="AC864" s="27"/>
      <c r="AD864" s="31" t="s">
        <v>57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3051</v>
      </c>
      <c r="C865" s="25" t="s">
        <v>3052</v>
      </c>
      <c r="D865" s="23" t="s">
        <v>2300</v>
      </c>
      <c r="E865" s="42">
        <v>46132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4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70">
        <v>46248</v>
      </c>
      <c r="X865" s="30" t="s">
        <v>55</v>
      </c>
      <c r="Y865" s="30" t="s">
        <v>56</v>
      </c>
      <c r="Z865" s="30" t="s">
        <v>57</v>
      </c>
      <c r="AA865" s="30" t="s">
        <v>58</v>
      </c>
      <c r="AB865" s="30" t="s">
        <v>56</v>
      </c>
      <c r="AC865" s="27"/>
      <c r="AD865" s="31" t="s">
        <v>57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3053</v>
      </c>
      <c r="C866" s="41" t="s">
        <v>3054</v>
      </c>
      <c r="D866" s="39" t="s">
        <v>2300</v>
      </c>
      <c r="E866" s="42">
        <v>46132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4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70">
        <v>46248</v>
      </c>
      <c r="X866" s="30" t="s">
        <v>55</v>
      </c>
      <c r="Y866" s="30" t="s">
        <v>56</v>
      </c>
      <c r="Z866" s="30" t="s">
        <v>57</v>
      </c>
      <c r="AA866" s="30" t="s">
        <v>58</v>
      </c>
      <c r="AB866" s="30" t="s">
        <v>56</v>
      </c>
      <c r="AC866" s="27"/>
      <c r="AD866" s="31" t="s">
        <v>57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3055</v>
      </c>
      <c r="C867" s="25" t="s">
        <v>3056</v>
      </c>
      <c r="D867" s="23" t="s">
        <v>2300</v>
      </c>
      <c r="E867" s="42">
        <v>46129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4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70">
        <v>46248</v>
      </c>
      <c r="X867" s="30" t="s">
        <v>55</v>
      </c>
      <c r="Y867" s="30" t="s">
        <v>56</v>
      </c>
      <c r="Z867" s="30" t="s">
        <v>57</v>
      </c>
      <c r="AA867" s="30" t="s">
        <v>58</v>
      </c>
      <c r="AB867" s="30" t="s">
        <v>56</v>
      </c>
      <c r="AC867" s="27"/>
      <c r="AD867" s="31" t="s">
        <v>57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3057</v>
      </c>
      <c r="C868" s="41" t="s">
        <v>3058</v>
      </c>
      <c r="D868" s="39" t="s">
        <v>2300</v>
      </c>
      <c r="E868" s="42">
        <v>46129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4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70">
        <v>46248</v>
      </c>
      <c r="X868" s="30" t="s">
        <v>55</v>
      </c>
      <c r="Y868" s="30" t="s">
        <v>56</v>
      </c>
      <c r="Z868" s="30" t="s">
        <v>57</v>
      </c>
      <c r="AA868" s="30" t="s">
        <v>58</v>
      </c>
      <c r="AB868" s="30" t="s">
        <v>56</v>
      </c>
      <c r="AC868" s="27"/>
      <c r="AD868" s="31" t="s">
        <v>57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3059</v>
      </c>
      <c r="C869" s="25" t="s">
        <v>3060</v>
      </c>
      <c r="D869" s="23" t="s">
        <v>2300</v>
      </c>
      <c r="E869" s="4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4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70">
        <v>46248</v>
      </c>
      <c r="X869" s="30" t="s">
        <v>55</v>
      </c>
      <c r="Y869" s="30" t="s">
        <v>56</v>
      </c>
      <c r="Z869" s="30" t="s">
        <v>57</v>
      </c>
      <c r="AA869" s="30" t="s">
        <v>58</v>
      </c>
      <c r="AB869" s="30" t="s">
        <v>56</v>
      </c>
      <c r="AC869" s="27"/>
      <c r="AD869" s="31" t="s">
        <v>57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3061</v>
      </c>
      <c r="C870" s="41" t="s">
        <v>3062</v>
      </c>
      <c r="D870" s="39" t="s">
        <v>2300</v>
      </c>
      <c r="E870" s="42">
        <v>46129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4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70">
        <v>46248</v>
      </c>
      <c r="X870" s="30" t="s">
        <v>55</v>
      </c>
      <c r="Y870" s="30" t="s">
        <v>56</v>
      </c>
      <c r="Z870" s="30" t="s">
        <v>57</v>
      </c>
      <c r="AA870" s="30" t="s">
        <v>58</v>
      </c>
      <c r="AB870" s="30" t="s">
        <v>56</v>
      </c>
      <c r="AC870" s="27"/>
      <c r="AD870" s="31" t="s">
        <v>57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3063</v>
      </c>
      <c r="C871" s="25" t="s">
        <v>3064</v>
      </c>
      <c r="D871" s="23" t="s">
        <v>2300</v>
      </c>
      <c r="E871" s="42">
        <v>46129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4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70">
        <v>46248</v>
      </c>
      <c r="X871" s="30" t="s">
        <v>55</v>
      </c>
      <c r="Y871" s="30" t="s">
        <v>56</v>
      </c>
      <c r="Z871" s="30" t="s">
        <v>57</v>
      </c>
      <c r="AA871" s="30" t="s">
        <v>58</v>
      </c>
      <c r="AB871" s="30" t="s">
        <v>56</v>
      </c>
      <c r="AC871" s="27"/>
      <c r="AD871" s="31" t="s">
        <v>57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3065</v>
      </c>
      <c r="C872" s="41" t="s">
        <v>3066</v>
      </c>
      <c r="D872" s="39" t="s">
        <v>2300</v>
      </c>
      <c r="E872" s="4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4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70">
        <v>46248</v>
      </c>
      <c r="X872" s="30" t="s">
        <v>55</v>
      </c>
      <c r="Y872" s="30" t="s">
        <v>56</v>
      </c>
      <c r="Z872" s="30" t="s">
        <v>57</v>
      </c>
      <c r="AA872" s="30" t="s">
        <v>58</v>
      </c>
      <c r="AB872" s="30" t="s">
        <v>56</v>
      </c>
      <c r="AC872" s="27"/>
      <c r="AD872" s="31" t="s">
        <v>57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3067</v>
      </c>
      <c r="C873" s="25" t="s">
        <v>3068</v>
      </c>
      <c r="D873" s="23" t="s">
        <v>2300</v>
      </c>
      <c r="E873" s="4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4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70">
        <v>46248</v>
      </c>
      <c r="X873" s="30" t="s">
        <v>55</v>
      </c>
      <c r="Y873" s="30" t="s">
        <v>56</v>
      </c>
      <c r="Z873" s="30" t="s">
        <v>57</v>
      </c>
      <c r="AA873" s="30" t="s">
        <v>58</v>
      </c>
      <c r="AB873" s="30" t="s">
        <v>56</v>
      </c>
      <c r="AC873" s="27"/>
      <c r="AD873" s="31" t="s">
        <v>57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3069</v>
      </c>
      <c r="C874" s="41" t="s">
        <v>3070</v>
      </c>
      <c r="D874" s="39" t="s">
        <v>2300</v>
      </c>
      <c r="E874" s="42">
        <v>46129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4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70">
        <v>46248</v>
      </c>
      <c r="X874" s="30" t="s">
        <v>55</v>
      </c>
      <c r="Y874" s="30" t="s">
        <v>56</v>
      </c>
      <c r="Z874" s="30" t="s">
        <v>57</v>
      </c>
      <c r="AA874" s="30" t="s">
        <v>58</v>
      </c>
      <c r="AB874" s="30" t="s">
        <v>56</v>
      </c>
      <c r="AC874" s="27"/>
      <c r="AD874" s="31" t="s">
        <v>57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3071</v>
      </c>
      <c r="C875" s="25" t="s">
        <v>3072</v>
      </c>
      <c r="D875" s="23" t="s">
        <v>2300</v>
      </c>
      <c r="E875" s="42">
        <v>46129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4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70">
        <v>46248</v>
      </c>
      <c r="X875" s="30" t="s">
        <v>55</v>
      </c>
      <c r="Y875" s="30" t="s">
        <v>56</v>
      </c>
      <c r="Z875" s="30" t="s">
        <v>57</v>
      </c>
      <c r="AA875" s="30" t="s">
        <v>58</v>
      </c>
      <c r="AB875" s="30" t="s">
        <v>56</v>
      </c>
      <c r="AC875" s="27"/>
      <c r="AD875" s="31" t="s">
        <v>57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3073</v>
      </c>
      <c r="C876" s="41" t="s">
        <v>3074</v>
      </c>
      <c r="D876" s="39" t="s">
        <v>2300</v>
      </c>
      <c r="E876" s="42">
        <v>46132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4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70">
        <v>46248</v>
      </c>
      <c r="X876" s="30" t="s">
        <v>55</v>
      </c>
      <c r="Y876" s="30" t="s">
        <v>56</v>
      </c>
      <c r="Z876" s="30" t="s">
        <v>57</v>
      </c>
      <c r="AA876" s="30" t="s">
        <v>58</v>
      </c>
      <c r="AB876" s="30" t="s">
        <v>56</v>
      </c>
      <c r="AC876" s="27"/>
      <c r="AD876" s="31" t="s">
        <v>57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3075</v>
      </c>
      <c r="C877" s="25" t="s">
        <v>3076</v>
      </c>
      <c r="D877" s="23" t="s">
        <v>2300</v>
      </c>
      <c r="E877" s="42">
        <v>46132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4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70">
        <v>46248</v>
      </c>
      <c r="X877" s="30" t="s">
        <v>55</v>
      </c>
      <c r="Y877" s="30" t="s">
        <v>56</v>
      </c>
      <c r="Z877" s="30" t="s">
        <v>57</v>
      </c>
      <c r="AA877" s="30" t="s">
        <v>58</v>
      </c>
      <c r="AB877" s="30" t="s">
        <v>56</v>
      </c>
      <c r="AC877" s="27"/>
      <c r="AD877" s="31" t="s">
        <v>57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3077</v>
      </c>
      <c r="C878" s="41" t="s">
        <v>3078</v>
      </c>
      <c r="D878" s="39" t="s">
        <v>2300</v>
      </c>
      <c r="E878" s="42">
        <v>46129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4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70">
        <v>46248</v>
      </c>
      <c r="X878" s="30" t="s">
        <v>55</v>
      </c>
      <c r="Y878" s="30" t="s">
        <v>56</v>
      </c>
      <c r="Z878" s="30" t="s">
        <v>57</v>
      </c>
      <c r="AA878" s="30" t="s">
        <v>58</v>
      </c>
      <c r="AB878" s="30" t="s">
        <v>56</v>
      </c>
      <c r="AC878" s="27"/>
      <c r="AD878" s="31" t="s">
        <v>57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3079</v>
      </c>
      <c r="C879" s="25" t="s">
        <v>3080</v>
      </c>
      <c r="D879" s="23" t="s">
        <v>2300</v>
      </c>
      <c r="E879" s="42">
        <v>46129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4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70">
        <v>46248</v>
      </c>
      <c r="X879" s="30" t="s">
        <v>55</v>
      </c>
      <c r="Y879" s="30" t="s">
        <v>56</v>
      </c>
      <c r="Z879" s="30" t="s">
        <v>57</v>
      </c>
      <c r="AA879" s="30" t="s">
        <v>58</v>
      </c>
      <c r="AB879" s="30" t="s">
        <v>56</v>
      </c>
      <c r="AC879" s="27"/>
      <c r="AD879" s="31" t="s">
        <v>57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3081</v>
      </c>
      <c r="C880" s="41" t="s">
        <v>3082</v>
      </c>
      <c r="D880" s="39" t="s">
        <v>2300</v>
      </c>
      <c r="E880" s="42">
        <v>46132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4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70">
        <v>46248</v>
      </c>
      <c r="X880" s="30" t="s">
        <v>55</v>
      </c>
      <c r="Y880" s="30" t="s">
        <v>56</v>
      </c>
      <c r="Z880" s="30" t="s">
        <v>57</v>
      </c>
      <c r="AA880" s="30" t="s">
        <v>58</v>
      </c>
      <c r="AB880" s="30" t="s">
        <v>56</v>
      </c>
      <c r="AC880" s="27"/>
      <c r="AD880" s="31" t="s">
        <v>57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3083</v>
      </c>
      <c r="C881" s="25" t="s">
        <v>3084</v>
      </c>
      <c r="D881" s="23" t="s">
        <v>2300</v>
      </c>
      <c r="E881" s="42">
        <v>46132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4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70">
        <v>46248</v>
      </c>
      <c r="X881" s="30" t="s">
        <v>55</v>
      </c>
      <c r="Y881" s="30" t="s">
        <v>56</v>
      </c>
      <c r="Z881" s="30" t="s">
        <v>57</v>
      </c>
      <c r="AA881" s="30" t="s">
        <v>58</v>
      </c>
      <c r="AB881" s="30" t="s">
        <v>56</v>
      </c>
      <c r="AC881" s="27"/>
      <c r="AD881" s="31" t="s">
        <v>57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3085</v>
      </c>
      <c r="C882" s="41" t="s">
        <v>3086</v>
      </c>
      <c r="D882" s="39" t="s">
        <v>2300</v>
      </c>
      <c r="E882" s="42">
        <v>46129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4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70">
        <v>46248</v>
      </c>
      <c r="X882" s="30" t="s">
        <v>55</v>
      </c>
      <c r="Y882" s="30" t="s">
        <v>56</v>
      </c>
      <c r="Z882" s="30" t="s">
        <v>57</v>
      </c>
      <c r="AA882" s="30" t="s">
        <v>58</v>
      </c>
      <c r="AB882" s="30" t="s">
        <v>56</v>
      </c>
      <c r="AC882" s="27"/>
      <c r="AD882" s="31" t="s">
        <v>57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3087</v>
      </c>
      <c r="C883" s="25" t="s">
        <v>3088</v>
      </c>
      <c r="D883" s="23" t="s">
        <v>2300</v>
      </c>
      <c r="E883" s="42">
        <v>46129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4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70">
        <v>46248</v>
      </c>
      <c r="X883" s="30" t="s">
        <v>55</v>
      </c>
      <c r="Y883" s="30" t="s">
        <v>56</v>
      </c>
      <c r="Z883" s="30" t="s">
        <v>57</v>
      </c>
      <c r="AA883" s="30" t="s">
        <v>58</v>
      </c>
      <c r="AB883" s="30" t="s">
        <v>56</v>
      </c>
      <c r="AC883" s="27"/>
      <c r="AD883" s="31" t="s">
        <v>57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3089</v>
      </c>
      <c r="C884" s="41" t="s">
        <v>3090</v>
      </c>
      <c r="D884" s="39" t="s">
        <v>2300</v>
      </c>
      <c r="E884" s="42">
        <v>46132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4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70">
        <v>46248</v>
      </c>
      <c r="X884" s="30" t="s">
        <v>55</v>
      </c>
      <c r="Y884" s="30" t="s">
        <v>56</v>
      </c>
      <c r="Z884" s="30" t="s">
        <v>57</v>
      </c>
      <c r="AA884" s="30" t="s">
        <v>58</v>
      </c>
      <c r="AB884" s="30" t="s">
        <v>56</v>
      </c>
      <c r="AC884" s="27"/>
      <c r="AD884" s="31" t="s">
        <v>57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3091</v>
      </c>
      <c r="C885" s="25" t="s">
        <v>3092</v>
      </c>
      <c r="D885" s="23" t="s">
        <v>2300</v>
      </c>
      <c r="E885" s="42">
        <v>46132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4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70">
        <v>46248</v>
      </c>
      <c r="X885" s="30" t="s">
        <v>55</v>
      </c>
      <c r="Y885" s="30" t="s">
        <v>56</v>
      </c>
      <c r="Z885" s="30" t="s">
        <v>57</v>
      </c>
      <c r="AA885" s="30" t="s">
        <v>58</v>
      </c>
      <c r="AB885" s="30" t="s">
        <v>56</v>
      </c>
      <c r="AC885" s="27"/>
      <c r="AD885" s="31" t="s">
        <v>57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3093</v>
      </c>
      <c r="C886" s="41" t="s">
        <v>3094</v>
      </c>
      <c r="D886" s="39" t="s">
        <v>2300</v>
      </c>
      <c r="E886" s="42">
        <v>46132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4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70">
        <v>46248</v>
      </c>
      <c r="X886" s="30" t="s">
        <v>55</v>
      </c>
      <c r="Y886" s="30" t="s">
        <v>56</v>
      </c>
      <c r="Z886" s="30" t="s">
        <v>57</v>
      </c>
      <c r="AA886" s="30" t="s">
        <v>58</v>
      </c>
      <c r="AB886" s="30" t="s">
        <v>56</v>
      </c>
      <c r="AC886" s="27"/>
      <c r="AD886" s="31" t="s">
        <v>57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3095</v>
      </c>
      <c r="C887" s="25" t="s">
        <v>3096</v>
      </c>
      <c r="D887" s="23" t="s">
        <v>2300</v>
      </c>
      <c r="E887" s="42">
        <v>46132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4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70">
        <v>46248</v>
      </c>
      <c r="X887" s="30" t="s">
        <v>55</v>
      </c>
      <c r="Y887" s="30" t="s">
        <v>56</v>
      </c>
      <c r="Z887" s="30" t="s">
        <v>57</v>
      </c>
      <c r="AA887" s="30" t="s">
        <v>58</v>
      </c>
      <c r="AB887" s="30" t="s">
        <v>56</v>
      </c>
      <c r="AC887" s="27"/>
      <c r="AD887" s="31" t="s">
        <v>57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3097</v>
      </c>
      <c r="C888" s="41" t="s">
        <v>3098</v>
      </c>
      <c r="D888" s="39" t="s">
        <v>2300</v>
      </c>
      <c r="E888" s="42">
        <v>46132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4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70">
        <v>46248</v>
      </c>
      <c r="X888" s="30" t="s">
        <v>55</v>
      </c>
      <c r="Y888" s="30" t="s">
        <v>56</v>
      </c>
      <c r="Z888" s="30" t="s">
        <v>57</v>
      </c>
      <c r="AA888" s="30" t="s">
        <v>58</v>
      </c>
      <c r="AB888" s="30" t="s">
        <v>56</v>
      </c>
      <c r="AC888" s="27"/>
      <c r="AD888" s="31" t="s">
        <v>57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3099</v>
      </c>
      <c r="C889" s="25" t="s">
        <v>3100</v>
      </c>
      <c r="D889" s="23" t="s">
        <v>2300</v>
      </c>
      <c r="E889" s="42">
        <v>46132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4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70">
        <v>46248</v>
      </c>
      <c r="X889" s="30" t="s">
        <v>55</v>
      </c>
      <c r="Y889" s="30" t="s">
        <v>56</v>
      </c>
      <c r="Z889" s="30" t="s">
        <v>57</v>
      </c>
      <c r="AA889" s="30" t="s">
        <v>58</v>
      </c>
      <c r="AB889" s="30" t="s">
        <v>56</v>
      </c>
      <c r="AC889" s="27"/>
      <c r="AD889" s="31" t="s">
        <v>57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3101</v>
      </c>
      <c r="C890" s="41" t="s">
        <v>3102</v>
      </c>
      <c r="D890" s="39" t="s">
        <v>2300</v>
      </c>
      <c r="E890" s="42">
        <v>46132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4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70">
        <v>46248</v>
      </c>
      <c r="X890" s="30" t="s">
        <v>55</v>
      </c>
      <c r="Y890" s="30" t="s">
        <v>56</v>
      </c>
      <c r="Z890" s="30" t="s">
        <v>57</v>
      </c>
      <c r="AA890" s="30" t="s">
        <v>58</v>
      </c>
      <c r="AB890" s="30" t="s">
        <v>56</v>
      </c>
      <c r="AC890" s="27"/>
      <c r="AD890" s="31" t="s">
        <v>57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3103</v>
      </c>
      <c r="C891" s="25" t="s">
        <v>3104</v>
      </c>
      <c r="D891" s="23" t="s">
        <v>2300</v>
      </c>
      <c r="E891" s="42">
        <v>46132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4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70">
        <v>46248</v>
      </c>
      <c r="X891" s="30" t="s">
        <v>55</v>
      </c>
      <c r="Y891" s="30" t="s">
        <v>56</v>
      </c>
      <c r="Z891" s="30" t="s">
        <v>57</v>
      </c>
      <c r="AA891" s="30" t="s">
        <v>58</v>
      </c>
      <c r="AB891" s="30" t="s">
        <v>56</v>
      </c>
      <c r="AC891" s="27"/>
      <c r="AD891" s="31" t="s">
        <v>57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3105</v>
      </c>
      <c r="C892" s="41" t="s">
        <v>3106</v>
      </c>
      <c r="D892" s="39" t="s">
        <v>2300</v>
      </c>
      <c r="E892" s="42">
        <v>46129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4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70">
        <v>46248</v>
      </c>
      <c r="X892" s="30" t="s">
        <v>55</v>
      </c>
      <c r="Y892" s="30" t="s">
        <v>56</v>
      </c>
      <c r="Z892" s="30" t="s">
        <v>57</v>
      </c>
      <c r="AA892" s="30" t="s">
        <v>58</v>
      </c>
      <c r="AB892" s="30" t="s">
        <v>56</v>
      </c>
      <c r="AC892" s="27"/>
      <c r="AD892" s="31" t="s">
        <v>57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3107</v>
      </c>
      <c r="C893" s="25" t="s">
        <v>3108</v>
      </c>
      <c r="D893" s="23" t="s">
        <v>2300</v>
      </c>
      <c r="E893" s="42">
        <v>46129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4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70">
        <v>46248</v>
      </c>
      <c r="X893" s="30" t="s">
        <v>55</v>
      </c>
      <c r="Y893" s="30" t="s">
        <v>56</v>
      </c>
      <c r="Z893" s="30" t="s">
        <v>57</v>
      </c>
      <c r="AA893" s="30" t="s">
        <v>58</v>
      </c>
      <c r="AB893" s="30" t="s">
        <v>56</v>
      </c>
      <c r="AC893" s="27"/>
      <c r="AD893" s="31" t="s">
        <v>57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3109</v>
      </c>
      <c r="C894" s="41" t="s">
        <v>3110</v>
      </c>
      <c r="D894" s="39" t="s">
        <v>2300</v>
      </c>
      <c r="E894" s="42">
        <v>46132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/>
      <c r="K894" s="27"/>
      <c r="L894" s="28"/>
      <c r="M894" s="29" t="str">
        <f t="shared" si="65"/>
        <v>⚠ Check</v>
      </c>
      <c r="N894" s="4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/>
      <c r="T894" s="27"/>
      <c r="U894" s="28" t="s">
        <v>57</v>
      </c>
      <c r="V894" s="29" t="str">
        <f t="shared" si="66"/>
        <v>⚠ Check</v>
      </c>
      <c r="W894" s="70">
        <v>46248</v>
      </c>
      <c r="X894" s="30" t="s">
        <v>55</v>
      </c>
      <c r="Y894" s="30" t="s">
        <v>56</v>
      </c>
      <c r="Z894" s="30" t="s">
        <v>57</v>
      </c>
      <c r="AA894" s="30" t="s">
        <v>58</v>
      </c>
      <c r="AB894" s="30"/>
      <c r="AC894" s="27"/>
      <c r="AD894" s="31" t="s">
        <v>57</v>
      </c>
      <c r="AE894" s="32" t="str">
        <f t="shared" si="67"/>
        <v>⚠ Check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3111</v>
      </c>
      <c r="C895" s="25" t="s">
        <v>3112</v>
      </c>
      <c r="D895" s="23" t="s">
        <v>2300</v>
      </c>
      <c r="E895" s="42">
        <v>46132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4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70">
        <v>46248</v>
      </c>
      <c r="X895" s="30" t="s">
        <v>55</v>
      </c>
      <c r="Y895" s="30" t="s">
        <v>56</v>
      </c>
      <c r="Z895" s="30" t="s">
        <v>57</v>
      </c>
      <c r="AA895" s="30" t="s">
        <v>58</v>
      </c>
      <c r="AB895" s="30" t="s">
        <v>56</v>
      </c>
      <c r="AC895" s="27"/>
      <c r="AD895" s="31" t="s">
        <v>57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3113</v>
      </c>
      <c r="C896" s="41" t="s">
        <v>3114</v>
      </c>
      <c r="D896" s="39" t="s">
        <v>2300</v>
      </c>
      <c r="E896" s="42">
        <v>46129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4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70">
        <v>46248</v>
      </c>
      <c r="X896" s="30" t="s">
        <v>55</v>
      </c>
      <c r="Y896" s="30" t="s">
        <v>56</v>
      </c>
      <c r="Z896" s="30" t="s">
        <v>57</v>
      </c>
      <c r="AA896" s="30" t="s">
        <v>58</v>
      </c>
      <c r="AB896" s="30" t="s">
        <v>56</v>
      </c>
      <c r="AC896" s="27"/>
      <c r="AD896" s="31" t="s">
        <v>57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3115</v>
      </c>
      <c r="C897" s="25" t="s">
        <v>3116</v>
      </c>
      <c r="D897" s="23" t="s">
        <v>2300</v>
      </c>
      <c r="E897" s="42">
        <v>46129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4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70">
        <v>46248</v>
      </c>
      <c r="X897" s="30" t="s">
        <v>55</v>
      </c>
      <c r="Y897" s="30" t="s">
        <v>56</v>
      </c>
      <c r="Z897" s="30" t="s">
        <v>57</v>
      </c>
      <c r="AA897" s="30" t="s">
        <v>58</v>
      </c>
      <c r="AB897" s="30" t="s">
        <v>56</v>
      </c>
      <c r="AC897" s="27"/>
      <c r="AD897" s="31" t="s">
        <v>57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3117</v>
      </c>
      <c r="C898" s="41" t="s">
        <v>3118</v>
      </c>
      <c r="D898" s="39" t="s">
        <v>2300</v>
      </c>
      <c r="E898" s="4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4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70">
        <v>46248</v>
      </c>
      <c r="X898" s="30" t="s">
        <v>55</v>
      </c>
      <c r="Y898" s="30" t="s">
        <v>56</v>
      </c>
      <c r="Z898" s="30" t="s">
        <v>57</v>
      </c>
      <c r="AA898" s="30" t="s">
        <v>58</v>
      </c>
      <c r="AB898" s="30" t="s">
        <v>56</v>
      </c>
      <c r="AC898" s="27"/>
      <c r="AD898" s="31" t="s">
        <v>57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3119</v>
      </c>
      <c r="C899" s="25" t="s">
        <v>3120</v>
      </c>
      <c r="D899" s="23" t="s">
        <v>2300</v>
      </c>
      <c r="E899" s="4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4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70">
        <v>46248</v>
      </c>
      <c r="X899" s="30" t="s">
        <v>55</v>
      </c>
      <c r="Y899" s="30" t="s">
        <v>56</v>
      </c>
      <c r="Z899" s="30" t="s">
        <v>57</v>
      </c>
      <c r="AA899" s="30" t="s">
        <v>58</v>
      </c>
      <c r="AB899" s="30" t="s">
        <v>56</v>
      </c>
      <c r="AC899" s="27"/>
      <c r="AD899" s="31" t="s">
        <v>57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3121</v>
      </c>
      <c r="C900" s="41" t="s">
        <v>3122</v>
      </c>
      <c r="D900" s="39" t="s">
        <v>2300</v>
      </c>
      <c r="E900" s="4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4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70">
        <v>46248</v>
      </c>
      <c r="X900" s="30" t="s">
        <v>55</v>
      </c>
      <c r="Y900" s="30" t="s">
        <v>56</v>
      </c>
      <c r="Z900" s="30" t="s">
        <v>57</v>
      </c>
      <c r="AA900" s="30" t="s">
        <v>58</v>
      </c>
      <c r="AB900" s="30" t="s">
        <v>56</v>
      </c>
      <c r="AC900" s="27"/>
      <c r="AD900" s="31" t="s">
        <v>57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3123</v>
      </c>
      <c r="C901" s="25" t="s">
        <v>3124</v>
      </c>
      <c r="D901" s="23" t="s">
        <v>2300</v>
      </c>
      <c r="E901" s="4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4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70">
        <v>46248</v>
      </c>
      <c r="X901" s="30" t="s">
        <v>55</v>
      </c>
      <c r="Y901" s="30" t="s">
        <v>56</v>
      </c>
      <c r="Z901" s="30" t="s">
        <v>57</v>
      </c>
      <c r="AA901" s="30" t="s">
        <v>58</v>
      </c>
      <c r="AB901" s="30" t="s">
        <v>56</v>
      </c>
      <c r="AC901" s="27"/>
      <c r="AD901" s="31" t="s">
        <v>57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3125</v>
      </c>
      <c r="C902" s="41" t="s">
        <v>3126</v>
      </c>
      <c r="D902" s="39" t="s">
        <v>2300</v>
      </c>
      <c r="E902" s="42">
        <v>46129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4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70">
        <v>46248</v>
      </c>
      <c r="X902" s="30" t="s">
        <v>55</v>
      </c>
      <c r="Y902" s="30" t="s">
        <v>56</v>
      </c>
      <c r="Z902" s="30" t="s">
        <v>57</v>
      </c>
      <c r="AA902" s="30" t="s">
        <v>58</v>
      </c>
      <c r="AB902" s="30" t="s">
        <v>56</v>
      </c>
      <c r="AC902" s="27"/>
      <c r="AD902" s="31" t="s">
        <v>57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3127</v>
      </c>
      <c r="C903" s="25" t="s">
        <v>3128</v>
      </c>
      <c r="D903" s="23" t="s">
        <v>2300</v>
      </c>
      <c r="E903" s="42">
        <v>46129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4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70">
        <v>46248</v>
      </c>
      <c r="X903" s="30" t="s">
        <v>55</v>
      </c>
      <c r="Y903" s="30" t="s">
        <v>56</v>
      </c>
      <c r="Z903" s="30" t="s">
        <v>57</v>
      </c>
      <c r="AA903" s="30" t="s">
        <v>58</v>
      </c>
      <c r="AB903" s="30" t="s">
        <v>56</v>
      </c>
      <c r="AC903" s="27"/>
      <c r="AD903" s="31" t="s">
        <v>57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3129</v>
      </c>
      <c r="C904" s="41" t="s">
        <v>3130</v>
      </c>
      <c r="D904" s="39" t="s">
        <v>2300</v>
      </c>
      <c r="E904" s="4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4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70">
        <v>46248</v>
      </c>
      <c r="X904" s="30" t="s">
        <v>55</v>
      </c>
      <c r="Y904" s="30" t="s">
        <v>56</v>
      </c>
      <c r="Z904" s="30" t="s">
        <v>57</v>
      </c>
      <c r="AA904" s="30" t="s">
        <v>58</v>
      </c>
      <c r="AB904" s="30" t="s">
        <v>56</v>
      </c>
      <c r="AC904" s="27"/>
      <c r="AD904" s="31" t="s">
        <v>57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3131</v>
      </c>
      <c r="C905" s="25" t="s">
        <v>3132</v>
      </c>
      <c r="D905" s="23" t="s">
        <v>2300</v>
      </c>
      <c r="E905" s="4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4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70">
        <v>46248</v>
      </c>
      <c r="X905" s="30" t="s">
        <v>55</v>
      </c>
      <c r="Y905" s="30" t="s">
        <v>56</v>
      </c>
      <c r="Z905" s="30" t="s">
        <v>57</v>
      </c>
      <c r="AA905" s="30" t="s">
        <v>58</v>
      </c>
      <c r="AB905" s="30" t="s">
        <v>56</v>
      </c>
      <c r="AC905" s="27"/>
      <c r="AD905" s="31" t="s">
        <v>57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3133</v>
      </c>
      <c r="C906" s="41" t="s">
        <v>3134</v>
      </c>
      <c r="D906" s="39" t="s">
        <v>2300</v>
      </c>
      <c r="E906" s="4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4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70">
        <v>46248</v>
      </c>
      <c r="X906" s="30" t="s">
        <v>55</v>
      </c>
      <c r="Y906" s="30" t="s">
        <v>56</v>
      </c>
      <c r="Z906" s="30" t="s">
        <v>57</v>
      </c>
      <c r="AA906" s="30" t="s">
        <v>58</v>
      </c>
      <c r="AB906" s="30" t="s">
        <v>56</v>
      </c>
      <c r="AC906" s="27"/>
      <c r="AD906" s="31" t="s">
        <v>57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3135</v>
      </c>
      <c r="C907" s="25" t="s">
        <v>3136</v>
      </c>
      <c r="D907" s="23" t="s">
        <v>2300</v>
      </c>
      <c r="E907" s="4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4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70">
        <v>46248</v>
      </c>
      <c r="X907" s="30" t="s">
        <v>55</v>
      </c>
      <c r="Y907" s="30" t="s">
        <v>56</v>
      </c>
      <c r="Z907" s="30" t="s">
        <v>57</v>
      </c>
      <c r="AA907" s="30" t="s">
        <v>58</v>
      </c>
      <c r="AB907" s="30" t="s">
        <v>56</v>
      </c>
      <c r="AC907" s="27"/>
      <c r="AD907" s="31" t="s">
        <v>57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3137</v>
      </c>
      <c r="C908" s="41" t="s">
        <v>3138</v>
      </c>
      <c r="D908" s="39" t="s">
        <v>2300</v>
      </c>
      <c r="E908" s="4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4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70">
        <v>46248</v>
      </c>
      <c r="X908" s="30" t="s">
        <v>55</v>
      </c>
      <c r="Y908" s="30" t="s">
        <v>56</v>
      </c>
      <c r="Z908" s="30" t="s">
        <v>57</v>
      </c>
      <c r="AA908" s="30" t="s">
        <v>58</v>
      </c>
      <c r="AB908" s="30" t="s">
        <v>56</v>
      </c>
      <c r="AC908" s="27"/>
      <c r="AD908" s="31" t="s">
        <v>57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3139</v>
      </c>
      <c r="C909" s="25" t="s">
        <v>3140</v>
      </c>
      <c r="D909" s="23" t="s">
        <v>2300</v>
      </c>
      <c r="E909" s="4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4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70">
        <v>46248</v>
      </c>
      <c r="X909" s="30" t="s">
        <v>55</v>
      </c>
      <c r="Y909" s="30" t="s">
        <v>56</v>
      </c>
      <c r="Z909" s="30" t="s">
        <v>57</v>
      </c>
      <c r="AA909" s="30" t="s">
        <v>58</v>
      </c>
      <c r="AB909" s="30" t="s">
        <v>56</v>
      </c>
      <c r="AC909" s="27"/>
      <c r="AD909" s="31" t="s">
        <v>57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3141</v>
      </c>
      <c r="C910" s="41" t="s">
        <v>3142</v>
      </c>
      <c r="D910" s="39" t="s">
        <v>2300</v>
      </c>
      <c r="E910" s="42">
        <v>46129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4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70">
        <v>46248</v>
      </c>
      <c r="X910" s="30" t="s">
        <v>55</v>
      </c>
      <c r="Y910" s="30" t="s">
        <v>56</v>
      </c>
      <c r="Z910" s="30" t="s">
        <v>57</v>
      </c>
      <c r="AA910" s="30" t="s">
        <v>58</v>
      </c>
      <c r="AB910" s="30" t="s">
        <v>56</v>
      </c>
      <c r="AC910" s="27"/>
      <c r="AD910" s="31" t="s">
        <v>57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3143</v>
      </c>
      <c r="C911" s="25" t="s">
        <v>3144</v>
      </c>
      <c r="D911" s="23" t="s">
        <v>2300</v>
      </c>
      <c r="E911" s="42">
        <v>46129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4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70">
        <v>46248</v>
      </c>
      <c r="X911" s="30" t="s">
        <v>55</v>
      </c>
      <c r="Y911" s="30" t="s">
        <v>56</v>
      </c>
      <c r="Z911" s="30" t="s">
        <v>57</v>
      </c>
      <c r="AA911" s="30" t="s">
        <v>58</v>
      </c>
      <c r="AB911" s="30" t="s">
        <v>56</v>
      </c>
      <c r="AC911" s="27"/>
      <c r="AD911" s="31" t="s">
        <v>57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3145</v>
      </c>
      <c r="C912" s="41" t="s">
        <v>3146</v>
      </c>
      <c r="D912" s="39" t="s">
        <v>2300</v>
      </c>
      <c r="E912" s="42">
        <v>46132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4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70">
        <v>46248</v>
      </c>
      <c r="X912" s="30" t="s">
        <v>55</v>
      </c>
      <c r="Y912" s="30" t="s">
        <v>56</v>
      </c>
      <c r="Z912" s="30" t="s">
        <v>57</v>
      </c>
      <c r="AA912" s="30" t="s">
        <v>58</v>
      </c>
      <c r="AB912" s="30" t="s">
        <v>56</v>
      </c>
      <c r="AC912" s="27"/>
      <c r="AD912" s="31" t="s">
        <v>57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3147</v>
      </c>
      <c r="C913" s="25" t="s">
        <v>3148</v>
      </c>
      <c r="D913" s="23" t="s">
        <v>2300</v>
      </c>
      <c r="E913" s="42">
        <v>46132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4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70">
        <v>46248</v>
      </c>
      <c r="X913" s="30" t="s">
        <v>55</v>
      </c>
      <c r="Y913" s="30" t="s">
        <v>56</v>
      </c>
      <c r="Z913" s="30" t="s">
        <v>57</v>
      </c>
      <c r="AA913" s="30" t="s">
        <v>58</v>
      </c>
      <c r="AB913" s="30" t="s">
        <v>56</v>
      </c>
      <c r="AC913" s="27"/>
      <c r="AD913" s="31" t="s">
        <v>57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3149</v>
      </c>
      <c r="C914" s="41" t="s">
        <v>3150</v>
      </c>
      <c r="D914" s="39" t="s">
        <v>2300</v>
      </c>
      <c r="E914" s="42">
        <v>46132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4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70">
        <v>46248</v>
      </c>
      <c r="X914" s="30" t="s">
        <v>55</v>
      </c>
      <c r="Y914" s="30" t="s">
        <v>56</v>
      </c>
      <c r="Z914" s="30" t="s">
        <v>57</v>
      </c>
      <c r="AA914" s="30" t="s">
        <v>58</v>
      </c>
      <c r="AB914" s="30" t="s">
        <v>56</v>
      </c>
      <c r="AC914" s="27"/>
      <c r="AD914" s="31" t="s">
        <v>57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3151</v>
      </c>
      <c r="C915" s="25" t="s">
        <v>3152</v>
      </c>
      <c r="D915" s="23" t="s">
        <v>2300</v>
      </c>
      <c r="E915" s="42">
        <v>46132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4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70">
        <v>46248</v>
      </c>
      <c r="X915" s="30" t="s">
        <v>55</v>
      </c>
      <c r="Y915" s="30" t="s">
        <v>56</v>
      </c>
      <c r="Z915" s="30" t="s">
        <v>57</v>
      </c>
      <c r="AA915" s="30" t="s">
        <v>58</v>
      </c>
      <c r="AB915" s="30" t="s">
        <v>56</v>
      </c>
      <c r="AC915" s="27"/>
      <c r="AD915" s="31" t="s">
        <v>57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3153</v>
      </c>
      <c r="C916" s="41" t="s">
        <v>3154</v>
      </c>
      <c r="D916" s="39" t="s">
        <v>2300</v>
      </c>
      <c r="E916" s="42">
        <v>46132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4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70">
        <v>46248</v>
      </c>
      <c r="X916" s="30" t="s">
        <v>55</v>
      </c>
      <c r="Y916" s="30" t="s">
        <v>56</v>
      </c>
      <c r="Z916" s="30" t="s">
        <v>57</v>
      </c>
      <c r="AA916" s="30" t="s">
        <v>58</v>
      </c>
      <c r="AB916" s="30" t="s">
        <v>56</v>
      </c>
      <c r="AC916" s="27"/>
      <c r="AD916" s="31" t="s">
        <v>57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3155</v>
      </c>
      <c r="C917" s="25" t="s">
        <v>3156</v>
      </c>
      <c r="D917" s="23" t="s">
        <v>2300</v>
      </c>
      <c r="E917" s="42">
        <v>46132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4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70">
        <v>46248</v>
      </c>
      <c r="X917" s="30" t="s">
        <v>55</v>
      </c>
      <c r="Y917" s="30" t="s">
        <v>56</v>
      </c>
      <c r="Z917" s="30" t="s">
        <v>57</v>
      </c>
      <c r="AA917" s="30" t="s">
        <v>58</v>
      </c>
      <c r="AB917" s="30" t="s">
        <v>56</v>
      </c>
      <c r="AC917" s="27"/>
      <c r="AD917" s="31" t="s">
        <v>57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3157</v>
      </c>
      <c r="C918" s="41" t="s">
        <v>3158</v>
      </c>
      <c r="D918" s="39" t="s">
        <v>2300</v>
      </c>
      <c r="E918" s="42">
        <v>46132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4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70">
        <v>46248</v>
      </c>
      <c r="X918" s="30" t="s">
        <v>55</v>
      </c>
      <c r="Y918" s="30" t="s">
        <v>56</v>
      </c>
      <c r="Z918" s="30" t="s">
        <v>57</v>
      </c>
      <c r="AA918" s="30" t="s">
        <v>58</v>
      </c>
      <c r="AB918" s="30" t="s">
        <v>56</v>
      </c>
      <c r="AC918" s="27"/>
      <c r="AD918" s="31" t="s">
        <v>57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3159</v>
      </c>
      <c r="C919" s="25" t="s">
        <v>3160</v>
      </c>
      <c r="D919" s="23" t="s">
        <v>2300</v>
      </c>
      <c r="E919" s="42">
        <v>46132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4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70">
        <v>46248</v>
      </c>
      <c r="X919" s="30" t="s">
        <v>55</v>
      </c>
      <c r="Y919" s="30" t="s">
        <v>56</v>
      </c>
      <c r="Z919" s="30" t="s">
        <v>57</v>
      </c>
      <c r="AA919" s="30" t="s">
        <v>58</v>
      </c>
      <c r="AB919" s="30" t="s">
        <v>56</v>
      </c>
      <c r="AC919" s="27"/>
      <c r="AD919" s="31" t="s">
        <v>57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3161</v>
      </c>
      <c r="C920" s="41" t="s">
        <v>3162</v>
      </c>
      <c r="D920" s="39" t="s">
        <v>2300</v>
      </c>
      <c r="E920" s="42">
        <v>46132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4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70">
        <v>46248</v>
      </c>
      <c r="X920" s="30" t="s">
        <v>55</v>
      </c>
      <c r="Y920" s="30" t="s">
        <v>56</v>
      </c>
      <c r="Z920" s="30" t="s">
        <v>57</v>
      </c>
      <c r="AA920" s="30" t="s">
        <v>58</v>
      </c>
      <c r="AB920" s="30" t="s">
        <v>56</v>
      </c>
      <c r="AC920" s="27"/>
      <c r="AD920" s="31" t="s">
        <v>57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3163</v>
      </c>
      <c r="C921" s="25" t="s">
        <v>3164</v>
      </c>
      <c r="D921" s="23" t="s">
        <v>2300</v>
      </c>
      <c r="E921" s="42">
        <v>46132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4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70">
        <v>46248</v>
      </c>
      <c r="X921" s="30" t="s">
        <v>55</v>
      </c>
      <c r="Y921" s="30" t="s">
        <v>56</v>
      </c>
      <c r="Z921" s="30" t="s">
        <v>57</v>
      </c>
      <c r="AA921" s="30" t="s">
        <v>58</v>
      </c>
      <c r="AB921" s="30" t="s">
        <v>56</v>
      </c>
      <c r="AC921" s="27"/>
      <c r="AD921" s="31" t="s">
        <v>57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3165</v>
      </c>
      <c r="C922" s="41" t="s">
        <v>3166</v>
      </c>
      <c r="D922" s="39" t="s">
        <v>2300</v>
      </c>
      <c r="E922" s="4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4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70">
        <v>46248</v>
      </c>
      <c r="X922" s="30" t="s">
        <v>55</v>
      </c>
      <c r="Y922" s="30" t="s">
        <v>56</v>
      </c>
      <c r="Z922" s="30" t="s">
        <v>57</v>
      </c>
      <c r="AA922" s="30" t="s">
        <v>58</v>
      </c>
      <c r="AB922" s="30" t="s">
        <v>56</v>
      </c>
      <c r="AC922" s="27"/>
      <c r="AD922" s="31" t="s">
        <v>57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3167</v>
      </c>
      <c r="C923" s="25" t="s">
        <v>3168</v>
      </c>
      <c r="D923" s="23" t="s">
        <v>2300</v>
      </c>
      <c r="E923" s="4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4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70">
        <v>46248</v>
      </c>
      <c r="X923" s="30" t="s">
        <v>55</v>
      </c>
      <c r="Y923" s="30" t="s">
        <v>56</v>
      </c>
      <c r="Z923" s="30" t="s">
        <v>57</v>
      </c>
      <c r="AA923" s="30" t="s">
        <v>58</v>
      </c>
      <c r="AB923" s="30" t="s">
        <v>56</v>
      </c>
      <c r="AC923" s="27"/>
      <c r="AD923" s="31" t="s">
        <v>57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3169</v>
      </c>
      <c r="C924" s="41" t="s">
        <v>3170</v>
      </c>
      <c r="D924" s="39" t="s">
        <v>2300</v>
      </c>
      <c r="E924" s="42">
        <v>46132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4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70">
        <v>46248</v>
      </c>
      <c r="X924" s="30" t="s">
        <v>55</v>
      </c>
      <c r="Y924" s="30" t="s">
        <v>56</v>
      </c>
      <c r="Z924" s="30" t="s">
        <v>57</v>
      </c>
      <c r="AA924" s="30" t="s">
        <v>58</v>
      </c>
      <c r="AB924" s="30" t="s">
        <v>56</v>
      </c>
      <c r="AC924" s="27"/>
      <c r="AD924" s="31" t="s">
        <v>57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3171</v>
      </c>
      <c r="C925" s="25" t="s">
        <v>3172</v>
      </c>
      <c r="D925" s="23" t="s">
        <v>2300</v>
      </c>
      <c r="E925" s="42">
        <v>46132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4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70">
        <v>46248</v>
      </c>
      <c r="X925" s="30" t="s">
        <v>55</v>
      </c>
      <c r="Y925" s="30" t="s">
        <v>56</v>
      </c>
      <c r="Z925" s="30" t="s">
        <v>57</v>
      </c>
      <c r="AA925" s="30" t="s">
        <v>58</v>
      </c>
      <c r="AB925" s="30" t="s">
        <v>56</v>
      </c>
      <c r="AC925" s="27"/>
      <c r="AD925" s="31" t="s">
        <v>57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3173</v>
      </c>
      <c r="C926" s="41" t="s">
        <v>3174</v>
      </c>
      <c r="D926" s="39" t="s">
        <v>2300</v>
      </c>
      <c r="E926" s="42">
        <v>46132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4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70">
        <v>46248</v>
      </c>
      <c r="X926" s="30" t="s">
        <v>55</v>
      </c>
      <c r="Y926" s="30" t="s">
        <v>56</v>
      </c>
      <c r="Z926" s="30" t="s">
        <v>57</v>
      </c>
      <c r="AA926" s="30" t="s">
        <v>58</v>
      </c>
      <c r="AB926" s="30" t="s">
        <v>56</v>
      </c>
      <c r="AC926" s="27"/>
      <c r="AD926" s="31" t="s">
        <v>57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3175</v>
      </c>
      <c r="C927" s="25" t="s">
        <v>3176</v>
      </c>
      <c r="D927" s="23" t="s">
        <v>2300</v>
      </c>
      <c r="E927" s="42">
        <v>46132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4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70">
        <v>46248</v>
      </c>
      <c r="X927" s="30" t="s">
        <v>55</v>
      </c>
      <c r="Y927" s="30" t="s">
        <v>56</v>
      </c>
      <c r="Z927" s="30" t="s">
        <v>57</v>
      </c>
      <c r="AA927" s="30" t="s">
        <v>58</v>
      </c>
      <c r="AB927" s="30" t="s">
        <v>56</v>
      </c>
      <c r="AC927" s="27"/>
      <c r="AD927" s="31" t="s">
        <v>57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3177</v>
      </c>
      <c r="C928" s="41" t="s">
        <v>3178</v>
      </c>
      <c r="D928" s="39" t="s">
        <v>2300</v>
      </c>
      <c r="E928" s="42">
        <v>46132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4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70">
        <v>46248</v>
      </c>
      <c r="X928" s="30" t="s">
        <v>55</v>
      </c>
      <c r="Y928" s="30" t="s">
        <v>56</v>
      </c>
      <c r="Z928" s="30" t="s">
        <v>57</v>
      </c>
      <c r="AA928" s="30" t="s">
        <v>58</v>
      </c>
      <c r="AB928" s="30" t="s">
        <v>56</v>
      </c>
      <c r="AC928" s="27"/>
      <c r="AD928" s="31" t="s">
        <v>57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3179</v>
      </c>
      <c r="C929" s="25" t="s">
        <v>3180</v>
      </c>
      <c r="D929" s="23" t="s">
        <v>2300</v>
      </c>
      <c r="E929" s="42">
        <v>46129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4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70">
        <v>46248</v>
      </c>
      <c r="X929" s="30" t="s">
        <v>55</v>
      </c>
      <c r="Y929" s="30" t="s">
        <v>56</v>
      </c>
      <c r="Z929" s="30" t="s">
        <v>57</v>
      </c>
      <c r="AA929" s="30" t="s">
        <v>58</v>
      </c>
      <c r="AB929" s="30" t="s">
        <v>56</v>
      </c>
      <c r="AC929" s="27"/>
      <c r="AD929" s="31" t="s">
        <v>57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3181</v>
      </c>
      <c r="C930" s="41" t="s">
        <v>3182</v>
      </c>
      <c r="D930" s="39" t="s">
        <v>2300</v>
      </c>
      <c r="E930" s="42">
        <v>46129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4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70">
        <v>46248</v>
      </c>
      <c r="X930" s="30" t="s">
        <v>55</v>
      </c>
      <c r="Y930" s="30" t="s">
        <v>56</v>
      </c>
      <c r="Z930" s="30" t="s">
        <v>57</v>
      </c>
      <c r="AA930" s="30" t="s">
        <v>58</v>
      </c>
      <c r="AB930" s="30" t="s">
        <v>56</v>
      </c>
      <c r="AC930" s="27"/>
      <c r="AD930" s="31" t="s">
        <v>57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3183</v>
      </c>
      <c r="C931" s="25" t="s">
        <v>3184</v>
      </c>
      <c r="D931" s="23" t="s">
        <v>2300</v>
      </c>
      <c r="E931" s="42">
        <v>46132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4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70">
        <v>46248</v>
      </c>
      <c r="X931" s="30" t="s">
        <v>55</v>
      </c>
      <c r="Y931" s="30" t="s">
        <v>56</v>
      </c>
      <c r="Z931" s="30" t="s">
        <v>57</v>
      </c>
      <c r="AA931" s="30" t="s">
        <v>58</v>
      </c>
      <c r="AB931" s="30" t="s">
        <v>56</v>
      </c>
      <c r="AC931" s="27"/>
      <c r="AD931" s="31" t="s">
        <v>57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3185</v>
      </c>
      <c r="C932" s="41" t="s">
        <v>3186</v>
      </c>
      <c r="D932" s="39" t="s">
        <v>2300</v>
      </c>
      <c r="E932" s="42">
        <v>46132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4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70">
        <v>46248</v>
      </c>
      <c r="X932" s="30" t="s">
        <v>55</v>
      </c>
      <c r="Y932" s="30" t="s">
        <v>56</v>
      </c>
      <c r="Z932" s="30" t="s">
        <v>57</v>
      </c>
      <c r="AA932" s="30" t="s">
        <v>58</v>
      </c>
      <c r="AB932" s="30" t="s">
        <v>56</v>
      </c>
      <c r="AC932" s="27"/>
      <c r="AD932" s="31" t="s">
        <v>57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3187</v>
      </c>
      <c r="C933" s="25" t="s">
        <v>3188</v>
      </c>
      <c r="D933" s="23" t="s">
        <v>2300</v>
      </c>
      <c r="E933" s="42">
        <v>46129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4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70">
        <v>46248</v>
      </c>
      <c r="X933" s="30" t="s">
        <v>55</v>
      </c>
      <c r="Y933" s="30" t="s">
        <v>56</v>
      </c>
      <c r="Z933" s="30" t="s">
        <v>57</v>
      </c>
      <c r="AA933" s="30" t="s">
        <v>58</v>
      </c>
      <c r="AB933" s="30" t="s">
        <v>56</v>
      </c>
      <c r="AC933" s="27"/>
      <c r="AD933" s="31" t="s">
        <v>57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3189</v>
      </c>
      <c r="C934" s="41" t="s">
        <v>3190</v>
      </c>
      <c r="D934" s="39" t="s">
        <v>2300</v>
      </c>
      <c r="E934" s="42">
        <v>46129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4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70">
        <v>46248</v>
      </c>
      <c r="X934" s="30" t="s">
        <v>55</v>
      </c>
      <c r="Y934" s="30" t="s">
        <v>56</v>
      </c>
      <c r="Z934" s="30" t="s">
        <v>57</v>
      </c>
      <c r="AA934" s="30" t="s">
        <v>58</v>
      </c>
      <c r="AB934" s="30" t="s">
        <v>56</v>
      </c>
      <c r="AC934" s="27"/>
      <c r="AD934" s="31" t="s">
        <v>57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3191</v>
      </c>
      <c r="C935" s="25" t="s">
        <v>3192</v>
      </c>
      <c r="D935" s="23" t="s">
        <v>2300</v>
      </c>
      <c r="E935" s="4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4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70">
        <v>46248</v>
      </c>
      <c r="X935" s="30" t="s">
        <v>55</v>
      </c>
      <c r="Y935" s="30" t="s">
        <v>56</v>
      </c>
      <c r="Z935" s="30" t="s">
        <v>57</v>
      </c>
      <c r="AA935" s="30" t="s">
        <v>58</v>
      </c>
      <c r="AB935" s="30" t="s">
        <v>56</v>
      </c>
      <c r="AC935" s="27"/>
      <c r="AD935" s="31" t="s">
        <v>57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3193</v>
      </c>
      <c r="C936" s="41" t="s">
        <v>3194</v>
      </c>
      <c r="D936" s="39" t="s">
        <v>2300</v>
      </c>
      <c r="E936" s="4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4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70">
        <v>46248</v>
      </c>
      <c r="X936" s="30" t="s">
        <v>55</v>
      </c>
      <c r="Y936" s="30" t="s">
        <v>56</v>
      </c>
      <c r="Z936" s="30" t="s">
        <v>57</v>
      </c>
      <c r="AA936" s="30" t="s">
        <v>58</v>
      </c>
      <c r="AB936" s="30" t="s">
        <v>56</v>
      </c>
      <c r="AC936" s="27"/>
      <c r="AD936" s="31" t="s">
        <v>57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3195</v>
      </c>
      <c r="C937" s="25" t="s">
        <v>3196</v>
      </c>
      <c r="D937" s="23" t="s">
        <v>2300</v>
      </c>
      <c r="E937" s="42">
        <v>46132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4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70">
        <v>46248</v>
      </c>
      <c r="X937" s="30" t="s">
        <v>55</v>
      </c>
      <c r="Y937" s="30" t="s">
        <v>56</v>
      </c>
      <c r="Z937" s="30" t="s">
        <v>57</v>
      </c>
      <c r="AA937" s="30" t="s">
        <v>58</v>
      </c>
      <c r="AB937" s="30" t="s">
        <v>56</v>
      </c>
      <c r="AC937" s="27"/>
      <c r="AD937" s="31" t="s">
        <v>57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3197</v>
      </c>
      <c r="C938" s="41" t="s">
        <v>3198</v>
      </c>
      <c r="D938" s="39" t="s">
        <v>2300</v>
      </c>
      <c r="E938" s="42">
        <v>46132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4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70">
        <v>46248</v>
      </c>
      <c r="X938" s="30" t="s">
        <v>55</v>
      </c>
      <c r="Y938" s="30" t="s">
        <v>56</v>
      </c>
      <c r="Z938" s="30" t="s">
        <v>57</v>
      </c>
      <c r="AA938" s="30" t="s">
        <v>58</v>
      </c>
      <c r="AB938" s="30" t="s">
        <v>56</v>
      </c>
      <c r="AC938" s="27"/>
      <c r="AD938" s="31" t="s">
        <v>57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3199</v>
      </c>
      <c r="C939" s="25" t="s">
        <v>3200</v>
      </c>
      <c r="D939" s="23" t="s">
        <v>2300</v>
      </c>
      <c r="E939" s="42">
        <v>46132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4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70">
        <v>46248</v>
      </c>
      <c r="X939" s="30" t="s">
        <v>55</v>
      </c>
      <c r="Y939" s="30" t="s">
        <v>56</v>
      </c>
      <c r="Z939" s="30" t="s">
        <v>57</v>
      </c>
      <c r="AA939" s="30" t="s">
        <v>58</v>
      </c>
      <c r="AB939" s="30" t="s">
        <v>56</v>
      </c>
      <c r="AC939" s="27"/>
      <c r="AD939" s="31" t="s">
        <v>57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3201</v>
      </c>
      <c r="C940" s="41" t="s">
        <v>3202</v>
      </c>
      <c r="D940" s="39" t="s">
        <v>2300</v>
      </c>
      <c r="E940" s="42">
        <v>46132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4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70">
        <v>46248</v>
      </c>
      <c r="X940" s="30" t="s">
        <v>55</v>
      </c>
      <c r="Y940" s="30" t="s">
        <v>56</v>
      </c>
      <c r="Z940" s="30" t="s">
        <v>57</v>
      </c>
      <c r="AA940" s="30" t="s">
        <v>58</v>
      </c>
      <c r="AB940" s="30" t="s">
        <v>56</v>
      </c>
      <c r="AC940" s="27"/>
      <c r="AD940" s="31" t="s">
        <v>57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3203</v>
      </c>
      <c r="C941" s="25" t="s">
        <v>3204</v>
      </c>
      <c r="D941" s="23" t="s">
        <v>2300</v>
      </c>
      <c r="E941" s="4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4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70">
        <v>46248</v>
      </c>
      <c r="X941" s="30" t="s">
        <v>55</v>
      </c>
      <c r="Y941" s="30" t="s">
        <v>56</v>
      </c>
      <c r="Z941" s="30" t="s">
        <v>57</v>
      </c>
      <c r="AA941" s="30" t="s">
        <v>58</v>
      </c>
      <c r="AB941" s="30" t="s">
        <v>56</v>
      </c>
      <c r="AC941" s="27"/>
      <c r="AD941" s="31" t="s">
        <v>57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3205</v>
      </c>
      <c r="C942" s="41" t="s">
        <v>3206</v>
      </c>
      <c r="D942" s="39" t="s">
        <v>2300</v>
      </c>
      <c r="E942" s="4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4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70">
        <v>46248</v>
      </c>
      <c r="X942" s="30" t="s">
        <v>55</v>
      </c>
      <c r="Y942" s="30" t="s">
        <v>56</v>
      </c>
      <c r="Z942" s="30" t="s">
        <v>57</v>
      </c>
      <c r="AA942" s="30" t="s">
        <v>58</v>
      </c>
      <c r="AB942" s="30" t="s">
        <v>56</v>
      </c>
      <c r="AC942" s="27"/>
      <c r="AD942" s="31" t="s">
        <v>57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3207</v>
      </c>
      <c r="C943" s="25" t="s">
        <v>3208</v>
      </c>
      <c r="D943" s="23" t="s">
        <v>2300</v>
      </c>
      <c r="E943" s="42">
        <v>46132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4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70">
        <v>46248</v>
      </c>
      <c r="X943" s="30" t="s">
        <v>55</v>
      </c>
      <c r="Y943" s="30" t="s">
        <v>56</v>
      </c>
      <c r="Z943" s="30" t="s">
        <v>57</v>
      </c>
      <c r="AA943" s="30" t="s">
        <v>58</v>
      </c>
      <c r="AB943" s="30" t="s">
        <v>56</v>
      </c>
      <c r="AC943" s="27"/>
      <c r="AD943" s="31" t="s">
        <v>57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3209</v>
      </c>
      <c r="C944" s="41" t="s">
        <v>3210</v>
      </c>
      <c r="D944" s="39" t="s">
        <v>2300</v>
      </c>
      <c r="E944" s="42">
        <v>46132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4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70">
        <v>46248</v>
      </c>
      <c r="X944" s="30" t="s">
        <v>55</v>
      </c>
      <c r="Y944" s="30" t="s">
        <v>56</v>
      </c>
      <c r="Z944" s="30" t="s">
        <v>57</v>
      </c>
      <c r="AA944" s="30" t="s">
        <v>58</v>
      </c>
      <c r="AB944" s="30" t="s">
        <v>56</v>
      </c>
      <c r="AC944" s="27"/>
      <c r="AD944" s="31" t="s">
        <v>57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3211</v>
      </c>
      <c r="C945" s="25" t="s">
        <v>3212</v>
      </c>
      <c r="D945" s="23" t="s">
        <v>2300</v>
      </c>
      <c r="E945" s="4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4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70">
        <v>46248</v>
      </c>
      <c r="X945" s="30" t="s">
        <v>55</v>
      </c>
      <c r="Y945" s="30" t="s">
        <v>56</v>
      </c>
      <c r="Z945" s="30" t="s">
        <v>57</v>
      </c>
      <c r="AA945" s="30" t="s">
        <v>58</v>
      </c>
      <c r="AB945" s="30" t="s">
        <v>56</v>
      </c>
      <c r="AC945" s="27"/>
      <c r="AD945" s="31" t="s">
        <v>57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3213</v>
      </c>
      <c r="C946" s="41" t="s">
        <v>3214</v>
      </c>
      <c r="D946" s="39" t="s">
        <v>2300</v>
      </c>
      <c r="E946" s="42">
        <v>46129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4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70">
        <v>46248</v>
      </c>
      <c r="X946" s="30" t="s">
        <v>55</v>
      </c>
      <c r="Y946" s="30" t="s">
        <v>56</v>
      </c>
      <c r="Z946" s="30" t="s">
        <v>57</v>
      </c>
      <c r="AA946" s="30" t="s">
        <v>58</v>
      </c>
      <c r="AB946" s="30" t="s">
        <v>56</v>
      </c>
      <c r="AC946" s="27"/>
      <c r="AD946" s="31" t="s">
        <v>57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3215</v>
      </c>
      <c r="C947" s="25" t="s">
        <v>3216</v>
      </c>
      <c r="D947" s="23" t="s">
        <v>2300</v>
      </c>
      <c r="E947" s="42">
        <v>46132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4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70">
        <v>46248</v>
      </c>
      <c r="X947" s="30" t="s">
        <v>55</v>
      </c>
      <c r="Y947" s="30" t="s">
        <v>56</v>
      </c>
      <c r="Z947" s="30" t="s">
        <v>57</v>
      </c>
      <c r="AA947" s="30" t="s">
        <v>58</v>
      </c>
      <c r="AB947" s="30" t="s">
        <v>56</v>
      </c>
      <c r="AC947" s="27"/>
      <c r="AD947" s="31" t="s">
        <v>57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3217</v>
      </c>
      <c r="C948" s="41" t="s">
        <v>3218</v>
      </c>
      <c r="D948" s="39" t="s">
        <v>2300</v>
      </c>
      <c r="E948" s="42">
        <v>46132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4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70">
        <v>46248</v>
      </c>
      <c r="X948" s="30" t="s">
        <v>55</v>
      </c>
      <c r="Y948" s="30" t="s">
        <v>56</v>
      </c>
      <c r="Z948" s="30" t="s">
        <v>57</v>
      </c>
      <c r="AA948" s="30" t="s">
        <v>58</v>
      </c>
      <c r="AB948" s="30" t="s">
        <v>56</v>
      </c>
      <c r="AC948" s="27"/>
      <c r="AD948" s="31" t="s">
        <v>57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3219</v>
      </c>
      <c r="C949" s="25" t="s">
        <v>3220</v>
      </c>
      <c r="D949" s="23" t="s">
        <v>2300</v>
      </c>
      <c r="E949" s="4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4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70">
        <v>46248</v>
      </c>
      <c r="X949" s="30" t="s">
        <v>55</v>
      </c>
      <c r="Y949" s="30" t="s">
        <v>56</v>
      </c>
      <c r="Z949" s="30" t="s">
        <v>57</v>
      </c>
      <c r="AA949" s="30" t="s">
        <v>58</v>
      </c>
      <c r="AB949" s="30" t="s">
        <v>56</v>
      </c>
      <c r="AC949" s="27"/>
      <c r="AD949" s="31" t="s">
        <v>57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3221</v>
      </c>
      <c r="C950" s="41" t="s">
        <v>3222</v>
      </c>
      <c r="D950" s="39" t="s">
        <v>2300</v>
      </c>
      <c r="E950" s="42">
        <v>46129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4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70">
        <v>46248</v>
      </c>
      <c r="X950" s="30" t="s">
        <v>55</v>
      </c>
      <c r="Y950" s="30" t="s">
        <v>56</v>
      </c>
      <c r="Z950" s="30" t="s">
        <v>57</v>
      </c>
      <c r="AA950" s="30" t="s">
        <v>58</v>
      </c>
      <c r="AB950" s="30" t="s">
        <v>56</v>
      </c>
      <c r="AC950" s="27"/>
      <c r="AD950" s="31" t="s">
        <v>57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3223</v>
      </c>
      <c r="C951" s="25" t="s">
        <v>3224</v>
      </c>
      <c r="D951" s="23" t="s">
        <v>2300</v>
      </c>
      <c r="E951" s="42">
        <v>46129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4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70">
        <v>46248</v>
      </c>
      <c r="X951" s="30" t="s">
        <v>55</v>
      </c>
      <c r="Y951" s="30" t="s">
        <v>56</v>
      </c>
      <c r="Z951" s="30" t="s">
        <v>57</v>
      </c>
      <c r="AA951" s="30" t="s">
        <v>58</v>
      </c>
      <c r="AB951" s="30" t="s">
        <v>56</v>
      </c>
      <c r="AC951" s="27"/>
      <c r="AD951" s="31" t="s">
        <v>57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3225</v>
      </c>
      <c r="C952" s="41" t="s">
        <v>3226</v>
      </c>
      <c r="D952" s="39" t="s">
        <v>2300</v>
      </c>
      <c r="E952" s="4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4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70">
        <v>46248</v>
      </c>
      <c r="X952" s="30" t="s">
        <v>55</v>
      </c>
      <c r="Y952" s="30" t="s">
        <v>56</v>
      </c>
      <c r="Z952" s="30" t="s">
        <v>57</v>
      </c>
      <c r="AA952" s="30" t="s">
        <v>58</v>
      </c>
      <c r="AB952" s="30" t="s">
        <v>56</v>
      </c>
      <c r="AC952" s="27"/>
      <c r="AD952" s="31" t="s">
        <v>57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3227</v>
      </c>
      <c r="C953" s="25" t="s">
        <v>3228</v>
      </c>
      <c r="D953" s="23" t="s">
        <v>2300</v>
      </c>
      <c r="E953" s="4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4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70">
        <v>46248</v>
      </c>
      <c r="X953" s="30" t="s">
        <v>55</v>
      </c>
      <c r="Y953" s="30" t="s">
        <v>56</v>
      </c>
      <c r="Z953" s="30" t="s">
        <v>57</v>
      </c>
      <c r="AA953" s="30" t="s">
        <v>58</v>
      </c>
      <c r="AB953" s="30" t="s">
        <v>56</v>
      </c>
      <c r="AC953" s="27"/>
      <c r="AD953" s="31" t="s">
        <v>57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3229</v>
      </c>
      <c r="C954" s="41" t="s">
        <v>3230</v>
      </c>
      <c r="D954" s="39" t="s">
        <v>2300</v>
      </c>
      <c r="E954" s="4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4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70">
        <v>46248</v>
      </c>
      <c r="X954" s="30" t="s">
        <v>55</v>
      </c>
      <c r="Y954" s="30" t="s">
        <v>56</v>
      </c>
      <c r="Z954" s="30" t="s">
        <v>57</v>
      </c>
      <c r="AA954" s="30" t="s">
        <v>58</v>
      </c>
      <c r="AB954" s="30" t="s">
        <v>56</v>
      </c>
      <c r="AC954" s="27"/>
      <c r="AD954" s="31" t="s">
        <v>57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3231</v>
      </c>
      <c r="C955" s="25" t="s">
        <v>3232</v>
      </c>
      <c r="D955" s="23" t="s">
        <v>2300</v>
      </c>
      <c r="E955" s="4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4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70">
        <v>46248</v>
      </c>
      <c r="X955" s="30" t="s">
        <v>55</v>
      </c>
      <c r="Y955" s="30" t="s">
        <v>56</v>
      </c>
      <c r="Z955" s="30" t="s">
        <v>57</v>
      </c>
      <c r="AA955" s="30" t="s">
        <v>58</v>
      </c>
      <c r="AB955" s="30" t="s">
        <v>56</v>
      </c>
      <c r="AC955" s="27"/>
      <c r="AD955" s="31" t="s">
        <v>57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3233</v>
      </c>
      <c r="C956" s="41" t="s">
        <v>3234</v>
      </c>
      <c r="D956" s="39" t="s">
        <v>2300</v>
      </c>
      <c r="E956" s="4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4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70">
        <v>46248</v>
      </c>
      <c r="X956" s="30" t="s">
        <v>55</v>
      </c>
      <c r="Y956" s="30" t="s">
        <v>56</v>
      </c>
      <c r="Z956" s="30" t="s">
        <v>57</v>
      </c>
      <c r="AA956" s="30" t="s">
        <v>58</v>
      </c>
      <c r="AB956" s="30" t="s">
        <v>56</v>
      </c>
      <c r="AC956" s="27"/>
      <c r="AD956" s="31" t="s">
        <v>57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3235</v>
      </c>
      <c r="C957" s="25" t="s">
        <v>3236</v>
      </c>
      <c r="D957" s="23" t="s">
        <v>2300</v>
      </c>
      <c r="E957" s="4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4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70">
        <v>46248</v>
      </c>
      <c r="X957" s="30" t="s">
        <v>55</v>
      </c>
      <c r="Y957" s="30" t="s">
        <v>56</v>
      </c>
      <c r="Z957" s="30" t="s">
        <v>57</v>
      </c>
      <c r="AA957" s="30" t="s">
        <v>58</v>
      </c>
      <c r="AB957" s="30" t="s">
        <v>56</v>
      </c>
      <c r="AC957" s="27"/>
      <c r="AD957" s="31" t="s">
        <v>57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3237</v>
      </c>
      <c r="C958" s="41" t="s">
        <v>3238</v>
      </c>
      <c r="D958" s="39" t="s">
        <v>2300</v>
      </c>
      <c r="E958" s="4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4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70">
        <v>46248</v>
      </c>
      <c r="X958" s="30" t="s">
        <v>55</v>
      </c>
      <c r="Y958" s="30" t="s">
        <v>56</v>
      </c>
      <c r="Z958" s="30" t="s">
        <v>57</v>
      </c>
      <c r="AA958" s="30" t="s">
        <v>58</v>
      </c>
      <c r="AB958" s="30" t="s">
        <v>56</v>
      </c>
      <c r="AC958" s="27"/>
      <c r="AD958" s="31" t="s">
        <v>57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3239</v>
      </c>
      <c r="C959" s="25" t="s">
        <v>3240</v>
      </c>
      <c r="D959" s="23" t="s">
        <v>2300</v>
      </c>
      <c r="E959" s="42">
        <v>46132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4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70">
        <v>46248</v>
      </c>
      <c r="X959" s="30" t="s">
        <v>55</v>
      </c>
      <c r="Y959" s="30" t="s">
        <v>56</v>
      </c>
      <c r="Z959" s="30" t="s">
        <v>57</v>
      </c>
      <c r="AA959" s="30" t="s">
        <v>58</v>
      </c>
      <c r="AB959" s="30" t="s">
        <v>56</v>
      </c>
      <c r="AC959" s="27"/>
      <c r="AD959" s="31" t="s">
        <v>57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3241</v>
      </c>
      <c r="C960" s="41" t="s">
        <v>3242</v>
      </c>
      <c r="D960" s="39" t="s">
        <v>2300</v>
      </c>
      <c r="E960" s="42">
        <v>46132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4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70">
        <v>46248</v>
      </c>
      <c r="X960" s="30" t="s">
        <v>55</v>
      </c>
      <c r="Y960" s="30" t="s">
        <v>56</v>
      </c>
      <c r="Z960" s="30" t="s">
        <v>57</v>
      </c>
      <c r="AA960" s="30" t="s">
        <v>58</v>
      </c>
      <c r="AB960" s="30" t="s">
        <v>56</v>
      </c>
      <c r="AC960" s="27"/>
      <c r="AD960" s="31" t="s">
        <v>57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3243</v>
      </c>
      <c r="C961" s="25" t="s">
        <v>3244</v>
      </c>
      <c r="D961" s="23" t="s">
        <v>2300</v>
      </c>
      <c r="E961" s="42">
        <v>46129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4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70">
        <v>46248</v>
      </c>
      <c r="X961" s="30" t="s">
        <v>55</v>
      </c>
      <c r="Y961" s="30" t="s">
        <v>56</v>
      </c>
      <c r="Z961" s="30" t="s">
        <v>57</v>
      </c>
      <c r="AA961" s="30" t="s">
        <v>58</v>
      </c>
      <c r="AB961" s="30" t="s">
        <v>56</v>
      </c>
      <c r="AC961" s="27"/>
      <c r="AD961" s="31" t="s">
        <v>57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3245</v>
      </c>
      <c r="C962" s="41" t="s">
        <v>3246</v>
      </c>
      <c r="D962" s="39" t="s">
        <v>2300</v>
      </c>
      <c r="E962" s="42">
        <v>46129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4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70">
        <v>46248</v>
      </c>
      <c r="X962" s="30" t="s">
        <v>55</v>
      </c>
      <c r="Y962" s="30" t="s">
        <v>56</v>
      </c>
      <c r="Z962" s="30" t="s">
        <v>57</v>
      </c>
      <c r="AA962" s="30" t="s">
        <v>58</v>
      </c>
      <c r="AB962" s="30" t="s">
        <v>56</v>
      </c>
      <c r="AC962" s="27"/>
      <c r="AD962" s="31" t="s">
        <v>57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3247</v>
      </c>
      <c r="C963" s="25" t="s">
        <v>3248</v>
      </c>
      <c r="D963" s="23" t="s">
        <v>2300</v>
      </c>
      <c r="E963" s="42">
        <v>46129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4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70">
        <v>46248</v>
      </c>
      <c r="X963" s="30" t="s">
        <v>55</v>
      </c>
      <c r="Y963" s="30" t="s">
        <v>56</v>
      </c>
      <c r="Z963" s="30" t="s">
        <v>57</v>
      </c>
      <c r="AA963" s="30" t="s">
        <v>58</v>
      </c>
      <c r="AB963" s="30" t="s">
        <v>56</v>
      </c>
      <c r="AC963" s="27"/>
      <c r="AD963" s="31" t="s">
        <v>57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3249</v>
      </c>
      <c r="C964" s="41" t="s">
        <v>3250</v>
      </c>
      <c r="D964" s="39" t="s">
        <v>2300</v>
      </c>
      <c r="E964" s="42">
        <v>46129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4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70">
        <v>46248</v>
      </c>
      <c r="X964" s="30" t="s">
        <v>55</v>
      </c>
      <c r="Y964" s="30" t="s">
        <v>56</v>
      </c>
      <c r="Z964" s="30" t="s">
        <v>57</v>
      </c>
      <c r="AA964" s="30" t="s">
        <v>58</v>
      </c>
      <c r="AB964" s="30" t="s">
        <v>56</v>
      </c>
      <c r="AC964" s="27"/>
      <c r="AD964" s="31" t="s">
        <v>57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3251</v>
      </c>
      <c r="C965" s="25" t="s">
        <v>3252</v>
      </c>
      <c r="D965" s="23" t="s">
        <v>2300</v>
      </c>
      <c r="E965" s="4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4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70">
        <v>46248</v>
      </c>
      <c r="X965" s="30" t="s">
        <v>55</v>
      </c>
      <c r="Y965" s="30" t="s">
        <v>56</v>
      </c>
      <c r="Z965" s="30" t="s">
        <v>57</v>
      </c>
      <c r="AA965" s="30" t="s">
        <v>58</v>
      </c>
      <c r="AB965" s="30" t="s">
        <v>56</v>
      </c>
      <c r="AC965" s="27"/>
      <c r="AD965" s="31" t="s">
        <v>57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3253</v>
      </c>
      <c r="C966" s="41" t="s">
        <v>3254</v>
      </c>
      <c r="D966" s="39" t="s">
        <v>2300</v>
      </c>
      <c r="E966" s="4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4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70">
        <v>46248</v>
      </c>
      <c r="X966" s="30" t="s">
        <v>55</v>
      </c>
      <c r="Y966" s="30" t="s">
        <v>56</v>
      </c>
      <c r="Z966" s="30" t="s">
        <v>57</v>
      </c>
      <c r="AA966" s="30" t="s">
        <v>58</v>
      </c>
      <c r="AB966" s="30" t="s">
        <v>56</v>
      </c>
      <c r="AC966" s="27"/>
      <c r="AD966" s="31" t="s">
        <v>57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3255</v>
      </c>
      <c r="C967" s="25" t="s">
        <v>3256</v>
      </c>
      <c r="D967" s="23" t="s">
        <v>2300</v>
      </c>
      <c r="E967" s="42">
        <v>46132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4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70">
        <v>46248</v>
      </c>
      <c r="X967" s="30" t="s">
        <v>55</v>
      </c>
      <c r="Y967" s="30" t="s">
        <v>56</v>
      </c>
      <c r="Z967" s="30" t="s">
        <v>57</v>
      </c>
      <c r="AA967" s="30" t="s">
        <v>58</v>
      </c>
      <c r="AB967" s="30" t="s">
        <v>56</v>
      </c>
      <c r="AC967" s="27"/>
      <c r="AD967" s="31" t="s">
        <v>57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3257</v>
      </c>
      <c r="C968" s="41" t="s">
        <v>3258</v>
      </c>
      <c r="D968" s="39" t="s">
        <v>2300</v>
      </c>
      <c r="E968" s="4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4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70">
        <v>46248</v>
      </c>
      <c r="X968" s="30" t="s">
        <v>55</v>
      </c>
      <c r="Y968" s="30" t="s">
        <v>56</v>
      </c>
      <c r="Z968" s="30" t="s">
        <v>57</v>
      </c>
      <c r="AA968" s="30" t="s">
        <v>58</v>
      </c>
      <c r="AB968" s="30" t="s">
        <v>56</v>
      </c>
      <c r="AC968" s="27"/>
      <c r="AD968" s="31" t="s">
        <v>57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3259</v>
      </c>
      <c r="C969" s="25" t="s">
        <v>3260</v>
      </c>
      <c r="D969" s="23" t="s">
        <v>2300</v>
      </c>
      <c r="E969" s="42">
        <v>46132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4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70">
        <v>46248</v>
      </c>
      <c r="X969" s="30" t="s">
        <v>55</v>
      </c>
      <c r="Y969" s="30" t="s">
        <v>56</v>
      </c>
      <c r="Z969" s="30" t="s">
        <v>57</v>
      </c>
      <c r="AA969" s="30" t="s">
        <v>58</v>
      </c>
      <c r="AB969" s="30" t="s">
        <v>56</v>
      </c>
      <c r="AC969" s="27"/>
      <c r="AD969" s="31" t="s">
        <v>57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3261</v>
      </c>
      <c r="C970" s="41" t="s">
        <v>3262</v>
      </c>
      <c r="D970" s="39" t="s">
        <v>2300</v>
      </c>
      <c r="E970" s="42">
        <v>46132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4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70">
        <v>46248</v>
      </c>
      <c r="X970" s="30" t="s">
        <v>55</v>
      </c>
      <c r="Y970" s="30" t="s">
        <v>56</v>
      </c>
      <c r="Z970" s="30" t="s">
        <v>57</v>
      </c>
      <c r="AA970" s="30" t="s">
        <v>58</v>
      </c>
      <c r="AB970" s="30" t="s">
        <v>56</v>
      </c>
      <c r="AC970" s="27"/>
      <c r="AD970" s="31" t="s">
        <v>57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3263</v>
      </c>
      <c r="C971" s="25" t="s">
        <v>3264</v>
      </c>
      <c r="D971" s="23" t="s">
        <v>2300</v>
      </c>
      <c r="E971" s="4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4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70">
        <v>46248</v>
      </c>
      <c r="X971" s="30" t="s">
        <v>55</v>
      </c>
      <c r="Y971" s="30" t="s">
        <v>56</v>
      </c>
      <c r="Z971" s="30" t="s">
        <v>57</v>
      </c>
      <c r="AA971" s="30" t="s">
        <v>58</v>
      </c>
      <c r="AB971" s="30" t="s">
        <v>56</v>
      </c>
      <c r="AC971" s="27"/>
      <c r="AD971" s="31" t="s">
        <v>57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3265</v>
      </c>
      <c r="C972" s="41" t="s">
        <v>3266</v>
      </c>
      <c r="D972" s="39" t="s">
        <v>2300</v>
      </c>
      <c r="E972" s="4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4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70">
        <v>46248</v>
      </c>
      <c r="X972" s="30" t="s">
        <v>55</v>
      </c>
      <c r="Y972" s="30" t="s">
        <v>56</v>
      </c>
      <c r="Z972" s="30" t="s">
        <v>57</v>
      </c>
      <c r="AA972" s="30" t="s">
        <v>58</v>
      </c>
      <c r="AB972" s="30" t="s">
        <v>56</v>
      </c>
      <c r="AC972" s="27"/>
      <c r="AD972" s="31" t="s">
        <v>57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3267</v>
      </c>
      <c r="C973" s="25" t="s">
        <v>3268</v>
      </c>
      <c r="D973" s="23" t="s">
        <v>2300</v>
      </c>
      <c r="E973" s="4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4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70">
        <v>46248</v>
      </c>
      <c r="X973" s="30" t="s">
        <v>55</v>
      </c>
      <c r="Y973" s="30" t="s">
        <v>56</v>
      </c>
      <c r="Z973" s="30" t="s">
        <v>57</v>
      </c>
      <c r="AA973" s="30" t="s">
        <v>58</v>
      </c>
      <c r="AB973" s="30" t="s">
        <v>56</v>
      </c>
      <c r="AC973" s="27"/>
      <c r="AD973" s="31" t="s">
        <v>57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3269</v>
      </c>
      <c r="C974" s="41" t="s">
        <v>3270</v>
      </c>
      <c r="D974" s="39" t="s">
        <v>2300</v>
      </c>
      <c r="E974" s="4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4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70">
        <v>46248</v>
      </c>
      <c r="X974" s="30" t="s">
        <v>55</v>
      </c>
      <c r="Y974" s="30" t="s">
        <v>56</v>
      </c>
      <c r="Z974" s="30" t="s">
        <v>57</v>
      </c>
      <c r="AA974" s="30" t="s">
        <v>58</v>
      </c>
      <c r="AB974" s="30" t="s">
        <v>56</v>
      </c>
      <c r="AC974" s="27"/>
      <c r="AD974" s="31" t="s">
        <v>57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3271</v>
      </c>
      <c r="C975" s="25" t="s">
        <v>3272</v>
      </c>
      <c r="D975" s="23" t="s">
        <v>2300</v>
      </c>
      <c r="E975" s="42">
        <v>46129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4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70">
        <v>46248</v>
      </c>
      <c r="X975" s="30" t="s">
        <v>55</v>
      </c>
      <c r="Y975" s="30" t="s">
        <v>56</v>
      </c>
      <c r="Z975" s="30" t="s">
        <v>57</v>
      </c>
      <c r="AA975" s="30" t="s">
        <v>58</v>
      </c>
      <c r="AB975" s="30" t="s">
        <v>56</v>
      </c>
      <c r="AC975" s="27"/>
      <c r="AD975" s="31" t="s">
        <v>57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3273</v>
      </c>
      <c r="C976" s="41" t="s">
        <v>3274</v>
      </c>
      <c r="D976" s="39" t="s">
        <v>2300</v>
      </c>
      <c r="E976" s="42">
        <v>46129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4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70">
        <v>46248</v>
      </c>
      <c r="X976" s="30" t="s">
        <v>55</v>
      </c>
      <c r="Y976" s="30" t="s">
        <v>56</v>
      </c>
      <c r="Z976" s="30" t="s">
        <v>57</v>
      </c>
      <c r="AA976" s="30" t="s">
        <v>58</v>
      </c>
      <c r="AB976" s="30" t="s">
        <v>56</v>
      </c>
      <c r="AC976" s="27"/>
      <c r="AD976" s="31" t="s">
        <v>57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3275</v>
      </c>
      <c r="C977" s="25" t="s">
        <v>3276</v>
      </c>
      <c r="D977" s="23" t="s">
        <v>2300</v>
      </c>
      <c r="E977" s="4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4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70">
        <v>46248</v>
      </c>
      <c r="X977" s="30" t="s">
        <v>55</v>
      </c>
      <c r="Y977" s="30" t="s">
        <v>56</v>
      </c>
      <c r="Z977" s="30" t="s">
        <v>57</v>
      </c>
      <c r="AA977" s="30" t="s">
        <v>58</v>
      </c>
      <c r="AB977" s="30" t="s">
        <v>56</v>
      </c>
      <c r="AC977" s="27"/>
      <c r="AD977" s="31" t="s">
        <v>57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3277</v>
      </c>
      <c r="C978" s="41" t="s">
        <v>3278</v>
      </c>
      <c r="D978" s="39" t="s">
        <v>2300</v>
      </c>
      <c r="E978" s="42">
        <v>46132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4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70">
        <v>46248</v>
      </c>
      <c r="X978" s="30" t="s">
        <v>55</v>
      </c>
      <c r="Y978" s="30" t="s">
        <v>56</v>
      </c>
      <c r="Z978" s="30" t="s">
        <v>57</v>
      </c>
      <c r="AA978" s="30" t="s">
        <v>58</v>
      </c>
      <c r="AB978" s="30" t="s">
        <v>56</v>
      </c>
      <c r="AC978" s="27"/>
      <c r="AD978" s="31" t="s">
        <v>57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3279</v>
      </c>
      <c r="C979" s="25" t="s">
        <v>3280</v>
      </c>
      <c r="D979" s="23" t="s">
        <v>2300</v>
      </c>
      <c r="E979" s="42">
        <v>46132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4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70">
        <v>46248</v>
      </c>
      <c r="X979" s="30" t="s">
        <v>55</v>
      </c>
      <c r="Y979" s="30" t="s">
        <v>56</v>
      </c>
      <c r="Z979" s="30" t="s">
        <v>57</v>
      </c>
      <c r="AA979" s="30" t="s">
        <v>58</v>
      </c>
      <c r="AB979" s="30" t="s">
        <v>56</v>
      </c>
      <c r="AC979" s="27"/>
      <c r="AD979" s="31" t="s">
        <v>57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3281</v>
      </c>
      <c r="C980" s="41" t="s">
        <v>3282</v>
      </c>
      <c r="D980" s="39" t="s">
        <v>2300</v>
      </c>
      <c r="E980" s="4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4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70">
        <v>46248</v>
      </c>
      <c r="X980" s="30" t="s">
        <v>55</v>
      </c>
      <c r="Y980" s="30" t="s">
        <v>56</v>
      </c>
      <c r="Z980" s="30" t="s">
        <v>57</v>
      </c>
      <c r="AA980" s="30" t="s">
        <v>58</v>
      </c>
      <c r="AB980" s="30" t="s">
        <v>56</v>
      </c>
      <c r="AC980" s="27"/>
      <c r="AD980" s="31" t="s">
        <v>57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3283</v>
      </c>
      <c r="C981" s="25" t="s">
        <v>3284</v>
      </c>
      <c r="D981" s="23" t="s">
        <v>2300</v>
      </c>
      <c r="E981" s="4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4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70">
        <v>46248</v>
      </c>
      <c r="X981" s="30" t="s">
        <v>55</v>
      </c>
      <c r="Y981" s="30" t="s">
        <v>56</v>
      </c>
      <c r="Z981" s="30" t="s">
        <v>57</v>
      </c>
      <c r="AA981" s="30" t="s">
        <v>58</v>
      </c>
      <c r="AB981" s="30" t="s">
        <v>56</v>
      </c>
      <c r="AC981" s="27"/>
      <c r="AD981" s="31" t="s">
        <v>57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3285</v>
      </c>
      <c r="C982" s="41" t="s">
        <v>3286</v>
      </c>
      <c r="D982" s="39" t="s">
        <v>2300</v>
      </c>
      <c r="E982" s="4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4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70">
        <v>46248</v>
      </c>
      <c r="X982" s="30" t="s">
        <v>55</v>
      </c>
      <c r="Y982" s="30" t="s">
        <v>56</v>
      </c>
      <c r="Z982" s="30" t="s">
        <v>57</v>
      </c>
      <c r="AA982" s="30" t="s">
        <v>58</v>
      </c>
      <c r="AB982" s="30" t="s">
        <v>56</v>
      </c>
      <c r="AC982" s="27"/>
      <c r="AD982" s="31" t="s">
        <v>57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3287</v>
      </c>
      <c r="C983" s="25" t="s">
        <v>3288</v>
      </c>
      <c r="D983" s="23" t="s">
        <v>2300</v>
      </c>
      <c r="E983" s="42">
        <v>46132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4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70">
        <v>46248</v>
      </c>
      <c r="X983" s="30" t="s">
        <v>55</v>
      </c>
      <c r="Y983" s="30" t="s">
        <v>56</v>
      </c>
      <c r="Z983" s="30" t="s">
        <v>57</v>
      </c>
      <c r="AA983" s="30" t="s">
        <v>58</v>
      </c>
      <c r="AB983" s="30" t="s">
        <v>56</v>
      </c>
      <c r="AC983" s="27"/>
      <c r="AD983" s="31" t="s">
        <v>57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3289</v>
      </c>
      <c r="C984" s="41" t="s">
        <v>3290</v>
      </c>
      <c r="D984" s="39" t="s">
        <v>2300</v>
      </c>
      <c r="E984" s="42">
        <v>46132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4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70">
        <v>46248</v>
      </c>
      <c r="X984" s="30" t="s">
        <v>55</v>
      </c>
      <c r="Y984" s="30" t="s">
        <v>56</v>
      </c>
      <c r="Z984" s="30" t="s">
        <v>57</v>
      </c>
      <c r="AA984" s="30" t="s">
        <v>58</v>
      </c>
      <c r="AB984" s="30" t="s">
        <v>56</v>
      </c>
      <c r="AC984" s="27"/>
      <c r="AD984" s="31" t="s">
        <v>57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3291</v>
      </c>
      <c r="C985" s="25" t="s">
        <v>3292</v>
      </c>
      <c r="D985" s="23" t="s">
        <v>2300</v>
      </c>
      <c r="E985" s="42">
        <v>46129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4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70">
        <v>46248</v>
      </c>
      <c r="X985" s="30" t="s">
        <v>55</v>
      </c>
      <c r="Y985" s="30" t="s">
        <v>56</v>
      </c>
      <c r="Z985" s="30" t="s">
        <v>57</v>
      </c>
      <c r="AA985" s="30" t="s">
        <v>58</v>
      </c>
      <c r="AB985" s="30" t="s">
        <v>56</v>
      </c>
      <c r="AC985" s="27"/>
      <c r="AD985" s="31" t="s">
        <v>57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3293</v>
      </c>
      <c r="C986" s="41" t="s">
        <v>3294</v>
      </c>
      <c r="D986" s="39" t="s">
        <v>2300</v>
      </c>
      <c r="E986" s="42">
        <v>46129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4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70">
        <v>46248</v>
      </c>
      <c r="X986" s="30" t="s">
        <v>55</v>
      </c>
      <c r="Y986" s="30" t="s">
        <v>56</v>
      </c>
      <c r="Z986" s="30" t="s">
        <v>57</v>
      </c>
      <c r="AA986" s="30" t="s">
        <v>58</v>
      </c>
      <c r="AB986" s="30" t="s">
        <v>56</v>
      </c>
      <c r="AC986" s="27"/>
      <c r="AD986" s="31" t="s">
        <v>57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3295</v>
      </c>
      <c r="C987" s="25" t="s">
        <v>3296</v>
      </c>
      <c r="D987" s="23" t="s">
        <v>2300</v>
      </c>
      <c r="E987" s="4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4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70">
        <v>46248</v>
      </c>
      <c r="X987" s="30" t="s">
        <v>55</v>
      </c>
      <c r="Y987" s="30" t="s">
        <v>56</v>
      </c>
      <c r="Z987" s="30" t="s">
        <v>57</v>
      </c>
      <c r="AA987" s="30" t="s">
        <v>58</v>
      </c>
      <c r="AB987" s="30" t="s">
        <v>56</v>
      </c>
      <c r="AC987" s="27"/>
      <c r="AD987" s="31" t="s">
        <v>57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3297</v>
      </c>
      <c r="C988" s="41" t="s">
        <v>3298</v>
      </c>
      <c r="D988" s="39" t="s">
        <v>2300</v>
      </c>
      <c r="E988" s="4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4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70">
        <v>46248</v>
      </c>
      <c r="X988" s="30" t="s">
        <v>55</v>
      </c>
      <c r="Y988" s="30" t="s">
        <v>56</v>
      </c>
      <c r="Z988" s="30" t="s">
        <v>57</v>
      </c>
      <c r="AA988" s="30" t="s">
        <v>58</v>
      </c>
      <c r="AB988" s="30" t="s">
        <v>56</v>
      </c>
      <c r="AC988" s="27"/>
      <c r="AD988" s="31" t="s">
        <v>57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3299</v>
      </c>
      <c r="C989" s="25" t="s">
        <v>3300</v>
      </c>
      <c r="D989" s="23" t="s">
        <v>2300</v>
      </c>
      <c r="E989" s="42">
        <v>46132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4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70">
        <v>46248</v>
      </c>
      <c r="X989" s="30" t="s">
        <v>55</v>
      </c>
      <c r="Y989" s="30" t="s">
        <v>56</v>
      </c>
      <c r="Z989" s="30" t="s">
        <v>57</v>
      </c>
      <c r="AA989" s="30" t="s">
        <v>58</v>
      </c>
      <c r="AB989" s="30" t="s">
        <v>56</v>
      </c>
      <c r="AC989" s="27"/>
      <c r="AD989" s="31" t="s">
        <v>57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3301</v>
      </c>
      <c r="C990" s="41" t="s">
        <v>3302</v>
      </c>
      <c r="D990" s="39" t="s">
        <v>2300</v>
      </c>
      <c r="E990" s="42">
        <v>46132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4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70">
        <v>46248</v>
      </c>
      <c r="X990" s="30" t="s">
        <v>55</v>
      </c>
      <c r="Y990" s="30" t="s">
        <v>56</v>
      </c>
      <c r="Z990" s="30" t="s">
        <v>57</v>
      </c>
      <c r="AA990" s="30" t="s">
        <v>58</v>
      </c>
      <c r="AB990" s="30" t="s">
        <v>56</v>
      </c>
      <c r="AC990" s="27"/>
      <c r="AD990" s="31" t="s">
        <v>57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3303</v>
      </c>
      <c r="C991" s="25" t="s">
        <v>3304</v>
      </c>
      <c r="D991" s="23" t="s">
        <v>2300</v>
      </c>
      <c r="E991" s="42">
        <v>46132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4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70">
        <v>46248</v>
      </c>
      <c r="X991" s="30" t="s">
        <v>55</v>
      </c>
      <c r="Y991" s="30" t="s">
        <v>56</v>
      </c>
      <c r="Z991" s="30" t="s">
        <v>57</v>
      </c>
      <c r="AA991" s="30" t="s">
        <v>58</v>
      </c>
      <c r="AB991" s="30" t="s">
        <v>56</v>
      </c>
      <c r="AC991" s="27"/>
      <c r="AD991" s="31" t="s">
        <v>57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3305</v>
      </c>
      <c r="C992" s="41" t="s">
        <v>3306</v>
      </c>
      <c r="D992" s="39" t="s">
        <v>2300</v>
      </c>
      <c r="E992" s="42">
        <v>46132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4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70">
        <v>46248</v>
      </c>
      <c r="X992" s="30" t="s">
        <v>55</v>
      </c>
      <c r="Y992" s="30" t="s">
        <v>56</v>
      </c>
      <c r="Z992" s="30" t="s">
        <v>57</v>
      </c>
      <c r="AA992" s="30" t="s">
        <v>58</v>
      </c>
      <c r="AB992" s="30" t="s">
        <v>56</v>
      </c>
      <c r="AC992" s="27"/>
      <c r="AD992" s="31" t="s">
        <v>57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3307</v>
      </c>
      <c r="C993" s="25" t="s">
        <v>3308</v>
      </c>
      <c r="D993" s="23" t="s">
        <v>2300</v>
      </c>
      <c r="E993" s="4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4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70">
        <v>46248</v>
      </c>
      <c r="X993" s="30" t="s">
        <v>55</v>
      </c>
      <c r="Y993" s="30" t="s">
        <v>56</v>
      </c>
      <c r="Z993" s="30" t="s">
        <v>57</v>
      </c>
      <c r="AA993" s="30" t="s">
        <v>58</v>
      </c>
      <c r="AB993" s="30" t="s">
        <v>56</v>
      </c>
      <c r="AC993" s="27"/>
      <c r="AD993" s="31" t="s">
        <v>57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3309</v>
      </c>
      <c r="C994" s="41" t="s">
        <v>3310</v>
      </c>
      <c r="D994" s="39" t="s">
        <v>2300</v>
      </c>
      <c r="E994" s="4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4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70">
        <v>46248</v>
      </c>
      <c r="X994" s="30" t="s">
        <v>55</v>
      </c>
      <c r="Y994" s="30" t="s">
        <v>56</v>
      </c>
      <c r="Z994" s="30" t="s">
        <v>57</v>
      </c>
      <c r="AA994" s="30" t="s">
        <v>58</v>
      </c>
      <c r="AB994" s="30" t="s">
        <v>56</v>
      </c>
      <c r="AC994" s="27"/>
      <c r="AD994" s="31" t="s">
        <v>57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3311</v>
      </c>
      <c r="C995" s="25" t="s">
        <v>3312</v>
      </c>
      <c r="D995" s="23" t="s">
        <v>2300</v>
      </c>
      <c r="E995" s="42">
        <v>46132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4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70">
        <v>46248</v>
      </c>
      <c r="X995" s="30" t="s">
        <v>55</v>
      </c>
      <c r="Y995" s="30" t="s">
        <v>56</v>
      </c>
      <c r="Z995" s="30" t="s">
        <v>57</v>
      </c>
      <c r="AA995" s="30" t="s">
        <v>58</v>
      </c>
      <c r="AB995" s="30" t="s">
        <v>56</v>
      </c>
      <c r="AC995" s="27"/>
      <c r="AD995" s="31" t="s">
        <v>57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3313</v>
      </c>
      <c r="C996" s="41" t="s">
        <v>3314</v>
      </c>
      <c r="D996" s="39" t="s">
        <v>2300</v>
      </c>
      <c r="E996" s="42">
        <v>46132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4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70">
        <v>46248</v>
      </c>
      <c r="X996" s="30" t="s">
        <v>55</v>
      </c>
      <c r="Y996" s="30" t="s">
        <v>56</v>
      </c>
      <c r="Z996" s="30" t="s">
        <v>57</v>
      </c>
      <c r="AA996" s="30" t="s">
        <v>58</v>
      </c>
      <c r="AB996" s="30" t="s">
        <v>56</v>
      </c>
      <c r="AC996" s="27"/>
      <c r="AD996" s="31" t="s">
        <v>57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3315</v>
      </c>
      <c r="C997" s="25" t="s">
        <v>3316</v>
      </c>
      <c r="D997" s="23" t="s">
        <v>2300</v>
      </c>
      <c r="E997" s="42">
        <v>46129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4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70">
        <v>46248</v>
      </c>
      <c r="X997" s="30" t="s">
        <v>55</v>
      </c>
      <c r="Y997" s="30" t="s">
        <v>56</v>
      </c>
      <c r="Z997" s="30" t="s">
        <v>57</v>
      </c>
      <c r="AA997" s="30" t="s">
        <v>58</v>
      </c>
      <c r="AB997" s="30" t="s">
        <v>56</v>
      </c>
      <c r="AC997" s="27"/>
      <c r="AD997" s="31" t="s">
        <v>57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3317</v>
      </c>
      <c r="C998" s="41" t="s">
        <v>3318</v>
      </c>
      <c r="D998" s="39" t="s">
        <v>2300</v>
      </c>
      <c r="E998" s="42">
        <v>46129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4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70">
        <v>46248</v>
      </c>
      <c r="X998" s="30" t="s">
        <v>55</v>
      </c>
      <c r="Y998" s="30" t="s">
        <v>56</v>
      </c>
      <c r="Z998" s="30" t="s">
        <v>57</v>
      </c>
      <c r="AA998" s="30" t="s">
        <v>58</v>
      </c>
      <c r="AB998" s="30" t="s">
        <v>56</v>
      </c>
      <c r="AC998" s="27"/>
      <c r="AD998" s="31" t="s">
        <v>57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3319</v>
      </c>
      <c r="C999" s="25" t="s">
        <v>3320</v>
      </c>
      <c r="D999" s="23" t="s">
        <v>2300</v>
      </c>
      <c r="E999" s="42">
        <v>46129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4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70">
        <v>46248</v>
      </c>
      <c r="X999" s="30" t="s">
        <v>55</v>
      </c>
      <c r="Y999" s="30" t="s">
        <v>56</v>
      </c>
      <c r="Z999" s="30" t="s">
        <v>57</v>
      </c>
      <c r="AA999" s="30" t="s">
        <v>58</v>
      </c>
      <c r="AB999" s="30" t="s">
        <v>56</v>
      </c>
      <c r="AC999" s="27"/>
      <c r="AD999" s="31" t="s">
        <v>57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3321</v>
      </c>
      <c r="C1000" s="41" t="s">
        <v>3322</v>
      </c>
      <c r="D1000" s="39" t="s">
        <v>2300</v>
      </c>
      <c r="E1000" s="42">
        <v>46129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4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70">
        <v>46248</v>
      </c>
      <c r="X1000" s="30" t="s">
        <v>55</v>
      </c>
      <c r="Y1000" s="30" t="s">
        <v>56</v>
      </c>
      <c r="Z1000" s="30" t="s">
        <v>57</v>
      </c>
      <c r="AA1000" s="30" t="s">
        <v>58</v>
      </c>
      <c r="AB1000" s="30" t="s">
        <v>56</v>
      </c>
      <c r="AC1000" s="27"/>
      <c r="AD1000" s="31" t="s">
        <v>57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3323</v>
      </c>
      <c r="C1001" s="25" t="s">
        <v>3324</v>
      </c>
      <c r="D1001" s="23" t="s">
        <v>2300</v>
      </c>
      <c r="E1001" s="42">
        <v>46129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4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70">
        <v>46248</v>
      </c>
      <c r="X1001" s="30" t="s">
        <v>55</v>
      </c>
      <c r="Y1001" s="30" t="s">
        <v>56</v>
      </c>
      <c r="Z1001" s="30" t="s">
        <v>57</v>
      </c>
      <c r="AA1001" s="30" t="s">
        <v>58</v>
      </c>
      <c r="AB1001" s="30" t="s">
        <v>56</v>
      </c>
      <c r="AC1001" s="27"/>
      <c r="AD1001" s="31" t="s">
        <v>57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3325</v>
      </c>
      <c r="C1002" s="41" t="s">
        <v>3326</v>
      </c>
      <c r="D1002" s="39" t="s">
        <v>2300</v>
      </c>
      <c r="E1002" s="42">
        <v>46129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4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70">
        <v>46248</v>
      </c>
      <c r="X1002" s="30" t="s">
        <v>55</v>
      </c>
      <c r="Y1002" s="30" t="s">
        <v>56</v>
      </c>
      <c r="Z1002" s="30" t="s">
        <v>57</v>
      </c>
      <c r="AA1002" s="30" t="s">
        <v>58</v>
      </c>
      <c r="AB1002" s="30" t="s">
        <v>56</v>
      </c>
      <c r="AC1002" s="27"/>
      <c r="AD1002" s="31" t="s">
        <v>57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3327</v>
      </c>
      <c r="C1003" s="25" t="s">
        <v>3328</v>
      </c>
      <c r="D1003" s="23" t="s">
        <v>2300</v>
      </c>
      <c r="E1003" s="42">
        <v>46129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4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70">
        <v>46248</v>
      </c>
      <c r="X1003" s="30" t="s">
        <v>55</v>
      </c>
      <c r="Y1003" s="30" t="s">
        <v>56</v>
      </c>
      <c r="Z1003" s="30" t="s">
        <v>57</v>
      </c>
      <c r="AA1003" s="30" t="s">
        <v>58</v>
      </c>
      <c r="AB1003" s="30" t="s">
        <v>56</v>
      </c>
      <c r="AC1003" s="27"/>
      <c r="AD1003" s="31" t="s">
        <v>57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3329</v>
      </c>
      <c r="C1004" s="41" t="s">
        <v>3330</v>
      </c>
      <c r="D1004" s="39" t="s">
        <v>2300</v>
      </c>
      <c r="E1004" s="42">
        <v>46129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4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70">
        <v>46248</v>
      </c>
      <c r="X1004" s="30" t="s">
        <v>55</v>
      </c>
      <c r="Y1004" s="30" t="s">
        <v>56</v>
      </c>
      <c r="Z1004" s="30" t="s">
        <v>57</v>
      </c>
      <c r="AA1004" s="30" t="s">
        <v>58</v>
      </c>
      <c r="AB1004" s="30" t="s">
        <v>56</v>
      </c>
      <c r="AC1004" s="27"/>
      <c r="AD1004" s="31" t="s">
        <v>57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3331</v>
      </c>
      <c r="C1005" s="25" t="s">
        <v>3332</v>
      </c>
      <c r="D1005" s="23" t="s">
        <v>2300</v>
      </c>
      <c r="E1005" s="4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4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70">
        <v>46248</v>
      </c>
      <c r="X1005" s="30" t="s">
        <v>55</v>
      </c>
      <c r="Y1005" s="30" t="s">
        <v>56</v>
      </c>
      <c r="Z1005" s="30" t="s">
        <v>57</v>
      </c>
      <c r="AA1005" s="30" t="s">
        <v>58</v>
      </c>
      <c r="AB1005" s="30" t="s">
        <v>56</v>
      </c>
      <c r="AC1005" s="27"/>
      <c r="AD1005" s="31" t="s">
        <v>57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3333</v>
      </c>
      <c r="C1006" s="41" t="s">
        <v>3334</v>
      </c>
      <c r="D1006" s="39" t="s">
        <v>2300</v>
      </c>
      <c r="E1006" s="4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4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70">
        <v>46248</v>
      </c>
      <c r="X1006" s="30" t="s">
        <v>55</v>
      </c>
      <c r="Y1006" s="30" t="s">
        <v>56</v>
      </c>
      <c r="Z1006" s="30" t="s">
        <v>57</v>
      </c>
      <c r="AA1006" s="30" t="s">
        <v>58</v>
      </c>
      <c r="AB1006" s="30" t="s">
        <v>56</v>
      </c>
      <c r="AC1006" s="27"/>
      <c r="AD1006" s="31" t="s">
        <v>57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3335</v>
      </c>
      <c r="C1007" s="25" t="s">
        <v>3336</v>
      </c>
      <c r="D1007" s="23" t="s">
        <v>2300</v>
      </c>
      <c r="E1007" s="4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4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70">
        <v>46248</v>
      </c>
      <c r="X1007" s="30" t="s">
        <v>55</v>
      </c>
      <c r="Y1007" s="30" t="s">
        <v>56</v>
      </c>
      <c r="Z1007" s="30" t="s">
        <v>57</v>
      </c>
      <c r="AA1007" s="30" t="s">
        <v>58</v>
      </c>
      <c r="AB1007" s="30" t="s">
        <v>56</v>
      </c>
      <c r="AC1007" s="27"/>
      <c r="AD1007" s="31" t="s">
        <v>57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3337</v>
      </c>
      <c r="C1008" s="41" t="s">
        <v>3338</v>
      </c>
      <c r="D1008" s="39" t="s">
        <v>2300</v>
      </c>
      <c r="E1008" s="4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4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70">
        <v>46248</v>
      </c>
      <c r="X1008" s="30" t="s">
        <v>55</v>
      </c>
      <c r="Y1008" s="30" t="s">
        <v>56</v>
      </c>
      <c r="Z1008" s="30" t="s">
        <v>57</v>
      </c>
      <c r="AA1008" s="30" t="s">
        <v>58</v>
      </c>
      <c r="AB1008" s="30" t="s">
        <v>56</v>
      </c>
      <c r="AC1008" s="27"/>
      <c r="AD1008" s="31" t="s">
        <v>57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3339</v>
      </c>
      <c r="C1009" s="25" t="s">
        <v>3340</v>
      </c>
      <c r="D1009" s="23" t="s">
        <v>2300</v>
      </c>
      <c r="E1009" s="42">
        <v>46132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4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70">
        <v>46248</v>
      </c>
      <c r="X1009" s="30" t="s">
        <v>55</v>
      </c>
      <c r="Y1009" s="30" t="s">
        <v>56</v>
      </c>
      <c r="Z1009" s="30" t="s">
        <v>57</v>
      </c>
      <c r="AA1009" s="30" t="s">
        <v>58</v>
      </c>
      <c r="AB1009" s="30" t="s">
        <v>56</v>
      </c>
      <c r="AC1009" s="27"/>
      <c r="AD1009" s="31" t="s">
        <v>57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3341</v>
      </c>
      <c r="C1010" s="41" t="s">
        <v>3342</v>
      </c>
      <c r="D1010" s="39" t="s">
        <v>2300</v>
      </c>
      <c r="E1010" s="42">
        <v>46132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4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70">
        <v>46248</v>
      </c>
      <c r="X1010" s="30" t="s">
        <v>55</v>
      </c>
      <c r="Y1010" s="30" t="s">
        <v>56</v>
      </c>
      <c r="Z1010" s="30" t="s">
        <v>57</v>
      </c>
      <c r="AA1010" s="30" t="s">
        <v>58</v>
      </c>
      <c r="AB1010" s="30" t="s">
        <v>56</v>
      </c>
      <c r="AC1010" s="27"/>
      <c r="AD1010" s="31" t="s">
        <v>57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3343</v>
      </c>
      <c r="C1011" s="25" t="s">
        <v>3344</v>
      </c>
      <c r="D1011" s="23" t="s">
        <v>2300</v>
      </c>
      <c r="E1011" s="4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4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70">
        <v>46248</v>
      </c>
      <c r="X1011" s="30" t="s">
        <v>55</v>
      </c>
      <c r="Y1011" s="30" t="s">
        <v>56</v>
      </c>
      <c r="Z1011" s="30" t="s">
        <v>57</v>
      </c>
      <c r="AA1011" s="30" t="s">
        <v>58</v>
      </c>
      <c r="AB1011" s="30" t="s">
        <v>56</v>
      </c>
      <c r="AC1011" s="27"/>
      <c r="AD1011" s="31" t="s">
        <v>57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3345</v>
      </c>
      <c r="C1012" s="41" t="s">
        <v>3346</v>
      </c>
      <c r="D1012" s="39" t="s">
        <v>2300</v>
      </c>
      <c r="E1012" s="4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4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70">
        <v>46248</v>
      </c>
      <c r="X1012" s="30" t="s">
        <v>55</v>
      </c>
      <c r="Y1012" s="30" t="s">
        <v>56</v>
      </c>
      <c r="Z1012" s="30" t="s">
        <v>57</v>
      </c>
      <c r="AA1012" s="30" t="s">
        <v>58</v>
      </c>
      <c r="AB1012" s="30" t="s">
        <v>56</v>
      </c>
      <c r="AC1012" s="27"/>
      <c r="AD1012" s="31" t="s">
        <v>57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3347</v>
      </c>
      <c r="C1013" s="25" t="s">
        <v>3348</v>
      </c>
      <c r="D1013" s="23" t="s">
        <v>2300</v>
      </c>
      <c r="E1013" s="42">
        <v>46132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4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70">
        <v>46248</v>
      </c>
      <c r="X1013" s="30" t="s">
        <v>55</v>
      </c>
      <c r="Y1013" s="30" t="s">
        <v>56</v>
      </c>
      <c r="Z1013" s="30" t="s">
        <v>57</v>
      </c>
      <c r="AA1013" s="30" t="s">
        <v>58</v>
      </c>
      <c r="AB1013" s="30" t="s">
        <v>56</v>
      </c>
      <c r="AC1013" s="27"/>
      <c r="AD1013" s="31" t="s">
        <v>57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3349</v>
      </c>
      <c r="C1014" s="41" t="s">
        <v>3350</v>
      </c>
      <c r="D1014" s="39" t="s">
        <v>2300</v>
      </c>
      <c r="E1014" s="42">
        <v>46132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4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70">
        <v>46248</v>
      </c>
      <c r="X1014" s="30" t="s">
        <v>55</v>
      </c>
      <c r="Y1014" s="30" t="s">
        <v>56</v>
      </c>
      <c r="Z1014" s="30" t="s">
        <v>57</v>
      </c>
      <c r="AA1014" s="30" t="s">
        <v>58</v>
      </c>
      <c r="AB1014" s="30" t="s">
        <v>56</v>
      </c>
      <c r="AC1014" s="27"/>
      <c r="AD1014" s="31" t="s">
        <v>57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3351</v>
      </c>
      <c r="C1015" s="25" t="s">
        <v>3352</v>
      </c>
      <c r="D1015" s="23" t="s">
        <v>2300</v>
      </c>
      <c r="E1015" s="42">
        <v>46129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4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70">
        <v>46248</v>
      </c>
      <c r="X1015" s="30" t="s">
        <v>55</v>
      </c>
      <c r="Y1015" s="30" t="s">
        <v>56</v>
      </c>
      <c r="Z1015" s="30" t="s">
        <v>57</v>
      </c>
      <c r="AA1015" s="30" t="s">
        <v>58</v>
      </c>
      <c r="AB1015" s="30" t="s">
        <v>56</v>
      </c>
      <c r="AC1015" s="27"/>
      <c r="AD1015" s="31" t="s">
        <v>57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3353</v>
      </c>
      <c r="C1016" s="41" t="s">
        <v>3354</v>
      </c>
      <c r="D1016" s="39" t="s">
        <v>2300</v>
      </c>
      <c r="E1016" s="42">
        <v>46129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4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70">
        <v>46248</v>
      </c>
      <c r="X1016" s="30" t="s">
        <v>55</v>
      </c>
      <c r="Y1016" s="30" t="s">
        <v>56</v>
      </c>
      <c r="Z1016" s="30" t="s">
        <v>57</v>
      </c>
      <c r="AA1016" s="30" t="s">
        <v>58</v>
      </c>
      <c r="AB1016" s="30" t="s">
        <v>56</v>
      </c>
      <c r="AC1016" s="27"/>
      <c r="AD1016" s="31" t="s">
        <v>57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3355</v>
      </c>
      <c r="C1017" s="25" t="s">
        <v>3356</v>
      </c>
      <c r="D1017" s="23" t="s">
        <v>2300</v>
      </c>
      <c r="E1017" s="42">
        <v>46129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4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70">
        <v>46248</v>
      </c>
      <c r="X1017" s="30" t="s">
        <v>55</v>
      </c>
      <c r="Y1017" s="30" t="s">
        <v>56</v>
      </c>
      <c r="Z1017" s="30" t="s">
        <v>57</v>
      </c>
      <c r="AA1017" s="30" t="s">
        <v>58</v>
      </c>
      <c r="AB1017" s="30" t="s">
        <v>56</v>
      </c>
      <c r="AC1017" s="27"/>
      <c r="AD1017" s="31" t="s">
        <v>57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3357</v>
      </c>
      <c r="C1018" s="41" t="s">
        <v>3358</v>
      </c>
      <c r="D1018" s="39" t="s">
        <v>2300</v>
      </c>
      <c r="E1018" s="42">
        <v>46129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4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70">
        <v>46248</v>
      </c>
      <c r="X1018" s="30" t="s">
        <v>55</v>
      </c>
      <c r="Y1018" s="30" t="s">
        <v>56</v>
      </c>
      <c r="Z1018" s="30" t="s">
        <v>57</v>
      </c>
      <c r="AA1018" s="30" t="s">
        <v>58</v>
      </c>
      <c r="AB1018" s="30" t="s">
        <v>56</v>
      </c>
      <c r="AC1018" s="27"/>
      <c r="AD1018" s="31" t="s">
        <v>57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3359</v>
      </c>
      <c r="C1019" s="25" t="s">
        <v>3360</v>
      </c>
      <c r="D1019" s="23" t="s">
        <v>2300</v>
      </c>
      <c r="E1019" s="42">
        <v>46129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4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70">
        <v>46248</v>
      </c>
      <c r="X1019" s="30" t="s">
        <v>55</v>
      </c>
      <c r="Y1019" s="30" t="s">
        <v>56</v>
      </c>
      <c r="Z1019" s="30" t="s">
        <v>57</v>
      </c>
      <c r="AA1019" s="30" t="s">
        <v>58</v>
      </c>
      <c r="AB1019" s="30" t="s">
        <v>56</v>
      </c>
      <c r="AC1019" s="27"/>
      <c r="AD1019" s="31" t="s">
        <v>57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3361</v>
      </c>
      <c r="C1020" s="41" t="s">
        <v>3362</v>
      </c>
      <c r="D1020" s="39" t="s">
        <v>2300</v>
      </c>
      <c r="E1020" s="42">
        <v>46129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4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70">
        <v>46248</v>
      </c>
      <c r="X1020" s="30" t="s">
        <v>55</v>
      </c>
      <c r="Y1020" s="30" t="s">
        <v>56</v>
      </c>
      <c r="Z1020" s="30" t="s">
        <v>57</v>
      </c>
      <c r="AA1020" s="30" t="s">
        <v>58</v>
      </c>
      <c r="AB1020" s="30" t="s">
        <v>56</v>
      </c>
      <c r="AC1020" s="27"/>
      <c r="AD1020" s="31" t="s">
        <v>57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3363</v>
      </c>
      <c r="C1021" s="25" t="s">
        <v>3364</v>
      </c>
      <c r="D1021" s="23" t="s">
        <v>2300</v>
      </c>
      <c r="E1021" s="42">
        <v>46129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4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70">
        <v>46248</v>
      </c>
      <c r="X1021" s="30" t="s">
        <v>55</v>
      </c>
      <c r="Y1021" s="30" t="s">
        <v>56</v>
      </c>
      <c r="Z1021" s="30" t="s">
        <v>57</v>
      </c>
      <c r="AA1021" s="30" t="s">
        <v>58</v>
      </c>
      <c r="AB1021" s="30" t="s">
        <v>56</v>
      </c>
      <c r="AC1021" s="27"/>
      <c r="AD1021" s="31" t="s">
        <v>57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3365</v>
      </c>
      <c r="C1022" s="41" t="s">
        <v>3366</v>
      </c>
      <c r="D1022" s="39" t="s">
        <v>2300</v>
      </c>
      <c r="E1022" s="42">
        <v>46129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4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70">
        <v>46248</v>
      </c>
      <c r="X1022" s="30" t="s">
        <v>55</v>
      </c>
      <c r="Y1022" s="30" t="s">
        <v>56</v>
      </c>
      <c r="Z1022" s="30" t="s">
        <v>57</v>
      </c>
      <c r="AA1022" s="30" t="s">
        <v>58</v>
      </c>
      <c r="AB1022" s="30" t="s">
        <v>56</v>
      </c>
      <c r="AC1022" s="27"/>
      <c r="AD1022" s="31" t="s">
        <v>57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3367</v>
      </c>
      <c r="C1023" s="25" t="s">
        <v>3368</v>
      </c>
      <c r="D1023" s="23" t="s">
        <v>2300</v>
      </c>
      <c r="E1023" s="42">
        <v>46129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4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70">
        <v>46248</v>
      </c>
      <c r="X1023" s="30" t="s">
        <v>55</v>
      </c>
      <c r="Y1023" s="30" t="s">
        <v>56</v>
      </c>
      <c r="Z1023" s="30" t="s">
        <v>57</v>
      </c>
      <c r="AA1023" s="30" t="s">
        <v>58</v>
      </c>
      <c r="AB1023" s="30" t="s">
        <v>56</v>
      </c>
      <c r="AC1023" s="27"/>
      <c r="AD1023" s="31" t="s">
        <v>57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3369</v>
      </c>
      <c r="C1024" s="41" t="s">
        <v>3370</v>
      </c>
      <c r="D1024" s="39" t="s">
        <v>2300</v>
      </c>
      <c r="E1024" s="42">
        <v>46129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4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70">
        <v>46248</v>
      </c>
      <c r="X1024" s="30" t="s">
        <v>55</v>
      </c>
      <c r="Y1024" s="30" t="s">
        <v>56</v>
      </c>
      <c r="Z1024" s="30" t="s">
        <v>57</v>
      </c>
      <c r="AA1024" s="30" t="s">
        <v>58</v>
      </c>
      <c r="AB1024" s="30" t="s">
        <v>56</v>
      </c>
      <c r="AC1024" s="27"/>
      <c r="AD1024" s="31" t="s">
        <v>57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3371</v>
      </c>
      <c r="C1025" s="25" t="s">
        <v>3372</v>
      </c>
      <c r="D1025" s="23" t="s">
        <v>2300</v>
      </c>
      <c r="E1025" s="42">
        <v>46129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4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70">
        <v>46248</v>
      </c>
      <c r="X1025" s="30" t="s">
        <v>55</v>
      </c>
      <c r="Y1025" s="30" t="s">
        <v>56</v>
      </c>
      <c r="Z1025" s="30" t="s">
        <v>57</v>
      </c>
      <c r="AA1025" s="30" t="s">
        <v>58</v>
      </c>
      <c r="AB1025" s="30" t="s">
        <v>56</v>
      </c>
      <c r="AC1025" s="27"/>
      <c r="AD1025" s="31" t="s">
        <v>57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3373</v>
      </c>
      <c r="C1026" s="41" t="s">
        <v>3374</v>
      </c>
      <c r="D1026" s="39" t="s">
        <v>2300</v>
      </c>
      <c r="E1026" s="42">
        <v>46129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4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70">
        <v>46248</v>
      </c>
      <c r="X1026" s="30" t="s">
        <v>55</v>
      </c>
      <c r="Y1026" s="30" t="s">
        <v>56</v>
      </c>
      <c r="Z1026" s="30" t="s">
        <v>57</v>
      </c>
      <c r="AA1026" s="30" t="s">
        <v>58</v>
      </c>
      <c r="AB1026" s="30" t="s">
        <v>56</v>
      </c>
      <c r="AC1026" s="27"/>
      <c r="AD1026" s="31" t="s">
        <v>57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3375</v>
      </c>
      <c r="C1027" s="25" t="s">
        <v>3376</v>
      </c>
      <c r="D1027" s="23" t="s">
        <v>2300</v>
      </c>
      <c r="E1027" s="42">
        <v>46129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4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70">
        <v>46248</v>
      </c>
      <c r="X1027" s="30" t="s">
        <v>55</v>
      </c>
      <c r="Y1027" s="30" t="s">
        <v>56</v>
      </c>
      <c r="Z1027" s="30" t="s">
        <v>57</v>
      </c>
      <c r="AA1027" s="30" t="s">
        <v>58</v>
      </c>
      <c r="AB1027" s="30" t="s">
        <v>56</v>
      </c>
      <c r="AC1027" s="27"/>
      <c r="AD1027" s="31" t="s">
        <v>57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3377</v>
      </c>
      <c r="C1028" s="41" t="s">
        <v>3378</v>
      </c>
      <c r="D1028" s="39" t="s">
        <v>2300</v>
      </c>
      <c r="E1028" s="42">
        <v>46129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4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70">
        <v>46248</v>
      </c>
      <c r="X1028" s="30" t="s">
        <v>55</v>
      </c>
      <c r="Y1028" s="30" t="s">
        <v>56</v>
      </c>
      <c r="Z1028" s="30" t="s">
        <v>57</v>
      </c>
      <c r="AA1028" s="30" t="s">
        <v>58</v>
      </c>
      <c r="AB1028" s="30" t="s">
        <v>56</v>
      </c>
      <c r="AC1028" s="27"/>
      <c r="AD1028" s="31" t="s">
        <v>57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3379</v>
      </c>
      <c r="C1029" s="25" t="s">
        <v>3380</v>
      </c>
      <c r="D1029" s="23" t="s">
        <v>2300</v>
      </c>
      <c r="E1029" s="42">
        <v>46129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4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70">
        <v>46248</v>
      </c>
      <c r="X1029" s="30" t="s">
        <v>55</v>
      </c>
      <c r="Y1029" s="30" t="s">
        <v>56</v>
      </c>
      <c r="Z1029" s="30" t="s">
        <v>57</v>
      </c>
      <c r="AA1029" s="30" t="s">
        <v>58</v>
      </c>
      <c r="AB1029" s="30" t="s">
        <v>56</v>
      </c>
      <c r="AC1029" s="27"/>
      <c r="AD1029" s="31" t="s">
        <v>57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3381</v>
      </c>
      <c r="C1030" s="41" t="s">
        <v>3382</v>
      </c>
      <c r="D1030" s="39" t="s">
        <v>2300</v>
      </c>
      <c r="E1030" s="42">
        <v>46129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4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70">
        <v>46248</v>
      </c>
      <c r="X1030" s="30" t="s">
        <v>55</v>
      </c>
      <c r="Y1030" s="30" t="s">
        <v>56</v>
      </c>
      <c r="Z1030" s="30" t="s">
        <v>57</v>
      </c>
      <c r="AA1030" s="30" t="s">
        <v>58</v>
      </c>
      <c r="AB1030" s="30" t="s">
        <v>56</v>
      </c>
      <c r="AC1030" s="27"/>
      <c r="AD1030" s="31" t="s">
        <v>57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3383</v>
      </c>
      <c r="C1031" s="25" t="s">
        <v>3384</v>
      </c>
      <c r="D1031" s="23" t="s">
        <v>2300</v>
      </c>
      <c r="E1031" s="42">
        <v>46129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4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70">
        <v>46248</v>
      </c>
      <c r="X1031" s="30" t="s">
        <v>55</v>
      </c>
      <c r="Y1031" s="30" t="s">
        <v>56</v>
      </c>
      <c r="Z1031" s="30" t="s">
        <v>57</v>
      </c>
      <c r="AA1031" s="30" t="s">
        <v>58</v>
      </c>
      <c r="AB1031" s="30" t="s">
        <v>56</v>
      </c>
      <c r="AC1031" s="27"/>
      <c r="AD1031" s="31" t="s">
        <v>57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3385</v>
      </c>
      <c r="C1032" s="41" t="s">
        <v>3386</v>
      </c>
      <c r="D1032" s="39" t="s">
        <v>2300</v>
      </c>
      <c r="E1032" s="42">
        <v>46129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4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70">
        <v>46248</v>
      </c>
      <c r="X1032" s="30" t="s">
        <v>55</v>
      </c>
      <c r="Y1032" s="30" t="s">
        <v>56</v>
      </c>
      <c r="Z1032" s="30" t="s">
        <v>57</v>
      </c>
      <c r="AA1032" s="30" t="s">
        <v>58</v>
      </c>
      <c r="AB1032" s="30" t="s">
        <v>56</v>
      </c>
      <c r="AC1032" s="27"/>
      <c r="AD1032" s="31" t="s">
        <v>57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3387</v>
      </c>
      <c r="C1033" s="25" t="s">
        <v>3388</v>
      </c>
      <c r="D1033" s="23" t="s">
        <v>2300</v>
      </c>
      <c r="E1033" s="42">
        <v>46129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4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70">
        <v>46248</v>
      </c>
      <c r="X1033" s="30" t="s">
        <v>55</v>
      </c>
      <c r="Y1033" s="30" t="s">
        <v>56</v>
      </c>
      <c r="Z1033" s="30" t="s">
        <v>57</v>
      </c>
      <c r="AA1033" s="30" t="s">
        <v>58</v>
      </c>
      <c r="AB1033" s="30" t="s">
        <v>56</v>
      </c>
      <c r="AC1033" s="27"/>
      <c r="AD1033" s="31" t="s">
        <v>57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3389</v>
      </c>
      <c r="C1034" s="41" t="s">
        <v>3390</v>
      </c>
      <c r="D1034" s="39" t="s">
        <v>2300</v>
      </c>
      <c r="E1034" s="42">
        <v>46129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4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70">
        <v>46248</v>
      </c>
      <c r="X1034" s="30" t="s">
        <v>55</v>
      </c>
      <c r="Y1034" s="30" t="s">
        <v>56</v>
      </c>
      <c r="Z1034" s="30" t="s">
        <v>57</v>
      </c>
      <c r="AA1034" s="30" t="s">
        <v>58</v>
      </c>
      <c r="AB1034" s="30" t="s">
        <v>56</v>
      </c>
      <c r="AC1034" s="27"/>
      <c r="AD1034" s="31" t="s">
        <v>57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3391</v>
      </c>
      <c r="C1035" s="25" t="s">
        <v>3392</v>
      </c>
      <c r="D1035" s="23" t="s">
        <v>2300</v>
      </c>
      <c r="E1035" s="42">
        <v>46129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4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70">
        <v>46248</v>
      </c>
      <c r="X1035" s="30" t="s">
        <v>55</v>
      </c>
      <c r="Y1035" s="30" t="s">
        <v>56</v>
      </c>
      <c r="Z1035" s="30" t="s">
        <v>57</v>
      </c>
      <c r="AA1035" s="30" t="s">
        <v>58</v>
      </c>
      <c r="AB1035" s="30" t="s">
        <v>56</v>
      </c>
      <c r="AC1035" s="27"/>
      <c r="AD1035" s="31" t="s">
        <v>57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3393</v>
      </c>
      <c r="C1036" s="41" t="s">
        <v>3394</v>
      </c>
      <c r="D1036" s="39" t="s">
        <v>2300</v>
      </c>
      <c r="E1036" s="42">
        <v>46129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4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70">
        <v>46248</v>
      </c>
      <c r="X1036" s="30" t="s">
        <v>55</v>
      </c>
      <c r="Y1036" s="30" t="s">
        <v>56</v>
      </c>
      <c r="Z1036" s="30" t="s">
        <v>57</v>
      </c>
      <c r="AA1036" s="30" t="s">
        <v>58</v>
      </c>
      <c r="AB1036" s="30" t="s">
        <v>56</v>
      </c>
      <c r="AC1036" s="27"/>
      <c r="AD1036" s="31" t="s">
        <v>57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3395</v>
      </c>
      <c r="C1037" s="25" t="s">
        <v>3396</v>
      </c>
      <c r="D1037" s="23" t="s">
        <v>2300</v>
      </c>
      <c r="E1037" s="42">
        <v>46129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4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70">
        <v>46248</v>
      </c>
      <c r="X1037" s="30" t="s">
        <v>55</v>
      </c>
      <c r="Y1037" s="30" t="s">
        <v>56</v>
      </c>
      <c r="Z1037" s="30" t="s">
        <v>57</v>
      </c>
      <c r="AA1037" s="30" t="s">
        <v>58</v>
      </c>
      <c r="AB1037" s="30" t="s">
        <v>56</v>
      </c>
      <c r="AC1037" s="27"/>
      <c r="AD1037" s="31" t="s">
        <v>57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3397</v>
      </c>
      <c r="C1038" s="41" t="s">
        <v>3398</v>
      </c>
      <c r="D1038" s="39" t="s">
        <v>2300</v>
      </c>
      <c r="E1038" s="42">
        <v>46129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4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70">
        <v>46248</v>
      </c>
      <c r="X1038" s="30" t="s">
        <v>55</v>
      </c>
      <c r="Y1038" s="30" t="s">
        <v>56</v>
      </c>
      <c r="Z1038" s="30" t="s">
        <v>57</v>
      </c>
      <c r="AA1038" s="30" t="s">
        <v>58</v>
      </c>
      <c r="AB1038" s="30" t="s">
        <v>56</v>
      </c>
      <c r="AC1038" s="27"/>
      <c r="AD1038" s="31" t="s">
        <v>57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3399</v>
      </c>
      <c r="C1039" s="25" t="s">
        <v>3400</v>
      </c>
      <c r="D1039" s="23" t="s">
        <v>2300</v>
      </c>
      <c r="E1039" s="42">
        <v>46129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4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70">
        <v>46248</v>
      </c>
      <c r="X1039" s="30" t="s">
        <v>55</v>
      </c>
      <c r="Y1039" s="30" t="s">
        <v>56</v>
      </c>
      <c r="Z1039" s="30" t="s">
        <v>57</v>
      </c>
      <c r="AA1039" s="30" t="s">
        <v>58</v>
      </c>
      <c r="AB1039" s="30" t="s">
        <v>56</v>
      </c>
      <c r="AC1039" s="27"/>
      <c r="AD1039" s="31" t="s">
        <v>57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3401</v>
      </c>
      <c r="C1040" s="41" t="s">
        <v>3402</v>
      </c>
      <c r="D1040" s="39" t="s">
        <v>2300</v>
      </c>
      <c r="E1040" s="42">
        <v>46129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4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70">
        <v>46248</v>
      </c>
      <c r="X1040" s="30" t="s">
        <v>55</v>
      </c>
      <c r="Y1040" s="30" t="s">
        <v>56</v>
      </c>
      <c r="Z1040" s="30" t="s">
        <v>57</v>
      </c>
      <c r="AA1040" s="30" t="s">
        <v>58</v>
      </c>
      <c r="AB1040" s="30" t="s">
        <v>56</v>
      </c>
      <c r="AC1040" s="27"/>
      <c r="AD1040" s="31" t="s">
        <v>57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3403</v>
      </c>
      <c r="C1041" s="25" t="s">
        <v>3404</v>
      </c>
      <c r="D1041" s="23" t="s">
        <v>2300</v>
      </c>
      <c r="E1041" s="42">
        <v>46129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4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70">
        <v>46248</v>
      </c>
      <c r="X1041" s="30" t="s">
        <v>55</v>
      </c>
      <c r="Y1041" s="30" t="s">
        <v>56</v>
      </c>
      <c r="Z1041" s="30" t="s">
        <v>57</v>
      </c>
      <c r="AA1041" s="30" t="s">
        <v>58</v>
      </c>
      <c r="AB1041" s="30" t="s">
        <v>56</v>
      </c>
      <c r="AC1041" s="27"/>
      <c r="AD1041" s="31" t="s">
        <v>57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3405</v>
      </c>
      <c r="C1042" s="41" t="s">
        <v>3406</v>
      </c>
      <c r="D1042" s="39" t="s">
        <v>2300</v>
      </c>
      <c r="E1042" s="42">
        <v>46129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4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70">
        <v>46248</v>
      </c>
      <c r="X1042" s="30" t="s">
        <v>55</v>
      </c>
      <c r="Y1042" s="30" t="s">
        <v>56</v>
      </c>
      <c r="Z1042" s="30" t="s">
        <v>57</v>
      </c>
      <c r="AA1042" s="30" t="s">
        <v>58</v>
      </c>
      <c r="AB1042" s="30" t="s">
        <v>56</v>
      </c>
      <c r="AC1042" s="27"/>
      <c r="AD1042" s="31" t="s">
        <v>57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3407</v>
      </c>
      <c r="C1043" s="25" t="s">
        <v>3408</v>
      </c>
      <c r="D1043" s="23" t="s">
        <v>2300</v>
      </c>
      <c r="E1043" s="42">
        <v>46129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4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70">
        <v>46248</v>
      </c>
      <c r="X1043" s="30" t="s">
        <v>55</v>
      </c>
      <c r="Y1043" s="30" t="s">
        <v>56</v>
      </c>
      <c r="Z1043" s="30" t="s">
        <v>57</v>
      </c>
      <c r="AA1043" s="30" t="s">
        <v>58</v>
      </c>
      <c r="AB1043" s="30" t="s">
        <v>56</v>
      </c>
      <c r="AC1043" s="27"/>
      <c r="AD1043" s="31" t="s">
        <v>57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3409</v>
      </c>
      <c r="C1044" s="41" t="s">
        <v>3410</v>
      </c>
      <c r="D1044" s="39" t="s">
        <v>2300</v>
      </c>
      <c r="E1044" s="42">
        <v>46129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4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70">
        <v>46248</v>
      </c>
      <c r="X1044" s="30" t="s">
        <v>55</v>
      </c>
      <c r="Y1044" s="30" t="s">
        <v>56</v>
      </c>
      <c r="Z1044" s="30" t="s">
        <v>57</v>
      </c>
      <c r="AA1044" s="30" t="s">
        <v>58</v>
      </c>
      <c r="AB1044" s="30" t="s">
        <v>56</v>
      </c>
      <c r="AC1044" s="27"/>
      <c r="AD1044" s="31" t="s">
        <v>57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3411</v>
      </c>
      <c r="C1045" s="25" t="s">
        <v>3412</v>
      </c>
      <c r="D1045" s="23" t="s">
        <v>2300</v>
      </c>
      <c r="E1045" s="42">
        <v>46129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4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70">
        <v>46248</v>
      </c>
      <c r="X1045" s="30" t="s">
        <v>55</v>
      </c>
      <c r="Y1045" s="30" t="s">
        <v>56</v>
      </c>
      <c r="Z1045" s="30" t="s">
        <v>57</v>
      </c>
      <c r="AA1045" s="30" t="s">
        <v>58</v>
      </c>
      <c r="AB1045" s="30" t="s">
        <v>56</v>
      </c>
      <c r="AC1045" s="27"/>
      <c r="AD1045" s="31" t="s">
        <v>57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3413</v>
      </c>
      <c r="C1046" s="41" t="s">
        <v>3414</v>
      </c>
      <c r="D1046" s="39" t="s">
        <v>2300</v>
      </c>
      <c r="E1046" s="42">
        <v>46129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4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70">
        <v>46248</v>
      </c>
      <c r="X1046" s="30" t="s">
        <v>55</v>
      </c>
      <c r="Y1046" s="30" t="s">
        <v>56</v>
      </c>
      <c r="Z1046" s="30" t="s">
        <v>57</v>
      </c>
      <c r="AA1046" s="30" t="s">
        <v>58</v>
      </c>
      <c r="AB1046" s="30" t="s">
        <v>56</v>
      </c>
      <c r="AC1046" s="27"/>
      <c r="AD1046" s="31" t="s">
        <v>57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3415</v>
      </c>
      <c r="C1047" s="25" t="s">
        <v>3416</v>
      </c>
      <c r="D1047" s="23" t="s">
        <v>2300</v>
      </c>
      <c r="E1047" s="42">
        <v>46129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4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70">
        <v>46248</v>
      </c>
      <c r="X1047" s="30" t="s">
        <v>55</v>
      </c>
      <c r="Y1047" s="30" t="s">
        <v>56</v>
      </c>
      <c r="Z1047" s="30" t="s">
        <v>57</v>
      </c>
      <c r="AA1047" s="30" t="s">
        <v>58</v>
      </c>
      <c r="AB1047" s="30" t="s">
        <v>56</v>
      </c>
      <c r="AC1047" s="27"/>
      <c r="AD1047" s="31" t="s">
        <v>57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3417</v>
      </c>
      <c r="C1048" s="41" t="s">
        <v>3418</v>
      </c>
      <c r="D1048" s="39" t="s">
        <v>2300</v>
      </c>
      <c r="E1048" s="42">
        <v>46129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4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70">
        <v>46248</v>
      </c>
      <c r="X1048" s="30" t="s">
        <v>55</v>
      </c>
      <c r="Y1048" s="30" t="s">
        <v>56</v>
      </c>
      <c r="Z1048" s="30" t="s">
        <v>57</v>
      </c>
      <c r="AA1048" s="30" t="s">
        <v>58</v>
      </c>
      <c r="AB1048" s="30" t="s">
        <v>56</v>
      </c>
      <c r="AC1048" s="27"/>
      <c r="AD1048" s="31" t="s">
        <v>57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3419</v>
      </c>
      <c r="C1049" s="25" t="s">
        <v>3420</v>
      </c>
      <c r="D1049" s="23" t="s">
        <v>2300</v>
      </c>
      <c r="E1049" s="42">
        <v>46129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4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70">
        <v>46248</v>
      </c>
      <c r="X1049" s="30" t="s">
        <v>55</v>
      </c>
      <c r="Y1049" s="30" t="s">
        <v>56</v>
      </c>
      <c r="Z1049" s="30" t="s">
        <v>57</v>
      </c>
      <c r="AA1049" s="30" t="s">
        <v>58</v>
      </c>
      <c r="AB1049" s="30" t="s">
        <v>56</v>
      </c>
      <c r="AC1049" s="27"/>
      <c r="AD1049" s="31" t="s">
        <v>57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3421</v>
      </c>
      <c r="C1050" s="41" t="s">
        <v>3422</v>
      </c>
      <c r="D1050" s="39" t="s">
        <v>2300</v>
      </c>
      <c r="E1050" s="42">
        <v>46129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4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70">
        <v>46248</v>
      </c>
      <c r="X1050" s="30" t="s">
        <v>55</v>
      </c>
      <c r="Y1050" s="30" t="s">
        <v>56</v>
      </c>
      <c r="Z1050" s="30" t="s">
        <v>57</v>
      </c>
      <c r="AA1050" s="30" t="s">
        <v>58</v>
      </c>
      <c r="AB1050" s="30" t="s">
        <v>56</v>
      </c>
      <c r="AC1050" s="27"/>
      <c r="AD1050" s="31" t="s">
        <v>57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3423</v>
      </c>
      <c r="C1051" s="25" t="s">
        <v>3424</v>
      </c>
      <c r="D1051" s="23" t="s">
        <v>2300</v>
      </c>
      <c r="E1051" s="42">
        <v>46129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4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70">
        <v>46248</v>
      </c>
      <c r="X1051" s="30" t="s">
        <v>55</v>
      </c>
      <c r="Y1051" s="30" t="s">
        <v>56</v>
      </c>
      <c r="Z1051" s="30" t="s">
        <v>57</v>
      </c>
      <c r="AA1051" s="30" t="s">
        <v>58</v>
      </c>
      <c r="AB1051" s="30" t="s">
        <v>56</v>
      </c>
      <c r="AC1051" s="27"/>
      <c r="AD1051" s="31" t="s">
        <v>57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3425</v>
      </c>
      <c r="C1052" s="41" t="s">
        <v>3426</v>
      </c>
      <c r="D1052" s="39" t="s">
        <v>2300</v>
      </c>
      <c r="E1052" s="42">
        <v>46129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4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70">
        <v>46248</v>
      </c>
      <c r="X1052" s="30" t="s">
        <v>55</v>
      </c>
      <c r="Y1052" s="30" t="s">
        <v>56</v>
      </c>
      <c r="Z1052" s="30" t="s">
        <v>57</v>
      </c>
      <c r="AA1052" s="30" t="s">
        <v>58</v>
      </c>
      <c r="AB1052" s="30" t="s">
        <v>56</v>
      </c>
      <c r="AC1052" s="27"/>
      <c r="AD1052" s="31" t="s">
        <v>57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3427</v>
      </c>
      <c r="C1053" s="25" t="s">
        <v>3428</v>
      </c>
      <c r="D1053" s="23" t="s">
        <v>2300</v>
      </c>
      <c r="E1053" s="42">
        <v>46129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4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70">
        <v>46248</v>
      </c>
      <c r="X1053" s="30" t="s">
        <v>55</v>
      </c>
      <c r="Y1053" s="30" t="s">
        <v>56</v>
      </c>
      <c r="Z1053" s="30" t="s">
        <v>57</v>
      </c>
      <c r="AA1053" s="30" t="s">
        <v>58</v>
      </c>
      <c r="AB1053" s="30" t="s">
        <v>56</v>
      </c>
      <c r="AC1053" s="27"/>
      <c r="AD1053" s="31" t="s">
        <v>57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3429</v>
      </c>
      <c r="C1054" s="41" t="s">
        <v>3430</v>
      </c>
      <c r="D1054" s="39" t="s">
        <v>2300</v>
      </c>
      <c r="E1054" s="42">
        <v>46129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4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70">
        <v>46248</v>
      </c>
      <c r="X1054" s="30" t="s">
        <v>55</v>
      </c>
      <c r="Y1054" s="30" t="s">
        <v>56</v>
      </c>
      <c r="Z1054" s="30" t="s">
        <v>57</v>
      </c>
      <c r="AA1054" s="30" t="s">
        <v>58</v>
      </c>
      <c r="AB1054" s="30" t="s">
        <v>56</v>
      </c>
      <c r="AC1054" s="27"/>
      <c r="AD1054" s="31" t="s">
        <v>57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3431</v>
      </c>
      <c r="C1055" s="25" t="s">
        <v>3432</v>
      </c>
      <c r="D1055" s="23" t="s">
        <v>2300</v>
      </c>
      <c r="E1055" s="42">
        <v>46129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4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70">
        <v>46248</v>
      </c>
      <c r="X1055" s="30" t="s">
        <v>55</v>
      </c>
      <c r="Y1055" s="30" t="s">
        <v>56</v>
      </c>
      <c r="Z1055" s="30" t="s">
        <v>57</v>
      </c>
      <c r="AA1055" s="30" t="s">
        <v>58</v>
      </c>
      <c r="AB1055" s="30" t="s">
        <v>56</v>
      </c>
      <c r="AC1055" s="27"/>
      <c r="AD1055" s="31" t="s">
        <v>57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3433</v>
      </c>
      <c r="C1056" s="41" t="s">
        <v>3434</v>
      </c>
      <c r="D1056" s="39" t="s">
        <v>2300</v>
      </c>
      <c r="E1056" s="42">
        <v>46129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4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70">
        <v>46248</v>
      </c>
      <c r="X1056" s="30" t="s">
        <v>55</v>
      </c>
      <c r="Y1056" s="30" t="s">
        <v>56</v>
      </c>
      <c r="Z1056" s="30" t="s">
        <v>57</v>
      </c>
      <c r="AA1056" s="30" t="s">
        <v>58</v>
      </c>
      <c r="AB1056" s="30" t="s">
        <v>56</v>
      </c>
      <c r="AC1056" s="27"/>
      <c r="AD1056" s="31" t="s">
        <v>57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3435</v>
      </c>
      <c r="C1057" s="25" t="s">
        <v>3436</v>
      </c>
      <c r="D1057" s="23" t="s">
        <v>2300</v>
      </c>
      <c r="E1057" s="42">
        <v>46129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4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70">
        <v>46248</v>
      </c>
      <c r="X1057" s="30" t="s">
        <v>55</v>
      </c>
      <c r="Y1057" s="30" t="s">
        <v>56</v>
      </c>
      <c r="Z1057" s="30" t="s">
        <v>57</v>
      </c>
      <c r="AA1057" s="30" t="s">
        <v>58</v>
      </c>
      <c r="AB1057" s="30" t="s">
        <v>56</v>
      </c>
      <c r="AC1057" s="27"/>
      <c r="AD1057" s="31" t="s">
        <v>57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3437</v>
      </c>
      <c r="C1058" s="41" t="s">
        <v>3438</v>
      </c>
      <c r="D1058" s="39" t="s">
        <v>2300</v>
      </c>
      <c r="E1058" s="42">
        <v>46129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4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70">
        <v>46248</v>
      </c>
      <c r="X1058" s="30" t="s">
        <v>55</v>
      </c>
      <c r="Y1058" s="30" t="s">
        <v>56</v>
      </c>
      <c r="Z1058" s="30" t="s">
        <v>57</v>
      </c>
      <c r="AA1058" s="30" t="s">
        <v>58</v>
      </c>
      <c r="AB1058" s="30" t="s">
        <v>56</v>
      </c>
      <c r="AC1058" s="27"/>
      <c r="AD1058" s="31" t="s">
        <v>57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3439</v>
      </c>
      <c r="C1059" s="25" t="s">
        <v>3440</v>
      </c>
      <c r="D1059" s="23" t="s">
        <v>2300</v>
      </c>
      <c r="E1059" s="42">
        <v>46129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4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70">
        <v>46248</v>
      </c>
      <c r="X1059" s="30" t="s">
        <v>55</v>
      </c>
      <c r="Y1059" s="30" t="s">
        <v>56</v>
      </c>
      <c r="Z1059" s="30" t="s">
        <v>57</v>
      </c>
      <c r="AA1059" s="30" t="s">
        <v>58</v>
      </c>
      <c r="AB1059" s="30" t="s">
        <v>56</v>
      </c>
      <c r="AC1059" s="27"/>
      <c r="AD1059" s="31" t="s">
        <v>57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3441</v>
      </c>
      <c r="C1060" s="41" t="s">
        <v>3442</v>
      </c>
      <c r="D1060" s="39" t="s">
        <v>2300</v>
      </c>
      <c r="E1060" s="42">
        <v>46129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4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70">
        <v>46248</v>
      </c>
      <c r="X1060" s="30" t="s">
        <v>55</v>
      </c>
      <c r="Y1060" s="30" t="s">
        <v>56</v>
      </c>
      <c r="Z1060" s="30" t="s">
        <v>57</v>
      </c>
      <c r="AA1060" s="30" t="s">
        <v>58</v>
      </c>
      <c r="AB1060" s="30" t="s">
        <v>56</v>
      </c>
      <c r="AC1060" s="27"/>
      <c r="AD1060" s="31" t="s">
        <v>57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3443</v>
      </c>
      <c r="C1061" s="25" t="s">
        <v>3444</v>
      </c>
      <c r="D1061" s="23" t="s">
        <v>2300</v>
      </c>
      <c r="E1061" s="42">
        <v>46129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4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70">
        <v>46248</v>
      </c>
      <c r="X1061" s="30" t="s">
        <v>55</v>
      </c>
      <c r="Y1061" s="30" t="s">
        <v>56</v>
      </c>
      <c r="Z1061" s="30" t="s">
        <v>57</v>
      </c>
      <c r="AA1061" s="30" t="s">
        <v>58</v>
      </c>
      <c r="AB1061" s="30" t="s">
        <v>56</v>
      </c>
      <c r="AC1061" s="27"/>
      <c r="AD1061" s="31" t="s">
        <v>57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3445</v>
      </c>
      <c r="C1062" s="41" t="s">
        <v>3446</v>
      </c>
      <c r="D1062" s="39" t="s">
        <v>2300</v>
      </c>
      <c r="E1062" s="42">
        <v>46129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4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70">
        <v>46248</v>
      </c>
      <c r="X1062" s="30" t="s">
        <v>55</v>
      </c>
      <c r="Y1062" s="30" t="s">
        <v>56</v>
      </c>
      <c r="Z1062" s="30" t="s">
        <v>57</v>
      </c>
      <c r="AA1062" s="30" t="s">
        <v>58</v>
      </c>
      <c r="AB1062" s="30" t="s">
        <v>56</v>
      </c>
      <c r="AC1062" s="27"/>
      <c r="AD1062" s="31" t="s">
        <v>57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3447</v>
      </c>
      <c r="C1063" s="25" t="s">
        <v>3448</v>
      </c>
      <c r="D1063" s="23" t="s">
        <v>2300</v>
      </c>
      <c r="E1063" s="42">
        <v>46129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4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70">
        <v>46248</v>
      </c>
      <c r="X1063" s="30" t="s">
        <v>55</v>
      </c>
      <c r="Y1063" s="30" t="s">
        <v>56</v>
      </c>
      <c r="Z1063" s="30" t="s">
        <v>57</v>
      </c>
      <c r="AA1063" s="30" t="s">
        <v>58</v>
      </c>
      <c r="AB1063" s="30" t="s">
        <v>56</v>
      </c>
      <c r="AC1063" s="27"/>
      <c r="AD1063" s="31" t="s">
        <v>57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3449</v>
      </c>
      <c r="C1064" s="41" t="s">
        <v>3450</v>
      </c>
      <c r="D1064" s="39" t="s">
        <v>2300</v>
      </c>
      <c r="E1064" s="42">
        <v>46129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4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70">
        <v>46248</v>
      </c>
      <c r="X1064" s="30" t="s">
        <v>55</v>
      </c>
      <c r="Y1064" s="30" t="s">
        <v>56</v>
      </c>
      <c r="Z1064" s="30" t="s">
        <v>57</v>
      </c>
      <c r="AA1064" s="30" t="s">
        <v>58</v>
      </c>
      <c r="AB1064" s="30" t="s">
        <v>56</v>
      </c>
      <c r="AC1064" s="27"/>
      <c r="AD1064" s="31" t="s">
        <v>57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3451</v>
      </c>
      <c r="C1065" s="25" t="s">
        <v>3452</v>
      </c>
      <c r="D1065" s="23" t="s">
        <v>2300</v>
      </c>
      <c r="E1065" s="42">
        <v>46129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4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70">
        <v>46248</v>
      </c>
      <c r="X1065" s="30" t="s">
        <v>55</v>
      </c>
      <c r="Y1065" s="30" t="s">
        <v>56</v>
      </c>
      <c r="Z1065" s="30" t="s">
        <v>57</v>
      </c>
      <c r="AA1065" s="30" t="s">
        <v>58</v>
      </c>
      <c r="AB1065" s="30" t="s">
        <v>56</v>
      </c>
      <c r="AC1065" s="27"/>
      <c r="AD1065" s="31" t="s">
        <v>57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3453</v>
      </c>
      <c r="C1066" s="41" t="s">
        <v>3454</v>
      </c>
      <c r="D1066" s="39" t="s">
        <v>2300</v>
      </c>
      <c r="E1066" s="42">
        <v>46129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4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70">
        <v>46248</v>
      </c>
      <c r="X1066" s="30" t="s">
        <v>55</v>
      </c>
      <c r="Y1066" s="30" t="s">
        <v>56</v>
      </c>
      <c r="Z1066" s="30" t="s">
        <v>57</v>
      </c>
      <c r="AA1066" s="30" t="s">
        <v>58</v>
      </c>
      <c r="AB1066" s="30" t="s">
        <v>56</v>
      </c>
      <c r="AC1066" s="27"/>
      <c r="AD1066" s="31" t="s">
        <v>57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3455</v>
      </c>
      <c r="C1067" s="25" t="s">
        <v>3456</v>
      </c>
      <c r="D1067" s="23" t="s">
        <v>2300</v>
      </c>
      <c r="E1067" s="42">
        <v>46129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4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70">
        <v>46248</v>
      </c>
      <c r="X1067" s="30" t="s">
        <v>55</v>
      </c>
      <c r="Y1067" s="30" t="s">
        <v>56</v>
      </c>
      <c r="Z1067" s="30" t="s">
        <v>57</v>
      </c>
      <c r="AA1067" s="30" t="s">
        <v>58</v>
      </c>
      <c r="AB1067" s="30" t="s">
        <v>56</v>
      </c>
      <c r="AC1067" s="27"/>
      <c r="AD1067" s="31" t="s">
        <v>57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3457</v>
      </c>
      <c r="C1068" s="41" t="s">
        <v>3458</v>
      </c>
      <c r="D1068" s="39" t="s">
        <v>2300</v>
      </c>
      <c r="E1068" s="42">
        <v>46129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4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70">
        <v>46248</v>
      </c>
      <c r="X1068" s="30" t="s">
        <v>55</v>
      </c>
      <c r="Y1068" s="30" t="s">
        <v>56</v>
      </c>
      <c r="Z1068" s="30" t="s">
        <v>57</v>
      </c>
      <c r="AA1068" s="30" t="s">
        <v>58</v>
      </c>
      <c r="AB1068" s="30" t="s">
        <v>56</v>
      </c>
      <c r="AC1068" s="27"/>
      <c r="AD1068" s="31" t="s">
        <v>57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3459</v>
      </c>
      <c r="C1069" s="25" t="s">
        <v>3460</v>
      </c>
      <c r="D1069" s="23" t="s">
        <v>2300</v>
      </c>
      <c r="E1069" s="42">
        <v>46129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4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70">
        <v>46248</v>
      </c>
      <c r="X1069" s="30" t="s">
        <v>55</v>
      </c>
      <c r="Y1069" s="30" t="s">
        <v>56</v>
      </c>
      <c r="Z1069" s="30" t="s">
        <v>57</v>
      </c>
      <c r="AA1069" s="30" t="s">
        <v>58</v>
      </c>
      <c r="AB1069" s="30" t="s">
        <v>56</v>
      </c>
      <c r="AC1069" s="27"/>
      <c r="AD1069" s="31" t="s">
        <v>57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3461</v>
      </c>
      <c r="C1070" s="41" t="s">
        <v>3462</v>
      </c>
      <c r="D1070" s="39" t="s">
        <v>2300</v>
      </c>
      <c r="E1070" s="42">
        <v>46129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4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70">
        <v>46248</v>
      </c>
      <c r="X1070" s="30" t="s">
        <v>55</v>
      </c>
      <c r="Y1070" s="30" t="s">
        <v>56</v>
      </c>
      <c r="Z1070" s="30" t="s">
        <v>57</v>
      </c>
      <c r="AA1070" s="30" t="s">
        <v>58</v>
      </c>
      <c r="AB1070" s="30" t="s">
        <v>56</v>
      </c>
      <c r="AC1070" s="27"/>
      <c r="AD1070" s="31" t="s">
        <v>57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3463</v>
      </c>
      <c r="C1071" s="25" t="s">
        <v>3464</v>
      </c>
      <c r="D1071" s="23" t="s">
        <v>2300</v>
      </c>
      <c r="E1071" s="42">
        <v>46129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4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70">
        <v>46248</v>
      </c>
      <c r="X1071" s="30" t="s">
        <v>55</v>
      </c>
      <c r="Y1071" s="30" t="s">
        <v>56</v>
      </c>
      <c r="Z1071" s="30" t="s">
        <v>57</v>
      </c>
      <c r="AA1071" s="30" t="s">
        <v>58</v>
      </c>
      <c r="AB1071" s="30" t="s">
        <v>56</v>
      </c>
      <c r="AC1071" s="27"/>
      <c r="AD1071" s="31" t="s">
        <v>57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3465</v>
      </c>
      <c r="C1072" s="41" t="s">
        <v>3466</v>
      </c>
      <c r="D1072" s="39" t="s">
        <v>2300</v>
      </c>
      <c r="E1072" s="42">
        <v>46129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4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70">
        <v>46248</v>
      </c>
      <c r="X1072" s="30" t="s">
        <v>55</v>
      </c>
      <c r="Y1072" s="30" t="s">
        <v>56</v>
      </c>
      <c r="Z1072" s="30" t="s">
        <v>57</v>
      </c>
      <c r="AA1072" s="30" t="s">
        <v>58</v>
      </c>
      <c r="AB1072" s="30" t="s">
        <v>56</v>
      </c>
      <c r="AC1072" s="27"/>
      <c r="AD1072" s="31" t="s">
        <v>57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3467</v>
      </c>
      <c r="C1073" s="25" t="s">
        <v>3468</v>
      </c>
      <c r="D1073" s="23" t="s">
        <v>2300</v>
      </c>
      <c r="E1073" s="42">
        <v>46129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4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70">
        <v>46248</v>
      </c>
      <c r="X1073" s="30" t="s">
        <v>55</v>
      </c>
      <c r="Y1073" s="30" t="s">
        <v>56</v>
      </c>
      <c r="Z1073" s="30" t="s">
        <v>57</v>
      </c>
      <c r="AA1073" s="30" t="s">
        <v>58</v>
      </c>
      <c r="AB1073" s="30" t="s">
        <v>56</v>
      </c>
      <c r="AC1073" s="27"/>
      <c r="AD1073" s="31" t="s">
        <v>57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3469</v>
      </c>
      <c r="C1074" s="41" t="s">
        <v>3470</v>
      </c>
      <c r="D1074" s="39" t="s">
        <v>2300</v>
      </c>
      <c r="E1074" s="42">
        <v>46129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4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70">
        <v>46248</v>
      </c>
      <c r="X1074" s="30" t="s">
        <v>55</v>
      </c>
      <c r="Y1074" s="30" t="s">
        <v>56</v>
      </c>
      <c r="Z1074" s="30" t="s">
        <v>57</v>
      </c>
      <c r="AA1074" s="30" t="s">
        <v>58</v>
      </c>
      <c r="AB1074" s="30" t="s">
        <v>56</v>
      </c>
      <c r="AC1074" s="27"/>
      <c r="AD1074" s="31" t="s">
        <v>57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3471</v>
      </c>
      <c r="C1075" s="25" t="s">
        <v>3472</v>
      </c>
      <c r="D1075" s="23" t="s">
        <v>2300</v>
      </c>
      <c r="E1075" s="42">
        <v>46129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4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70">
        <v>46248</v>
      </c>
      <c r="X1075" s="30" t="s">
        <v>55</v>
      </c>
      <c r="Y1075" s="30" t="s">
        <v>56</v>
      </c>
      <c r="Z1075" s="30" t="s">
        <v>57</v>
      </c>
      <c r="AA1075" s="30" t="s">
        <v>58</v>
      </c>
      <c r="AB1075" s="30" t="s">
        <v>56</v>
      </c>
      <c r="AC1075" s="27"/>
      <c r="AD1075" s="31" t="s">
        <v>57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3473</v>
      </c>
      <c r="C1076" s="41" t="s">
        <v>3474</v>
      </c>
      <c r="D1076" s="39" t="s">
        <v>2300</v>
      </c>
      <c r="E1076" s="42">
        <v>46129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4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70">
        <v>46248</v>
      </c>
      <c r="X1076" s="30" t="s">
        <v>55</v>
      </c>
      <c r="Y1076" s="30" t="s">
        <v>56</v>
      </c>
      <c r="Z1076" s="30" t="s">
        <v>57</v>
      </c>
      <c r="AA1076" s="30" t="s">
        <v>58</v>
      </c>
      <c r="AB1076" s="30" t="s">
        <v>56</v>
      </c>
      <c r="AC1076" s="27"/>
      <c r="AD1076" s="31" t="s">
        <v>57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3475</v>
      </c>
      <c r="C1077" s="25" t="s">
        <v>3476</v>
      </c>
      <c r="D1077" s="23" t="s">
        <v>2300</v>
      </c>
      <c r="E1077" s="42">
        <v>46129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4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70">
        <v>46248</v>
      </c>
      <c r="X1077" s="30" t="s">
        <v>55</v>
      </c>
      <c r="Y1077" s="30" t="s">
        <v>56</v>
      </c>
      <c r="Z1077" s="30" t="s">
        <v>57</v>
      </c>
      <c r="AA1077" s="30" t="s">
        <v>58</v>
      </c>
      <c r="AB1077" s="30" t="s">
        <v>56</v>
      </c>
      <c r="AC1077" s="27"/>
      <c r="AD1077" s="31" t="s">
        <v>57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3477</v>
      </c>
      <c r="C1078" s="41" t="s">
        <v>3478</v>
      </c>
      <c r="D1078" s="39" t="s">
        <v>2300</v>
      </c>
      <c r="E1078" s="42">
        <v>46129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4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70">
        <v>46248</v>
      </c>
      <c r="X1078" s="30" t="s">
        <v>55</v>
      </c>
      <c r="Y1078" s="30" t="s">
        <v>56</v>
      </c>
      <c r="Z1078" s="30" t="s">
        <v>57</v>
      </c>
      <c r="AA1078" s="30" t="s">
        <v>58</v>
      </c>
      <c r="AB1078" s="30" t="s">
        <v>56</v>
      </c>
      <c r="AC1078" s="27"/>
      <c r="AD1078" s="31" t="s">
        <v>57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3479</v>
      </c>
      <c r="C1079" s="25" t="s">
        <v>3480</v>
      </c>
      <c r="D1079" s="23" t="s">
        <v>3481</v>
      </c>
      <c r="E1079" s="42">
        <v>46129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4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70">
        <v>46248</v>
      </c>
      <c r="X1079" s="30" t="s">
        <v>55</v>
      </c>
      <c r="Y1079" s="30" t="s">
        <v>56</v>
      </c>
      <c r="Z1079" s="30" t="s">
        <v>57</v>
      </c>
      <c r="AA1079" s="30" t="s">
        <v>58</v>
      </c>
      <c r="AB1079" s="30" t="s">
        <v>56</v>
      </c>
      <c r="AC1079" s="27"/>
      <c r="AD1079" s="31" t="s">
        <v>57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3482</v>
      </c>
      <c r="C1080" s="41" t="s">
        <v>3483</v>
      </c>
      <c r="D1080" s="39" t="s">
        <v>3481</v>
      </c>
      <c r="E1080" s="42">
        <v>46129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4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70">
        <v>46248</v>
      </c>
      <c r="X1080" s="30" t="s">
        <v>55</v>
      </c>
      <c r="Y1080" s="30" t="s">
        <v>56</v>
      </c>
      <c r="Z1080" s="30" t="s">
        <v>57</v>
      </c>
      <c r="AA1080" s="30" t="s">
        <v>58</v>
      </c>
      <c r="AB1080" s="30" t="s">
        <v>56</v>
      </c>
      <c r="AC1080" s="27"/>
      <c r="AD1080" s="31" t="s">
        <v>57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3484</v>
      </c>
      <c r="C1081" s="25" t="s">
        <v>3485</v>
      </c>
      <c r="D1081" s="23" t="s">
        <v>3481</v>
      </c>
      <c r="E1081" s="42">
        <v>46129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4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70">
        <v>46248</v>
      </c>
      <c r="X1081" s="30" t="s">
        <v>55</v>
      </c>
      <c r="Y1081" s="30" t="s">
        <v>56</v>
      </c>
      <c r="Z1081" s="30" t="s">
        <v>57</v>
      </c>
      <c r="AA1081" s="30" t="s">
        <v>58</v>
      </c>
      <c r="AB1081" s="30" t="s">
        <v>56</v>
      </c>
      <c r="AC1081" s="27"/>
      <c r="AD1081" s="31" t="s">
        <v>57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3486</v>
      </c>
      <c r="C1082" s="41" t="s">
        <v>3487</v>
      </c>
      <c r="D1082" s="39" t="s">
        <v>3481</v>
      </c>
      <c r="E1082" s="42">
        <v>46129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4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70">
        <v>46248</v>
      </c>
      <c r="X1082" s="30" t="s">
        <v>55</v>
      </c>
      <c r="Y1082" s="30" t="s">
        <v>56</v>
      </c>
      <c r="Z1082" s="30" t="s">
        <v>57</v>
      </c>
      <c r="AA1082" s="30" t="s">
        <v>58</v>
      </c>
      <c r="AB1082" s="30" t="s">
        <v>56</v>
      </c>
      <c r="AC1082" s="27"/>
      <c r="AD1082" s="31" t="s">
        <v>57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3488</v>
      </c>
      <c r="C1083" s="25" t="s">
        <v>3489</v>
      </c>
      <c r="D1083" s="23" t="s">
        <v>3481</v>
      </c>
      <c r="E1083" s="42">
        <v>46129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4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70">
        <v>46248</v>
      </c>
      <c r="X1083" s="30" t="s">
        <v>55</v>
      </c>
      <c r="Y1083" s="30" t="s">
        <v>56</v>
      </c>
      <c r="Z1083" s="30" t="s">
        <v>57</v>
      </c>
      <c r="AA1083" s="30" t="s">
        <v>58</v>
      </c>
      <c r="AB1083" s="30" t="s">
        <v>56</v>
      </c>
      <c r="AC1083" s="27"/>
      <c r="AD1083" s="31" t="s">
        <v>57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3490</v>
      </c>
      <c r="C1084" s="41" t="s">
        <v>3491</v>
      </c>
      <c r="D1084" s="39" t="s">
        <v>3481</v>
      </c>
      <c r="E1084" s="42">
        <v>46129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4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70">
        <v>46248</v>
      </c>
      <c r="X1084" s="30" t="s">
        <v>55</v>
      </c>
      <c r="Y1084" s="30" t="s">
        <v>56</v>
      </c>
      <c r="Z1084" s="30" t="s">
        <v>57</v>
      </c>
      <c r="AA1084" s="30" t="s">
        <v>58</v>
      </c>
      <c r="AB1084" s="30" t="s">
        <v>56</v>
      </c>
      <c r="AC1084" s="27"/>
      <c r="AD1084" s="31" t="s">
        <v>57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3492</v>
      </c>
      <c r="C1085" s="25" t="s">
        <v>3493</v>
      </c>
      <c r="D1085" s="23" t="s">
        <v>3481</v>
      </c>
      <c r="E1085" s="42">
        <v>46129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4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70">
        <v>46248</v>
      </c>
      <c r="X1085" s="30" t="s">
        <v>55</v>
      </c>
      <c r="Y1085" s="30" t="s">
        <v>56</v>
      </c>
      <c r="Z1085" s="30" t="s">
        <v>57</v>
      </c>
      <c r="AA1085" s="30" t="s">
        <v>58</v>
      </c>
      <c r="AB1085" s="30" t="s">
        <v>56</v>
      </c>
      <c r="AC1085" s="27"/>
      <c r="AD1085" s="31" t="s">
        <v>57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3494</v>
      </c>
      <c r="C1086" s="41" t="s">
        <v>3495</v>
      </c>
      <c r="D1086" s="39" t="s">
        <v>3481</v>
      </c>
      <c r="E1086" s="42">
        <v>46129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4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70">
        <v>46248</v>
      </c>
      <c r="X1086" s="30" t="s">
        <v>55</v>
      </c>
      <c r="Y1086" s="30" t="s">
        <v>56</v>
      </c>
      <c r="Z1086" s="30" t="s">
        <v>57</v>
      </c>
      <c r="AA1086" s="30" t="s">
        <v>58</v>
      </c>
      <c r="AB1086" s="30" t="s">
        <v>56</v>
      </c>
      <c r="AC1086" s="27"/>
      <c r="AD1086" s="31" t="s">
        <v>57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3496</v>
      </c>
      <c r="C1087" s="25" t="s">
        <v>3497</v>
      </c>
      <c r="D1087" s="23" t="s">
        <v>3481</v>
      </c>
      <c r="E1087" s="42">
        <v>46129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4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70">
        <v>46248</v>
      </c>
      <c r="X1087" s="30" t="s">
        <v>55</v>
      </c>
      <c r="Y1087" s="30" t="s">
        <v>56</v>
      </c>
      <c r="Z1087" s="30" t="s">
        <v>57</v>
      </c>
      <c r="AA1087" s="30" t="s">
        <v>58</v>
      </c>
      <c r="AB1087" s="30" t="s">
        <v>56</v>
      </c>
      <c r="AC1087" s="27"/>
      <c r="AD1087" s="31" t="s">
        <v>57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3498</v>
      </c>
      <c r="C1088" s="41" t="s">
        <v>3499</v>
      </c>
      <c r="D1088" s="39" t="s">
        <v>3481</v>
      </c>
      <c r="E1088" s="42">
        <v>46129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4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70">
        <v>46248</v>
      </c>
      <c r="X1088" s="30" t="s">
        <v>55</v>
      </c>
      <c r="Y1088" s="30" t="s">
        <v>56</v>
      </c>
      <c r="Z1088" s="30" t="s">
        <v>57</v>
      </c>
      <c r="AA1088" s="30" t="s">
        <v>58</v>
      </c>
      <c r="AB1088" s="30" t="s">
        <v>56</v>
      </c>
      <c r="AC1088" s="27"/>
      <c r="AD1088" s="31" t="s">
        <v>57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3500</v>
      </c>
      <c r="C1089" s="25" t="s">
        <v>3501</v>
      </c>
      <c r="D1089" s="23" t="s">
        <v>3481</v>
      </c>
      <c r="E1089" s="42">
        <v>46129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4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70">
        <v>46248</v>
      </c>
      <c r="X1089" s="30" t="s">
        <v>55</v>
      </c>
      <c r="Y1089" s="30" t="s">
        <v>56</v>
      </c>
      <c r="Z1089" s="30" t="s">
        <v>57</v>
      </c>
      <c r="AA1089" s="30" t="s">
        <v>58</v>
      </c>
      <c r="AB1089" s="30" t="s">
        <v>56</v>
      </c>
      <c r="AC1089" s="27"/>
      <c r="AD1089" s="31" t="s">
        <v>57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3502</v>
      </c>
      <c r="C1090" s="41" t="s">
        <v>3503</v>
      </c>
      <c r="D1090" s="39" t="s">
        <v>3481</v>
      </c>
      <c r="E1090" s="42">
        <v>46129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4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70">
        <v>46248</v>
      </c>
      <c r="X1090" s="30" t="s">
        <v>55</v>
      </c>
      <c r="Y1090" s="30" t="s">
        <v>56</v>
      </c>
      <c r="Z1090" s="30" t="s">
        <v>57</v>
      </c>
      <c r="AA1090" s="30" t="s">
        <v>58</v>
      </c>
      <c r="AB1090" s="30" t="s">
        <v>56</v>
      </c>
      <c r="AC1090" s="27"/>
      <c r="AD1090" s="31" t="s">
        <v>57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3504</v>
      </c>
      <c r="C1091" s="25" t="s">
        <v>3505</v>
      </c>
      <c r="D1091" s="23" t="s">
        <v>3481</v>
      </c>
      <c r="E1091" s="42">
        <v>46129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4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70">
        <v>46248</v>
      </c>
      <c r="X1091" s="30" t="s">
        <v>55</v>
      </c>
      <c r="Y1091" s="30" t="s">
        <v>56</v>
      </c>
      <c r="Z1091" s="30" t="s">
        <v>57</v>
      </c>
      <c r="AA1091" s="30" t="s">
        <v>58</v>
      </c>
      <c r="AB1091" s="30" t="s">
        <v>56</v>
      </c>
      <c r="AC1091" s="27"/>
      <c r="AD1091" s="31" t="s">
        <v>57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3506</v>
      </c>
      <c r="C1092" s="41" t="s">
        <v>3507</v>
      </c>
      <c r="D1092" s="39" t="s">
        <v>3481</v>
      </c>
      <c r="E1092" s="42">
        <v>46129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4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70">
        <v>46248</v>
      </c>
      <c r="X1092" s="30" t="s">
        <v>55</v>
      </c>
      <c r="Y1092" s="30" t="s">
        <v>56</v>
      </c>
      <c r="Z1092" s="30" t="s">
        <v>57</v>
      </c>
      <c r="AA1092" s="30" t="s">
        <v>58</v>
      </c>
      <c r="AB1092" s="30" t="s">
        <v>56</v>
      </c>
      <c r="AC1092" s="27"/>
      <c r="AD1092" s="31" t="s">
        <v>57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3508</v>
      </c>
      <c r="C1093" s="25" t="s">
        <v>3509</v>
      </c>
      <c r="D1093" s="23" t="s">
        <v>3481</v>
      </c>
      <c r="E1093" s="42">
        <v>46129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4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70">
        <v>46248</v>
      </c>
      <c r="X1093" s="30" t="s">
        <v>55</v>
      </c>
      <c r="Y1093" s="30" t="s">
        <v>56</v>
      </c>
      <c r="Z1093" s="30" t="s">
        <v>57</v>
      </c>
      <c r="AA1093" s="30" t="s">
        <v>58</v>
      </c>
      <c r="AB1093" s="30" t="s">
        <v>56</v>
      </c>
      <c r="AC1093" s="27"/>
      <c r="AD1093" s="31" t="s">
        <v>57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3510</v>
      </c>
      <c r="C1094" s="41" t="s">
        <v>3511</v>
      </c>
      <c r="D1094" s="39" t="s">
        <v>3481</v>
      </c>
      <c r="E1094" s="42">
        <v>46129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4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70">
        <v>46248</v>
      </c>
      <c r="X1094" s="30" t="s">
        <v>55</v>
      </c>
      <c r="Y1094" s="30" t="s">
        <v>56</v>
      </c>
      <c r="Z1094" s="30" t="s">
        <v>57</v>
      </c>
      <c r="AA1094" s="30" t="s">
        <v>58</v>
      </c>
      <c r="AB1094" s="30" t="s">
        <v>56</v>
      </c>
      <c r="AC1094" s="27"/>
      <c r="AD1094" s="31" t="s">
        <v>57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3512</v>
      </c>
      <c r="C1095" s="25" t="s">
        <v>3513</v>
      </c>
      <c r="D1095" s="23" t="s">
        <v>3481</v>
      </c>
      <c r="E1095" s="42">
        <v>46129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4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70">
        <v>46248</v>
      </c>
      <c r="X1095" s="30" t="s">
        <v>55</v>
      </c>
      <c r="Y1095" s="30" t="s">
        <v>56</v>
      </c>
      <c r="Z1095" s="30" t="s">
        <v>57</v>
      </c>
      <c r="AA1095" s="30" t="s">
        <v>58</v>
      </c>
      <c r="AB1095" s="30" t="s">
        <v>56</v>
      </c>
      <c r="AC1095" s="27"/>
      <c r="AD1095" s="31" t="s">
        <v>57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3514</v>
      </c>
      <c r="C1096" s="41" t="s">
        <v>3515</v>
      </c>
      <c r="D1096" s="39" t="s">
        <v>3481</v>
      </c>
      <c r="E1096" s="42">
        <v>46129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4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70">
        <v>46248</v>
      </c>
      <c r="X1096" s="30" t="s">
        <v>55</v>
      </c>
      <c r="Y1096" s="30" t="s">
        <v>56</v>
      </c>
      <c r="Z1096" s="30" t="s">
        <v>57</v>
      </c>
      <c r="AA1096" s="30" t="s">
        <v>58</v>
      </c>
      <c r="AB1096" s="30" t="s">
        <v>56</v>
      </c>
      <c r="AC1096" s="27"/>
      <c r="AD1096" s="31" t="s">
        <v>57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3516</v>
      </c>
      <c r="C1097" s="25" t="s">
        <v>3517</v>
      </c>
      <c r="D1097" s="23" t="s">
        <v>3481</v>
      </c>
      <c r="E1097" s="42">
        <v>46129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4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70">
        <v>46248</v>
      </c>
      <c r="X1097" s="30" t="s">
        <v>55</v>
      </c>
      <c r="Y1097" s="30" t="s">
        <v>56</v>
      </c>
      <c r="Z1097" s="30" t="s">
        <v>57</v>
      </c>
      <c r="AA1097" s="30" t="s">
        <v>58</v>
      </c>
      <c r="AB1097" s="30" t="s">
        <v>56</v>
      </c>
      <c r="AC1097" s="27"/>
      <c r="AD1097" s="31" t="s">
        <v>57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3518</v>
      </c>
      <c r="C1098" s="41" t="s">
        <v>3519</v>
      </c>
      <c r="D1098" s="39" t="s">
        <v>3481</v>
      </c>
      <c r="E1098" s="42">
        <v>46129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4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70">
        <v>46248</v>
      </c>
      <c r="X1098" s="30" t="s">
        <v>55</v>
      </c>
      <c r="Y1098" s="30" t="s">
        <v>56</v>
      </c>
      <c r="Z1098" s="30" t="s">
        <v>57</v>
      </c>
      <c r="AA1098" s="30" t="s">
        <v>58</v>
      </c>
      <c r="AB1098" s="30" t="s">
        <v>56</v>
      </c>
      <c r="AC1098" s="27"/>
      <c r="AD1098" s="31" t="s">
        <v>57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3520</v>
      </c>
      <c r="C1099" s="25" t="s">
        <v>3521</v>
      </c>
      <c r="D1099" s="23" t="s">
        <v>3481</v>
      </c>
      <c r="E1099" s="42">
        <v>46129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4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70">
        <v>46248</v>
      </c>
      <c r="X1099" s="30" t="s">
        <v>55</v>
      </c>
      <c r="Y1099" s="30" t="s">
        <v>56</v>
      </c>
      <c r="Z1099" s="30" t="s">
        <v>57</v>
      </c>
      <c r="AA1099" s="30" t="s">
        <v>58</v>
      </c>
      <c r="AB1099" s="30" t="s">
        <v>56</v>
      </c>
      <c r="AC1099" s="27"/>
      <c r="AD1099" s="31" t="s">
        <v>57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3522</v>
      </c>
      <c r="C1100" s="41" t="s">
        <v>3523</v>
      </c>
      <c r="D1100" s="39" t="s">
        <v>3481</v>
      </c>
      <c r="E1100" s="42">
        <v>46129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4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70">
        <v>46248</v>
      </c>
      <c r="X1100" s="30" t="s">
        <v>55</v>
      </c>
      <c r="Y1100" s="30" t="s">
        <v>56</v>
      </c>
      <c r="Z1100" s="30" t="s">
        <v>57</v>
      </c>
      <c r="AA1100" s="30" t="s">
        <v>58</v>
      </c>
      <c r="AB1100" s="30" t="s">
        <v>56</v>
      </c>
      <c r="AC1100" s="27"/>
      <c r="AD1100" s="31" t="s">
        <v>57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3524</v>
      </c>
      <c r="C1101" s="25" t="s">
        <v>3525</v>
      </c>
      <c r="D1101" s="23" t="s">
        <v>3481</v>
      </c>
      <c r="E1101" s="42">
        <v>46129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4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70">
        <v>46248</v>
      </c>
      <c r="X1101" s="30" t="s">
        <v>55</v>
      </c>
      <c r="Y1101" s="30" t="s">
        <v>56</v>
      </c>
      <c r="Z1101" s="30" t="s">
        <v>57</v>
      </c>
      <c r="AA1101" s="30" t="s">
        <v>58</v>
      </c>
      <c r="AB1101" s="30" t="s">
        <v>56</v>
      </c>
      <c r="AC1101" s="27"/>
      <c r="AD1101" s="31" t="s">
        <v>57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3526</v>
      </c>
      <c r="C1102" s="41" t="s">
        <v>3527</v>
      </c>
      <c r="D1102" s="39" t="s">
        <v>3481</v>
      </c>
      <c r="E1102" s="42">
        <v>46129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4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70">
        <v>46248</v>
      </c>
      <c r="X1102" s="30" t="s">
        <v>55</v>
      </c>
      <c r="Y1102" s="30" t="s">
        <v>56</v>
      </c>
      <c r="Z1102" s="30" t="s">
        <v>57</v>
      </c>
      <c r="AA1102" s="30" t="s">
        <v>58</v>
      </c>
      <c r="AB1102" s="30" t="s">
        <v>56</v>
      </c>
      <c r="AC1102" s="27"/>
      <c r="AD1102" s="31" t="s">
        <v>57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3528</v>
      </c>
      <c r="C1103" s="25" t="s">
        <v>3529</v>
      </c>
      <c r="D1103" s="23" t="s">
        <v>3481</v>
      </c>
      <c r="E1103" s="42">
        <v>46129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4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70">
        <v>46248</v>
      </c>
      <c r="X1103" s="30" t="s">
        <v>55</v>
      </c>
      <c r="Y1103" s="30" t="s">
        <v>56</v>
      </c>
      <c r="Z1103" s="30" t="s">
        <v>57</v>
      </c>
      <c r="AA1103" s="30" t="s">
        <v>58</v>
      </c>
      <c r="AB1103" s="30" t="s">
        <v>56</v>
      </c>
      <c r="AC1103" s="27"/>
      <c r="AD1103" s="31" t="s">
        <v>57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3530</v>
      </c>
      <c r="C1104" s="41" t="s">
        <v>3531</v>
      </c>
      <c r="D1104" s="39" t="s">
        <v>3481</v>
      </c>
      <c r="E1104" s="42">
        <v>46129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4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70">
        <v>46248</v>
      </c>
      <c r="X1104" s="30" t="s">
        <v>55</v>
      </c>
      <c r="Y1104" s="30" t="s">
        <v>56</v>
      </c>
      <c r="Z1104" s="30" t="s">
        <v>57</v>
      </c>
      <c r="AA1104" s="30" t="s">
        <v>58</v>
      </c>
      <c r="AB1104" s="30" t="s">
        <v>56</v>
      </c>
      <c r="AC1104" s="27"/>
      <c r="AD1104" s="31" t="s">
        <v>57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3532</v>
      </c>
      <c r="C1105" s="25" t="s">
        <v>3533</v>
      </c>
      <c r="D1105" s="23" t="s">
        <v>3481</v>
      </c>
      <c r="E1105" s="42">
        <v>46129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4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70">
        <v>46248</v>
      </c>
      <c r="X1105" s="30" t="s">
        <v>55</v>
      </c>
      <c r="Y1105" s="30" t="s">
        <v>56</v>
      </c>
      <c r="Z1105" s="30" t="s">
        <v>57</v>
      </c>
      <c r="AA1105" s="30" t="s">
        <v>58</v>
      </c>
      <c r="AB1105" s="30" t="s">
        <v>56</v>
      </c>
      <c r="AC1105" s="27"/>
      <c r="AD1105" s="31" t="s">
        <v>57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3534</v>
      </c>
      <c r="C1106" s="41" t="s">
        <v>3535</v>
      </c>
      <c r="D1106" s="39" t="s">
        <v>3481</v>
      </c>
      <c r="E1106" s="42">
        <v>46129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4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70">
        <v>46248</v>
      </c>
      <c r="X1106" s="30" t="s">
        <v>55</v>
      </c>
      <c r="Y1106" s="30" t="s">
        <v>56</v>
      </c>
      <c r="Z1106" s="30" t="s">
        <v>57</v>
      </c>
      <c r="AA1106" s="30" t="s">
        <v>58</v>
      </c>
      <c r="AB1106" s="30" t="s">
        <v>56</v>
      </c>
      <c r="AC1106" s="27"/>
      <c r="AD1106" s="31" t="s">
        <v>57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3536</v>
      </c>
      <c r="C1107" s="25" t="s">
        <v>3537</v>
      </c>
      <c r="D1107" s="23" t="s">
        <v>3481</v>
      </c>
      <c r="E1107" s="42">
        <v>46129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4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70">
        <v>46248</v>
      </c>
      <c r="X1107" s="30" t="s">
        <v>55</v>
      </c>
      <c r="Y1107" s="30" t="s">
        <v>56</v>
      </c>
      <c r="Z1107" s="30" t="s">
        <v>57</v>
      </c>
      <c r="AA1107" s="30" t="s">
        <v>58</v>
      </c>
      <c r="AB1107" s="30" t="s">
        <v>56</v>
      </c>
      <c r="AC1107" s="27"/>
      <c r="AD1107" s="31" t="s">
        <v>57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3538</v>
      </c>
      <c r="C1108" s="41" t="s">
        <v>3539</v>
      </c>
      <c r="D1108" s="39" t="s">
        <v>3481</v>
      </c>
      <c r="E1108" s="42">
        <v>46129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4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70">
        <v>46248</v>
      </c>
      <c r="X1108" s="30" t="s">
        <v>55</v>
      </c>
      <c r="Y1108" s="30" t="s">
        <v>56</v>
      </c>
      <c r="Z1108" s="30" t="s">
        <v>57</v>
      </c>
      <c r="AA1108" s="30" t="s">
        <v>58</v>
      </c>
      <c r="AB1108" s="30" t="s">
        <v>56</v>
      </c>
      <c r="AC1108" s="27"/>
      <c r="AD1108" s="31" t="s">
        <v>57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3540</v>
      </c>
      <c r="C1109" s="25" t="s">
        <v>3541</v>
      </c>
      <c r="D1109" s="23" t="s">
        <v>3481</v>
      </c>
      <c r="E1109" s="42">
        <v>46129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4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70">
        <v>46248</v>
      </c>
      <c r="X1109" s="30" t="s">
        <v>55</v>
      </c>
      <c r="Y1109" s="30" t="s">
        <v>56</v>
      </c>
      <c r="Z1109" s="30" t="s">
        <v>57</v>
      </c>
      <c r="AA1109" s="30" t="s">
        <v>58</v>
      </c>
      <c r="AB1109" s="30" t="s">
        <v>56</v>
      </c>
      <c r="AC1109" s="27"/>
      <c r="AD1109" s="31" t="s">
        <v>57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3542</v>
      </c>
      <c r="C1110" s="41" t="s">
        <v>3543</v>
      </c>
      <c r="D1110" s="39" t="s">
        <v>3481</v>
      </c>
      <c r="E1110" s="42">
        <v>46129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4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70">
        <v>46248</v>
      </c>
      <c r="X1110" s="30" t="s">
        <v>55</v>
      </c>
      <c r="Y1110" s="30" t="s">
        <v>56</v>
      </c>
      <c r="Z1110" s="30" t="s">
        <v>57</v>
      </c>
      <c r="AA1110" s="30" t="s">
        <v>58</v>
      </c>
      <c r="AB1110" s="30" t="s">
        <v>56</v>
      </c>
      <c r="AC1110" s="27"/>
      <c r="AD1110" s="31" t="s">
        <v>57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3544</v>
      </c>
      <c r="C1111" s="25" t="s">
        <v>3545</v>
      </c>
      <c r="D1111" s="23" t="s">
        <v>3481</v>
      </c>
      <c r="E1111" s="42">
        <v>46129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4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70">
        <v>46248</v>
      </c>
      <c r="X1111" s="30" t="s">
        <v>55</v>
      </c>
      <c r="Y1111" s="30" t="s">
        <v>56</v>
      </c>
      <c r="Z1111" s="30" t="s">
        <v>57</v>
      </c>
      <c r="AA1111" s="30" t="s">
        <v>58</v>
      </c>
      <c r="AB1111" s="30" t="s">
        <v>56</v>
      </c>
      <c r="AC1111" s="27"/>
      <c r="AD1111" s="31" t="s">
        <v>57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3546</v>
      </c>
      <c r="C1112" s="41" t="s">
        <v>3547</v>
      </c>
      <c r="D1112" s="39" t="s">
        <v>3481</v>
      </c>
      <c r="E1112" s="42">
        <v>46129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4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70">
        <v>46248</v>
      </c>
      <c r="X1112" s="30" t="s">
        <v>55</v>
      </c>
      <c r="Y1112" s="30" t="s">
        <v>56</v>
      </c>
      <c r="Z1112" s="30" t="s">
        <v>57</v>
      </c>
      <c r="AA1112" s="30" t="s">
        <v>58</v>
      </c>
      <c r="AB1112" s="30" t="s">
        <v>56</v>
      </c>
      <c r="AC1112" s="27"/>
      <c r="AD1112" s="31" t="s">
        <v>57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3548</v>
      </c>
      <c r="C1113" s="25" t="s">
        <v>3549</v>
      </c>
      <c r="D1113" s="23" t="s">
        <v>3481</v>
      </c>
      <c r="E1113" s="42">
        <v>46129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4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70">
        <v>46248</v>
      </c>
      <c r="X1113" s="30" t="s">
        <v>55</v>
      </c>
      <c r="Y1113" s="30" t="s">
        <v>56</v>
      </c>
      <c r="Z1113" s="30" t="s">
        <v>57</v>
      </c>
      <c r="AA1113" s="30" t="s">
        <v>58</v>
      </c>
      <c r="AB1113" s="30" t="s">
        <v>56</v>
      </c>
      <c r="AC1113" s="27"/>
      <c r="AD1113" s="31" t="s">
        <v>57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3550</v>
      </c>
      <c r="C1114" s="41" t="s">
        <v>3551</v>
      </c>
      <c r="D1114" s="39" t="s">
        <v>3481</v>
      </c>
      <c r="E1114" s="42">
        <v>46129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4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70">
        <v>46248</v>
      </c>
      <c r="X1114" s="30" t="s">
        <v>55</v>
      </c>
      <c r="Y1114" s="30" t="s">
        <v>56</v>
      </c>
      <c r="Z1114" s="30" t="s">
        <v>57</v>
      </c>
      <c r="AA1114" s="30" t="s">
        <v>58</v>
      </c>
      <c r="AB1114" s="30" t="s">
        <v>56</v>
      </c>
      <c r="AC1114" s="27"/>
      <c r="AD1114" s="31" t="s">
        <v>57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3552</v>
      </c>
      <c r="C1115" s="25" t="s">
        <v>3553</v>
      </c>
      <c r="D1115" s="23" t="s">
        <v>3481</v>
      </c>
      <c r="E1115" s="42">
        <v>46129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4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70">
        <v>46248</v>
      </c>
      <c r="X1115" s="30" t="s">
        <v>55</v>
      </c>
      <c r="Y1115" s="30" t="s">
        <v>56</v>
      </c>
      <c r="Z1115" s="30" t="s">
        <v>57</v>
      </c>
      <c r="AA1115" s="30" t="s">
        <v>58</v>
      </c>
      <c r="AB1115" s="30" t="s">
        <v>56</v>
      </c>
      <c r="AC1115" s="27"/>
      <c r="AD1115" s="31" t="s">
        <v>57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3554</v>
      </c>
      <c r="C1116" s="41" t="s">
        <v>3555</v>
      </c>
      <c r="D1116" s="39" t="s">
        <v>3481</v>
      </c>
      <c r="E1116" s="42">
        <v>46129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4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70">
        <v>46248</v>
      </c>
      <c r="X1116" s="30" t="s">
        <v>55</v>
      </c>
      <c r="Y1116" s="30" t="s">
        <v>56</v>
      </c>
      <c r="Z1116" s="30" t="s">
        <v>57</v>
      </c>
      <c r="AA1116" s="30" t="s">
        <v>58</v>
      </c>
      <c r="AB1116" s="30" t="s">
        <v>56</v>
      </c>
      <c r="AC1116" s="27"/>
      <c r="AD1116" s="31" t="s">
        <v>57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3556</v>
      </c>
      <c r="C1117" s="25" t="s">
        <v>3557</v>
      </c>
      <c r="D1117" s="23" t="s">
        <v>3481</v>
      </c>
      <c r="E1117" s="42">
        <v>46129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4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70">
        <v>46248</v>
      </c>
      <c r="X1117" s="30" t="s">
        <v>55</v>
      </c>
      <c r="Y1117" s="30" t="s">
        <v>56</v>
      </c>
      <c r="Z1117" s="30" t="s">
        <v>57</v>
      </c>
      <c r="AA1117" s="30" t="s">
        <v>58</v>
      </c>
      <c r="AB1117" s="30" t="s">
        <v>56</v>
      </c>
      <c r="AC1117" s="27"/>
      <c r="AD1117" s="31" t="s">
        <v>57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3558</v>
      </c>
      <c r="C1118" s="41" t="s">
        <v>3559</v>
      </c>
      <c r="D1118" s="39" t="s">
        <v>3481</v>
      </c>
      <c r="E1118" s="42">
        <v>46129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4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70">
        <v>46248</v>
      </c>
      <c r="X1118" s="30" t="s">
        <v>55</v>
      </c>
      <c r="Y1118" s="30" t="s">
        <v>56</v>
      </c>
      <c r="Z1118" s="30" t="s">
        <v>57</v>
      </c>
      <c r="AA1118" s="30" t="s">
        <v>58</v>
      </c>
      <c r="AB1118" s="30" t="s">
        <v>56</v>
      </c>
      <c r="AC1118" s="27"/>
      <c r="AD1118" s="31" t="s">
        <v>57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3560</v>
      </c>
      <c r="C1119" s="25" t="s">
        <v>3561</v>
      </c>
      <c r="D1119" s="23" t="s">
        <v>3481</v>
      </c>
      <c r="E1119" s="42">
        <v>46129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4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70">
        <v>46248</v>
      </c>
      <c r="X1119" s="30" t="s">
        <v>55</v>
      </c>
      <c r="Y1119" s="30" t="s">
        <v>56</v>
      </c>
      <c r="Z1119" s="30" t="s">
        <v>57</v>
      </c>
      <c r="AA1119" s="30" t="s">
        <v>58</v>
      </c>
      <c r="AB1119" s="30" t="s">
        <v>56</v>
      </c>
      <c r="AC1119" s="27"/>
      <c r="AD1119" s="31" t="s">
        <v>57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3562</v>
      </c>
      <c r="C1120" s="41" t="s">
        <v>3563</v>
      </c>
      <c r="D1120" s="39" t="s">
        <v>3481</v>
      </c>
      <c r="E1120" s="42">
        <v>46129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4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70">
        <v>46248</v>
      </c>
      <c r="X1120" s="30" t="s">
        <v>55</v>
      </c>
      <c r="Y1120" s="30" t="s">
        <v>56</v>
      </c>
      <c r="Z1120" s="30" t="s">
        <v>57</v>
      </c>
      <c r="AA1120" s="30" t="s">
        <v>58</v>
      </c>
      <c r="AB1120" s="30" t="s">
        <v>56</v>
      </c>
      <c r="AC1120" s="27"/>
      <c r="AD1120" s="31" t="s">
        <v>57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3564</v>
      </c>
      <c r="C1121" s="25" t="s">
        <v>3565</v>
      </c>
      <c r="D1121" s="23" t="s">
        <v>3481</v>
      </c>
      <c r="E1121" s="42">
        <v>46129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4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70">
        <v>46248</v>
      </c>
      <c r="X1121" s="30" t="s">
        <v>55</v>
      </c>
      <c r="Y1121" s="30" t="s">
        <v>56</v>
      </c>
      <c r="Z1121" s="30" t="s">
        <v>57</v>
      </c>
      <c r="AA1121" s="30" t="s">
        <v>58</v>
      </c>
      <c r="AB1121" s="30" t="s">
        <v>56</v>
      </c>
      <c r="AC1121" s="27"/>
      <c r="AD1121" s="31" t="s">
        <v>57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3566</v>
      </c>
      <c r="C1122" s="41" t="s">
        <v>3567</v>
      </c>
      <c r="D1122" s="39" t="s">
        <v>3481</v>
      </c>
      <c r="E1122" s="42">
        <v>46129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4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70">
        <v>46248</v>
      </c>
      <c r="X1122" s="30" t="s">
        <v>55</v>
      </c>
      <c r="Y1122" s="30" t="s">
        <v>56</v>
      </c>
      <c r="Z1122" s="30" t="s">
        <v>57</v>
      </c>
      <c r="AA1122" s="30" t="s">
        <v>58</v>
      </c>
      <c r="AB1122" s="30" t="s">
        <v>56</v>
      </c>
      <c r="AC1122" s="27"/>
      <c r="AD1122" s="31" t="s">
        <v>57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3568</v>
      </c>
      <c r="C1123" s="25" t="s">
        <v>3569</v>
      </c>
      <c r="D1123" s="23" t="s">
        <v>3481</v>
      </c>
      <c r="E1123" s="42">
        <v>46129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4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70">
        <v>46248</v>
      </c>
      <c r="X1123" s="30" t="s">
        <v>55</v>
      </c>
      <c r="Y1123" s="30" t="s">
        <v>56</v>
      </c>
      <c r="Z1123" s="30" t="s">
        <v>57</v>
      </c>
      <c r="AA1123" s="30" t="s">
        <v>58</v>
      </c>
      <c r="AB1123" s="30" t="s">
        <v>56</v>
      </c>
      <c r="AC1123" s="27"/>
      <c r="AD1123" s="31" t="s">
        <v>57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3570</v>
      </c>
      <c r="C1124" s="41" t="s">
        <v>3571</v>
      </c>
      <c r="D1124" s="39" t="s">
        <v>3481</v>
      </c>
      <c r="E1124" s="42">
        <v>46129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4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70">
        <v>46248</v>
      </c>
      <c r="X1124" s="30" t="s">
        <v>55</v>
      </c>
      <c r="Y1124" s="30" t="s">
        <v>56</v>
      </c>
      <c r="Z1124" s="30" t="s">
        <v>57</v>
      </c>
      <c r="AA1124" s="30" t="s">
        <v>58</v>
      </c>
      <c r="AB1124" s="30" t="s">
        <v>56</v>
      </c>
      <c r="AC1124" s="27"/>
      <c r="AD1124" s="31" t="s">
        <v>57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3572</v>
      </c>
      <c r="C1125" s="25" t="s">
        <v>3573</v>
      </c>
      <c r="D1125" s="23" t="s">
        <v>3481</v>
      </c>
      <c r="E1125" s="42">
        <v>46129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4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70">
        <v>46248</v>
      </c>
      <c r="X1125" s="30" t="s">
        <v>55</v>
      </c>
      <c r="Y1125" s="30" t="s">
        <v>56</v>
      </c>
      <c r="Z1125" s="30" t="s">
        <v>57</v>
      </c>
      <c r="AA1125" s="30" t="s">
        <v>58</v>
      </c>
      <c r="AB1125" s="30" t="s">
        <v>56</v>
      </c>
      <c r="AC1125" s="27"/>
      <c r="AD1125" s="31" t="s">
        <v>57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3574</v>
      </c>
      <c r="C1126" s="41" t="s">
        <v>3575</v>
      </c>
      <c r="D1126" s="39" t="s">
        <v>3481</v>
      </c>
      <c r="E1126" s="42">
        <v>46129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4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70">
        <v>46248</v>
      </c>
      <c r="X1126" s="30" t="s">
        <v>55</v>
      </c>
      <c r="Y1126" s="30" t="s">
        <v>56</v>
      </c>
      <c r="Z1126" s="30" t="s">
        <v>57</v>
      </c>
      <c r="AA1126" s="30" t="s">
        <v>58</v>
      </c>
      <c r="AB1126" s="30" t="s">
        <v>56</v>
      </c>
      <c r="AC1126" s="27"/>
      <c r="AD1126" s="31" t="s">
        <v>57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3576</v>
      </c>
      <c r="C1127" s="25" t="s">
        <v>3577</v>
      </c>
      <c r="D1127" s="23" t="s">
        <v>3481</v>
      </c>
      <c r="E1127" s="42">
        <v>46129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4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70">
        <v>46248</v>
      </c>
      <c r="X1127" s="30" t="s">
        <v>55</v>
      </c>
      <c r="Y1127" s="30" t="s">
        <v>56</v>
      </c>
      <c r="Z1127" s="30" t="s">
        <v>57</v>
      </c>
      <c r="AA1127" s="30" t="s">
        <v>58</v>
      </c>
      <c r="AB1127" s="30" t="s">
        <v>56</v>
      </c>
      <c r="AC1127" s="27"/>
      <c r="AD1127" s="31" t="s">
        <v>57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3578</v>
      </c>
      <c r="C1128" s="41" t="s">
        <v>3579</v>
      </c>
      <c r="D1128" s="39" t="s">
        <v>3481</v>
      </c>
      <c r="E1128" s="42">
        <v>46129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4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70">
        <v>46248</v>
      </c>
      <c r="X1128" s="30" t="s">
        <v>55</v>
      </c>
      <c r="Y1128" s="30" t="s">
        <v>56</v>
      </c>
      <c r="Z1128" s="30" t="s">
        <v>57</v>
      </c>
      <c r="AA1128" s="30" t="s">
        <v>58</v>
      </c>
      <c r="AB1128" s="30" t="s">
        <v>56</v>
      </c>
      <c r="AC1128" s="27"/>
      <c r="AD1128" s="31" t="s">
        <v>57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3580</v>
      </c>
      <c r="C1129" s="25" t="s">
        <v>3581</v>
      </c>
      <c r="D1129" s="23" t="s">
        <v>3481</v>
      </c>
      <c r="E1129" s="42">
        <v>46129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4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70">
        <v>46248</v>
      </c>
      <c r="X1129" s="30" t="s">
        <v>55</v>
      </c>
      <c r="Y1129" s="30" t="s">
        <v>56</v>
      </c>
      <c r="Z1129" s="30" t="s">
        <v>57</v>
      </c>
      <c r="AA1129" s="30" t="s">
        <v>58</v>
      </c>
      <c r="AB1129" s="30" t="s">
        <v>56</v>
      </c>
      <c r="AC1129" s="27"/>
      <c r="AD1129" s="31" t="s">
        <v>57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3582</v>
      </c>
      <c r="C1130" s="41" t="s">
        <v>3583</v>
      </c>
      <c r="D1130" s="39" t="s">
        <v>3481</v>
      </c>
      <c r="E1130" s="42">
        <v>46129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4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70">
        <v>46248</v>
      </c>
      <c r="X1130" s="30" t="s">
        <v>55</v>
      </c>
      <c r="Y1130" s="30" t="s">
        <v>56</v>
      </c>
      <c r="Z1130" s="30" t="s">
        <v>57</v>
      </c>
      <c r="AA1130" s="30" t="s">
        <v>58</v>
      </c>
      <c r="AB1130" s="30" t="s">
        <v>56</v>
      </c>
      <c r="AC1130" s="27"/>
      <c r="AD1130" s="31" t="s">
        <v>57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3584</v>
      </c>
      <c r="C1131" s="25" t="s">
        <v>3585</v>
      </c>
      <c r="D1131" s="23" t="s">
        <v>3481</v>
      </c>
      <c r="E1131" s="42">
        <v>46129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4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70">
        <v>46248</v>
      </c>
      <c r="X1131" s="30" t="s">
        <v>55</v>
      </c>
      <c r="Y1131" s="30" t="s">
        <v>56</v>
      </c>
      <c r="Z1131" s="30" t="s">
        <v>57</v>
      </c>
      <c r="AA1131" s="30" t="s">
        <v>58</v>
      </c>
      <c r="AB1131" s="30" t="s">
        <v>56</v>
      </c>
      <c r="AC1131" s="27"/>
      <c r="AD1131" s="31" t="s">
        <v>57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3586</v>
      </c>
      <c r="C1132" s="41" t="s">
        <v>3587</v>
      </c>
      <c r="D1132" s="39" t="s">
        <v>3481</v>
      </c>
      <c r="E1132" s="42">
        <v>46129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4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70">
        <v>46248</v>
      </c>
      <c r="X1132" s="30" t="s">
        <v>55</v>
      </c>
      <c r="Y1132" s="30" t="s">
        <v>56</v>
      </c>
      <c r="Z1132" s="30" t="s">
        <v>57</v>
      </c>
      <c r="AA1132" s="30" t="s">
        <v>58</v>
      </c>
      <c r="AB1132" s="30" t="s">
        <v>56</v>
      </c>
      <c r="AC1132" s="27"/>
      <c r="AD1132" s="31" t="s">
        <v>57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3588</v>
      </c>
      <c r="C1133" s="25" t="s">
        <v>3589</v>
      </c>
      <c r="D1133" s="23" t="s">
        <v>3481</v>
      </c>
      <c r="E1133" s="42">
        <v>46129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4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70">
        <v>46248</v>
      </c>
      <c r="X1133" s="30" t="s">
        <v>55</v>
      </c>
      <c r="Y1133" s="30" t="s">
        <v>56</v>
      </c>
      <c r="Z1133" s="30" t="s">
        <v>57</v>
      </c>
      <c r="AA1133" s="30" t="s">
        <v>58</v>
      </c>
      <c r="AB1133" s="30" t="s">
        <v>56</v>
      </c>
      <c r="AC1133" s="27"/>
      <c r="AD1133" s="31" t="s">
        <v>57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3590</v>
      </c>
      <c r="C1134" s="41" t="s">
        <v>3591</v>
      </c>
      <c r="D1134" s="39" t="s">
        <v>3481</v>
      </c>
      <c r="E1134" s="42">
        <v>46129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4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70">
        <v>46248</v>
      </c>
      <c r="X1134" s="30" t="s">
        <v>55</v>
      </c>
      <c r="Y1134" s="30" t="s">
        <v>56</v>
      </c>
      <c r="Z1134" s="30" t="s">
        <v>57</v>
      </c>
      <c r="AA1134" s="30" t="s">
        <v>58</v>
      </c>
      <c r="AB1134" s="30" t="s">
        <v>56</v>
      </c>
      <c r="AC1134" s="27"/>
      <c r="AD1134" s="31" t="s">
        <v>57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3592</v>
      </c>
      <c r="C1135" s="25" t="s">
        <v>3593</v>
      </c>
      <c r="D1135" s="23" t="s">
        <v>3481</v>
      </c>
      <c r="E1135" s="42">
        <v>46129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4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70">
        <v>46248</v>
      </c>
      <c r="X1135" s="30" t="s">
        <v>55</v>
      </c>
      <c r="Y1135" s="30" t="s">
        <v>56</v>
      </c>
      <c r="Z1135" s="30" t="s">
        <v>57</v>
      </c>
      <c r="AA1135" s="30" t="s">
        <v>58</v>
      </c>
      <c r="AB1135" s="30" t="s">
        <v>56</v>
      </c>
      <c r="AC1135" s="27"/>
      <c r="AD1135" s="31" t="s">
        <v>57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3594</v>
      </c>
      <c r="C1136" s="41" t="s">
        <v>3595</v>
      </c>
      <c r="D1136" s="39" t="s">
        <v>3481</v>
      </c>
      <c r="E1136" s="42">
        <v>46129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4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70">
        <v>46248</v>
      </c>
      <c r="X1136" s="30" t="s">
        <v>55</v>
      </c>
      <c r="Y1136" s="30" t="s">
        <v>56</v>
      </c>
      <c r="Z1136" s="30" t="s">
        <v>57</v>
      </c>
      <c r="AA1136" s="30" t="s">
        <v>58</v>
      </c>
      <c r="AB1136" s="30" t="s">
        <v>56</v>
      </c>
      <c r="AC1136" s="27"/>
      <c r="AD1136" s="31" t="s">
        <v>57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3596</v>
      </c>
      <c r="C1137" s="25" t="s">
        <v>3597</v>
      </c>
      <c r="D1137" s="23" t="s">
        <v>3481</v>
      </c>
      <c r="E1137" s="42">
        <v>46129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4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70">
        <v>46248</v>
      </c>
      <c r="X1137" s="30" t="s">
        <v>55</v>
      </c>
      <c r="Y1137" s="30" t="s">
        <v>56</v>
      </c>
      <c r="Z1137" s="30" t="s">
        <v>57</v>
      </c>
      <c r="AA1137" s="30" t="s">
        <v>58</v>
      </c>
      <c r="AB1137" s="30" t="s">
        <v>56</v>
      </c>
      <c r="AC1137" s="27"/>
      <c r="AD1137" s="31" t="s">
        <v>57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3598</v>
      </c>
      <c r="C1138" s="41" t="s">
        <v>3599</v>
      </c>
      <c r="D1138" s="39" t="s">
        <v>3481</v>
      </c>
      <c r="E1138" s="42">
        <v>46129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4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70">
        <v>46248</v>
      </c>
      <c r="X1138" s="30" t="s">
        <v>55</v>
      </c>
      <c r="Y1138" s="30" t="s">
        <v>56</v>
      </c>
      <c r="Z1138" s="30" t="s">
        <v>57</v>
      </c>
      <c r="AA1138" s="30" t="s">
        <v>58</v>
      </c>
      <c r="AB1138" s="30" t="s">
        <v>56</v>
      </c>
      <c r="AC1138" s="27"/>
      <c r="AD1138" s="31" t="s">
        <v>57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3600</v>
      </c>
      <c r="C1139" s="25" t="s">
        <v>3601</v>
      </c>
      <c r="D1139" s="23" t="s">
        <v>3481</v>
      </c>
      <c r="E1139" s="42">
        <v>46129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4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70">
        <v>46248</v>
      </c>
      <c r="X1139" s="30" t="s">
        <v>55</v>
      </c>
      <c r="Y1139" s="30" t="s">
        <v>56</v>
      </c>
      <c r="Z1139" s="30" t="s">
        <v>57</v>
      </c>
      <c r="AA1139" s="30" t="s">
        <v>58</v>
      </c>
      <c r="AB1139" s="30" t="s">
        <v>56</v>
      </c>
      <c r="AC1139" s="27"/>
      <c r="AD1139" s="31" t="s">
        <v>57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3602</v>
      </c>
      <c r="C1140" s="41" t="s">
        <v>3603</v>
      </c>
      <c r="D1140" s="39" t="s">
        <v>3481</v>
      </c>
      <c r="E1140" s="42">
        <v>46129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4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70">
        <v>46248</v>
      </c>
      <c r="X1140" s="30" t="s">
        <v>55</v>
      </c>
      <c r="Y1140" s="30" t="s">
        <v>56</v>
      </c>
      <c r="Z1140" s="30" t="s">
        <v>57</v>
      </c>
      <c r="AA1140" s="30" t="s">
        <v>58</v>
      </c>
      <c r="AB1140" s="30" t="s">
        <v>56</v>
      </c>
      <c r="AC1140" s="27"/>
      <c r="AD1140" s="31" t="s">
        <v>57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3604</v>
      </c>
      <c r="C1141" s="25" t="s">
        <v>3605</v>
      </c>
      <c r="D1141" s="23" t="s">
        <v>3481</v>
      </c>
      <c r="E1141" s="42">
        <v>46129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4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70">
        <v>46248</v>
      </c>
      <c r="X1141" s="30" t="s">
        <v>55</v>
      </c>
      <c r="Y1141" s="30" t="s">
        <v>56</v>
      </c>
      <c r="Z1141" s="30" t="s">
        <v>57</v>
      </c>
      <c r="AA1141" s="30" t="s">
        <v>58</v>
      </c>
      <c r="AB1141" s="30" t="s">
        <v>56</v>
      </c>
      <c r="AC1141" s="27"/>
      <c r="AD1141" s="31" t="s">
        <v>57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3606</v>
      </c>
      <c r="C1142" s="41" t="s">
        <v>3607</v>
      </c>
      <c r="D1142" s="39" t="s">
        <v>3481</v>
      </c>
      <c r="E1142" s="42">
        <v>46129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4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70">
        <v>46248</v>
      </c>
      <c r="X1142" s="30" t="s">
        <v>55</v>
      </c>
      <c r="Y1142" s="30" t="s">
        <v>56</v>
      </c>
      <c r="Z1142" s="30" t="s">
        <v>57</v>
      </c>
      <c r="AA1142" s="30" t="s">
        <v>58</v>
      </c>
      <c r="AB1142" s="30" t="s">
        <v>56</v>
      </c>
      <c r="AC1142" s="27"/>
      <c r="AD1142" s="31" t="s">
        <v>57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3608</v>
      </c>
      <c r="C1143" s="25" t="s">
        <v>3609</v>
      </c>
      <c r="D1143" s="23" t="s">
        <v>3481</v>
      </c>
      <c r="E1143" s="42">
        <v>46129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4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70">
        <v>46248</v>
      </c>
      <c r="X1143" s="30" t="s">
        <v>55</v>
      </c>
      <c r="Y1143" s="30" t="s">
        <v>56</v>
      </c>
      <c r="Z1143" s="30" t="s">
        <v>57</v>
      </c>
      <c r="AA1143" s="30" t="s">
        <v>58</v>
      </c>
      <c r="AB1143" s="30" t="s">
        <v>56</v>
      </c>
      <c r="AC1143" s="27"/>
      <c r="AD1143" s="31" t="s">
        <v>57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3610</v>
      </c>
      <c r="C1144" s="41" t="s">
        <v>3611</v>
      </c>
      <c r="D1144" s="39" t="s">
        <v>3481</v>
      </c>
      <c r="E1144" s="42">
        <v>46129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4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70">
        <v>46248</v>
      </c>
      <c r="X1144" s="30" t="s">
        <v>55</v>
      </c>
      <c r="Y1144" s="30" t="s">
        <v>56</v>
      </c>
      <c r="Z1144" s="30" t="s">
        <v>57</v>
      </c>
      <c r="AA1144" s="30" t="s">
        <v>58</v>
      </c>
      <c r="AB1144" s="30" t="s">
        <v>56</v>
      </c>
      <c r="AC1144" s="27"/>
      <c r="AD1144" s="31" t="s">
        <v>57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3612</v>
      </c>
      <c r="C1145" s="25" t="s">
        <v>3613</v>
      </c>
      <c r="D1145" s="23" t="s">
        <v>3481</v>
      </c>
      <c r="E1145" s="42">
        <v>46129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4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70">
        <v>46248</v>
      </c>
      <c r="X1145" s="30" t="s">
        <v>55</v>
      </c>
      <c r="Y1145" s="30" t="s">
        <v>56</v>
      </c>
      <c r="Z1145" s="30" t="s">
        <v>57</v>
      </c>
      <c r="AA1145" s="30" t="s">
        <v>58</v>
      </c>
      <c r="AB1145" s="30" t="s">
        <v>56</v>
      </c>
      <c r="AC1145" s="27"/>
      <c r="AD1145" s="31" t="s">
        <v>57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3614</v>
      </c>
      <c r="C1146" s="41" t="s">
        <v>3615</v>
      </c>
      <c r="D1146" s="39" t="s">
        <v>3481</v>
      </c>
      <c r="E1146" s="42">
        <v>46129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4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70">
        <v>46248</v>
      </c>
      <c r="X1146" s="30" t="s">
        <v>55</v>
      </c>
      <c r="Y1146" s="30" t="s">
        <v>56</v>
      </c>
      <c r="Z1146" s="30" t="s">
        <v>57</v>
      </c>
      <c r="AA1146" s="30" t="s">
        <v>58</v>
      </c>
      <c r="AB1146" s="30" t="s">
        <v>56</v>
      </c>
      <c r="AC1146" s="27"/>
      <c r="AD1146" s="31" t="s">
        <v>57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3616</v>
      </c>
      <c r="C1147" s="25" t="s">
        <v>3617</v>
      </c>
      <c r="D1147" s="23" t="s">
        <v>3481</v>
      </c>
      <c r="E1147" s="42">
        <v>46129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4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70">
        <v>46248</v>
      </c>
      <c r="X1147" s="30" t="s">
        <v>55</v>
      </c>
      <c r="Y1147" s="30" t="s">
        <v>56</v>
      </c>
      <c r="Z1147" s="30" t="s">
        <v>57</v>
      </c>
      <c r="AA1147" s="30" t="s">
        <v>58</v>
      </c>
      <c r="AB1147" s="30" t="s">
        <v>56</v>
      </c>
      <c r="AC1147" s="27"/>
      <c r="AD1147" s="31" t="s">
        <v>57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3618</v>
      </c>
      <c r="C1148" s="41" t="s">
        <v>3619</v>
      </c>
      <c r="D1148" s="39" t="s">
        <v>3481</v>
      </c>
      <c r="E1148" s="42">
        <v>46129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4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70">
        <v>46248</v>
      </c>
      <c r="X1148" s="30" t="s">
        <v>55</v>
      </c>
      <c r="Y1148" s="30" t="s">
        <v>56</v>
      </c>
      <c r="Z1148" s="30" t="s">
        <v>57</v>
      </c>
      <c r="AA1148" s="30" t="s">
        <v>58</v>
      </c>
      <c r="AB1148" s="30" t="s">
        <v>56</v>
      </c>
      <c r="AC1148" s="27"/>
      <c r="AD1148" s="31" t="s">
        <v>57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3620</v>
      </c>
      <c r="C1149" s="25" t="s">
        <v>3621</v>
      </c>
      <c r="D1149" s="23" t="s">
        <v>3481</v>
      </c>
      <c r="E1149" s="42">
        <v>46129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4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70">
        <v>46248</v>
      </c>
      <c r="X1149" s="30" t="s">
        <v>55</v>
      </c>
      <c r="Y1149" s="30" t="s">
        <v>56</v>
      </c>
      <c r="Z1149" s="30" t="s">
        <v>57</v>
      </c>
      <c r="AA1149" s="30" t="s">
        <v>58</v>
      </c>
      <c r="AB1149" s="30" t="s">
        <v>56</v>
      </c>
      <c r="AC1149" s="27"/>
      <c r="AD1149" s="31" t="s">
        <v>57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3622</v>
      </c>
      <c r="C1150" s="41" t="s">
        <v>3623</v>
      </c>
      <c r="D1150" s="39" t="s">
        <v>3481</v>
      </c>
      <c r="E1150" s="42">
        <v>46129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4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70">
        <v>46248</v>
      </c>
      <c r="X1150" s="30" t="s">
        <v>55</v>
      </c>
      <c r="Y1150" s="30" t="s">
        <v>56</v>
      </c>
      <c r="Z1150" s="30" t="s">
        <v>57</v>
      </c>
      <c r="AA1150" s="30" t="s">
        <v>58</v>
      </c>
      <c r="AB1150" s="30" t="s">
        <v>56</v>
      </c>
      <c r="AC1150" s="27"/>
      <c r="AD1150" s="31" t="s">
        <v>57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3624</v>
      </c>
      <c r="C1151" s="25" t="s">
        <v>3625</v>
      </c>
      <c r="D1151" s="23" t="s">
        <v>3481</v>
      </c>
      <c r="E1151" s="42">
        <v>46129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4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70">
        <v>46248</v>
      </c>
      <c r="X1151" s="30" t="s">
        <v>55</v>
      </c>
      <c r="Y1151" s="30" t="s">
        <v>56</v>
      </c>
      <c r="Z1151" s="30" t="s">
        <v>57</v>
      </c>
      <c r="AA1151" s="30" t="s">
        <v>58</v>
      </c>
      <c r="AB1151" s="30" t="s">
        <v>56</v>
      </c>
      <c r="AC1151" s="27"/>
      <c r="AD1151" s="31" t="s">
        <v>57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3626</v>
      </c>
      <c r="C1152" s="41" t="s">
        <v>3627</v>
      </c>
      <c r="D1152" s="39" t="s">
        <v>3481</v>
      </c>
      <c r="E1152" s="42">
        <v>46129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4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70">
        <v>46248</v>
      </c>
      <c r="X1152" s="30" t="s">
        <v>55</v>
      </c>
      <c r="Y1152" s="30" t="s">
        <v>56</v>
      </c>
      <c r="Z1152" s="30" t="s">
        <v>57</v>
      </c>
      <c r="AA1152" s="30" t="s">
        <v>58</v>
      </c>
      <c r="AB1152" s="30" t="s">
        <v>56</v>
      </c>
      <c r="AC1152" s="27"/>
      <c r="AD1152" s="31" t="s">
        <v>57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3628</v>
      </c>
      <c r="C1153" s="25" t="s">
        <v>3629</v>
      </c>
      <c r="D1153" s="23" t="s">
        <v>3481</v>
      </c>
      <c r="E1153" s="42">
        <v>46129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4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70">
        <v>46248</v>
      </c>
      <c r="X1153" s="30" t="s">
        <v>55</v>
      </c>
      <c r="Y1153" s="30" t="s">
        <v>56</v>
      </c>
      <c r="Z1153" s="30" t="s">
        <v>57</v>
      </c>
      <c r="AA1153" s="30" t="s">
        <v>58</v>
      </c>
      <c r="AB1153" s="30" t="s">
        <v>56</v>
      </c>
      <c r="AC1153" s="27"/>
      <c r="AD1153" s="31" t="s">
        <v>57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3630</v>
      </c>
      <c r="C1154" s="41" t="s">
        <v>3631</v>
      </c>
      <c r="D1154" s="39" t="s">
        <v>3481</v>
      </c>
      <c r="E1154" s="42">
        <v>46129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4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70">
        <v>46248</v>
      </c>
      <c r="X1154" s="30" t="s">
        <v>55</v>
      </c>
      <c r="Y1154" s="30" t="s">
        <v>56</v>
      </c>
      <c r="Z1154" s="30" t="s">
        <v>57</v>
      </c>
      <c r="AA1154" s="30" t="s">
        <v>58</v>
      </c>
      <c r="AB1154" s="30" t="s">
        <v>56</v>
      </c>
      <c r="AC1154" s="27"/>
      <c r="AD1154" s="31" t="s">
        <v>57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3632</v>
      </c>
      <c r="C1155" s="25" t="s">
        <v>3633</v>
      </c>
      <c r="D1155" s="23" t="s">
        <v>3481</v>
      </c>
      <c r="E1155" s="42">
        <v>46129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4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70">
        <v>46248</v>
      </c>
      <c r="X1155" s="30" t="s">
        <v>55</v>
      </c>
      <c r="Y1155" s="30" t="s">
        <v>56</v>
      </c>
      <c r="Z1155" s="30" t="s">
        <v>57</v>
      </c>
      <c r="AA1155" s="30" t="s">
        <v>58</v>
      </c>
      <c r="AB1155" s="30" t="s">
        <v>56</v>
      </c>
      <c r="AC1155" s="27"/>
      <c r="AD1155" s="31" t="s">
        <v>57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3634</v>
      </c>
      <c r="C1156" s="41" t="s">
        <v>3635</v>
      </c>
      <c r="D1156" s="39" t="s">
        <v>3481</v>
      </c>
      <c r="E1156" s="42">
        <v>46129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4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70">
        <v>46248</v>
      </c>
      <c r="X1156" s="30" t="s">
        <v>55</v>
      </c>
      <c r="Y1156" s="30" t="s">
        <v>56</v>
      </c>
      <c r="Z1156" s="30" t="s">
        <v>57</v>
      </c>
      <c r="AA1156" s="30" t="s">
        <v>58</v>
      </c>
      <c r="AB1156" s="30" t="s">
        <v>56</v>
      </c>
      <c r="AC1156" s="27"/>
      <c r="AD1156" s="31" t="s">
        <v>57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3636</v>
      </c>
      <c r="C1157" s="25" t="s">
        <v>3637</v>
      </c>
      <c r="D1157" s="23" t="s">
        <v>3481</v>
      </c>
      <c r="E1157" s="42">
        <v>46129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4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70">
        <v>46248</v>
      </c>
      <c r="X1157" s="30" t="s">
        <v>55</v>
      </c>
      <c r="Y1157" s="30" t="s">
        <v>56</v>
      </c>
      <c r="Z1157" s="30" t="s">
        <v>57</v>
      </c>
      <c r="AA1157" s="30" t="s">
        <v>58</v>
      </c>
      <c r="AB1157" s="30" t="s">
        <v>56</v>
      </c>
      <c r="AC1157" s="27"/>
      <c r="AD1157" s="31" t="s">
        <v>57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3638</v>
      </c>
      <c r="C1158" s="41" t="s">
        <v>3639</v>
      </c>
      <c r="D1158" s="39" t="s">
        <v>3481</v>
      </c>
      <c r="E1158" s="42">
        <v>46129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4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70">
        <v>46248</v>
      </c>
      <c r="X1158" s="30" t="s">
        <v>55</v>
      </c>
      <c r="Y1158" s="30" t="s">
        <v>56</v>
      </c>
      <c r="Z1158" s="30" t="s">
        <v>57</v>
      </c>
      <c r="AA1158" s="30" t="s">
        <v>58</v>
      </c>
      <c r="AB1158" s="30" t="s">
        <v>56</v>
      </c>
      <c r="AC1158" s="27"/>
      <c r="AD1158" s="31" t="s">
        <v>57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3640</v>
      </c>
      <c r="C1159" s="25" t="s">
        <v>3641</v>
      </c>
      <c r="D1159" s="23" t="s">
        <v>3481</v>
      </c>
      <c r="E1159" s="42">
        <v>46129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4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70">
        <v>46248</v>
      </c>
      <c r="X1159" s="30" t="s">
        <v>55</v>
      </c>
      <c r="Y1159" s="30" t="s">
        <v>56</v>
      </c>
      <c r="Z1159" s="30" t="s">
        <v>57</v>
      </c>
      <c r="AA1159" s="30" t="s">
        <v>58</v>
      </c>
      <c r="AB1159" s="30" t="s">
        <v>56</v>
      </c>
      <c r="AC1159" s="27"/>
      <c r="AD1159" s="31" t="s">
        <v>57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3642</v>
      </c>
      <c r="C1160" s="41" t="s">
        <v>3643</v>
      </c>
      <c r="D1160" s="39" t="s">
        <v>3481</v>
      </c>
      <c r="E1160" s="42">
        <v>46129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4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70">
        <v>46248</v>
      </c>
      <c r="X1160" s="30" t="s">
        <v>55</v>
      </c>
      <c r="Y1160" s="30" t="s">
        <v>56</v>
      </c>
      <c r="Z1160" s="30" t="s">
        <v>57</v>
      </c>
      <c r="AA1160" s="30" t="s">
        <v>58</v>
      </c>
      <c r="AB1160" s="30" t="s">
        <v>56</v>
      </c>
      <c r="AC1160" s="27"/>
      <c r="AD1160" s="31" t="s">
        <v>57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3644</v>
      </c>
      <c r="C1161" s="25" t="s">
        <v>3645</v>
      </c>
      <c r="D1161" s="23" t="s">
        <v>3481</v>
      </c>
      <c r="E1161" s="42">
        <v>46129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4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70">
        <v>46248</v>
      </c>
      <c r="X1161" s="30" t="s">
        <v>55</v>
      </c>
      <c r="Y1161" s="30" t="s">
        <v>56</v>
      </c>
      <c r="Z1161" s="30" t="s">
        <v>57</v>
      </c>
      <c r="AA1161" s="30" t="s">
        <v>58</v>
      </c>
      <c r="AB1161" s="30" t="s">
        <v>56</v>
      </c>
      <c r="AC1161" s="27"/>
      <c r="AD1161" s="31" t="s">
        <v>57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3646</v>
      </c>
      <c r="C1162" s="41" t="s">
        <v>3647</v>
      </c>
      <c r="D1162" s="39" t="s">
        <v>3481</v>
      </c>
      <c r="E1162" s="42">
        <v>46129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4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70">
        <v>46248</v>
      </c>
      <c r="X1162" s="30" t="s">
        <v>55</v>
      </c>
      <c r="Y1162" s="30" t="s">
        <v>56</v>
      </c>
      <c r="Z1162" s="30" t="s">
        <v>57</v>
      </c>
      <c r="AA1162" s="30" t="s">
        <v>58</v>
      </c>
      <c r="AB1162" s="30" t="s">
        <v>56</v>
      </c>
      <c r="AC1162" s="27"/>
      <c r="AD1162" s="31" t="s">
        <v>57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3648</v>
      </c>
      <c r="C1163" s="25" t="s">
        <v>3649</v>
      </c>
      <c r="D1163" s="23" t="s">
        <v>3481</v>
      </c>
      <c r="E1163" s="42">
        <v>46129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4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70">
        <v>46248</v>
      </c>
      <c r="X1163" s="30" t="s">
        <v>55</v>
      </c>
      <c r="Y1163" s="30" t="s">
        <v>56</v>
      </c>
      <c r="Z1163" s="30" t="s">
        <v>57</v>
      </c>
      <c r="AA1163" s="30" t="s">
        <v>58</v>
      </c>
      <c r="AB1163" s="30" t="s">
        <v>56</v>
      </c>
      <c r="AC1163" s="27"/>
      <c r="AD1163" s="31" t="s">
        <v>57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3650</v>
      </c>
      <c r="C1164" s="41" t="s">
        <v>3651</v>
      </c>
      <c r="D1164" s="39" t="s">
        <v>3481</v>
      </c>
      <c r="E1164" s="42">
        <v>46129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4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70">
        <v>46248</v>
      </c>
      <c r="X1164" s="30" t="s">
        <v>55</v>
      </c>
      <c r="Y1164" s="30" t="s">
        <v>56</v>
      </c>
      <c r="Z1164" s="30" t="s">
        <v>57</v>
      </c>
      <c r="AA1164" s="30" t="s">
        <v>58</v>
      </c>
      <c r="AB1164" s="30" t="s">
        <v>56</v>
      </c>
      <c r="AC1164" s="27"/>
      <c r="AD1164" s="31" t="s">
        <v>57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3652</v>
      </c>
      <c r="C1165" s="25" t="s">
        <v>3653</v>
      </c>
      <c r="D1165" s="23" t="s">
        <v>3481</v>
      </c>
      <c r="E1165" s="42">
        <v>46129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4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70">
        <v>46248</v>
      </c>
      <c r="X1165" s="30" t="s">
        <v>55</v>
      </c>
      <c r="Y1165" s="30" t="s">
        <v>56</v>
      </c>
      <c r="Z1165" s="30" t="s">
        <v>57</v>
      </c>
      <c r="AA1165" s="30" t="s">
        <v>58</v>
      </c>
      <c r="AB1165" s="30" t="s">
        <v>56</v>
      </c>
      <c r="AC1165" s="27"/>
      <c r="AD1165" s="31" t="s">
        <v>57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3654</v>
      </c>
      <c r="C1166" s="41" t="s">
        <v>3655</v>
      </c>
      <c r="D1166" s="39" t="s">
        <v>3481</v>
      </c>
      <c r="E1166" s="42">
        <v>46129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4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70">
        <v>46248</v>
      </c>
      <c r="X1166" s="30" t="s">
        <v>55</v>
      </c>
      <c r="Y1166" s="30" t="s">
        <v>56</v>
      </c>
      <c r="Z1166" s="30" t="s">
        <v>57</v>
      </c>
      <c r="AA1166" s="30" t="s">
        <v>58</v>
      </c>
      <c r="AB1166" s="30" t="s">
        <v>56</v>
      </c>
      <c r="AC1166" s="27"/>
      <c r="AD1166" s="31" t="s">
        <v>57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3656</v>
      </c>
      <c r="C1167" s="25" t="s">
        <v>3657</v>
      </c>
      <c r="D1167" s="23" t="s">
        <v>3481</v>
      </c>
      <c r="E1167" s="42">
        <v>46129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4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70">
        <v>46248</v>
      </c>
      <c r="X1167" s="30" t="s">
        <v>55</v>
      </c>
      <c r="Y1167" s="30" t="s">
        <v>56</v>
      </c>
      <c r="Z1167" s="30" t="s">
        <v>57</v>
      </c>
      <c r="AA1167" s="30" t="s">
        <v>58</v>
      </c>
      <c r="AB1167" s="30" t="s">
        <v>56</v>
      </c>
      <c r="AC1167" s="27"/>
      <c r="AD1167" s="31" t="s">
        <v>57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3658</v>
      </c>
      <c r="C1168" s="41" t="s">
        <v>3659</v>
      </c>
      <c r="D1168" s="39" t="s">
        <v>3481</v>
      </c>
      <c r="E1168" s="42">
        <v>46129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4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70">
        <v>46248</v>
      </c>
      <c r="X1168" s="30" t="s">
        <v>55</v>
      </c>
      <c r="Y1168" s="30" t="s">
        <v>56</v>
      </c>
      <c r="Z1168" s="30" t="s">
        <v>57</v>
      </c>
      <c r="AA1168" s="30" t="s">
        <v>58</v>
      </c>
      <c r="AB1168" s="30" t="s">
        <v>56</v>
      </c>
      <c r="AC1168" s="27"/>
      <c r="AD1168" s="31" t="s">
        <v>57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3660</v>
      </c>
      <c r="C1169" s="25" t="s">
        <v>3661</v>
      </c>
      <c r="D1169" s="23" t="s">
        <v>3481</v>
      </c>
      <c r="E1169" s="42">
        <v>46129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4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70">
        <v>46248</v>
      </c>
      <c r="X1169" s="30" t="s">
        <v>55</v>
      </c>
      <c r="Y1169" s="30" t="s">
        <v>56</v>
      </c>
      <c r="Z1169" s="30" t="s">
        <v>57</v>
      </c>
      <c r="AA1169" s="30" t="s">
        <v>58</v>
      </c>
      <c r="AB1169" s="30" t="s">
        <v>56</v>
      </c>
      <c r="AC1169" s="27"/>
      <c r="AD1169" s="31" t="s">
        <v>57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3662</v>
      </c>
      <c r="C1170" s="41" t="s">
        <v>3663</v>
      </c>
      <c r="D1170" s="39" t="s">
        <v>3481</v>
      </c>
      <c r="E1170" s="42">
        <v>46129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4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70">
        <v>46248</v>
      </c>
      <c r="X1170" s="30" t="s">
        <v>55</v>
      </c>
      <c r="Y1170" s="30" t="s">
        <v>56</v>
      </c>
      <c r="Z1170" s="30" t="s">
        <v>57</v>
      </c>
      <c r="AA1170" s="30" t="s">
        <v>58</v>
      </c>
      <c r="AB1170" s="30" t="s">
        <v>56</v>
      </c>
      <c r="AC1170" s="27"/>
      <c r="AD1170" s="31" t="s">
        <v>57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3664</v>
      </c>
      <c r="C1171" s="25" t="s">
        <v>3665</v>
      </c>
      <c r="D1171" s="23" t="s">
        <v>3481</v>
      </c>
      <c r="E1171" s="42">
        <v>46129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4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70">
        <v>46248</v>
      </c>
      <c r="X1171" s="30" t="s">
        <v>55</v>
      </c>
      <c r="Y1171" s="30" t="s">
        <v>56</v>
      </c>
      <c r="Z1171" s="30" t="s">
        <v>57</v>
      </c>
      <c r="AA1171" s="30" t="s">
        <v>58</v>
      </c>
      <c r="AB1171" s="30" t="s">
        <v>56</v>
      </c>
      <c r="AC1171" s="27"/>
      <c r="AD1171" s="31" t="s">
        <v>57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3666</v>
      </c>
      <c r="C1172" s="41" t="s">
        <v>3667</v>
      </c>
      <c r="D1172" s="39" t="s">
        <v>3481</v>
      </c>
      <c r="E1172" s="42">
        <v>46129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4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70">
        <v>46248</v>
      </c>
      <c r="X1172" s="30" t="s">
        <v>55</v>
      </c>
      <c r="Y1172" s="30" t="s">
        <v>56</v>
      </c>
      <c r="Z1172" s="30" t="s">
        <v>57</v>
      </c>
      <c r="AA1172" s="30" t="s">
        <v>58</v>
      </c>
      <c r="AB1172" s="30" t="s">
        <v>56</v>
      </c>
      <c r="AC1172" s="27"/>
      <c r="AD1172" s="31" t="s">
        <v>57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3668</v>
      </c>
      <c r="C1173" s="25" t="s">
        <v>3669</v>
      </c>
      <c r="D1173" s="23" t="s">
        <v>3481</v>
      </c>
      <c r="E1173" s="42">
        <v>46129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4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70">
        <v>46248</v>
      </c>
      <c r="X1173" s="30" t="s">
        <v>55</v>
      </c>
      <c r="Y1173" s="30" t="s">
        <v>56</v>
      </c>
      <c r="Z1173" s="30" t="s">
        <v>57</v>
      </c>
      <c r="AA1173" s="30" t="s">
        <v>58</v>
      </c>
      <c r="AB1173" s="30" t="s">
        <v>56</v>
      </c>
      <c r="AC1173" s="27"/>
      <c r="AD1173" s="31" t="s">
        <v>57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3670</v>
      </c>
      <c r="C1174" s="41" t="s">
        <v>3671</v>
      </c>
      <c r="D1174" s="39" t="s">
        <v>3481</v>
      </c>
      <c r="E1174" s="42">
        <v>46129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4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70">
        <v>46248</v>
      </c>
      <c r="X1174" s="30" t="s">
        <v>55</v>
      </c>
      <c r="Y1174" s="30" t="s">
        <v>56</v>
      </c>
      <c r="Z1174" s="30" t="s">
        <v>57</v>
      </c>
      <c r="AA1174" s="30" t="s">
        <v>58</v>
      </c>
      <c r="AB1174" s="30" t="s">
        <v>56</v>
      </c>
      <c r="AC1174" s="27"/>
      <c r="AD1174" s="31" t="s">
        <v>57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3672</v>
      </c>
      <c r="C1175" s="25" t="s">
        <v>3673</v>
      </c>
      <c r="D1175" s="23" t="s">
        <v>3481</v>
      </c>
      <c r="E1175" s="42">
        <v>46129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4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70">
        <v>46248</v>
      </c>
      <c r="X1175" s="30" t="s">
        <v>55</v>
      </c>
      <c r="Y1175" s="30" t="s">
        <v>56</v>
      </c>
      <c r="Z1175" s="30" t="s">
        <v>57</v>
      </c>
      <c r="AA1175" s="30" t="s">
        <v>58</v>
      </c>
      <c r="AB1175" s="30" t="s">
        <v>56</v>
      </c>
      <c r="AC1175" s="27"/>
      <c r="AD1175" s="31" t="s">
        <v>57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3674</v>
      </c>
      <c r="C1176" s="41" t="s">
        <v>3675</v>
      </c>
      <c r="D1176" s="39" t="s">
        <v>3481</v>
      </c>
      <c r="E1176" s="42">
        <v>46129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4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70">
        <v>46248</v>
      </c>
      <c r="X1176" s="30" t="s">
        <v>55</v>
      </c>
      <c r="Y1176" s="30" t="s">
        <v>56</v>
      </c>
      <c r="Z1176" s="30" t="s">
        <v>57</v>
      </c>
      <c r="AA1176" s="30" t="s">
        <v>58</v>
      </c>
      <c r="AB1176" s="30" t="s">
        <v>56</v>
      </c>
      <c r="AC1176" s="27"/>
      <c r="AD1176" s="31" t="s">
        <v>57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3676</v>
      </c>
      <c r="C1177" s="25" t="s">
        <v>3677</v>
      </c>
      <c r="D1177" s="23" t="s">
        <v>3481</v>
      </c>
      <c r="E1177" s="42">
        <v>46129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4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70">
        <v>46248</v>
      </c>
      <c r="X1177" s="30" t="s">
        <v>55</v>
      </c>
      <c r="Y1177" s="30" t="s">
        <v>56</v>
      </c>
      <c r="Z1177" s="30" t="s">
        <v>57</v>
      </c>
      <c r="AA1177" s="30" t="s">
        <v>58</v>
      </c>
      <c r="AB1177" s="30" t="s">
        <v>56</v>
      </c>
      <c r="AC1177" s="27"/>
      <c r="AD1177" s="31" t="s">
        <v>57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3678</v>
      </c>
      <c r="C1178" s="41" t="s">
        <v>3679</v>
      </c>
      <c r="D1178" s="39" t="s">
        <v>3481</v>
      </c>
      <c r="E1178" s="42">
        <v>46129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4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70">
        <v>46248</v>
      </c>
      <c r="X1178" s="30" t="s">
        <v>55</v>
      </c>
      <c r="Y1178" s="30" t="s">
        <v>56</v>
      </c>
      <c r="Z1178" s="30" t="s">
        <v>57</v>
      </c>
      <c r="AA1178" s="30" t="s">
        <v>58</v>
      </c>
      <c r="AB1178" s="30" t="s">
        <v>56</v>
      </c>
      <c r="AC1178" s="27"/>
      <c r="AD1178" s="31" t="s">
        <v>57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3680</v>
      </c>
      <c r="C1179" s="25" t="s">
        <v>3681</v>
      </c>
      <c r="D1179" s="23" t="s">
        <v>3481</v>
      </c>
      <c r="E1179" s="42">
        <v>46129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4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70">
        <v>46248</v>
      </c>
      <c r="X1179" s="30" t="s">
        <v>55</v>
      </c>
      <c r="Y1179" s="30" t="s">
        <v>56</v>
      </c>
      <c r="Z1179" s="30" t="s">
        <v>57</v>
      </c>
      <c r="AA1179" s="30" t="s">
        <v>58</v>
      </c>
      <c r="AB1179" s="30" t="s">
        <v>56</v>
      </c>
      <c r="AC1179" s="27"/>
      <c r="AD1179" s="31" t="s">
        <v>57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3682</v>
      </c>
      <c r="C1180" s="41" t="s">
        <v>3683</v>
      </c>
      <c r="D1180" s="39" t="s">
        <v>3481</v>
      </c>
      <c r="E1180" s="42">
        <v>46129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4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70">
        <v>46248</v>
      </c>
      <c r="X1180" s="30" t="s">
        <v>55</v>
      </c>
      <c r="Y1180" s="30" t="s">
        <v>56</v>
      </c>
      <c r="Z1180" s="30" t="s">
        <v>57</v>
      </c>
      <c r="AA1180" s="30" t="s">
        <v>58</v>
      </c>
      <c r="AB1180" s="30" t="s">
        <v>56</v>
      </c>
      <c r="AC1180" s="27"/>
      <c r="AD1180" s="31" t="s">
        <v>57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3684</v>
      </c>
      <c r="C1181" s="25" t="s">
        <v>3685</v>
      </c>
      <c r="D1181" s="23" t="s">
        <v>3481</v>
      </c>
      <c r="E1181" s="42">
        <v>46129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4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70">
        <v>46248</v>
      </c>
      <c r="X1181" s="30" t="s">
        <v>55</v>
      </c>
      <c r="Y1181" s="30" t="s">
        <v>56</v>
      </c>
      <c r="Z1181" s="30" t="s">
        <v>57</v>
      </c>
      <c r="AA1181" s="30" t="s">
        <v>58</v>
      </c>
      <c r="AB1181" s="30" t="s">
        <v>56</v>
      </c>
      <c r="AC1181" s="27"/>
      <c r="AD1181" s="31" t="s">
        <v>57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3686</v>
      </c>
      <c r="C1182" s="41" t="s">
        <v>3687</v>
      </c>
      <c r="D1182" s="39" t="s">
        <v>3481</v>
      </c>
      <c r="E1182" s="42">
        <v>46129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4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70">
        <v>46248</v>
      </c>
      <c r="X1182" s="30" t="s">
        <v>55</v>
      </c>
      <c r="Y1182" s="30" t="s">
        <v>56</v>
      </c>
      <c r="Z1182" s="30" t="s">
        <v>57</v>
      </c>
      <c r="AA1182" s="30" t="s">
        <v>58</v>
      </c>
      <c r="AB1182" s="30" t="s">
        <v>56</v>
      </c>
      <c r="AC1182" s="27"/>
      <c r="AD1182" s="31" t="s">
        <v>57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3688</v>
      </c>
      <c r="C1183" s="25" t="s">
        <v>3689</v>
      </c>
      <c r="D1183" s="23" t="s">
        <v>3481</v>
      </c>
      <c r="E1183" s="42">
        <v>46129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4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70">
        <v>46248</v>
      </c>
      <c r="X1183" s="30" t="s">
        <v>55</v>
      </c>
      <c r="Y1183" s="30" t="s">
        <v>56</v>
      </c>
      <c r="Z1183" s="30" t="s">
        <v>57</v>
      </c>
      <c r="AA1183" s="30" t="s">
        <v>58</v>
      </c>
      <c r="AB1183" s="30" t="s">
        <v>56</v>
      </c>
      <c r="AC1183" s="27"/>
      <c r="AD1183" s="31" t="s">
        <v>57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3690</v>
      </c>
      <c r="C1184" s="41" t="s">
        <v>3691</v>
      </c>
      <c r="D1184" s="39" t="s">
        <v>3481</v>
      </c>
      <c r="E1184" s="42">
        <v>46129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4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70">
        <v>46248</v>
      </c>
      <c r="X1184" s="30" t="s">
        <v>55</v>
      </c>
      <c r="Y1184" s="30" t="s">
        <v>56</v>
      </c>
      <c r="Z1184" s="30" t="s">
        <v>57</v>
      </c>
      <c r="AA1184" s="30" t="s">
        <v>58</v>
      </c>
      <c r="AB1184" s="30" t="s">
        <v>56</v>
      </c>
      <c r="AC1184" s="27"/>
      <c r="AD1184" s="31" t="s">
        <v>57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3692</v>
      </c>
      <c r="C1185" s="25" t="s">
        <v>3693</v>
      </c>
      <c r="D1185" s="23" t="s">
        <v>3481</v>
      </c>
      <c r="E1185" s="42">
        <v>46129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4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70">
        <v>46248</v>
      </c>
      <c r="X1185" s="30" t="s">
        <v>55</v>
      </c>
      <c r="Y1185" s="30" t="s">
        <v>56</v>
      </c>
      <c r="Z1185" s="30" t="s">
        <v>57</v>
      </c>
      <c r="AA1185" s="30" t="s">
        <v>58</v>
      </c>
      <c r="AB1185" s="30" t="s">
        <v>56</v>
      </c>
      <c r="AC1185" s="27"/>
      <c r="AD1185" s="31" t="s">
        <v>57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3694</v>
      </c>
      <c r="C1186" s="41" t="s">
        <v>3695</v>
      </c>
      <c r="D1186" s="39" t="s">
        <v>3481</v>
      </c>
      <c r="E1186" s="42">
        <v>46129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4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70">
        <v>46248</v>
      </c>
      <c r="X1186" s="30" t="s">
        <v>55</v>
      </c>
      <c r="Y1186" s="30" t="s">
        <v>56</v>
      </c>
      <c r="Z1186" s="30" t="s">
        <v>57</v>
      </c>
      <c r="AA1186" s="30" t="s">
        <v>58</v>
      </c>
      <c r="AB1186" s="30" t="s">
        <v>56</v>
      </c>
      <c r="AC1186" s="27"/>
      <c r="AD1186" s="31" t="s">
        <v>57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3696</v>
      </c>
      <c r="C1187" s="25" t="s">
        <v>3697</v>
      </c>
      <c r="D1187" s="23" t="s">
        <v>3481</v>
      </c>
      <c r="E1187" s="42">
        <v>46129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4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70">
        <v>46248</v>
      </c>
      <c r="X1187" s="30" t="s">
        <v>55</v>
      </c>
      <c r="Y1187" s="30" t="s">
        <v>56</v>
      </c>
      <c r="Z1187" s="30" t="s">
        <v>57</v>
      </c>
      <c r="AA1187" s="30" t="s">
        <v>58</v>
      </c>
      <c r="AB1187" s="30" t="s">
        <v>56</v>
      </c>
      <c r="AC1187" s="27"/>
      <c r="AD1187" s="31" t="s">
        <v>57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3698</v>
      </c>
      <c r="C1188" s="41" t="s">
        <v>3699</v>
      </c>
      <c r="D1188" s="39" t="s">
        <v>3481</v>
      </c>
      <c r="E1188" s="42">
        <v>46129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4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70">
        <v>46248</v>
      </c>
      <c r="X1188" s="30" t="s">
        <v>55</v>
      </c>
      <c r="Y1188" s="30" t="s">
        <v>56</v>
      </c>
      <c r="Z1188" s="30" t="s">
        <v>57</v>
      </c>
      <c r="AA1188" s="30" t="s">
        <v>58</v>
      </c>
      <c r="AB1188" s="30" t="s">
        <v>56</v>
      </c>
      <c r="AC1188" s="27"/>
      <c r="AD1188" s="31" t="s">
        <v>57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3700</v>
      </c>
      <c r="C1189" s="25" t="s">
        <v>3701</v>
      </c>
      <c r="D1189" s="23" t="s">
        <v>3481</v>
      </c>
      <c r="E1189" s="42">
        <v>46129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4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70">
        <v>46248</v>
      </c>
      <c r="X1189" s="30" t="s">
        <v>55</v>
      </c>
      <c r="Y1189" s="30" t="s">
        <v>56</v>
      </c>
      <c r="Z1189" s="30" t="s">
        <v>57</v>
      </c>
      <c r="AA1189" s="30" t="s">
        <v>58</v>
      </c>
      <c r="AB1189" s="30" t="s">
        <v>56</v>
      </c>
      <c r="AC1189" s="27"/>
      <c r="AD1189" s="31" t="s">
        <v>57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3702</v>
      </c>
      <c r="C1190" s="41" t="s">
        <v>3703</v>
      </c>
      <c r="D1190" s="39" t="s">
        <v>3481</v>
      </c>
      <c r="E1190" s="42">
        <v>46129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4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70">
        <v>46248</v>
      </c>
      <c r="X1190" s="30" t="s">
        <v>55</v>
      </c>
      <c r="Y1190" s="30" t="s">
        <v>56</v>
      </c>
      <c r="Z1190" s="30" t="s">
        <v>57</v>
      </c>
      <c r="AA1190" s="30" t="s">
        <v>58</v>
      </c>
      <c r="AB1190" s="30" t="s">
        <v>56</v>
      </c>
      <c r="AC1190" s="27"/>
      <c r="AD1190" s="31" t="s">
        <v>57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3704</v>
      </c>
      <c r="C1191" s="25" t="s">
        <v>3705</v>
      </c>
      <c r="D1191" s="23" t="s">
        <v>3481</v>
      </c>
      <c r="E1191" s="42">
        <v>46129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4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70">
        <v>46248</v>
      </c>
      <c r="X1191" s="30" t="s">
        <v>55</v>
      </c>
      <c r="Y1191" s="30" t="s">
        <v>56</v>
      </c>
      <c r="Z1191" s="30" t="s">
        <v>57</v>
      </c>
      <c r="AA1191" s="30" t="s">
        <v>58</v>
      </c>
      <c r="AB1191" s="30" t="s">
        <v>56</v>
      </c>
      <c r="AC1191" s="27"/>
      <c r="AD1191" s="31" t="s">
        <v>57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3706</v>
      </c>
      <c r="C1192" s="41" t="s">
        <v>3707</v>
      </c>
      <c r="D1192" s="39" t="s">
        <v>3481</v>
      </c>
      <c r="E1192" s="42">
        <v>46129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4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70">
        <v>46248</v>
      </c>
      <c r="X1192" s="30" t="s">
        <v>55</v>
      </c>
      <c r="Y1192" s="30" t="s">
        <v>56</v>
      </c>
      <c r="Z1192" s="30" t="s">
        <v>57</v>
      </c>
      <c r="AA1192" s="30" t="s">
        <v>58</v>
      </c>
      <c r="AB1192" s="30" t="s">
        <v>56</v>
      </c>
      <c r="AC1192" s="27"/>
      <c r="AD1192" s="31" t="s">
        <v>57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3708</v>
      </c>
      <c r="C1193" s="25" t="s">
        <v>3709</v>
      </c>
      <c r="D1193" s="23" t="s">
        <v>3481</v>
      </c>
      <c r="E1193" s="42">
        <v>46129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4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70">
        <v>46248</v>
      </c>
      <c r="X1193" s="30" t="s">
        <v>55</v>
      </c>
      <c r="Y1193" s="30" t="s">
        <v>56</v>
      </c>
      <c r="Z1193" s="30" t="s">
        <v>57</v>
      </c>
      <c r="AA1193" s="30" t="s">
        <v>58</v>
      </c>
      <c r="AB1193" s="30" t="s">
        <v>56</v>
      </c>
      <c r="AC1193" s="27"/>
      <c r="AD1193" s="31" t="s">
        <v>57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3710</v>
      </c>
      <c r="C1194" s="41" t="s">
        <v>3711</v>
      </c>
      <c r="D1194" s="39" t="s">
        <v>3481</v>
      </c>
      <c r="E1194" s="42">
        <v>46129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4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70">
        <v>46248</v>
      </c>
      <c r="X1194" s="30" t="s">
        <v>55</v>
      </c>
      <c r="Y1194" s="30" t="s">
        <v>56</v>
      </c>
      <c r="Z1194" s="30" t="s">
        <v>57</v>
      </c>
      <c r="AA1194" s="30" t="s">
        <v>58</v>
      </c>
      <c r="AB1194" s="30" t="s">
        <v>56</v>
      </c>
      <c r="AC1194" s="27"/>
      <c r="AD1194" s="31" t="s">
        <v>57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3712</v>
      </c>
      <c r="C1195" s="25" t="s">
        <v>3713</v>
      </c>
      <c r="D1195" s="23" t="s">
        <v>3481</v>
      </c>
      <c r="E1195" s="42">
        <v>46129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4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70">
        <v>46248</v>
      </c>
      <c r="X1195" s="30" t="s">
        <v>55</v>
      </c>
      <c r="Y1195" s="30" t="s">
        <v>56</v>
      </c>
      <c r="Z1195" s="30" t="s">
        <v>57</v>
      </c>
      <c r="AA1195" s="30" t="s">
        <v>58</v>
      </c>
      <c r="AB1195" s="30" t="s">
        <v>56</v>
      </c>
      <c r="AC1195" s="27"/>
      <c r="AD1195" s="31" t="s">
        <v>57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3714</v>
      </c>
      <c r="C1196" s="41" t="s">
        <v>3715</v>
      </c>
      <c r="D1196" s="39" t="s">
        <v>3481</v>
      </c>
      <c r="E1196" s="42">
        <v>46129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4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70">
        <v>46248</v>
      </c>
      <c r="X1196" s="30" t="s">
        <v>55</v>
      </c>
      <c r="Y1196" s="30" t="s">
        <v>56</v>
      </c>
      <c r="Z1196" s="30" t="s">
        <v>57</v>
      </c>
      <c r="AA1196" s="30" t="s">
        <v>58</v>
      </c>
      <c r="AB1196" s="30" t="s">
        <v>56</v>
      </c>
      <c r="AC1196" s="27"/>
      <c r="AD1196" s="31" t="s">
        <v>57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3716</v>
      </c>
      <c r="C1197" s="25" t="s">
        <v>3717</v>
      </c>
      <c r="D1197" s="23" t="s">
        <v>3481</v>
      </c>
      <c r="E1197" s="42">
        <v>46129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4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70">
        <v>46248</v>
      </c>
      <c r="X1197" s="30" t="s">
        <v>55</v>
      </c>
      <c r="Y1197" s="30" t="s">
        <v>56</v>
      </c>
      <c r="Z1197" s="30" t="s">
        <v>57</v>
      </c>
      <c r="AA1197" s="30" t="s">
        <v>58</v>
      </c>
      <c r="AB1197" s="30" t="s">
        <v>56</v>
      </c>
      <c r="AC1197" s="27"/>
      <c r="AD1197" s="31" t="s">
        <v>57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3718</v>
      </c>
      <c r="C1198" s="41" t="s">
        <v>3719</v>
      </c>
      <c r="D1198" s="39" t="s">
        <v>3481</v>
      </c>
      <c r="E1198" s="42">
        <v>46129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4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70">
        <v>46248</v>
      </c>
      <c r="X1198" s="30" t="s">
        <v>55</v>
      </c>
      <c r="Y1198" s="30" t="s">
        <v>56</v>
      </c>
      <c r="Z1198" s="30" t="s">
        <v>57</v>
      </c>
      <c r="AA1198" s="30" t="s">
        <v>58</v>
      </c>
      <c r="AB1198" s="30" t="s">
        <v>56</v>
      </c>
      <c r="AC1198" s="27"/>
      <c r="AD1198" s="31" t="s">
        <v>57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3720</v>
      </c>
      <c r="C1199" s="25" t="s">
        <v>3721</v>
      </c>
      <c r="D1199" s="23" t="s">
        <v>3481</v>
      </c>
      <c r="E1199" s="42">
        <v>46129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4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70">
        <v>46248</v>
      </c>
      <c r="X1199" s="30" t="s">
        <v>55</v>
      </c>
      <c r="Y1199" s="30" t="s">
        <v>56</v>
      </c>
      <c r="Z1199" s="30" t="s">
        <v>57</v>
      </c>
      <c r="AA1199" s="30" t="s">
        <v>58</v>
      </c>
      <c r="AB1199" s="30" t="s">
        <v>56</v>
      </c>
      <c r="AC1199" s="27"/>
      <c r="AD1199" s="31" t="s">
        <v>57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3722</v>
      </c>
      <c r="C1200" s="41" t="s">
        <v>3723</v>
      </c>
      <c r="D1200" s="39" t="s">
        <v>3481</v>
      </c>
      <c r="E1200" s="42">
        <v>46129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4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70">
        <v>46248</v>
      </c>
      <c r="X1200" s="30" t="s">
        <v>55</v>
      </c>
      <c r="Y1200" s="30" t="s">
        <v>56</v>
      </c>
      <c r="Z1200" s="30" t="s">
        <v>57</v>
      </c>
      <c r="AA1200" s="30" t="s">
        <v>58</v>
      </c>
      <c r="AB1200" s="30" t="s">
        <v>56</v>
      </c>
      <c r="AC1200" s="27"/>
      <c r="AD1200" s="31" t="s">
        <v>57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3724</v>
      </c>
      <c r="C1201" s="25" t="s">
        <v>3725</v>
      </c>
      <c r="D1201" s="23" t="s">
        <v>3481</v>
      </c>
      <c r="E1201" s="42">
        <v>46129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4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70">
        <v>46248</v>
      </c>
      <c r="X1201" s="30" t="s">
        <v>55</v>
      </c>
      <c r="Y1201" s="30" t="s">
        <v>56</v>
      </c>
      <c r="Z1201" s="30" t="s">
        <v>57</v>
      </c>
      <c r="AA1201" s="30" t="s">
        <v>58</v>
      </c>
      <c r="AB1201" s="30" t="s">
        <v>56</v>
      </c>
      <c r="AC1201" s="27"/>
      <c r="AD1201" s="31" t="s">
        <v>57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3726</v>
      </c>
      <c r="C1202" s="41" t="s">
        <v>3727</v>
      </c>
      <c r="D1202" s="39" t="s">
        <v>3481</v>
      </c>
      <c r="E1202" s="42">
        <v>46129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4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70">
        <v>46248</v>
      </c>
      <c r="X1202" s="30" t="s">
        <v>55</v>
      </c>
      <c r="Y1202" s="30" t="s">
        <v>56</v>
      </c>
      <c r="Z1202" s="30" t="s">
        <v>57</v>
      </c>
      <c r="AA1202" s="30" t="s">
        <v>58</v>
      </c>
      <c r="AB1202" s="30" t="s">
        <v>56</v>
      </c>
      <c r="AC1202" s="27"/>
      <c r="AD1202" s="31" t="s">
        <v>57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3728</v>
      </c>
      <c r="C1203" s="25" t="s">
        <v>3729</v>
      </c>
      <c r="D1203" s="23" t="s">
        <v>3481</v>
      </c>
      <c r="E1203" s="42">
        <v>46129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4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70">
        <v>46248</v>
      </c>
      <c r="X1203" s="30" t="s">
        <v>55</v>
      </c>
      <c r="Y1203" s="30" t="s">
        <v>56</v>
      </c>
      <c r="Z1203" s="30" t="s">
        <v>57</v>
      </c>
      <c r="AA1203" s="30" t="s">
        <v>58</v>
      </c>
      <c r="AB1203" s="30" t="s">
        <v>56</v>
      </c>
      <c r="AC1203" s="27"/>
      <c r="AD1203" s="31" t="s">
        <v>57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3730</v>
      </c>
      <c r="C1204" s="41" t="s">
        <v>3731</v>
      </c>
      <c r="D1204" s="39" t="s">
        <v>3481</v>
      </c>
      <c r="E1204" s="42">
        <v>46129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4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70">
        <v>46248</v>
      </c>
      <c r="X1204" s="30" t="s">
        <v>55</v>
      </c>
      <c r="Y1204" s="30" t="s">
        <v>56</v>
      </c>
      <c r="Z1204" s="30" t="s">
        <v>57</v>
      </c>
      <c r="AA1204" s="30" t="s">
        <v>58</v>
      </c>
      <c r="AB1204" s="30" t="s">
        <v>56</v>
      </c>
      <c r="AC1204" s="27"/>
      <c r="AD1204" s="31" t="s">
        <v>57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3732</v>
      </c>
      <c r="C1205" s="25" t="s">
        <v>3733</v>
      </c>
      <c r="D1205" s="23" t="s">
        <v>3481</v>
      </c>
      <c r="E1205" s="42">
        <v>46129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4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70">
        <v>46248</v>
      </c>
      <c r="X1205" s="30" t="s">
        <v>55</v>
      </c>
      <c r="Y1205" s="30" t="s">
        <v>56</v>
      </c>
      <c r="Z1205" s="30" t="s">
        <v>57</v>
      </c>
      <c r="AA1205" s="30" t="s">
        <v>58</v>
      </c>
      <c r="AB1205" s="30" t="s">
        <v>56</v>
      </c>
      <c r="AC1205" s="27"/>
      <c r="AD1205" s="31" t="s">
        <v>57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3734</v>
      </c>
      <c r="C1206" s="41" t="s">
        <v>3735</v>
      </c>
      <c r="D1206" s="39" t="s">
        <v>3481</v>
      </c>
      <c r="E1206" s="42">
        <v>46129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4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70">
        <v>46248</v>
      </c>
      <c r="X1206" s="30" t="s">
        <v>55</v>
      </c>
      <c r="Y1206" s="30" t="s">
        <v>56</v>
      </c>
      <c r="Z1206" s="30" t="s">
        <v>57</v>
      </c>
      <c r="AA1206" s="30" t="s">
        <v>58</v>
      </c>
      <c r="AB1206" s="30" t="s">
        <v>56</v>
      </c>
      <c r="AC1206" s="27"/>
      <c r="AD1206" s="31" t="s">
        <v>57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3736</v>
      </c>
      <c r="C1207" s="25" t="s">
        <v>3737</v>
      </c>
      <c r="D1207" s="23" t="s">
        <v>3481</v>
      </c>
      <c r="E1207" s="42">
        <v>46129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4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70">
        <v>46248</v>
      </c>
      <c r="X1207" s="30" t="s">
        <v>55</v>
      </c>
      <c r="Y1207" s="30" t="s">
        <v>56</v>
      </c>
      <c r="Z1207" s="30" t="s">
        <v>57</v>
      </c>
      <c r="AA1207" s="30" t="s">
        <v>58</v>
      </c>
      <c r="AB1207" s="30" t="s">
        <v>56</v>
      </c>
      <c r="AC1207" s="27"/>
      <c r="AD1207" s="31" t="s">
        <v>57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3738</v>
      </c>
      <c r="C1208" s="41" t="s">
        <v>3739</v>
      </c>
      <c r="D1208" s="39" t="s">
        <v>3481</v>
      </c>
      <c r="E1208" s="42">
        <v>46129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4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70">
        <v>46248</v>
      </c>
      <c r="X1208" s="30" t="s">
        <v>55</v>
      </c>
      <c r="Y1208" s="30" t="s">
        <v>56</v>
      </c>
      <c r="Z1208" s="30" t="s">
        <v>57</v>
      </c>
      <c r="AA1208" s="30" t="s">
        <v>58</v>
      </c>
      <c r="AB1208" s="30" t="s">
        <v>56</v>
      </c>
      <c r="AC1208" s="27"/>
      <c r="AD1208" s="31" t="s">
        <v>57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3740</v>
      </c>
      <c r="C1209" s="25" t="s">
        <v>3741</v>
      </c>
      <c r="D1209" s="23" t="s">
        <v>3481</v>
      </c>
      <c r="E1209" s="42">
        <v>46129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4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70">
        <v>46248</v>
      </c>
      <c r="X1209" s="30" t="s">
        <v>55</v>
      </c>
      <c r="Y1209" s="30" t="s">
        <v>56</v>
      </c>
      <c r="Z1209" s="30" t="s">
        <v>57</v>
      </c>
      <c r="AA1209" s="30" t="s">
        <v>58</v>
      </c>
      <c r="AB1209" s="30" t="s">
        <v>56</v>
      </c>
      <c r="AC1209" s="27"/>
      <c r="AD1209" s="31" t="s">
        <v>57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3742</v>
      </c>
      <c r="C1210" s="41" t="s">
        <v>3743</v>
      </c>
      <c r="D1210" s="39" t="s">
        <v>3481</v>
      </c>
      <c r="E1210" s="42">
        <v>46129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4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70">
        <v>46248</v>
      </c>
      <c r="X1210" s="30" t="s">
        <v>55</v>
      </c>
      <c r="Y1210" s="30" t="s">
        <v>56</v>
      </c>
      <c r="Z1210" s="30" t="s">
        <v>57</v>
      </c>
      <c r="AA1210" s="30" t="s">
        <v>58</v>
      </c>
      <c r="AB1210" s="30" t="s">
        <v>56</v>
      </c>
      <c r="AC1210" s="27"/>
      <c r="AD1210" s="31" t="s">
        <v>57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3744</v>
      </c>
      <c r="C1211" s="25" t="s">
        <v>3745</v>
      </c>
      <c r="D1211" s="23" t="s">
        <v>3481</v>
      </c>
      <c r="E1211" s="42">
        <v>46129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4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70">
        <v>46248</v>
      </c>
      <c r="X1211" s="30" t="s">
        <v>55</v>
      </c>
      <c r="Y1211" s="30" t="s">
        <v>56</v>
      </c>
      <c r="Z1211" s="30" t="s">
        <v>57</v>
      </c>
      <c r="AA1211" s="30" t="s">
        <v>58</v>
      </c>
      <c r="AB1211" s="30" t="s">
        <v>56</v>
      </c>
      <c r="AC1211" s="27"/>
      <c r="AD1211" s="31" t="s">
        <v>57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3746</v>
      </c>
      <c r="C1212" s="41" t="s">
        <v>3747</v>
      </c>
      <c r="D1212" s="39" t="s">
        <v>3481</v>
      </c>
      <c r="E1212" s="42">
        <v>46129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4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70">
        <v>46248</v>
      </c>
      <c r="X1212" s="30" t="s">
        <v>55</v>
      </c>
      <c r="Y1212" s="30" t="s">
        <v>56</v>
      </c>
      <c r="Z1212" s="30" t="s">
        <v>57</v>
      </c>
      <c r="AA1212" s="30" t="s">
        <v>58</v>
      </c>
      <c r="AB1212" s="30" t="s">
        <v>56</v>
      </c>
      <c r="AC1212" s="27"/>
      <c r="AD1212" s="31" t="s">
        <v>57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3748</v>
      </c>
      <c r="C1213" s="25" t="s">
        <v>3749</v>
      </c>
      <c r="D1213" s="23" t="s">
        <v>3481</v>
      </c>
      <c r="E1213" s="42">
        <v>46129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4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70">
        <v>46248</v>
      </c>
      <c r="X1213" s="30" t="s">
        <v>55</v>
      </c>
      <c r="Y1213" s="30" t="s">
        <v>56</v>
      </c>
      <c r="Z1213" s="30" t="s">
        <v>57</v>
      </c>
      <c r="AA1213" s="30" t="s">
        <v>58</v>
      </c>
      <c r="AB1213" s="30" t="s">
        <v>56</v>
      </c>
      <c r="AC1213" s="27"/>
      <c r="AD1213" s="31" t="s">
        <v>57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3750</v>
      </c>
      <c r="C1214" s="41" t="s">
        <v>3751</v>
      </c>
      <c r="D1214" s="39" t="s">
        <v>3481</v>
      </c>
      <c r="E1214" s="42">
        <v>46129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4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70">
        <v>46248</v>
      </c>
      <c r="X1214" s="30" t="s">
        <v>55</v>
      </c>
      <c r="Y1214" s="30" t="s">
        <v>56</v>
      </c>
      <c r="Z1214" s="30" t="s">
        <v>57</v>
      </c>
      <c r="AA1214" s="30" t="s">
        <v>58</v>
      </c>
      <c r="AB1214" s="30" t="s">
        <v>56</v>
      </c>
      <c r="AC1214" s="27"/>
      <c r="AD1214" s="31" t="s">
        <v>57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3752</v>
      </c>
      <c r="C1215" s="25" t="s">
        <v>3753</v>
      </c>
      <c r="D1215" s="23" t="s">
        <v>3481</v>
      </c>
      <c r="E1215" s="42">
        <v>46129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4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70">
        <v>46248</v>
      </c>
      <c r="X1215" s="30" t="s">
        <v>55</v>
      </c>
      <c r="Y1215" s="30" t="s">
        <v>56</v>
      </c>
      <c r="Z1215" s="30" t="s">
        <v>57</v>
      </c>
      <c r="AA1215" s="30" t="s">
        <v>58</v>
      </c>
      <c r="AB1215" s="30" t="s">
        <v>56</v>
      </c>
      <c r="AC1215" s="27"/>
      <c r="AD1215" s="31" t="s">
        <v>57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3754</v>
      </c>
      <c r="C1216" s="41" t="s">
        <v>3755</v>
      </c>
      <c r="D1216" s="39" t="s">
        <v>3481</v>
      </c>
      <c r="E1216" s="42">
        <v>46129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4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70">
        <v>46248</v>
      </c>
      <c r="X1216" s="30" t="s">
        <v>55</v>
      </c>
      <c r="Y1216" s="30" t="s">
        <v>56</v>
      </c>
      <c r="Z1216" s="30" t="s">
        <v>57</v>
      </c>
      <c r="AA1216" s="30" t="s">
        <v>58</v>
      </c>
      <c r="AB1216" s="30" t="s">
        <v>56</v>
      </c>
      <c r="AC1216" s="27"/>
      <c r="AD1216" s="31" t="s">
        <v>57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3756</v>
      </c>
      <c r="C1217" s="25" t="s">
        <v>3757</v>
      </c>
      <c r="D1217" s="23" t="s">
        <v>3481</v>
      </c>
      <c r="E1217" s="42">
        <v>46129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4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70">
        <v>46248</v>
      </c>
      <c r="X1217" s="30" t="s">
        <v>55</v>
      </c>
      <c r="Y1217" s="30" t="s">
        <v>56</v>
      </c>
      <c r="Z1217" s="30" t="s">
        <v>57</v>
      </c>
      <c r="AA1217" s="30" t="s">
        <v>58</v>
      </c>
      <c r="AB1217" s="30" t="s">
        <v>56</v>
      </c>
      <c r="AC1217" s="27"/>
      <c r="AD1217" s="31" t="s">
        <v>57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3758</v>
      </c>
      <c r="C1218" s="41" t="s">
        <v>3759</v>
      </c>
      <c r="D1218" s="39" t="s">
        <v>3481</v>
      </c>
      <c r="E1218" s="42">
        <v>46129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4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70">
        <v>46248</v>
      </c>
      <c r="X1218" s="30" t="s">
        <v>55</v>
      </c>
      <c r="Y1218" s="30" t="s">
        <v>56</v>
      </c>
      <c r="Z1218" s="30" t="s">
        <v>57</v>
      </c>
      <c r="AA1218" s="30" t="s">
        <v>58</v>
      </c>
      <c r="AB1218" s="30" t="s">
        <v>56</v>
      </c>
      <c r="AC1218" s="27"/>
      <c r="AD1218" s="31" t="s">
        <v>57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3760</v>
      </c>
      <c r="C1219" s="25" t="s">
        <v>3761</v>
      </c>
      <c r="D1219" s="23" t="s">
        <v>3481</v>
      </c>
      <c r="E1219" s="42">
        <v>46129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4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70">
        <v>46248</v>
      </c>
      <c r="X1219" s="30" t="s">
        <v>55</v>
      </c>
      <c r="Y1219" s="30" t="s">
        <v>56</v>
      </c>
      <c r="Z1219" s="30" t="s">
        <v>57</v>
      </c>
      <c r="AA1219" s="30" t="s">
        <v>58</v>
      </c>
      <c r="AB1219" s="30" t="s">
        <v>56</v>
      </c>
      <c r="AC1219" s="27"/>
      <c r="AD1219" s="31" t="s">
        <v>57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3762</v>
      </c>
      <c r="C1220" s="41" t="s">
        <v>3763</v>
      </c>
      <c r="D1220" s="39" t="s">
        <v>3481</v>
      </c>
      <c r="E1220" s="42">
        <v>46129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4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70">
        <v>46248</v>
      </c>
      <c r="X1220" s="30" t="s">
        <v>55</v>
      </c>
      <c r="Y1220" s="30" t="s">
        <v>56</v>
      </c>
      <c r="Z1220" s="30" t="s">
        <v>57</v>
      </c>
      <c r="AA1220" s="30" t="s">
        <v>58</v>
      </c>
      <c r="AB1220" s="30" t="s">
        <v>56</v>
      </c>
      <c r="AC1220" s="27"/>
      <c r="AD1220" s="31" t="s">
        <v>57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3764</v>
      </c>
      <c r="C1221" s="25" t="s">
        <v>3765</v>
      </c>
      <c r="D1221" s="23" t="s">
        <v>3481</v>
      </c>
      <c r="E1221" s="42">
        <v>46129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4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70">
        <v>46248</v>
      </c>
      <c r="X1221" s="30" t="s">
        <v>55</v>
      </c>
      <c r="Y1221" s="30" t="s">
        <v>56</v>
      </c>
      <c r="Z1221" s="30" t="s">
        <v>57</v>
      </c>
      <c r="AA1221" s="30" t="s">
        <v>58</v>
      </c>
      <c r="AB1221" s="30" t="s">
        <v>56</v>
      </c>
      <c r="AC1221" s="27"/>
      <c r="AD1221" s="31" t="s">
        <v>57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3766</v>
      </c>
      <c r="C1222" s="41" t="s">
        <v>3767</v>
      </c>
      <c r="D1222" s="39" t="s">
        <v>3481</v>
      </c>
      <c r="E1222" s="42">
        <v>46129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4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70">
        <v>46248</v>
      </c>
      <c r="X1222" s="30" t="s">
        <v>55</v>
      </c>
      <c r="Y1222" s="30" t="s">
        <v>56</v>
      </c>
      <c r="Z1222" s="30" t="s">
        <v>57</v>
      </c>
      <c r="AA1222" s="30" t="s">
        <v>58</v>
      </c>
      <c r="AB1222" s="30" t="s">
        <v>56</v>
      </c>
      <c r="AC1222" s="27"/>
      <c r="AD1222" s="31" t="s">
        <v>57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3768</v>
      </c>
      <c r="C1223" s="25" t="s">
        <v>3769</v>
      </c>
      <c r="D1223" s="23" t="s">
        <v>3481</v>
      </c>
      <c r="E1223" s="42">
        <v>46129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4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70">
        <v>46248</v>
      </c>
      <c r="X1223" s="30" t="s">
        <v>55</v>
      </c>
      <c r="Y1223" s="30" t="s">
        <v>56</v>
      </c>
      <c r="Z1223" s="30" t="s">
        <v>57</v>
      </c>
      <c r="AA1223" s="30" t="s">
        <v>58</v>
      </c>
      <c r="AB1223" s="30" t="s">
        <v>56</v>
      </c>
      <c r="AC1223" s="27"/>
      <c r="AD1223" s="31" t="s">
        <v>57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3770</v>
      </c>
      <c r="C1224" s="41" t="s">
        <v>3771</v>
      </c>
      <c r="D1224" s="39" t="s">
        <v>3481</v>
      </c>
      <c r="E1224" s="42">
        <v>46129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4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70">
        <v>46248</v>
      </c>
      <c r="X1224" s="30" t="s">
        <v>55</v>
      </c>
      <c r="Y1224" s="30" t="s">
        <v>56</v>
      </c>
      <c r="Z1224" s="30" t="s">
        <v>57</v>
      </c>
      <c r="AA1224" s="30" t="s">
        <v>58</v>
      </c>
      <c r="AB1224" s="30" t="s">
        <v>56</v>
      </c>
      <c r="AC1224" s="27"/>
      <c r="AD1224" s="31" t="s">
        <v>57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3772</v>
      </c>
      <c r="C1225" s="25" t="s">
        <v>3773</v>
      </c>
      <c r="D1225" s="23" t="s">
        <v>3481</v>
      </c>
      <c r="E1225" s="42">
        <v>46129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4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70">
        <v>46248</v>
      </c>
      <c r="X1225" s="30" t="s">
        <v>55</v>
      </c>
      <c r="Y1225" s="30" t="s">
        <v>56</v>
      </c>
      <c r="Z1225" s="30" t="s">
        <v>57</v>
      </c>
      <c r="AA1225" s="30" t="s">
        <v>58</v>
      </c>
      <c r="AB1225" s="30" t="s">
        <v>56</v>
      </c>
      <c r="AC1225" s="27"/>
      <c r="AD1225" s="31" t="s">
        <v>57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3774</v>
      </c>
      <c r="C1226" s="41" t="s">
        <v>3775</v>
      </c>
      <c r="D1226" s="39" t="s">
        <v>3481</v>
      </c>
      <c r="E1226" s="42">
        <v>46129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4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70">
        <v>46248</v>
      </c>
      <c r="X1226" s="30" t="s">
        <v>55</v>
      </c>
      <c r="Y1226" s="30" t="s">
        <v>56</v>
      </c>
      <c r="Z1226" s="30" t="s">
        <v>57</v>
      </c>
      <c r="AA1226" s="30" t="s">
        <v>58</v>
      </c>
      <c r="AB1226" s="30" t="s">
        <v>56</v>
      </c>
      <c r="AC1226" s="27"/>
      <c r="AD1226" s="31" t="s">
        <v>57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3776</v>
      </c>
      <c r="C1227" s="25" t="s">
        <v>3777</v>
      </c>
      <c r="D1227" s="23" t="s">
        <v>3481</v>
      </c>
      <c r="E1227" s="42">
        <v>46129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4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70">
        <v>46248</v>
      </c>
      <c r="X1227" s="30" t="s">
        <v>55</v>
      </c>
      <c r="Y1227" s="30" t="s">
        <v>56</v>
      </c>
      <c r="Z1227" s="30" t="s">
        <v>57</v>
      </c>
      <c r="AA1227" s="30" t="s">
        <v>58</v>
      </c>
      <c r="AB1227" s="30" t="s">
        <v>56</v>
      </c>
      <c r="AC1227" s="27"/>
      <c r="AD1227" s="31" t="s">
        <v>57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3778</v>
      </c>
      <c r="C1228" s="41" t="s">
        <v>3779</v>
      </c>
      <c r="D1228" s="39" t="s">
        <v>3481</v>
      </c>
      <c r="E1228" s="42">
        <v>46129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4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70">
        <v>46248</v>
      </c>
      <c r="X1228" s="30" t="s">
        <v>55</v>
      </c>
      <c r="Y1228" s="30" t="s">
        <v>56</v>
      </c>
      <c r="Z1228" s="30" t="s">
        <v>57</v>
      </c>
      <c r="AA1228" s="30" t="s">
        <v>58</v>
      </c>
      <c r="AB1228" s="30" t="s">
        <v>56</v>
      </c>
      <c r="AC1228" s="27"/>
      <c r="AD1228" s="31" t="s">
        <v>57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3780</v>
      </c>
      <c r="C1229" s="25" t="s">
        <v>3781</v>
      </c>
      <c r="D1229" s="23" t="s">
        <v>3481</v>
      </c>
      <c r="E1229" s="42">
        <v>46129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4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70">
        <v>46248</v>
      </c>
      <c r="X1229" s="30" t="s">
        <v>55</v>
      </c>
      <c r="Y1229" s="30" t="s">
        <v>56</v>
      </c>
      <c r="Z1229" s="30" t="s">
        <v>57</v>
      </c>
      <c r="AA1229" s="30" t="s">
        <v>58</v>
      </c>
      <c r="AB1229" s="30" t="s">
        <v>56</v>
      </c>
      <c r="AC1229" s="27"/>
      <c r="AD1229" s="31" t="s">
        <v>57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3782</v>
      </c>
      <c r="C1230" s="41" t="s">
        <v>3783</v>
      </c>
      <c r="D1230" s="39" t="s">
        <v>3481</v>
      </c>
      <c r="E1230" s="42">
        <v>46129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4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70">
        <v>46248</v>
      </c>
      <c r="X1230" s="30" t="s">
        <v>55</v>
      </c>
      <c r="Y1230" s="30" t="s">
        <v>56</v>
      </c>
      <c r="Z1230" s="30" t="s">
        <v>57</v>
      </c>
      <c r="AA1230" s="30" t="s">
        <v>58</v>
      </c>
      <c r="AB1230" s="30" t="s">
        <v>56</v>
      </c>
      <c r="AC1230" s="27"/>
      <c r="AD1230" s="31" t="s">
        <v>57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3784</v>
      </c>
      <c r="C1231" s="25" t="s">
        <v>3785</v>
      </c>
      <c r="D1231" s="23" t="s">
        <v>3481</v>
      </c>
      <c r="E1231" s="42">
        <v>46129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4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70">
        <v>46248</v>
      </c>
      <c r="X1231" s="30" t="s">
        <v>55</v>
      </c>
      <c r="Y1231" s="30" t="s">
        <v>56</v>
      </c>
      <c r="Z1231" s="30" t="s">
        <v>57</v>
      </c>
      <c r="AA1231" s="30" t="s">
        <v>58</v>
      </c>
      <c r="AB1231" s="30" t="s">
        <v>56</v>
      </c>
      <c r="AC1231" s="27"/>
      <c r="AD1231" s="31" t="s">
        <v>57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3786</v>
      </c>
      <c r="C1232" s="41" t="s">
        <v>3787</v>
      </c>
      <c r="D1232" s="39" t="s">
        <v>3481</v>
      </c>
      <c r="E1232" s="42">
        <v>46129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4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70">
        <v>46248</v>
      </c>
      <c r="X1232" s="30" t="s">
        <v>55</v>
      </c>
      <c r="Y1232" s="30" t="s">
        <v>56</v>
      </c>
      <c r="Z1232" s="30" t="s">
        <v>57</v>
      </c>
      <c r="AA1232" s="30" t="s">
        <v>58</v>
      </c>
      <c r="AB1232" s="30" t="s">
        <v>56</v>
      </c>
      <c r="AC1232" s="27"/>
      <c r="AD1232" s="31" t="s">
        <v>57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3788</v>
      </c>
      <c r="C1233" s="25" t="s">
        <v>3789</v>
      </c>
      <c r="D1233" s="23" t="s">
        <v>3481</v>
      </c>
      <c r="E1233" s="42">
        <v>46129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4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70">
        <v>46248</v>
      </c>
      <c r="X1233" s="30" t="s">
        <v>55</v>
      </c>
      <c r="Y1233" s="30" t="s">
        <v>56</v>
      </c>
      <c r="Z1233" s="30" t="s">
        <v>57</v>
      </c>
      <c r="AA1233" s="30" t="s">
        <v>58</v>
      </c>
      <c r="AB1233" s="30" t="s">
        <v>56</v>
      </c>
      <c r="AC1233" s="27"/>
      <c r="AD1233" s="31" t="s">
        <v>57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3790</v>
      </c>
      <c r="C1234" s="41" t="s">
        <v>3791</v>
      </c>
      <c r="D1234" s="39" t="s">
        <v>3481</v>
      </c>
      <c r="E1234" s="42">
        <v>46129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4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70">
        <v>46248</v>
      </c>
      <c r="X1234" s="30" t="s">
        <v>55</v>
      </c>
      <c r="Y1234" s="30" t="s">
        <v>56</v>
      </c>
      <c r="Z1234" s="30" t="s">
        <v>57</v>
      </c>
      <c r="AA1234" s="30" t="s">
        <v>58</v>
      </c>
      <c r="AB1234" s="30" t="s">
        <v>56</v>
      </c>
      <c r="AC1234" s="27"/>
      <c r="AD1234" s="31" t="s">
        <v>57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3792</v>
      </c>
      <c r="C1235" s="25" t="s">
        <v>3793</v>
      </c>
      <c r="D1235" s="23" t="s">
        <v>3481</v>
      </c>
      <c r="E1235" s="42">
        <v>46129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4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70">
        <v>46248</v>
      </c>
      <c r="X1235" s="30" t="s">
        <v>55</v>
      </c>
      <c r="Y1235" s="30" t="s">
        <v>56</v>
      </c>
      <c r="Z1235" s="30" t="s">
        <v>57</v>
      </c>
      <c r="AA1235" s="30" t="s">
        <v>58</v>
      </c>
      <c r="AB1235" s="30" t="s">
        <v>56</v>
      </c>
      <c r="AC1235" s="27"/>
      <c r="AD1235" s="31" t="s">
        <v>57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3794</v>
      </c>
      <c r="C1236" s="41" t="s">
        <v>3795</v>
      </c>
      <c r="D1236" s="39" t="s">
        <v>3481</v>
      </c>
      <c r="E1236" s="42">
        <v>46129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4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70">
        <v>46248</v>
      </c>
      <c r="X1236" s="30" t="s">
        <v>55</v>
      </c>
      <c r="Y1236" s="30" t="s">
        <v>56</v>
      </c>
      <c r="Z1236" s="30" t="s">
        <v>57</v>
      </c>
      <c r="AA1236" s="30" t="s">
        <v>58</v>
      </c>
      <c r="AB1236" s="30" t="s">
        <v>56</v>
      </c>
      <c r="AC1236" s="27"/>
      <c r="AD1236" s="31" t="s">
        <v>57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3796</v>
      </c>
      <c r="C1237" s="25" t="s">
        <v>3797</v>
      </c>
      <c r="D1237" s="23" t="s">
        <v>3481</v>
      </c>
      <c r="E1237" s="42">
        <v>46129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4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70">
        <v>46248</v>
      </c>
      <c r="X1237" s="30" t="s">
        <v>55</v>
      </c>
      <c r="Y1237" s="30" t="s">
        <v>56</v>
      </c>
      <c r="Z1237" s="30" t="s">
        <v>57</v>
      </c>
      <c r="AA1237" s="30" t="s">
        <v>58</v>
      </c>
      <c r="AB1237" s="30" t="s">
        <v>56</v>
      </c>
      <c r="AC1237" s="27"/>
      <c r="AD1237" s="31" t="s">
        <v>57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3798</v>
      </c>
      <c r="C1238" s="41" t="s">
        <v>3799</v>
      </c>
      <c r="D1238" s="39" t="s">
        <v>3481</v>
      </c>
      <c r="E1238" s="42">
        <v>46129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4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70">
        <v>46248</v>
      </c>
      <c r="X1238" s="30" t="s">
        <v>55</v>
      </c>
      <c r="Y1238" s="30" t="s">
        <v>56</v>
      </c>
      <c r="Z1238" s="30" t="s">
        <v>57</v>
      </c>
      <c r="AA1238" s="30" t="s">
        <v>58</v>
      </c>
      <c r="AB1238" s="30" t="s">
        <v>56</v>
      </c>
      <c r="AC1238" s="27"/>
      <c r="AD1238" s="31" t="s">
        <v>57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3800</v>
      </c>
      <c r="C1239" s="25" t="s">
        <v>3801</v>
      </c>
      <c r="D1239" s="23" t="s">
        <v>3481</v>
      </c>
      <c r="E1239" s="42">
        <v>46129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4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70">
        <v>46248</v>
      </c>
      <c r="X1239" s="30" t="s">
        <v>55</v>
      </c>
      <c r="Y1239" s="30" t="s">
        <v>56</v>
      </c>
      <c r="Z1239" s="30" t="s">
        <v>57</v>
      </c>
      <c r="AA1239" s="30" t="s">
        <v>58</v>
      </c>
      <c r="AB1239" s="30" t="s">
        <v>56</v>
      </c>
      <c r="AC1239" s="27"/>
      <c r="AD1239" s="31" t="s">
        <v>57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3802</v>
      </c>
      <c r="C1240" s="41" t="s">
        <v>3803</v>
      </c>
      <c r="D1240" s="39" t="s">
        <v>3481</v>
      </c>
      <c r="E1240" s="42">
        <v>46129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4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70">
        <v>46248</v>
      </c>
      <c r="X1240" s="30" t="s">
        <v>55</v>
      </c>
      <c r="Y1240" s="30" t="s">
        <v>56</v>
      </c>
      <c r="Z1240" s="30" t="s">
        <v>57</v>
      </c>
      <c r="AA1240" s="30" t="s">
        <v>58</v>
      </c>
      <c r="AB1240" s="30" t="s">
        <v>56</v>
      </c>
      <c r="AC1240" s="27"/>
      <c r="AD1240" s="31" t="s">
        <v>57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3804</v>
      </c>
      <c r="C1241" s="25" t="s">
        <v>3805</v>
      </c>
      <c r="D1241" s="23" t="s">
        <v>3481</v>
      </c>
      <c r="E1241" s="42">
        <v>46129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4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70">
        <v>46248</v>
      </c>
      <c r="X1241" s="30" t="s">
        <v>55</v>
      </c>
      <c r="Y1241" s="30" t="s">
        <v>56</v>
      </c>
      <c r="Z1241" s="30" t="s">
        <v>57</v>
      </c>
      <c r="AA1241" s="30" t="s">
        <v>58</v>
      </c>
      <c r="AB1241" s="30" t="s">
        <v>56</v>
      </c>
      <c r="AC1241" s="27"/>
      <c r="AD1241" s="31" t="s">
        <v>57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3806</v>
      </c>
      <c r="C1242" s="41" t="s">
        <v>3807</v>
      </c>
      <c r="D1242" s="39" t="s">
        <v>3481</v>
      </c>
      <c r="E1242" s="42">
        <v>46129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4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70">
        <v>46248</v>
      </c>
      <c r="X1242" s="30" t="s">
        <v>55</v>
      </c>
      <c r="Y1242" s="30" t="s">
        <v>56</v>
      </c>
      <c r="Z1242" s="30" t="s">
        <v>57</v>
      </c>
      <c r="AA1242" s="30" t="s">
        <v>58</v>
      </c>
      <c r="AB1242" s="30" t="s">
        <v>56</v>
      </c>
      <c r="AC1242" s="27"/>
      <c r="AD1242" s="31" t="s">
        <v>57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3808</v>
      </c>
      <c r="C1243" s="25" t="s">
        <v>3809</v>
      </c>
      <c r="D1243" s="23" t="s">
        <v>3481</v>
      </c>
      <c r="E1243" s="42">
        <v>46129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4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70">
        <v>46248</v>
      </c>
      <c r="X1243" s="30" t="s">
        <v>55</v>
      </c>
      <c r="Y1243" s="30" t="s">
        <v>56</v>
      </c>
      <c r="Z1243" s="30" t="s">
        <v>57</v>
      </c>
      <c r="AA1243" s="30" t="s">
        <v>58</v>
      </c>
      <c r="AB1243" s="30" t="s">
        <v>56</v>
      </c>
      <c r="AC1243" s="27"/>
      <c r="AD1243" s="31" t="s">
        <v>57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3810</v>
      </c>
      <c r="C1244" s="41" t="s">
        <v>3811</v>
      </c>
      <c r="D1244" s="39" t="s">
        <v>3481</v>
      </c>
      <c r="E1244" s="42">
        <v>46129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4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70">
        <v>46248</v>
      </c>
      <c r="X1244" s="30" t="s">
        <v>55</v>
      </c>
      <c r="Y1244" s="30" t="s">
        <v>56</v>
      </c>
      <c r="Z1244" s="30" t="s">
        <v>57</v>
      </c>
      <c r="AA1244" s="30" t="s">
        <v>58</v>
      </c>
      <c r="AB1244" s="30" t="s">
        <v>56</v>
      </c>
      <c r="AC1244" s="27"/>
      <c r="AD1244" s="31" t="s">
        <v>57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3812</v>
      </c>
      <c r="C1245" s="25" t="s">
        <v>3813</v>
      </c>
      <c r="D1245" s="23" t="s">
        <v>3481</v>
      </c>
      <c r="E1245" s="42">
        <v>46129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4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70">
        <v>46248</v>
      </c>
      <c r="X1245" s="30" t="s">
        <v>55</v>
      </c>
      <c r="Y1245" s="30" t="s">
        <v>56</v>
      </c>
      <c r="Z1245" s="30" t="s">
        <v>57</v>
      </c>
      <c r="AA1245" s="30" t="s">
        <v>58</v>
      </c>
      <c r="AB1245" s="30" t="s">
        <v>56</v>
      </c>
      <c r="AC1245" s="27"/>
      <c r="AD1245" s="31" t="s">
        <v>57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3814</v>
      </c>
      <c r="C1246" s="41" t="s">
        <v>3815</v>
      </c>
      <c r="D1246" s="39" t="s">
        <v>3481</v>
      </c>
      <c r="E1246" s="42">
        <v>46129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4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70">
        <v>46248</v>
      </c>
      <c r="X1246" s="30" t="s">
        <v>55</v>
      </c>
      <c r="Y1246" s="30" t="s">
        <v>56</v>
      </c>
      <c r="Z1246" s="30" t="s">
        <v>57</v>
      </c>
      <c r="AA1246" s="30" t="s">
        <v>58</v>
      </c>
      <c r="AB1246" s="30" t="s">
        <v>56</v>
      </c>
      <c r="AC1246" s="27"/>
      <c r="AD1246" s="31" t="s">
        <v>57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3816</v>
      </c>
      <c r="C1247" s="25" t="s">
        <v>3817</v>
      </c>
      <c r="D1247" s="23" t="s">
        <v>3481</v>
      </c>
      <c r="E1247" s="42">
        <v>46129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4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70">
        <v>46248</v>
      </c>
      <c r="X1247" s="30" t="s">
        <v>55</v>
      </c>
      <c r="Y1247" s="30" t="s">
        <v>56</v>
      </c>
      <c r="Z1247" s="30" t="s">
        <v>57</v>
      </c>
      <c r="AA1247" s="30" t="s">
        <v>58</v>
      </c>
      <c r="AB1247" s="30" t="s">
        <v>56</v>
      </c>
      <c r="AC1247" s="27"/>
      <c r="AD1247" s="31" t="s">
        <v>57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3818</v>
      </c>
      <c r="C1248" s="41" t="s">
        <v>3819</v>
      </c>
      <c r="D1248" s="39" t="s">
        <v>3481</v>
      </c>
      <c r="E1248" s="42">
        <v>46129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4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70">
        <v>46248</v>
      </c>
      <c r="X1248" s="30" t="s">
        <v>55</v>
      </c>
      <c r="Y1248" s="30" t="s">
        <v>56</v>
      </c>
      <c r="Z1248" s="30" t="s">
        <v>57</v>
      </c>
      <c r="AA1248" s="30" t="s">
        <v>58</v>
      </c>
      <c r="AB1248" s="30" t="s">
        <v>56</v>
      </c>
      <c r="AC1248" s="27"/>
      <c r="AD1248" s="31" t="s">
        <v>57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3820</v>
      </c>
      <c r="C1249" s="25" t="s">
        <v>3821</v>
      </c>
      <c r="D1249" s="23" t="s">
        <v>3481</v>
      </c>
      <c r="E1249" s="42">
        <v>46129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4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70">
        <v>46248</v>
      </c>
      <c r="X1249" s="30" t="s">
        <v>55</v>
      </c>
      <c r="Y1249" s="30" t="s">
        <v>56</v>
      </c>
      <c r="Z1249" s="30" t="s">
        <v>57</v>
      </c>
      <c r="AA1249" s="30" t="s">
        <v>58</v>
      </c>
      <c r="AB1249" s="30" t="s">
        <v>56</v>
      </c>
      <c r="AC1249" s="27"/>
      <c r="AD1249" s="31" t="s">
        <v>57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3822</v>
      </c>
      <c r="C1250" s="41" t="s">
        <v>3823</v>
      </c>
      <c r="D1250" s="39" t="s">
        <v>3481</v>
      </c>
      <c r="E1250" s="42">
        <v>46129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4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70">
        <v>46248</v>
      </c>
      <c r="X1250" s="30" t="s">
        <v>55</v>
      </c>
      <c r="Y1250" s="30" t="s">
        <v>56</v>
      </c>
      <c r="Z1250" s="30" t="s">
        <v>57</v>
      </c>
      <c r="AA1250" s="30" t="s">
        <v>58</v>
      </c>
      <c r="AB1250" s="30" t="s">
        <v>56</v>
      </c>
      <c r="AC1250" s="27"/>
      <c r="AD1250" s="31" t="s">
        <v>57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3824</v>
      </c>
      <c r="C1251" s="25" t="s">
        <v>3825</v>
      </c>
      <c r="D1251" s="23" t="s">
        <v>3481</v>
      </c>
      <c r="E1251" s="42">
        <v>46129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4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70">
        <v>46248</v>
      </c>
      <c r="X1251" s="30" t="s">
        <v>55</v>
      </c>
      <c r="Y1251" s="30" t="s">
        <v>56</v>
      </c>
      <c r="Z1251" s="30" t="s">
        <v>57</v>
      </c>
      <c r="AA1251" s="30" t="s">
        <v>58</v>
      </c>
      <c r="AB1251" s="30" t="s">
        <v>56</v>
      </c>
      <c r="AC1251" s="27"/>
      <c r="AD1251" s="31" t="s">
        <v>57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3826</v>
      </c>
      <c r="C1252" s="41" t="s">
        <v>3827</v>
      </c>
      <c r="D1252" s="39" t="s">
        <v>3481</v>
      </c>
      <c r="E1252" s="42">
        <v>46129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4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70">
        <v>46248</v>
      </c>
      <c r="X1252" s="30" t="s">
        <v>55</v>
      </c>
      <c r="Y1252" s="30" t="s">
        <v>56</v>
      </c>
      <c r="Z1252" s="30" t="s">
        <v>57</v>
      </c>
      <c r="AA1252" s="30" t="s">
        <v>58</v>
      </c>
      <c r="AB1252" s="30" t="s">
        <v>56</v>
      </c>
      <c r="AC1252" s="27"/>
      <c r="AD1252" s="31" t="s">
        <v>57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3828</v>
      </c>
      <c r="C1253" s="25" t="s">
        <v>3829</v>
      </c>
      <c r="D1253" s="23" t="s">
        <v>3481</v>
      </c>
      <c r="E1253" s="42">
        <v>46129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4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70">
        <v>46248</v>
      </c>
      <c r="X1253" s="30" t="s">
        <v>55</v>
      </c>
      <c r="Y1253" s="30" t="s">
        <v>56</v>
      </c>
      <c r="Z1253" s="30" t="s">
        <v>57</v>
      </c>
      <c r="AA1253" s="30" t="s">
        <v>58</v>
      </c>
      <c r="AB1253" s="30" t="s">
        <v>56</v>
      </c>
      <c r="AC1253" s="27"/>
      <c r="AD1253" s="31" t="s">
        <v>57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3830</v>
      </c>
      <c r="C1254" s="41" t="s">
        <v>3831</v>
      </c>
      <c r="D1254" s="39" t="s">
        <v>3481</v>
      </c>
      <c r="E1254" s="42">
        <v>46129</v>
      </c>
      <c r="F1254" s="26" t="s">
        <v>55</v>
      </c>
      <c r="G1254" s="26" t="s">
        <v>56</v>
      </c>
      <c r="H1254" s="26" t="s">
        <v>57</v>
      </c>
      <c r="I1254" s="26" t="s">
        <v>277</v>
      </c>
      <c r="J1254" s="26" t="s">
        <v>57</v>
      </c>
      <c r="K1254" s="27" t="s">
        <v>3832</v>
      </c>
      <c r="L1254" s="28" t="s">
        <v>56</v>
      </c>
      <c r="M1254" s="29" t="str">
        <f t="shared" si="95"/>
        <v>⚠ Check</v>
      </c>
      <c r="N1254" s="42">
        <v>46185</v>
      </c>
      <c r="O1254" s="26" t="s">
        <v>55</v>
      </c>
      <c r="P1254" s="26" t="s">
        <v>56</v>
      </c>
      <c r="Q1254" s="26" t="s">
        <v>57</v>
      </c>
      <c r="R1254" s="26" t="s">
        <v>277</v>
      </c>
      <c r="S1254" s="26" t="s">
        <v>57</v>
      </c>
      <c r="T1254" s="27" t="s">
        <v>3832</v>
      </c>
      <c r="U1254" s="28" t="s">
        <v>56</v>
      </c>
      <c r="V1254" s="29" t="str">
        <f t="shared" si="96"/>
        <v>⚠ Check</v>
      </c>
      <c r="W1254" s="70">
        <v>46248</v>
      </c>
      <c r="X1254" s="30" t="s">
        <v>55</v>
      </c>
      <c r="Y1254" s="30" t="s">
        <v>56</v>
      </c>
      <c r="Z1254" s="30" t="s">
        <v>57</v>
      </c>
      <c r="AA1254" s="30" t="s">
        <v>277</v>
      </c>
      <c r="AB1254" s="30" t="s">
        <v>57</v>
      </c>
      <c r="AC1254" s="27" t="s">
        <v>3832</v>
      </c>
      <c r="AD1254" s="31" t="s">
        <v>56</v>
      </c>
      <c r="AE1254" s="32" t="str">
        <f t="shared" si="97"/>
        <v>⚠ Check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3833</v>
      </c>
      <c r="C1255" s="25" t="s">
        <v>3834</v>
      </c>
      <c r="D1255" s="23" t="s">
        <v>3481</v>
      </c>
      <c r="E1255" s="42">
        <v>46129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4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70">
        <v>46248</v>
      </c>
      <c r="X1255" s="30" t="s">
        <v>55</v>
      </c>
      <c r="Y1255" s="30" t="s">
        <v>56</v>
      </c>
      <c r="Z1255" s="30" t="s">
        <v>57</v>
      </c>
      <c r="AA1255" s="30" t="s">
        <v>58</v>
      </c>
      <c r="AB1255" s="30" t="s">
        <v>56</v>
      </c>
      <c r="AC1255" s="27"/>
      <c r="AD1255" s="31" t="s">
        <v>57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3835</v>
      </c>
      <c r="C1256" s="41" t="s">
        <v>3836</v>
      </c>
      <c r="D1256" s="39" t="s">
        <v>3481</v>
      </c>
      <c r="E1256" s="42">
        <v>46129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4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70">
        <v>46248</v>
      </c>
      <c r="X1256" s="30" t="s">
        <v>55</v>
      </c>
      <c r="Y1256" s="30" t="s">
        <v>56</v>
      </c>
      <c r="Z1256" s="30" t="s">
        <v>57</v>
      </c>
      <c r="AA1256" s="30" t="s">
        <v>58</v>
      </c>
      <c r="AB1256" s="30" t="s">
        <v>56</v>
      </c>
      <c r="AC1256" s="27"/>
      <c r="AD1256" s="31" t="s">
        <v>57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3837</v>
      </c>
      <c r="C1257" s="25" t="s">
        <v>3838</v>
      </c>
      <c r="D1257" s="23" t="s">
        <v>3481</v>
      </c>
      <c r="E1257" s="42">
        <v>46129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4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70">
        <v>46248</v>
      </c>
      <c r="X1257" s="30" t="s">
        <v>55</v>
      </c>
      <c r="Y1257" s="30" t="s">
        <v>56</v>
      </c>
      <c r="Z1257" s="30" t="s">
        <v>57</v>
      </c>
      <c r="AA1257" s="30" t="s">
        <v>58</v>
      </c>
      <c r="AB1257" s="30" t="s">
        <v>56</v>
      </c>
      <c r="AC1257" s="27"/>
      <c r="AD1257" s="31" t="s">
        <v>57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3839</v>
      </c>
      <c r="C1258" s="41" t="s">
        <v>3840</v>
      </c>
      <c r="D1258" s="39" t="s">
        <v>3481</v>
      </c>
      <c r="E1258" s="42">
        <v>46129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4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70">
        <v>46248</v>
      </c>
      <c r="X1258" s="30" t="s">
        <v>55</v>
      </c>
      <c r="Y1258" s="30" t="s">
        <v>56</v>
      </c>
      <c r="Z1258" s="30" t="s">
        <v>57</v>
      </c>
      <c r="AA1258" s="30" t="s">
        <v>58</v>
      </c>
      <c r="AB1258" s="30" t="s">
        <v>56</v>
      </c>
      <c r="AC1258" s="27"/>
      <c r="AD1258" s="31" t="s">
        <v>57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3841</v>
      </c>
      <c r="C1259" s="25" t="s">
        <v>3842</v>
      </c>
      <c r="D1259" s="23" t="s">
        <v>3481</v>
      </c>
      <c r="E1259" s="42">
        <v>46129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4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70">
        <v>46248</v>
      </c>
      <c r="X1259" s="30" t="s">
        <v>55</v>
      </c>
      <c r="Y1259" s="30" t="s">
        <v>56</v>
      </c>
      <c r="Z1259" s="30" t="s">
        <v>57</v>
      </c>
      <c r="AA1259" s="30" t="s">
        <v>58</v>
      </c>
      <c r="AB1259" s="30" t="s">
        <v>56</v>
      </c>
      <c r="AC1259" s="27"/>
      <c r="AD1259" s="31" t="s">
        <v>57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3843</v>
      </c>
      <c r="C1260" s="41" t="s">
        <v>3844</v>
      </c>
      <c r="D1260" s="39" t="s">
        <v>3481</v>
      </c>
      <c r="E1260" s="42">
        <v>46129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4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70">
        <v>46248</v>
      </c>
      <c r="X1260" s="30" t="s">
        <v>55</v>
      </c>
      <c r="Y1260" s="30" t="s">
        <v>56</v>
      </c>
      <c r="Z1260" s="30" t="s">
        <v>57</v>
      </c>
      <c r="AA1260" s="30" t="s">
        <v>58</v>
      </c>
      <c r="AB1260" s="30" t="s">
        <v>56</v>
      </c>
      <c r="AC1260" s="27"/>
      <c r="AD1260" s="31" t="s">
        <v>57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3845</v>
      </c>
      <c r="C1261" s="25" t="s">
        <v>3846</v>
      </c>
      <c r="D1261" s="23" t="s">
        <v>3481</v>
      </c>
      <c r="E1261" s="42">
        <v>46129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4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70">
        <v>46248</v>
      </c>
      <c r="X1261" s="30" t="s">
        <v>55</v>
      </c>
      <c r="Y1261" s="30" t="s">
        <v>56</v>
      </c>
      <c r="Z1261" s="30" t="s">
        <v>57</v>
      </c>
      <c r="AA1261" s="30" t="s">
        <v>58</v>
      </c>
      <c r="AB1261" s="30" t="s">
        <v>56</v>
      </c>
      <c r="AC1261" s="27"/>
      <c r="AD1261" s="31" t="s">
        <v>57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3847</v>
      </c>
      <c r="C1262" s="41" t="s">
        <v>3848</v>
      </c>
      <c r="D1262" s="39" t="s">
        <v>3481</v>
      </c>
      <c r="E1262" s="42">
        <v>46129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4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70">
        <v>46248</v>
      </c>
      <c r="X1262" s="30" t="s">
        <v>55</v>
      </c>
      <c r="Y1262" s="30" t="s">
        <v>56</v>
      </c>
      <c r="Z1262" s="30" t="s">
        <v>57</v>
      </c>
      <c r="AA1262" s="30" t="s">
        <v>58</v>
      </c>
      <c r="AB1262" s="30" t="s">
        <v>56</v>
      </c>
      <c r="AC1262" s="27"/>
      <c r="AD1262" s="31" t="s">
        <v>57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3849</v>
      </c>
      <c r="C1263" s="25" t="s">
        <v>3850</v>
      </c>
      <c r="D1263" s="23" t="s">
        <v>3481</v>
      </c>
      <c r="E1263" s="42">
        <v>46129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4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70">
        <v>46248</v>
      </c>
      <c r="X1263" s="30" t="s">
        <v>55</v>
      </c>
      <c r="Y1263" s="30" t="s">
        <v>56</v>
      </c>
      <c r="Z1263" s="30" t="s">
        <v>57</v>
      </c>
      <c r="AA1263" s="30" t="s">
        <v>58</v>
      </c>
      <c r="AB1263" s="30" t="s">
        <v>56</v>
      </c>
      <c r="AC1263" s="27"/>
      <c r="AD1263" s="31" t="s">
        <v>57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3851</v>
      </c>
      <c r="C1264" s="41" t="s">
        <v>3852</v>
      </c>
      <c r="D1264" s="39" t="s">
        <v>3481</v>
      </c>
      <c r="E1264" s="42">
        <v>46129</v>
      </c>
      <c r="F1264" s="26" t="s">
        <v>55</v>
      </c>
      <c r="G1264" s="26" t="s">
        <v>56</v>
      </c>
      <c r="H1264" s="26" t="s">
        <v>57</v>
      </c>
      <c r="I1264" s="26" t="s">
        <v>277</v>
      </c>
      <c r="J1264" s="26" t="s">
        <v>57</v>
      </c>
      <c r="K1264" s="27" t="s">
        <v>3832</v>
      </c>
      <c r="L1264" s="28" t="s">
        <v>56</v>
      </c>
      <c r="M1264" s="29" t="str">
        <f t="shared" si="95"/>
        <v>⚠ Check</v>
      </c>
      <c r="N1264" s="42">
        <v>46185</v>
      </c>
      <c r="O1264" s="26" t="s">
        <v>55</v>
      </c>
      <c r="P1264" s="26" t="s">
        <v>56</v>
      </c>
      <c r="Q1264" s="26" t="s">
        <v>57</v>
      </c>
      <c r="R1264" s="26" t="s">
        <v>277</v>
      </c>
      <c r="S1264" s="26" t="s">
        <v>57</v>
      </c>
      <c r="T1264" s="27" t="s">
        <v>3832</v>
      </c>
      <c r="U1264" s="28" t="s">
        <v>56</v>
      </c>
      <c r="V1264" s="29" t="str">
        <f t="shared" si="96"/>
        <v>⚠ Check</v>
      </c>
      <c r="W1264" s="70">
        <v>46248</v>
      </c>
      <c r="X1264" s="30" t="s">
        <v>55</v>
      </c>
      <c r="Y1264" s="30" t="s">
        <v>56</v>
      </c>
      <c r="Z1264" s="30" t="s">
        <v>57</v>
      </c>
      <c r="AA1264" s="30" t="s">
        <v>277</v>
      </c>
      <c r="AB1264" s="30" t="s">
        <v>57</v>
      </c>
      <c r="AC1264" s="27" t="s">
        <v>3832</v>
      </c>
      <c r="AD1264" s="31" t="s">
        <v>56</v>
      </c>
      <c r="AE1264" s="32" t="str">
        <f t="shared" si="97"/>
        <v>⚠ Check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3853</v>
      </c>
      <c r="C1265" s="25" t="s">
        <v>3854</v>
      </c>
      <c r="D1265" s="23" t="s">
        <v>3481</v>
      </c>
      <c r="E1265" s="42">
        <v>46129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4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70">
        <v>46248</v>
      </c>
      <c r="X1265" s="30" t="s">
        <v>55</v>
      </c>
      <c r="Y1265" s="30" t="s">
        <v>56</v>
      </c>
      <c r="Z1265" s="30" t="s">
        <v>57</v>
      </c>
      <c r="AA1265" s="30" t="s">
        <v>58</v>
      </c>
      <c r="AB1265" s="30" t="s">
        <v>56</v>
      </c>
      <c r="AC1265" s="27"/>
      <c r="AD1265" s="31" t="s">
        <v>57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3855</v>
      </c>
      <c r="C1266" s="41" t="s">
        <v>3856</v>
      </c>
      <c r="D1266" s="39" t="s">
        <v>3481</v>
      </c>
      <c r="E1266" s="42">
        <v>46129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4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70">
        <v>46248</v>
      </c>
      <c r="X1266" s="30" t="s">
        <v>55</v>
      </c>
      <c r="Y1266" s="30" t="s">
        <v>56</v>
      </c>
      <c r="Z1266" s="30" t="s">
        <v>57</v>
      </c>
      <c r="AA1266" s="30" t="s">
        <v>58</v>
      </c>
      <c r="AB1266" s="30" t="s">
        <v>56</v>
      </c>
      <c r="AC1266" s="27"/>
      <c r="AD1266" s="31" t="s">
        <v>57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3857</v>
      </c>
      <c r="C1267" s="25" t="s">
        <v>3858</v>
      </c>
      <c r="D1267" s="23" t="s">
        <v>3481</v>
      </c>
      <c r="E1267" s="42">
        <v>46129</v>
      </c>
      <c r="F1267" s="26" t="s">
        <v>55</v>
      </c>
      <c r="G1267" s="26" t="s">
        <v>56</v>
      </c>
      <c r="H1267" s="26" t="s">
        <v>57</v>
      </c>
      <c r="I1267" s="26" t="s">
        <v>277</v>
      </c>
      <c r="J1267" s="26" t="s">
        <v>57</v>
      </c>
      <c r="K1267" s="27" t="s">
        <v>3832</v>
      </c>
      <c r="L1267" s="28" t="s">
        <v>56</v>
      </c>
      <c r="M1267" s="29" t="str">
        <f t="shared" si="95"/>
        <v>⚠ Check</v>
      </c>
      <c r="N1267" s="42">
        <v>46185</v>
      </c>
      <c r="O1267" s="26" t="s">
        <v>55</v>
      </c>
      <c r="P1267" s="26" t="s">
        <v>56</v>
      </c>
      <c r="Q1267" s="26" t="s">
        <v>57</v>
      </c>
      <c r="R1267" s="26" t="s">
        <v>277</v>
      </c>
      <c r="S1267" s="26" t="s">
        <v>57</v>
      </c>
      <c r="T1267" s="27" t="s">
        <v>3832</v>
      </c>
      <c r="U1267" s="28" t="s">
        <v>56</v>
      </c>
      <c r="V1267" s="29" t="str">
        <f t="shared" si="96"/>
        <v>⚠ Check</v>
      </c>
      <c r="W1267" s="70">
        <v>46248</v>
      </c>
      <c r="X1267" s="30" t="s">
        <v>55</v>
      </c>
      <c r="Y1267" s="30" t="s">
        <v>56</v>
      </c>
      <c r="Z1267" s="30" t="s">
        <v>57</v>
      </c>
      <c r="AA1267" s="30" t="s">
        <v>277</v>
      </c>
      <c r="AB1267" s="30" t="s">
        <v>57</v>
      </c>
      <c r="AC1267" s="27" t="s">
        <v>3832</v>
      </c>
      <c r="AD1267" s="31" t="s">
        <v>56</v>
      </c>
      <c r="AE1267" s="32" t="str">
        <f t="shared" si="97"/>
        <v>⚠ Check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3859</v>
      </c>
      <c r="C1268" s="41" t="s">
        <v>3860</v>
      </c>
      <c r="D1268" s="39" t="s">
        <v>3481</v>
      </c>
      <c r="E1268" s="42">
        <v>46129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4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70">
        <v>46248</v>
      </c>
      <c r="X1268" s="30" t="s">
        <v>55</v>
      </c>
      <c r="Y1268" s="30" t="s">
        <v>56</v>
      </c>
      <c r="Z1268" s="30" t="s">
        <v>57</v>
      </c>
      <c r="AA1268" s="30" t="s">
        <v>58</v>
      </c>
      <c r="AB1268" s="30" t="s">
        <v>56</v>
      </c>
      <c r="AC1268" s="27"/>
      <c r="AD1268" s="31" t="s">
        <v>57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3861</v>
      </c>
      <c r="C1269" s="25" t="s">
        <v>3862</v>
      </c>
      <c r="D1269" s="23" t="s">
        <v>3481</v>
      </c>
      <c r="E1269" s="42">
        <v>46129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4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70">
        <v>46248</v>
      </c>
      <c r="X1269" s="30" t="s">
        <v>55</v>
      </c>
      <c r="Y1269" s="30" t="s">
        <v>56</v>
      </c>
      <c r="Z1269" s="30" t="s">
        <v>57</v>
      </c>
      <c r="AA1269" s="30" t="s">
        <v>58</v>
      </c>
      <c r="AB1269" s="30" t="s">
        <v>56</v>
      </c>
      <c r="AC1269" s="27"/>
      <c r="AD1269" s="31" t="s">
        <v>57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3863</v>
      </c>
      <c r="C1270" s="41" t="s">
        <v>3864</v>
      </c>
      <c r="D1270" s="39" t="s">
        <v>3481</v>
      </c>
      <c r="E1270" s="42">
        <v>46129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4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70">
        <v>46248</v>
      </c>
      <c r="X1270" s="30" t="s">
        <v>55</v>
      </c>
      <c r="Y1270" s="30" t="s">
        <v>56</v>
      </c>
      <c r="Z1270" s="30" t="s">
        <v>57</v>
      </c>
      <c r="AA1270" s="30" t="s">
        <v>58</v>
      </c>
      <c r="AB1270" s="30" t="s">
        <v>56</v>
      </c>
      <c r="AC1270" s="27"/>
      <c r="AD1270" s="31" t="s">
        <v>57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3865</v>
      </c>
      <c r="C1271" s="25" t="s">
        <v>3866</v>
      </c>
      <c r="D1271" s="23" t="s">
        <v>3481</v>
      </c>
      <c r="E1271" s="42">
        <v>46129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4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70">
        <v>46248</v>
      </c>
      <c r="X1271" s="30" t="s">
        <v>55</v>
      </c>
      <c r="Y1271" s="30" t="s">
        <v>56</v>
      </c>
      <c r="Z1271" s="30" t="s">
        <v>57</v>
      </c>
      <c r="AA1271" s="30" t="s">
        <v>58</v>
      </c>
      <c r="AB1271" s="30" t="s">
        <v>56</v>
      </c>
      <c r="AC1271" s="27"/>
      <c r="AD1271" s="31" t="s">
        <v>57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3867</v>
      </c>
      <c r="C1272" s="41" t="s">
        <v>3868</v>
      </c>
      <c r="D1272" s="39" t="s">
        <v>3481</v>
      </c>
      <c r="E1272" s="42">
        <v>46129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4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70">
        <v>46248</v>
      </c>
      <c r="X1272" s="30" t="s">
        <v>55</v>
      </c>
      <c r="Y1272" s="30" t="s">
        <v>56</v>
      </c>
      <c r="Z1272" s="30" t="s">
        <v>57</v>
      </c>
      <c r="AA1272" s="30" t="s">
        <v>58</v>
      </c>
      <c r="AB1272" s="30" t="s">
        <v>56</v>
      </c>
      <c r="AC1272" s="27"/>
      <c r="AD1272" s="31" t="s">
        <v>57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3869</v>
      </c>
      <c r="C1273" s="25" t="s">
        <v>3870</v>
      </c>
      <c r="D1273" s="23" t="s">
        <v>3481</v>
      </c>
      <c r="E1273" s="42">
        <v>46129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4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70">
        <v>46248</v>
      </c>
      <c r="X1273" s="30" t="s">
        <v>55</v>
      </c>
      <c r="Y1273" s="30" t="s">
        <v>56</v>
      </c>
      <c r="Z1273" s="30" t="s">
        <v>57</v>
      </c>
      <c r="AA1273" s="30" t="s">
        <v>58</v>
      </c>
      <c r="AB1273" s="30" t="s">
        <v>56</v>
      </c>
      <c r="AC1273" s="27"/>
      <c r="AD1273" s="31" t="s">
        <v>57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3871</v>
      </c>
      <c r="C1274" s="41" t="s">
        <v>3872</v>
      </c>
      <c r="D1274" s="39" t="s">
        <v>3481</v>
      </c>
      <c r="E1274" s="42">
        <v>46129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4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70">
        <v>46248</v>
      </c>
      <c r="X1274" s="30" t="s">
        <v>55</v>
      </c>
      <c r="Y1274" s="30" t="s">
        <v>56</v>
      </c>
      <c r="Z1274" s="30" t="s">
        <v>57</v>
      </c>
      <c r="AA1274" s="30" t="s">
        <v>58</v>
      </c>
      <c r="AB1274" s="30" t="s">
        <v>56</v>
      </c>
      <c r="AC1274" s="27"/>
      <c r="AD1274" s="31" t="s">
        <v>57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3873</v>
      </c>
      <c r="C1275" s="25" t="s">
        <v>3874</v>
      </c>
      <c r="D1275" s="23" t="s">
        <v>3481</v>
      </c>
      <c r="E1275" s="42">
        <v>46129</v>
      </c>
      <c r="F1275" s="26" t="s">
        <v>55</v>
      </c>
      <c r="G1275" s="26" t="s">
        <v>56</v>
      </c>
      <c r="H1275" s="26" t="s">
        <v>57</v>
      </c>
      <c r="I1275" s="26" t="s">
        <v>277</v>
      </c>
      <c r="J1275" s="26" t="s">
        <v>57</v>
      </c>
      <c r="K1275" s="27" t="s">
        <v>3832</v>
      </c>
      <c r="L1275" s="28" t="s">
        <v>56</v>
      </c>
      <c r="M1275" s="29" t="str">
        <f t="shared" si="95"/>
        <v>⚠ Check</v>
      </c>
      <c r="N1275" s="42">
        <v>46185</v>
      </c>
      <c r="O1275" s="26" t="s">
        <v>55</v>
      </c>
      <c r="P1275" s="26" t="s">
        <v>56</v>
      </c>
      <c r="Q1275" s="26" t="s">
        <v>57</v>
      </c>
      <c r="R1275" s="26" t="s">
        <v>277</v>
      </c>
      <c r="S1275" s="26" t="s">
        <v>57</v>
      </c>
      <c r="T1275" s="27" t="s">
        <v>3832</v>
      </c>
      <c r="U1275" s="28" t="s">
        <v>56</v>
      </c>
      <c r="V1275" s="29" t="str">
        <f t="shared" si="96"/>
        <v>⚠ Check</v>
      </c>
      <c r="W1275" s="70">
        <v>46248</v>
      </c>
      <c r="X1275" s="30" t="s">
        <v>55</v>
      </c>
      <c r="Y1275" s="30" t="s">
        <v>56</v>
      </c>
      <c r="Z1275" s="30" t="s">
        <v>57</v>
      </c>
      <c r="AA1275" s="30" t="s">
        <v>277</v>
      </c>
      <c r="AB1275" s="30" t="s">
        <v>57</v>
      </c>
      <c r="AC1275" s="27" t="s">
        <v>3832</v>
      </c>
      <c r="AD1275" s="31" t="s">
        <v>56</v>
      </c>
      <c r="AE1275" s="32" t="str">
        <f t="shared" si="97"/>
        <v>⚠ Check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3875</v>
      </c>
      <c r="C1276" s="41" t="s">
        <v>3876</v>
      </c>
      <c r="D1276" s="39" t="s">
        <v>3481</v>
      </c>
      <c r="E1276" s="42">
        <v>46129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4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70">
        <v>46248</v>
      </c>
      <c r="X1276" s="30" t="s">
        <v>55</v>
      </c>
      <c r="Y1276" s="30" t="s">
        <v>56</v>
      </c>
      <c r="Z1276" s="30" t="s">
        <v>57</v>
      </c>
      <c r="AA1276" s="30" t="s">
        <v>58</v>
      </c>
      <c r="AB1276" s="30" t="s">
        <v>56</v>
      </c>
      <c r="AC1276" s="27"/>
      <c r="AD1276" s="31" t="s">
        <v>57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3877</v>
      </c>
      <c r="C1277" s="25" t="s">
        <v>3878</v>
      </c>
      <c r="D1277" s="23" t="s">
        <v>3481</v>
      </c>
      <c r="E1277" s="42">
        <v>46129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4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70">
        <v>46248</v>
      </c>
      <c r="X1277" s="30" t="s">
        <v>55</v>
      </c>
      <c r="Y1277" s="30" t="s">
        <v>56</v>
      </c>
      <c r="Z1277" s="30" t="s">
        <v>57</v>
      </c>
      <c r="AA1277" s="30" t="s">
        <v>58</v>
      </c>
      <c r="AB1277" s="30" t="s">
        <v>56</v>
      </c>
      <c r="AC1277" s="27"/>
      <c r="AD1277" s="31" t="s">
        <v>57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3879</v>
      </c>
      <c r="C1278" s="41" t="s">
        <v>3880</v>
      </c>
      <c r="D1278" s="39" t="s">
        <v>3481</v>
      </c>
      <c r="E1278" s="42">
        <v>46129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4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70">
        <v>46248</v>
      </c>
      <c r="X1278" s="30" t="s">
        <v>55</v>
      </c>
      <c r="Y1278" s="30" t="s">
        <v>56</v>
      </c>
      <c r="Z1278" s="30" t="s">
        <v>57</v>
      </c>
      <c r="AA1278" s="30" t="s">
        <v>58</v>
      </c>
      <c r="AB1278" s="30" t="s">
        <v>56</v>
      </c>
      <c r="AC1278" s="27"/>
      <c r="AD1278" s="31" t="s">
        <v>57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3881</v>
      </c>
      <c r="C1279" s="25" t="s">
        <v>3882</v>
      </c>
      <c r="D1279" s="23" t="s">
        <v>3481</v>
      </c>
      <c r="E1279" s="42">
        <v>46129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4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70">
        <v>46248</v>
      </c>
      <c r="X1279" s="30" t="s">
        <v>55</v>
      </c>
      <c r="Y1279" s="30" t="s">
        <v>56</v>
      </c>
      <c r="Z1279" s="30" t="s">
        <v>57</v>
      </c>
      <c r="AA1279" s="30" t="s">
        <v>58</v>
      </c>
      <c r="AB1279" s="30" t="s">
        <v>56</v>
      </c>
      <c r="AC1279" s="27"/>
      <c r="AD1279" s="31" t="s">
        <v>57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3883</v>
      </c>
      <c r="C1280" s="41" t="s">
        <v>3884</v>
      </c>
      <c r="D1280" s="39" t="s">
        <v>3481</v>
      </c>
      <c r="E1280" s="42">
        <v>46129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4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70">
        <v>46248</v>
      </c>
      <c r="X1280" s="30" t="s">
        <v>55</v>
      </c>
      <c r="Y1280" s="30" t="s">
        <v>56</v>
      </c>
      <c r="Z1280" s="30" t="s">
        <v>57</v>
      </c>
      <c r="AA1280" s="30" t="s">
        <v>58</v>
      </c>
      <c r="AB1280" s="30" t="s">
        <v>56</v>
      </c>
      <c r="AC1280" s="27"/>
      <c r="AD1280" s="31" t="s">
        <v>57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3885</v>
      </c>
      <c r="C1281" s="25" t="s">
        <v>3886</v>
      </c>
      <c r="D1281" s="23" t="s">
        <v>3481</v>
      </c>
      <c r="E1281" s="42">
        <v>46129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4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70">
        <v>46248</v>
      </c>
      <c r="X1281" s="30" t="s">
        <v>55</v>
      </c>
      <c r="Y1281" s="30" t="s">
        <v>56</v>
      </c>
      <c r="Z1281" s="30" t="s">
        <v>57</v>
      </c>
      <c r="AA1281" s="30" t="s">
        <v>58</v>
      </c>
      <c r="AB1281" s="30" t="s">
        <v>56</v>
      </c>
      <c r="AC1281" s="27"/>
      <c r="AD1281" s="31" t="s">
        <v>57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3887</v>
      </c>
      <c r="C1282" s="41" t="s">
        <v>3888</v>
      </c>
      <c r="D1282" s="39" t="s">
        <v>3481</v>
      </c>
      <c r="E1282" s="42">
        <v>46129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4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70">
        <v>46248</v>
      </c>
      <c r="X1282" s="30" t="s">
        <v>55</v>
      </c>
      <c r="Y1282" s="30" t="s">
        <v>56</v>
      </c>
      <c r="Z1282" s="30" t="s">
        <v>57</v>
      </c>
      <c r="AA1282" s="30" t="s">
        <v>58</v>
      </c>
      <c r="AB1282" s="30" t="s">
        <v>56</v>
      </c>
      <c r="AC1282" s="27"/>
      <c r="AD1282" s="31" t="s">
        <v>57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3889</v>
      </c>
      <c r="C1283" s="25" t="s">
        <v>3890</v>
      </c>
      <c r="D1283" s="23" t="s">
        <v>3481</v>
      </c>
      <c r="E1283" s="42">
        <v>46129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4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70">
        <v>46248</v>
      </c>
      <c r="X1283" s="30" t="s">
        <v>55</v>
      </c>
      <c r="Y1283" s="30" t="s">
        <v>56</v>
      </c>
      <c r="Z1283" s="30" t="s">
        <v>57</v>
      </c>
      <c r="AA1283" s="30" t="s">
        <v>58</v>
      </c>
      <c r="AB1283" s="30" t="s">
        <v>56</v>
      </c>
      <c r="AC1283" s="27"/>
      <c r="AD1283" s="31" t="s">
        <v>57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3891</v>
      </c>
      <c r="C1284" s="41" t="s">
        <v>3892</v>
      </c>
      <c r="D1284" s="39" t="s">
        <v>3481</v>
      </c>
      <c r="E1284" s="42">
        <v>46129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4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70">
        <v>46248</v>
      </c>
      <c r="X1284" s="30" t="s">
        <v>55</v>
      </c>
      <c r="Y1284" s="30" t="s">
        <v>56</v>
      </c>
      <c r="Z1284" s="30" t="s">
        <v>57</v>
      </c>
      <c r="AA1284" s="30" t="s">
        <v>58</v>
      </c>
      <c r="AB1284" s="30" t="s">
        <v>56</v>
      </c>
      <c r="AC1284" s="27"/>
      <c r="AD1284" s="31" t="s">
        <v>57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3893</v>
      </c>
      <c r="C1285" s="25" t="s">
        <v>3894</v>
      </c>
      <c r="D1285" s="23" t="s">
        <v>3481</v>
      </c>
      <c r="E1285" s="42">
        <v>46129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4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70">
        <v>46248</v>
      </c>
      <c r="X1285" s="30" t="s">
        <v>55</v>
      </c>
      <c r="Y1285" s="30" t="s">
        <v>56</v>
      </c>
      <c r="Z1285" s="30" t="s">
        <v>57</v>
      </c>
      <c r="AA1285" s="30" t="s">
        <v>58</v>
      </c>
      <c r="AB1285" s="30" t="s">
        <v>56</v>
      </c>
      <c r="AC1285" s="27"/>
      <c r="AD1285" s="31" t="s">
        <v>57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3895</v>
      </c>
      <c r="C1286" s="41" t="s">
        <v>3896</v>
      </c>
      <c r="D1286" s="39" t="s">
        <v>3481</v>
      </c>
      <c r="E1286" s="42">
        <v>46129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4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70">
        <v>46248</v>
      </c>
      <c r="X1286" s="30" t="s">
        <v>55</v>
      </c>
      <c r="Y1286" s="30" t="s">
        <v>56</v>
      </c>
      <c r="Z1286" s="30" t="s">
        <v>57</v>
      </c>
      <c r="AA1286" s="30" t="s">
        <v>58</v>
      </c>
      <c r="AB1286" s="30" t="s">
        <v>56</v>
      </c>
      <c r="AC1286" s="27"/>
      <c r="AD1286" s="31" t="s">
        <v>57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3897</v>
      </c>
      <c r="C1287" s="25" t="s">
        <v>3898</v>
      </c>
      <c r="D1287" s="23" t="s">
        <v>3481</v>
      </c>
      <c r="E1287" s="42">
        <v>46129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4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70">
        <v>46248</v>
      </c>
      <c r="X1287" s="30" t="s">
        <v>55</v>
      </c>
      <c r="Y1287" s="30" t="s">
        <v>56</v>
      </c>
      <c r="Z1287" s="30" t="s">
        <v>57</v>
      </c>
      <c r="AA1287" s="30" t="s">
        <v>58</v>
      </c>
      <c r="AB1287" s="30" t="s">
        <v>56</v>
      </c>
      <c r="AC1287" s="27"/>
      <c r="AD1287" s="31" t="s">
        <v>57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3899</v>
      </c>
      <c r="C1288" s="41" t="s">
        <v>3900</v>
      </c>
      <c r="D1288" s="39" t="s">
        <v>3481</v>
      </c>
      <c r="E1288" s="42">
        <v>46129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4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70">
        <v>46248</v>
      </c>
      <c r="X1288" s="30" t="s">
        <v>55</v>
      </c>
      <c r="Y1288" s="30" t="s">
        <v>56</v>
      </c>
      <c r="Z1288" s="30" t="s">
        <v>57</v>
      </c>
      <c r="AA1288" s="30" t="s">
        <v>58</v>
      </c>
      <c r="AB1288" s="30" t="s">
        <v>56</v>
      </c>
      <c r="AC1288" s="27"/>
      <c r="AD1288" s="31" t="s">
        <v>57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3901</v>
      </c>
      <c r="C1289" s="25" t="s">
        <v>3902</v>
      </c>
      <c r="D1289" s="23" t="s">
        <v>3481</v>
      </c>
      <c r="E1289" s="42">
        <v>46129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4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70">
        <v>46248</v>
      </c>
      <c r="X1289" s="30" t="s">
        <v>55</v>
      </c>
      <c r="Y1289" s="30" t="s">
        <v>56</v>
      </c>
      <c r="Z1289" s="30" t="s">
        <v>57</v>
      </c>
      <c r="AA1289" s="30" t="s">
        <v>58</v>
      </c>
      <c r="AB1289" s="30" t="s">
        <v>56</v>
      </c>
      <c r="AC1289" s="27"/>
      <c r="AD1289" s="31" t="s">
        <v>57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3903</v>
      </c>
      <c r="C1290" s="41" t="s">
        <v>3904</v>
      </c>
      <c r="D1290" s="39" t="s">
        <v>3481</v>
      </c>
      <c r="E1290" s="42">
        <v>46129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4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70">
        <v>46248</v>
      </c>
      <c r="X1290" s="30" t="s">
        <v>55</v>
      </c>
      <c r="Y1290" s="30" t="s">
        <v>56</v>
      </c>
      <c r="Z1290" s="30" t="s">
        <v>57</v>
      </c>
      <c r="AA1290" s="30" t="s">
        <v>58</v>
      </c>
      <c r="AB1290" s="30" t="s">
        <v>56</v>
      </c>
      <c r="AC1290" s="27"/>
      <c r="AD1290" s="31" t="s">
        <v>57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3905</v>
      </c>
      <c r="C1291" s="25" t="s">
        <v>3906</v>
      </c>
      <c r="D1291" s="23" t="s">
        <v>3481</v>
      </c>
      <c r="E1291" s="42">
        <v>46129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4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70">
        <v>46248</v>
      </c>
      <c r="X1291" s="30" t="s">
        <v>55</v>
      </c>
      <c r="Y1291" s="30" t="s">
        <v>56</v>
      </c>
      <c r="Z1291" s="30" t="s">
        <v>57</v>
      </c>
      <c r="AA1291" s="30" t="s">
        <v>58</v>
      </c>
      <c r="AB1291" s="30" t="s">
        <v>56</v>
      </c>
      <c r="AC1291" s="27"/>
      <c r="AD1291" s="31" t="s">
        <v>57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3907</v>
      </c>
      <c r="C1292" s="41" t="s">
        <v>3908</v>
      </c>
      <c r="D1292" s="39" t="s">
        <v>3481</v>
      </c>
      <c r="E1292" s="42">
        <v>46129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4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70">
        <v>46248</v>
      </c>
      <c r="X1292" s="30" t="s">
        <v>55</v>
      </c>
      <c r="Y1292" s="30" t="s">
        <v>56</v>
      </c>
      <c r="Z1292" s="30" t="s">
        <v>57</v>
      </c>
      <c r="AA1292" s="30" t="s">
        <v>58</v>
      </c>
      <c r="AB1292" s="30" t="s">
        <v>56</v>
      </c>
      <c r="AC1292" s="27"/>
      <c r="AD1292" s="31" t="s">
        <v>57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3909</v>
      </c>
      <c r="C1293" s="25" t="s">
        <v>3910</v>
      </c>
      <c r="D1293" s="23" t="s">
        <v>3481</v>
      </c>
      <c r="E1293" s="42">
        <v>46129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4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70">
        <v>46248</v>
      </c>
      <c r="X1293" s="30" t="s">
        <v>55</v>
      </c>
      <c r="Y1293" s="30" t="s">
        <v>56</v>
      </c>
      <c r="Z1293" s="30" t="s">
        <v>57</v>
      </c>
      <c r="AA1293" s="30" t="s">
        <v>58</v>
      </c>
      <c r="AB1293" s="30" t="s">
        <v>56</v>
      </c>
      <c r="AC1293" s="27"/>
      <c r="AD1293" s="31" t="s">
        <v>57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3911</v>
      </c>
      <c r="C1294" s="41" t="s">
        <v>3912</v>
      </c>
      <c r="D1294" s="39" t="s">
        <v>3481</v>
      </c>
      <c r="E1294" s="42">
        <v>46129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4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70">
        <v>46248</v>
      </c>
      <c r="X1294" s="30" t="s">
        <v>55</v>
      </c>
      <c r="Y1294" s="30" t="s">
        <v>56</v>
      </c>
      <c r="Z1294" s="30" t="s">
        <v>57</v>
      </c>
      <c r="AA1294" s="30" t="s">
        <v>58</v>
      </c>
      <c r="AB1294" s="30" t="s">
        <v>56</v>
      </c>
      <c r="AC1294" s="27"/>
      <c r="AD1294" s="31" t="s">
        <v>57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3913</v>
      </c>
      <c r="C1295" s="25" t="s">
        <v>3914</v>
      </c>
      <c r="D1295" s="23" t="s">
        <v>3481</v>
      </c>
      <c r="E1295" s="42">
        <v>46129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4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70">
        <v>46248</v>
      </c>
      <c r="X1295" s="30" t="s">
        <v>55</v>
      </c>
      <c r="Y1295" s="30" t="s">
        <v>56</v>
      </c>
      <c r="Z1295" s="30" t="s">
        <v>57</v>
      </c>
      <c r="AA1295" s="30" t="s">
        <v>58</v>
      </c>
      <c r="AB1295" s="30" t="s">
        <v>56</v>
      </c>
      <c r="AC1295" s="27"/>
      <c r="AD1295" s="31" t="s">
        <v>57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3915</v>
      </c>
      <c r="C1296" s="41" t="s">
        <v>3916</v>
      </c>
      <c r="D1296" s="39" t="s">
        <v>3481</v>
      </c>
      <c r="E1296" s="42">
        <v>46129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4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70">
        <v>46248</v>
      </c>
      <c r="X1296" s="30" t="s">
        <v>55</v>
      </c>
      <c r="Y1296" s="30" t="s">
        <v>56</v>
      </c>
      <c r="Z1296" s="30" t="s">
        <v>57</v>
      </c>
      <c r="AA1296" s="30" t="s">
        <v>58</v>
      </c>
      <c r="AB1296" s="30" t="s">
        <v>56</v>
      </c>
      <c r="AC1296" s="27"/>
      <c r="AD1296" s="31" t="s">
        <v>57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3917</v>
      </c>
      <c r="C1297" s="25" t="s">
        <v>3918</v>
      </c>
      <c r="D1297" s="23" t="s">
        <v>3481</v>
      </c>
      <c r="E1297" s="42">
        <v>46129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4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70">
        <v>46248</v>
      </c>
      <c r="X1297" s="30" t="s">
        <v>55</v>
      </c>
      <c r="Y1297" s="30" t="s">
        <v>56</v>
      </c>
      <c r="Z1297" s="30" t="s">
        <v>57</v>
      </c>
      <c r="AA1297" s="30" t="s">
        <v>58</v>
      </c>
      <c r="AB1297" s="30" t="s">
        <v>56</v>
      </c>
      <c r="AC1297" s="27"/>
      <c r="AD1297" s="31" t="s">
        <v>57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3919</v>
      </c>
      <c r="C1298" s="41" t="s">
        <v>3920</v>
      </c>
      <c r="D1298" s="39" t="s">
        <v>3481</v>
      </c>
      <c r="E1298" s="42">
        <v>46129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4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70">
        <v>46248</v>
      </c>
      <c r="X1298" s="30" t="s">
        <v>55</v>
      </c>
      <c r="Y1298" s="30" t="s">
        <v>56</v>
      </c>
      <c r="Z1298" s="30" t="s">
        <v>57</v>
      </c>
      <c r="AA1298" s="30" t="s">
        <v>58</v>
      </c>
      <c r="AB1298" s="30" t="s">
        <v>56</v>
      </c>
      <c r="AC1298" s="27"/>
      <c r="AD1298" s="31" t="s">
        <v>57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3921</v>
      </c>
      <c r="C1299" s="25" t="s">
        <v>3922</v>
      </c>
      <c r="D1299" s="23" t="s">
        <v>3481</v>
      </c>
      <c r="E1299" s="42">
        <v>46129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4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70">
        <v>46248</v>
      </c>
      <c r="X1299" s="30" t="s">
        <v>55</v>
      </c>
      <c r="Y1299" s="30" t="s">
        <v>56</v>
      </c>
      <c r="Z1299" s="30" t="s">
        <v>57</v>
      </c>
      <c r="AA1299" s="30" t="s">
        <v>58</v>
      </c>
      <c r="AB1299" s="30" t="s">
        <v>56</v>
      </c>
      <c r="AC1299" s="27"/>
      <c r="AD1299" s="31" t="s">
        <v>57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3923</v>
      </c>
      <c r="C1300" s="41" t="s">
        <v>3924</v>
      </c>
      <c r="D1300" s="39" t="s">
        <v>3481</v>
      </c>
      <c r="E1300" s="42">
        <v>46129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4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70">
        <v>46248</v>
      </c>
      <c r="X1300" s="30" t="s">
        <v>55</v>
      </c>
      <c r="Y1300" s="30" t="s">
        <v>56</v>
      </c>
      <c r="Z1300" s="30" t="s">
        <v>57</v>
      </c>
      <c r="AA1300" s="30" t="s">
        <v>58</v>
      </c>
      <c r="AB1300" s="30" t="s">
        <v>56</v>
      </c>
      <c r="AC1300" s="27"/>
      <c r="AD1300" s="31" t="s">
        <v>57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3925</v>
      </c>
      <c r="C1301" s="25" t="s">
        <v>3926</v>
      </c>
      <c r="D1301" s="23" t="s">
        <v>3481</v>
      </c>
      <c r="E1301" s="42">
        <v>46129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4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70">
        <v>46248</v>
      </c>
      <c r="X1301" s="30" t="s">
        <v>55</v>
      </c>
      <c r="Y1301" s="30" t="s">
        <v>56</v>
      </c>
      <c r="Z1301" s="30" t="s">
        <v>57</v>
      </c>
      <c r="AA1301" s="30" t="s">
        <v>58</v>
      </c>
      <c r="AB1301" s="30" t="s">
        <v>56</v>
      </c>
      <c r="AC1301" s="27"/>
      <c r="AD1301" s="31" t="s">
        <v>57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3927</v>
      </c>
      <c r="C1302" s="41" t="s">
        <v>3928</v>
      </c>
      <c r="D1302" s="39" t="s">
        <v>3481</v>
      </c>
      <c r="E1302" s="42">
        <v>46129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4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70">
        <v>46248</v>
      </c>
      <c r="X1302" s="30" t="s">
        <v>55</v>
      </c>
      <c r="Y1302" s="30" t="s">
        <v>56</v>
      </c>
      <c r="Z1302" s="30" t="s">
        <v>57</v>
      </c>
      <c r="AA1302" s="30" t="s">
        <v>58</v>
      </c>
      <c r="AB1302" s="30" t="s">
        <v>56</v>
      </c>
      <c r="AC1302" s="27"/>
      <c r="AD1302" s="31" t="s">
        <v>57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3929</v>
      </c>
      <c r="C1303" s="25" t="s">
        <v>3930</v>
      </c>
      <c r="D1303" s="23" t="s">
        <v>3481</v>
      </c>
      <c r="E1303" s="42">
        <v>46129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4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70">
        <v>46248</v>
      </c>
      <c r="X1303" s="30" t="s">
        <v>55</v>
      </c>
      <c r="Y1303" s="30" t="s">
        <v>56</v>
      </c>
      <c r="Z1303" s="30" t="s">
        <v>57</v>
      </c>
      <c r="AA1303" s="30" t="s">
        <v>58</v>
      </c>
      <c r="AB1303" s="30" t="s">
        <v>56</v>
      </c>
      <c r="AC1303" s="27"/>
      <c r="AD1303" s="31" t="s">
        <v>57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3931</v>
      </c>
      <c r="C1304" s="41" t="s">
        <v>3932</v>
      </c>
      <c r="D1304" s="39" t="s">
        <v>3481</v>
      </c>
      <c r="E1304" s="42">
        <v>46129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4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70">
        <v>46248</v>
      </c>
      <c r="X1304" s="30" t="s">
        <v>55</v>
      </c>
      <c r="Y1304" s="30" t="s">
        <v>56</v>
      </c>
      <c r="Z1304" s="30" t="s">
        <v>57</v>
      </c>
      <c r="AA1304" s="30" t="s">
        <v>58</v>
      </c>
      <c r="AB1304" s="30" t="s">
        <v>56</v>
      </c>
      <c r="AC1304" s="27"/>
      <c r="AD1304" s="31" t="s">
        <v>57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3933</v>
      </c>
      <c r="C1305" s="25" t="s">
        <v>3934</v>
      </c>
      <c r="D1305" s="23" t="s">
        <v>3481</v>
      </c>
      <c r="E1305" s="42">
        <v>46129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4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70">
        <v>46248</v>
      </c>
      <c r="X1305" s="30" t="s">
        <v>55</v>
      </c>
      <c r="Y1305" s="30" t="s">
        <v>56</v>
      </c>
      <c r="Z1305" s="30" t="s">
        <v>57</v>
      </c>
      <c r="AA1305" s="30" t="s">
        <v>58</v>
      </c>
      <c r="AB1305" s="30" t="s">
        <v>56</v>
      </c>
      <c r="AC1305" s="27"/>
      <c r="AD1305" s="31" t="s">
        <v>57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3935</v>
      </c>
      <c r="C1306" s="41" t="s">
        <v>3936</v>
      </c>
      <c r="D1306" s="39" t="s">
        <v>3481</v>
      </c>
      <c r="E1306" s="42">
        <v>46129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4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70">
        <v>46248</v>
      </c>
      <c r="X1306" s="30" t="s">
        <v>55</v>
      </c>
      <c r="Y1306" s="30" t="s">
        <v>56</v>
      </c>
      <c r="Z1306" s="30" t="s">
        <v>57</v>
      </c>
      <c r="AA1306" s="30" t="s">
        <v>58</v>
      </c>
      <c r="AB1306" s="30" t="s">
        <v>56</v>
      </c>
      <c r="AC1306" s="27"/>
      <c r="AD1306" s="31" t="s">
        <v>57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3937</v>
      </c>
      <c r="C1307" s="25" t="s">
        <v>3938</v>
      </c>
      <c r="D1307" s="23" t="s">
        <v>3481</v>
      </c>
      <c r="E1307" s="42">
        <v>46129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4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70">
        <v>46248</v>
      </c>
      <c r="X1307" s="30" t="s">
        <v>55</v>
      </c>
      <c r="Y1307" s="30" t="s">
        <v>56</v>
      </c>
      <c r="Z1307" s="30" t="s">
        <v>57</v>
      </c>
      <c r="AA1307" s="30" t="s">
        <v>58</v>
      </c>
      <c r="AB1307" s="30" t="s">
        <v>56</v>
      </c>
      <c r="AC1307" s="27"/>
      <c r="AD1307" s="31" t="s">
        <v>57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3939</v>
      </c>
      <c r="C1308" s="41" t="s">
        <v>3940</v>
      </c>
      <c r="D1308" s="39" t="s">
        <v>3481</v>
      </c>
      <c r="E1308" s="42">
        <v>46129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4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70">
        <v>46248</v>
      </c>
      <c r="X1308" s="30" t="s">
        <v>55</v>
      </c>
      <c r="Y1308" s="30" t="s">
        <v>56</v>
      </c>
      <c r="Z1308" s="30" t="s">
        <v>57</v>
      </c>
      <c r="AA1308" s="30" t="s">
        <v>58</v>
      </c>
      <c r="AB1308" s="30" t="s">
        <v>56</v>
      </c>
      <c r="AC1308" s="27"/>
      <c r="AD1308" s="31" t="s">
        <v>57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3941</v>
      </c>
      <c r="C1309" s="25" t="s">
        <v>3942</v>
      </c>
      <c r="D1309" s="23" t="s">
        <v>3481</v>
      </c>
      <c r="E1309" s="42">
        <v>46129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4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70">
        <v>46248</v>
      </c>
      <c r="X1309" s="30" t="s">
        <v>55</v>
      </c>
      <c r="Y1309" s="30" t="s">
        <v>56</v>
      </c>
      <c r="Z1309" s="30" t="s">
        <v>57</v>
      </c>
      <c r="AA1309" s="30" t="s">
        <v>58</v>
      </c>
      <c r="AB1309" s="30" t="s">
        <v>56</v>
      </c>
      <c r="AC1309" s="27"/>
      <c r="AD1309" s="31" t="s">
        <v>57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3943</v>
      </c>
      <c r="C1310" s="41" t="s">
        <v>3944</v>
      </c>
      <c r="D1310" s="39" t="s">
        <v>3481</v>
      </c>
      <c r="E1310" s="42">
        <v>46129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4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70">
        <v>46248</v>
      </c>
      <c r="X1310" s="30" t="s">
        <v>55</v>
      </c>
      <c r="Y1310" s="30" t="s">
        <v>56</v>
      </c>
      <c r="Z1310" s="30" t="s">
        <v>57</v>
      </c>
      <c r="AA1310" s="30" t="s">
        <v>58</v>
      </c>
      <c r="AB1310" s="30" t="s">
        <v>56</v>
      </c>
      <c r="AC1310" s="27"/>
      <c r="AD1310" s="31" t="s">
        <v>57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3945</v>
      </c>
      <c r="C1311" s="25" t="s">
        <v>3946</v>
      </c>
      <c r="D1311" s="23" t="s">
        <v>3481</v>
      </c>
      <c r="E1311" s="42">
        <v>46129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4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70">
        <v>46248</v>
      </c>
      <c r="X1311" s="30" t="s">
        <v>55</v>
      </c>
      <c r="Y1311" s="30" t="s">
        <v>56</v>
      </c>
      <c r="Z1311" s="30" t="s">
        <v>57</v>
      </c>
      <c r="AA1311" s="30" t="s">
        <v>58</v>
      </c>
      <c r="AB1311" s="30" t="s">
        <v>56</v>
      </c>
      <c r="AC1311" s="27"/>
      <c r="AD1311" s="31" t="s">
        <v>57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3947</v>
      </c>
      <c r="C1312" s="41" t="s">
        <v>3948</v>
      </c>
      <c r="D1312" s="39" t="s">
        <v>3481</v>
      </c>
      <c r="E1312" s="42">
        <v>46129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4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70">
        <v>46248</v>
      </c>
      <c r="X1312" s="30" t="s">
        <v>55</v>
      </c>
      <c r="Y1312" s="30" t="s">
        <v>56</v>
      </c>
      <c r="Z1312" s="30" t="s">
        <v>57</v>
      </c>
      <c r="AA1312" s="30" t="s">
        <v>58</v>
      </c>
      <c r="AB1312" s="30" t="s">
        <v>56</v>
      </c>
      <c r="AC1312" s="27"/>
      <c r="AD1312" s="31" t="s">
        <v>57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3949</v>
      </c>
      <c r="C1313" s="25" t="s">
        <v>3950</v>
      </c>
      <c r="D1313" s="23" t="s">
        <v>3481</v>
      </c>
      <c r="E1313" s="42">
        <v>46129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4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70">
        <v>46248</v>
      </c>
      <c r="X1313" s="30" t="s">
        <v>55</v>
      </c>
      <c r="Y1313" s="30" t="s">
        <v>56</v>
      </c>
      <c r="Z1313" s="30" t="s">
        <v>57</v>
      </c>
      <c r="AA1313" s="30" t="s">
        <v>58</v>
      </c>
      <c r="AB1313" s="30" t="s">
        <v>56</v>
      </c>
      <c r="AC1313" s="27"/>
      <c r="AD1313" s="31" t="s">
        <v>57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3951</v>
      </c>
      <c r="C1314" s="41" t="s">
        <v>3952</v>
      </c>
      <c r="D1314" s="39" t="s">
        <v>3481</v>
      </c>
      <c r="E1314" s="42">
        <v>46129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4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70">
        <v>46248</v>
      </c>
      <c r="X1314" s="30" t="s">
        <v>55</v>
      </c>
      <c r="Y1314" s="30" t="s">
        <v>56</v>
      </c>
      <c r="Z1314" s="30" t="s">
        <v>57</v>
      </c>
      <c r="AA1314" s="30" t="s">
        <v>58</v>
      </c>
      <c r="AB1314" s="30" t="s">
        <v>56</v>
      </c>
      <c r="AC1314" s="27"/>
      <c r="AD1314" s="31" t="s">
        <v>57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3953</v>
      </c>
      <c r="C1315" s="25" t="s">
        <v>3954</v>
      </c>
      <c r="D1315" s="23" t="s">
        <v>3481</v>
      </c>
      <c r="E1315" s="42">
        <v>46129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4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70">
        <v>46248</v>
      </c>
      <c r="X1315" s="30" t="s">
        <v>55</v>
      </c>
      <c r="Y1315" s="30" t="s">
        <v>56</v>
      </c>
      <c r="Z1315" s="30" t="s">
        <v>57</v>
      </c>
      <c r="AA1315" s="30" t="s">
        <v>58</v>
      </c>
      <c r="AB1315" s="30" t="s">
        <v>56</v>
      </c>
      <c r="AC1315" s="27"/>
      <c r="AD1315" s="31" t="s">
        <v>57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3955</v>
      </c>
      <c r="C1316" s="41" t="s">
        <v>3956</v>
      </c>
      <c r="D1316" s="39" t="s">
        <v>3481</v>
      </c>
      <c r="E1316" s="42">
        <v>46129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4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70">
        <v>46248</v>
      </c>
      <c r="X1316" s="30" t="s">
        <v>55</v>
      </c>
      <c r="Y1316" s="30" t="s">
        <v>56</v>
      </c>
      <c r="Z1316" s="30" t="s">
        <v>57</v>
      </c>
      <c r="AA1316" s="30" t="s">
        <v>58</v>
      </c>
      <c r="AB1316" s="30" t="s">
        <v>56</v>
      </c>
      <c r="AC1316" s="27"/>
      <c r="AD1316" s="31" t="s">
        <v>57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3957</v>
      </c>
      <c r="C1317" s="25" t="s">
        <v>3958</v>
      </c>
      <c r="D1317" s="23" t="s">
        <v>3481</v>
      </c>
      <c r="E1317" s="42">
        <v>46129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4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70">
        <v>46248</v>
      </c>
      <c r="X1317" s="30" t="s">
        <v>55</v>
      </c>
      <c r="Y1317" s="30" t="s">
        <v>56</v>
      </c>
      <c r="Z1317" s="30" t="s">
        <v>57</v>
      </c>
      <c r="AA1317" s="30" t="s">
        <v>58</v>
      </c>
      <c r="AB1317" s="30" t="s">
        <v>56</v>
      </c>
      <c r="AC1317" s="27"/>
      <c r="AD1317" s="31" t="s">
        <v>57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3959</v>
      </c>
      <c r="C1318" s="41" t="s">
        <v>3960</v>
      </c>
      <c r="D1318" s="39" t="s">
        <v>3481</v>
      </c>
      <c r="E1318" s="42">
        <v>46129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4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70">
        <v>46248</v>
      </c>
      <c r="X1318" s="30" t="s">
        <v>55</v>
      </c>
      <c r="Y1318" s="30" t="s">
        <v>56</v>
      </c>
      <c r="Z1318" s="30" t="s">
        <v>57</v>
      </c>
      <c r="AA1318" s="30" t="s">
        <v>58</v>
      </c>
      <c r="AB1318" s="30" t="s">
        <v>56</v>
      </c>
      <c r="AC1318" s="27"/>
      <c r="AD1318" s="31" t="s">
        <v>57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3961</v>
      </c>
      <c r="C1319" s="25" t="s">
        <v>3962</v>
      </c>
      <c r="D1319" s="23" t="s">
        <v>3481</v>
      </c>
      <c r="E1319" s="42">
        <v>46129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4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70">
        <v>46248</v>
      </c>
      <c r="X1319" s="30" t="s">
        <v>55</v>
      </c>
      <c r="Y1319" s="30" t="s">
        <v>56</v>
      </c>
      <c r="Z1319" s="30" t="s">
        <v>57</v>
      </c>
      <c r="AA1319" s="30" t="s">
        <v>58</v>
      </c>
      <c r="AB1319" s="30" t="s">
        <v>56</v>
      </c>
      <c r="AC1319" s="27"/>
      <c r="AD1319" s="31" t="s">
        <v>57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3963</v>
      </c>
      <c r="C1320" s="41" t="s">
        <v>3964</v>
      </c>
      <c r="D1320" s="39" t="s">
        <v>3481</v>
      </c>
      <c r="E1320" s="42">
        <v>46129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4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70">
        <v>46248</v>
      </c>
      <c r="X1320" s="30" t="s">
        <v>55</v>
      </c>
      <c r="Y1320" s="30" t="s">
        <v>56</v>
      </c>
      <c r="Z1320" s="30" t="s">
        <v>57</v>
      </c>
      <c r="AA1320" s="30" t="s">
        <v>58</v>
      </c>
      <c r="AB1320" s="30" t="s">
        <v>56</v>
      </c>
      <c r="AC1320" s="27"/>
      <c r="AD1320" s="31" t="s">
        <v>57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3965</v>
      </c>
      <c r="C1321" s="25" t="s">
        <v>3966</v>
      </c>
      <c r="D1321" s="23" t="s">
        <v>3481</v>
      </c>
      <c r="E1321" s="42">
        <v>46129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4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70">
        <v>46248</v>
      </c>
      <c r="X1321" s="30" t="s">
        <v>55</v>
      </c>
      <c r="Y1321" s="30" t="s">
        <v>56</v>
      </c>
      <c r="Z1321" s="30" t="s">
        <v>57</v>
      </c>
      <c r="AA1321" s="30" t="s">
        <v>58</v>
      </c>
      <c r="AB1321" s="30" t="s">
        <v>56</v>
      </c>
      <c r="AC1321" s="27"/>
      <c r="AD1321" s="31" t="s">
        <v>57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3967</v>
      </c>
      <c r="C1322" s="41" t="s">
        <v>3968</v>
      </c>
      <c r="D1322" s="39" t="s">
        <v>3481</v>
      </c>
      <c r="E1322" s="42">
        <v>46129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4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70">
        <v>46248</v>
      </c>
      <c r="X1322" s="30" t="s">
        <v>55</v>
      </c>
      <c r="Y1322" s="30" t="s">
        <v>56</v>
      </c>
      <c r="Z1322" s="30" t="s">
        <v>57</v>
      </c>
      <c r="AA1322" s="30" t="s">
        <v>58</v>
      </c>
      <c r="AB1322" s="30" t="s">
        <v>56</v>
      </c>
      <c r="AC1322" s="27"/>
      <c r="AD1322" s="31" t="s">
        <v>57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3969</v>
      </c>
      <c r="C1323" s="25" t="s">
        <v>3970</v>
      </c>
      <c r="D1323" s="23" t="s">
        <v>3481</v>
      </c>
      <c r="E1323" s="42">
        <v>46129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4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70">
        <v>46248</v>
      </c>
      <c r="X1323" s="30" t="s">
        <v>55</v>
      </c>
      <c r="Y1323" s="30" t="s">
        <v>56</v>
      </c>
      <c r="Z1323" s="30" t="s">
        <v>57</v>
      </c>
      <c r="AA1323" s="30" t="s">
        <v>58</v>
      </c>
      <c r="AB1323" s="30" t="s">
        <v>56</v>
      </c>
      <c r="AC1323" s="27"/>
      <c r="AD1323" s="31" t="s">
        <v>57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3971</v>
      </c>
      <c r="C1324" s="41" t="s">
        <v>3972</v>
      </c>
      <c r="D1324" s="39" t="s">
        <v>3481</v>
      </c>
      <c r="E1324" s="42">
        <v>46129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4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70">
        <v>46248</v>
      </c>
      <c r="X1324" s="30" t="s">
        <v>55</v>
      </c>
      <c r="Y1324" s="30" t="s">
        <v>56</v>
      </c>
      <c r="Z1324" s="30" t="s">
        <v>57</v>
      </c>
      <c r="AA1324" s="30" t="s">
        <v>58</v>
      </c>
      <c r="AB1324" s="30" t="s">
        <v>56</v>
      </c>
      <c r="AC1324" s="27"/>
      <c r="AD1324" s="31" t="s">
        <v>57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3973</v>
      </c>
      <c r="C1325" s="25" t="s">
        <v>3974</v>
      </c>
      <c r="D1325" s="23" t="s">
        <v>3481</v>
      </c>
      <c r="E1325" s="42">
        <v>46129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4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70">
        <v>46248</v>
      </c>
      <c r="X1325" s="30" t="s">
        <v>55</v>
      </c>
      <c r="Y1325" s="30" t="s">
        <v>56</v>
      </c>
      <c r="Z1325" s="30" t="s">
        <v>57</v>
      </c>
      <c r="AA1325" s="30" t="s">
        <v>58</v>
      </c>
      <c r="AB1325" s="30" t="s">
        <v>56</v>
      </c>
      <c r="AC1325" s="27"/>
      <c r="AD1325" s="31" t="s">
        <v>57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3975</v>
      </c>
      <c r="C1326" s="41" t="s">
        <v>3976</v>
      </c>
      <c r="D1326" s="39" t="s">
        <v>3481</v>
      </c>
      <c r="E1326" s="42">
        <v>46129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4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70">
        <v>46248</v>
      </c>
      <c r="X1326" s="30" t="s">
        <v>55</v>
      </c>
      <c r="Y1326" s="30" t="s">
        <v>56</v>
      </c>
      <c r="Z1326" s="30" t="s">
        <v>57</v>
      </c>
      <c r="AA1326" s="30" t="s">
        <v>58</v>
      </c>
      <c r="AB1326" s="30" t="s">
        <v>56</v>
      </c>
      <c r="AC1326" s="27"/>
      <c r="AD1326" s="31" t="s">
        <v>57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3977</v>
      </c>
      <c r="C1327" s="25" t="s">
        <v>3978</v>
      </c>
      <c r="D1327" s="23" t="s">
        <v>3481</v>
      </c>
      <c r="E1327" s="42">
        <v>46129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4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70">
        <v>46248</v>
      </c>
      <c r="X1327" s="30" t="s">
        <v>55</v>
      </c>
      <c r="Y1327" s="30" t="s">
        <v>56</v>
      </c>
      <c r="Z1327" s="30" t="s">
        <v>57</v>
      </c>
      <c r="AA1327" s="30" t="s">
        <v>58</v>
      </c>
      <c r="AB1327" s="30" t="s">
        <v>56</v>
      </c>
      <c r="AC1327" s="27"/>
      <c r="AD1327" s="31" t="s">
        <v>57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3979</v>
      </c>
      <c r="C1328" s="41" t="s">
        <v>3980</v>
      </c>
      <c r="D1328" s="39" t="s">
        <v>3481</v>
      </c>
      <c r="E1328" s="42">
        <v>46129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4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70">
        <v>46248</v>
      </c>
      <c r="X1328" s="30" t="s">
        <v>55</v>
      </c>
      <c r="Y1328" s="30" t="s">
        <v>56</v>
      </c>
      <c r="Z1328" s="30" t="s">
        <v>57</v>
      </c>
      <c r="AA1328" s="30" t="s">
        <v>58</v>
      </c>
      <c r="AB1328" s="30" t="s">
        <v>56</v>
      </c>
      <c r="AC1328" s="27"/>
      <c r="AD1328" s="31" t="s">
        <v>57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3981</v>
      </c>
      <c r="C1329" s="25" t="s">
        <v>3982</v>
      </c>
      <c r="D1329" s="23" t="s">
        <v>3481</v>
      </c>
      <c r="E1329" s="42">
        <v>46129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4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70">
        <v>46248</v>
      </c>
      <c r="X1329" s="30" t="s">
        <v>55</v>
      </c>
      <c r="Y1329" s="30" t="s">
        <v>56</v>
      </c>
      <c r="Z1329" s="30" t="s">
        <v>57</v>
      </c>
      <c r="AA1329" s="30" t="s">
        <v>58</v>
      </c>
      <c r="AB1329" s="30" t="s">
        <v>56</v>
      </c>
      <c r="AC1329" s="27"/>
      <c r="AD1329" s="31" t="s">
        <v>57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3983</v>
      </c>
      <c r="C1330" s="41" t="s">
        <v>3984</v>
      </c>
      <c r="D1330" s="39" t="s">
        <v>3481</v>
      </c>
      <c r="E1330" s="42">
        <v>46129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4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70">
        <v>46248</v>
      </c>
      <c r="X1330" s="30" t="s">
        <v>55</v>
      </c>
      <c r="Y1330" s="30" t="s">
        <v>56</v>
      </c>
      <c r="Z1330" s="30" t="s">
        <v>57</v>
      </c>
      <c r="AA1330" s="30" t="s">
        <v>58</v>
      </c>
      <c r="AB1330" s="30" t="s">
        <v>56</v>
      </c>
      <c r="AC1330" s="27"/>
      <c r="AD1330" s="31" t="s">
        <v>57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3985</v>
      </c>
      <c r="C1331" s="25" t="s">
        <v>3986</v>
      </c>
      <c r="D1331" s="23" t="s">
        <v>3481</v>
      </c>
      <c r="E1331" s="42">
        <v>46129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4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70">
        <v>46248</v>
      </c>
      <c r="X1331" s="30" t="s">
        <v>55</v>
      </c>
      <c r="Y1331" s="30" t="s">
        <v>56</v>
      </c>
      <c r="Z1331" s="30" t="s">
        <v>57</v>
      </c>
      <c r="AA1331" s="30" t="s">
        <v>58</v>
      </c>
      <c r="AB1331" s="30" t="s">
        <v>56</v>
      </c>
      <c r="AC1331" s="27"/>
      <c r="AD1331" s="31" t="s">
        <v>57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3987</v>
      </c>
      <c r="C1332" s="41" t="s">
        <v>3988</v>
      </c>
      <c r="D1332" s="39" t="s">
        <v>3481</v>
      </c>
      <c r="E1332" s="42">
        <v>46129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4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70">
        <v>46248</v>
      </c>
      <c r="X1332" s="30" t="s">
        <v>55</v>
      </c>
      <c r="Y1332" s="30" t="s">
        <v>56</v>
      </c>
      <c r="Z1332" s="30" t="s">
        <v>57</v>
      </c>
      <c r="AA1332" s="30" t="s">
        <v>58</v>
      </c>
      <c r="AB1332" s="30" t="s">
        <v>56</v>
      </c>
      <c r="AC1332" s="27"/>
      <c r="AD1332" s="31" t="s">
        <v>57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3989</v>
      </c>
      <c r="C1333" s="25" t="s">
        <v>3990</v>
      </c>
      <c r="D1333" s="23" t="s">
        <v>3481</v>
      </c>
      <c r="E1333" s="42">
        <v>46129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4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70">
        <v>46248</v>
      </c>
      <c r="X1333" s="30" t="s">
        <v>55</v>
      </c>
      <c r="Y1333" s="30" t="s">
        <v>56</v>
      </c>
      <c r="Z1333" s="30" t="s">
        <v>57</v>
      </c>
      <c r="AA1333" s="30" t="s">
        <v>58</v>
      </c>
      <c r="AB1333" s="30" t="s">
        <v>56</v>
      </c>
      <c r="AC1333" s="27"/>
      <c r="AD1333" s="31" t="s">
        <v>57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3991</v>
      </c>
      <c r="C1334" s="41" t="s">
        <v>3992</v>
      </c>
      <c r="D1334" s="39" t="s">
        <v>3481</v>
      </c>
      <c r="E1334" s="42">
        <v>46129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4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70">
        <v>46248</v>
      </c>
      <c r="X1334" s="30" t="s">
        <v>55</v>
      </c>
      <c r="Y1334" s="30" t="s">
        <v>56</v>
      </c>
      <c r="Z1334" s="30" t="s">
        <v>57</v>
      </c>
      <c r="AA1334" s="30" t="s">
        <v>58</v>
      </c>
      <c r="AB1334" s="30" t="s">
        <v>56</v>
      </c>
      <c r="AC1334" s="27"/>
      <c r="AD1334" s="31" t="s">
        <v>57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3993</v>
      </c>
      <c r="C1335" s="25" t="s">
        <v>3994</v>
      </c>
      <c r="D1335" s="23" t="s">
        <v>3481</v>
      </c>
      <c r="E1335" s="42">
        <v>46129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4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70">
        <v>46248</v>
      </c>
      <c r="X1335" s="30" t="s">
        <v>55</v>
      </c>
      <c r="Y1335" s="30" t="s">
        <v>56</v>
      </c>
      <c r="Z1335" s="30" t="s">
        <v>57</v>
      </c>
      <c r="AA1335" s="30" t="s">
        <v>58</v>
      </c>
      <c r="AB1335" s="30" t="s">
        <v>56</v>
      </c>
      <c r="AC1335" s="27"/>
      <c r="AD1335" s="31" t="s">
        <v>57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3995</v>
      </c>
      <c r="C1336" s="41" t="s">
        <v>3996</v>
      </c>
      <c r="D1336" s="39" t="s">
        <v>3481</v>
      </c>
      <c r="E1336" s="42">
        <v>46129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4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70">
        <v>46248</v>
      </c>
      <c r="X1336" s="30" t="s">
        <v>55</v>
      </c>
      <c r="Y1336" s="30" t="s">
        <v>56</v>
      </c>
      <c r="Z1336" s="30" t="s">
        <v>57</v>
      </c>
      <c r="AA1336" s="30" t="s">
        <v>58</v>
      </c>
      <c r="AB1336" s="30" t="s">
        <v>56</v>
      </c>
      <c r="AC1336" s="27"/>
      <c r="AD1336" s="31" t="s">
        <v>57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3997</v>
      </c>
      <c r="C1337" s="25" t="s">
        <v>3998</v>
      </c>
      <c r="D1337" s="23" t="s">
        <v>3481</v>
      </c>
      <c r="E1337" s="42">
        <v>46129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4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70">
        <v>46248</v>
      </c>
      <c r="X1337" s="30" t="s">
        <v>55</v>
      </c>
      <c r="Y1337" s="30" t="s">
        <v>56</v>
      </c>
      <c r="Z1337" s="30" t="s">
        <v>57</v>
      </c>
      <c r="AA1337" s="30" t="s">
        <v>58</v>
      </c>
      <c r="AB1337" s="30" t="s">
        <v>56</v>
      </c>
      <c r="AC1337" s="27"/>
      <c r="AD1337" s="31" t="s">
        <v>57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3999</v>
      </c>
      <c r="C1338" s="41" t="s">
        <v>4000</v>
      </c>
      <c r="D1338" s="39" t="s">
        <v>3481</v>
      </c>
      <c r="E1338" s="42">
        <v>46129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4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70">
        <v>46248</v>
      </c>
      <c r="X1338" s="30" t="s">
        <v>55</v>
      </c>
      <c r="Y1338" s="30" t="s">
        <v>56</v>
      </c>
      <c r="Z1338" s="30" t="s">
        <v>57</v>
      </c>
      <c r="AA1338" s="30" t="s">
        <v>58</v>
      </c>
      <c r="AB1338" s="30" t="s">
        <v>56</v>
      </c>
      <c r="AC1338" s="27"/>
      <c r="AD1338" s="31" t="s">
        <v>57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4001</v>
      </c>
      <c r="C1339" s="25" t="s">
        <v>4002</v>
      </c>
      <c r="D1339" s="23" t="s">
        <v>3481</v>
      </c>
      <c r="E1339" s="42">
        <v>46129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4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70">
        <v>46248</v>
      </c>
      <c r="X1339" s="30" t="s">
        <v>55</v>
      </c>
      <c r="Y1339" s="30" t="s">
        <v>56</v>
      </c>
      <c r="Z1339" s="30" t="s">
        <v>57</v>
      </c>
      <c r="AA1339" s="30" t="s">
        <v>58</v>
      </c>
      <c r="AB1339" s="30" t="s">
        <v>56</v>
      </c>
      <c r="AC1339" s="27"/>
      <c r="AD1339" s="31" t="s">
        <v>57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4003</v>
      </c>
      <c r="C1340" s="41" t="s">
        <v>4004</v>
      </c>
      <c r="D1340" s="39" t="s">
        <v>3481</v>
      </c>
      <c r="E1340" s="42">
        <v>46129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4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70">
        <v>46248</v>
      </c>
      <c r="X1340" s="30" t="s">
        <v>55</v>
      </c>
      <c r="Y1340" s="30" t="s">
        <v>56</v>
      </c>
      <c r="Z1340" s="30" t="s">
        <v>57</v>
      </c>
      <c r="AA1340" s="30" t="s">
        <v>58</v>
      </c>
      <c r="AB1340" s="30" t="s">
        <v>56</v>
      </c>
      <c r="AC1340" s="27"/>
      <c r="AD1340" s="31" t="s">
        <v>57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4005</v>
      </c>
      <c r="C1341" s="25" t="s">
        <v>4006</v>
      </c>
      <c r="D1341" s="23" t="s">
        <v>3481</v>
      </c>
      <c r="E1341" s="42">
        <v>46129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4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70">
        <v>46248</v>
      </c>
      <c r="X1341" s="30" t="s">
        <v>55</v>
      </c>
      <c r="Y1341" s="30" t="s">
        <v>56</v>
      </c>
      <c r="Z1341" s="30" t="s">
        <v>57</v>
      </c>
      <c r="AA1341" s="30" t="s">
        <v>58</v>
      </c>
      <c r="AB1341" s="30" t="s">
        <v>56</v>
      </c>
      <c r="AC1341" s="27"/>
      <c r="AD1341" s="31" t="s">
        <v>57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4007</v>
      </c>
      <c r="C1342" s="41" t="s">
        <v>4008</v>
      </c>
      <c r="D1342" s="39" t="s">
        <v>3481</v>
      </c>
      <c r="E1342" s="42">
        <v>46129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4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70">
        <v>46248</v>
      </c>
      <c r="X1342" s="30" t="s">
        <v>55</v>
      </c>
      <c r="Y1342" s="30" t="s">
        <v>56</v>
      </c>
      <c r="Z1342" s="30" t="s">
        <v>57</v>
      </c>
      <c r="AA1342" s="30" t="s">
        <v>58</v>
      </c>
      <c r="AB1342" s="30" t="s">
        <v>56</v>
      </c>
      <c r="AC1342" s="27"/>
      <c r="AD1342" s="31" t="s">
        <v>57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4009</v>
      </c>
      <c r="C1343" s="25" t="s">
        <v>4010</v>
      </c>
      <c r="D1343" s="23" t="s">
        <v>3481</v>
      </c>
      <c r="E1343" s="42">
        <v>46129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4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70">
        <v>46248</v>
      </c>
      <c r="X1343" s="30" t="s">
        <v>55</v>
      </c>
      <c r="Y1343" s="30" t="s">
        <v>56</v>
      </c>
      <c r="Z1343" s="30" t="s">
        <v>57</v>
      </c>
      <c r="AA1343" s="30" t="s">
        <v>58</v>
      </c>
      <c r="AB1343" s="30" t="s">
        <v>56</v>
      </c>
      <c r="AC1343" s="27"/>
      <c r="AD1343" s="31" t="s">
        <v>57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4011</v>
      </c>
      <c r="C1344" s="41" t="s">
        <v>4012</v>
      </c>
      <c r="D1344" s="39" t="s">
        <v>3481</v>
      </c>
      <c r="E1344" s="42">
        <v>46129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4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70">
        <v>46248</v>
      </c>
      <c r="X1344" s="30" t="s">
        <v>55</v>
      </c>
      <c r="Y1344" s="30" t="s">
        <v>56</v>
      </c>
      <c r="Z1344" s="30" t="s">
        <v>57</v>
      </c>
      <c r="AA1344" s="30" t="s">
        <v>58</v>
      </c>
      <c r="AB1344" s="30" t="s">
        <v>56</v>
      </c>
      <c r="AC1344" s="27"/>
      <c r="AD1344" s="31" t="s">
        <v>57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4013</v>
      </c>
      <c r="C1345" s="25" t="s">
        <v>4014</v>
      </c>
      <c r="D1345" s="23" t="s">
        <v>3481</v>
      </c>
      <c r="E1345" s="42">
        <v>46129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4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70">
        <v>46248</v>
      </c>
      <c r="X1345" s="30" t="s">
        <v>55</v>
      </c>
      <c r="Y1345" s="30" t="s">
        <v>56</v>
      </c>
      <c r="Z1345" s="30" t="s">
        <v>57</v>
      </c>
      <c r="AA1345" s="30" t="s">
        <v>58</v>
      </c>
      <c r="AB1345" s="30" t="s">
        <v>56</v>
      </c>
      <c r="AC1345" s="27"/>
      <c r="AD1345" s="31" t="s">
        <v>57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4015</v>
      </c>
      <c r="C1346" s="41" t="s">
        <v>4016</v>
      </c>
      <c r="D1346" s="39" t="s">
        <v>3481</v>
      </c>
      <c r="E1346" s="42">
        <v>46129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4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70">
        <v>46248</v>
      </c>
      <c r="X1346" s="30" t="s">
        <v>55</v>
      </c>
      <c r="Y1346" s="30" t="s">
        <v>56</v>
      </c>
      <c r="Z1346" s="30" t="s">
        <v>57</v>
      </c>
      <c r="AA1346" s="30" t="s">
        <v>58</v>
      </c>
      <c r="AB1346" s="30" t="s">
        <v>56</v>
      </c>
      <c r="AC1346" s="27"/>
      <c r="AD1346" s="31" t="s">
        <v>57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4017</v>
      </c>
      <c r="C1347" s="25" t="s">
        <v>4018</v>
      </c>
      <c r="D1347" s="23" t="s">
        <v>3481</v>
      </c>
      <c r="E1347" s="42">
        <v>46129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57</v>
      </c>
      <c r="K1347" s="27" t="s">
        <v>4019</v>
      </c>
      <c r="L1347" s="28" t="s">
        <v>56</v>
      </c>
      <c r="M1347" s="29" t="str">
        <f t="shared" si="100"/>
        <v>⚠ Check</v>
      </c>
      <c r="N1347" s="4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57</v>
      </c>
      <c r="T1347" s="27" t="s">
        <v>4019</v>
      </c>
      <c r="U1347" s="28" t="s">
        <v>57</v>
      </c>
      <c r="V1347" s="29" t="str">
        <f t="shared" si="101"/>
        <v>⚠ Check</v>
      </c>
      <c r="W1347" s="70">
        <v>46248</v>
      </c>
      <c r="X1347" s="30" t="s">
        <v>55</v>
      </c>
      <c r="Y1347" s="30" t="s">
        <v>56</v>
      </c>
      <c r="Z1347" s="30" t="s">
        <v>57</v>
      </c>
      <c r="AA1347" s="30" t="s">
        <v>58</v>
      </c>
      <c r="AB1347" s="30" t="s">
        <v>57</v>
      </c>
      <c r="AC1347" s="27" t="s">
        <v>4019</v>
      </c>
      <c r="AD1347" s="31" t="s">
        <v>57</v>
      </c>
      <c r="AE1347" s="32" t="str">
        <f t="shared" si="102"/>
        <v>⚠ Check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4020</v>
      </c>
      <c r="C1348" s="41" t="s">
        <v>4021</v>
      </c>
      <c r="D1348" s="39" t="s">
        <v>3481</v>
      </c>
      <c r="E1348" s="42">
        <v>46129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4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70">
        <v>46248</v>
      </c>
      <c r="X1348" s="30" t="s">
        <v>55</v>
      </c>
      <c r="Y1348" s="30" t="s">
        <v>56</v>
      </c>
      <c r="Z1348" s="30" t="s">
        <v>57</v>
      </c>
      <c r="AA1348" s="30" t="s">
        <v>58</v>
      </c>
      <c r="AB1348" s="30" t="s">
        <v>56</v>
      </c>
      <c r="AC1348" s="27"/>
      <c r="AD1348" s="31" t="s">
        <v>57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4022</v>
      </c>
      <c r="C1349" s="25" t="s">
        <v>4023</v>
      </c>
      <c r="D1349" s="23" t="s">
        <v>3481</v>
      </c>
      <c r="E1349" s="42">
        <v>46129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4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70">
        <v>46248</v>
      </c>
      <c r="X1349" s="30" t="s">
        <v>55</v>
      </c>
      <c r="Y1349" s="30" t="s">
        <v>56</v>
      </c>
      <c r="Z1349" s="30" t="s">
        <v>57</v>
      </c>
      <c r="AA1349" s="30" t="s">
        <v>58</v>
      </c>
      <c r="AB1349" s="30" t="s">
        <v>56</v>
      </c>
      <c r="AC1349" s="27"/>
      <c r="AD1349" s="31" t="s">
        <v>57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4024</v>
      </c>
      <c r="C1350" s="41" t="s">
        <v>4025</v>
      </c>
      <c r="D1350" s="39" t="s">
        <v>3481</v>
      </c>
      <c r="E1350" s="42">
        <v>46129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4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70">
        <v>46248</v>
      </c>
      <c r="X1350" s="30" t="s">
        <v>55</v>
      </c>
      <c r="Y1350" s="30" t="s">
        <v>56</v>
      </c>
      <c r="Z1350" s="30" t="s">
        <v>57</v>
      </c>
      <c r="AA1350" s="30" t="s">
        <v>58</v>
      </c>
      <c r="AB1350" s="30" t="s">
        <v>56</v>
      </c>
      <c r="AC1350" s="27"/>
      <c r="AD1350" s="31" t="s">
        <v>57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4026</v>
      </c>
      <c r="C1351" s="25" t="s">
        <v>4027</v>
      </c>
      <c r="D1351" s="23" t="s">
        <v>3481</v>
      </c>
      <c r="E1351" s="42">
        <v>46129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4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70">
        <v>46248</v>
      </c>
      <c r="X1351" s="30" t="s">
        <v>55</v>
      </c>
      <c r="Y1351" s="30" t="s">
        <v>56</v>
      </c>
      <c r="Z1351" s="30" t="s">
        <v>57</v>
      </c>
      <c r="AA1351" s="30" t="s">
        <v>58</v>
      </c>
      <c r="AB1351" s="30" t="s">
        <v>56</v>
      </c>
      <c r="AC1351" s="27"/>
      <c r="AD1351" s="31" t="s">
        <v>57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4028</v>
      </c>
      <c r="C1352" s="41" t="s">
        <v>4029</v>
      </c>
      <c r="D1352" s="39" t="s">
        <v>3481</v>
      </c>
      <c r="E1352" s="42">
        <v>46129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4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70">
        <v>46248</v>
      </c>
      <c r="X1352" s="30" t="s">
        <v>55</v>
      </c>
      <c r="Y1352" s="30" t="s">
        <v>56</v>
      </c>
      <c r="Z1352" s="30" t="s">
        <v>57</v>
      </c>
      <c r="AA1352" s="30" t="s">
        <v>58</v>
      </c>
      <c r="AB1352" s="30" t="s">
        <v>56</v>
      </c>
      <c r="AC1352" s="27"/>
      <c r="AD1352" s="31" t="s">
        <v>57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4030</v>
      </c>
      <c r="C1353" s="25" t="s">
        <v>4031</v>
      </c>
      <c r="D1353" s="23" t="s">
        <v>3481</v>
      </c>
      <c r="E1353" s="42">
        <v>46129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4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70">
        <v>46248</v>
      </c>
      <c r="X1353" s="30" t="s">
        <v>55</v>
      </c>
      <c r="Y1353" s="30" t="s">
        <v>56</v>
      </c>
      <c r="Z1353" s="30" t="s">
        <v>57</v>
      </c>
      <c r="AA1353" s="30" t="s">
        <v>58</v>
      </c>
      <c r="AB1353" s="30" t="s">
        <v>56</v>
      </c>
      <c r="AC1353" s="27"/>
      <c r="AD1353" s="31" t="s">
        <v>57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4032</v>
      </c>
      <c r="C1354" s="41" t="s">
        <v>4033</v>
      </c>
      <c r="D1354" s="39" t="s">
        <v>3481</v>
      </c>
      <c r="E1354" s="42">
        <v>46129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4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70">
        <v>46248</v>
      </c>
      <c r="X1354" s="30" t="s">
        <v>55</v>
      </c>
      <c r="Y1354" s="30" t="s">
        <v>56</v>
      </c>
      <c r="Z1354" s="30" t="s">
        <v>57</v>
      </c>
      <c r="AA1354" s="30" t="s">
        <v>58</v>
      </c>
      <c r="AB1354" s="30" t="s">
        <v>56</v>
      </c>
      <c r="AC1354" s="27"/>
      <c r="AD1354" s="31" t="s">
        <v>57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4034</v>
      </c>
      <c r="C1355" s="25" t="s">
        <v>4035</v>
      </c>
      <c r="D1355" s="23" t="s">
        <v>3481</v>
      </c>
      <c r="E1355" s="42">
        <v>46129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4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70">
        <v>46248</v>
      </c>
      <c r="X1355" s="30" t="s">
        <v>55</v>
      </c>
      <c r="Y1355" s="30" t="s">
        <v>56</v>
      </c>
      <c r="Z1355" s="30" t="s">
        <v>57</v>
      </c>
      <c r="AA1355" s="30" t="s">
        <v>58</v>
      </c>
      <c r="AB1355" s="30" t="s">
        <v>56</v>
      </c>
      <c r="AC1355" s="27"/>
      <c r="AD1355" s="31" t="s">
        <v>57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4036</v>
      </c>
      <c r="C1356" s="41" t="s">
        <v>4037</v>
      </c>
      <c r="D1356" s="39" t="s">
        <v>3481</v>
      </c>
      <c r="E1356" s="42">
        <v>46129</v>
      </c>
      <c r="F1356" s="26" t="s">
        <v>55</v>
      </c>
      <c r="G1356" s="26" t="s">
        <v>56</v>
      </c>
      <c r="H1356" s="26" t="s">
        <v>57</v>
      </c>
      <c r="I1356" s="26" t="s">
        <v>277</v>
      </c>
      <c r="J1356" s="26" t="s">
        <v>57</v>
      </c>
      <c r="K1356" s="27" t="s">
        <v>4019</v>
      </c>
      <c r="L1356" s="28" t="s">
        <v>56</v>
      </c>
      <c r="M1356" s="29" t="str">
        <f t="shared" si="105"/>
        <v>⚠ Check</v>
      </c>
      <c r="N1356" s="42">
        <v>46185</v>
      </c>
      <c r="O1356" s="26" t="s">
        <v>55</v>
      </c>
      <c r="P1356" s="26" t="s">
        <v>56</v>
      </c>
      <c r="Q1356" s="26" t="s">
        <v>57</v>
      </c>
      <c r="R1356" s="26" t="s">
        <v>277</v>
      </c>
      <c r="S1356" s="26" t="s">
        <v>57</v>
      </c>
      <c r="T1356" s="27" t="s">
        <v>4019</v>
      </c>
      <c r="U1356" s="28" t="s">
        <v>56</v>
      </c>
      <c r="V1356" s="29" t="str">
        <f t="shared" si="106"/>
        <v>⚠ Check</v>
      </c>
      <c r="W1356" s="70">
        <v>46248</v>
      </c>
      <c r="X1356" s="30" t="s">
        <v>55</v>
      </c>
      <c r="Y1356" s="30" t="s">
        <v>56</v>
      </c>
      <c r="Z1356" s="30" t="s">
        <v>57</v>
      </c>
      <c r="AA1356" s="30" t="s">
        <v>277</v>
      </c>
      <c r="AB1356" s="30" t="s">
        <v>57</v>
      </c>
      <c r="AC1356" s="27" t="s">
        <v>4019</v>
      </c>
      <c r="AD1356" s="31" t="s">
        <v>56</v>
      </c>
      <c r="AE1356" s="32" t="str">
        <f t="shared" si="107"/>
        <v>⚠ Check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4038</v>
      </c>
      <c r="C1357" s="25" t="s">
        <v>4039</v>
      </c>
      <c r="D1357" s="23" t="s">
        <v>3481</v>
      </c>
      <c r="E1357" s="42">
        <v>46129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4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70">
        <v>46248</v>
      </c>
      <c r="X1357" s="30" t="s">
        <v>55</v>
      </c>
      <c r="Y1357" s="30" t="s">
        <v>56</v>
      </c>
      <c r="Z1357" s="30" t="s">
        <v>57</v>
      </c>
      <c r="AA1357" s="30" t="s">
        <v>58</v>
      </c>
      <c r="AB1357" s="30" t="s">
        <v>56</v>
      </c>
      <c r="AC1357" s="27"/>
      <c r="AD1357" s="31" t="s">
        <v>57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4040</v>
      </c>
      <c r="C1358" s="41" t="s">
        <v>4041</v>
      </c>
      <c r="D1358" s="39" t="s">
        <v>3481</v>
      </c>
      <c r="E1358" s="42">
        <v>46129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4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70">
        <v>46248</v>
      </c>
      <c r="X1358" s="30" t="s">
        <v>55</v>
      </c>
      <c r="Y1358" s="30" t="s">
        <v>56</v>
      </c>
      <c r="Z1358" s="30" t="s">
        <v>57</v>
      </c>
      <c r="AA1358" s="30" t="s">
        <v>58</v>
      </c>
      <c r="AB1358" s="30" t="s">
        <v>56</v>
      </c>
      <c r="AC1358" s="27"/>
      <c r="AD1358" s="31" t="s">
        <v>57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4042</v>
      </c>
      <c r="C1359" s="25" t="s">
        <v>4043</v>
      </c>
      <c r="D1359" s="23" t="s">
        <v>3481</v>
      </c>
      <c r="E1359" s="42">
        <v>46129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4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70">
        <v>46248</v>
      </c>
      <c r="X1359" s="30" t="s">
        <v>55</v>
      </c>
      <c r="Y1359" s="30" t="s">
        <v>56</v>
      </c>
      <c r="Z1359" s="30" t="s">
        <v>57</v>
      </c>
      <c r="AA1359" s="30" t="s">
        <v>58</v>
      </c>
      <c r="AB1359" s="30" t="s">
        <v>56</v>
      </c>
      <c r="AC1359" s="27"/>
      <c r="AD1359" s="31" t="s">
        <v>57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4044</v>
      </c>
      <c r="C1360" s="41" t="s">
        <v>4045</v>
      </c>
      <c r="D1360" s="39" t="s">
        <v>3481</v>
      </c>
      <c r="E1360" s="42">
        <v>46129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4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70">
        <v>46248</v>
      </c>
      <c r="X1360" s="30" t="s">
        <v>55</v>
      </c>
      <c r="Y1360" s="30" t="s">
        <v>56</v>
      </c>
      <c r="Z1360" s="30" t="s">
        <v>57</v>
      </c>
      <c r="AA1360" s="30" t="s">
        <v>58</v>
      </c>
      <c r="AB1360" s="30" t="s">
        <v>56</v>
      </c>
      <c r="AC1360" s="27"/>
      <c r="AD1360" s="31" t="s">
        <v>57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4046</v>
      </c>
      <c r="C1361" s="25" t="s">
        <v>4047</v>
      </c>
      <c r="D1361" s="23" t="s">
        <v>3481</v>
      </c>
      <c r="E1361" s="42">
        <v>46129</v>
      </c>
      <c r="F1361" s="26" t="s">
        <v>55</v>
      </c>
      <c r="G1361" s="26" t="s">
        <v>56</v>
      </c>
      <c r="H1361" s="26" t="s">
        <v>57</v>
      </c>
      <c r="I1361" s="26" t="s">
        <v>277</v>
      </c>
      <c r="J1361" s="26" t="s">
        <v>57</v>
      </c>
      <c r="K1361" s="27" t="s">
        <v>4019</v>
      </c>
      <c r="L1361" s="28" t="s">
        <v>56</v>
      </c>
      <c r="M1361" s="29" t="str">
        <f t="shared" si="105"/>
        <v>⚠ Check</v>
      </c>
      <c r="N1361" s="42">
        <v>46185</v>
      </c>
      <c r="O1361" s="26" t="s">
        <v>55</v>
      </c>
      <c r="P1361" s="26" t="s">
        <v>56</v>
      </c>
      <c r="Q1361" s="26" t="s">
        <v>57</v>
      </c>
      <c r="R1361" s="26" t="s">
        <v>277</v>
      </c>
      <c r="S1361" s="26" t="s">
        <v>57</v>
      </c>
      <c r="T1361" s="27" t="s">
        <v>4019</v>
      </c>
      <c r="U1361" s="28" t="s">
        <v>56</v>
      </c>
      <c r="V1361" s="29" t="str">
        <f t="shared" si="106"/>
        <v>⚠ Check</v>
      </c>
      <c r="W1361" s="70">
        <v>46248</v>
      </c>
      <c r="X1361" s="30" t="s">
        <v>55</v>
      </c>
      <c r="Y1361" s="30" t="s">
        <v>56</v>
      </c>
      <c r="Z1361" s="30" t="s">
        <v>57</v>
      </c>
      <c r="AA1361" s="30" t="s">
        <v>277</v>
      </c>
      <c r="AB1361" s="30" t="s">
        <v>57</v>
      </c>
      <c r="AC1361" s="27" t="s">
        <v>4019</v>
      </c>
      <c r="AD1361" s="31" t="s">
        <v>56</v>
      </c>
      <c r="AE1361" s="32" t="str">
        <f t="shared" si="107"/>
        <v>⚠ Check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4048</v>
      </c>
      <c r="C1362" s="41" t="s">
        <v>4049</v>
      </c>
      <c r="D1362" s="39" t="s">
        <v>3481</v>
      </c>
      <c r="E1362" s="42">
        <v>46129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4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70">
        <v>46248</v>
      </c>
      <c r="X1362" s="30" t="s">
        <v>55</v>
      </c>
      <c r="Y1362" s="30" t="s">
        <v>56</v>
      </c>
      <c r="Z1362" s="30" t="s">
        <v>57</v>
      </c>
      <c r="AA1362" s="30" t="s">
        <v>58</v>
      </c>
      <c r="AB1362" s="30" t="s">
        <v>56</v>
      </c>
      <c r="AC1362" s="27"/>
      <c r="AD1362" s="31" t="s">
        <v>57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4050</v>
      </c>
      <c r="C1363" s="25" t="s">
        <v>4051</v>
      </c>
      <c r="D1363" s="23" t="s">
        <v>3481</v>
      </c>
      <c r="E1363" s="42">
        <v>46129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4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70">
        <v>46248</v>
      </c>
      <c r="X1363" s="30" t="s">
        <v>55</v>
      </c>
      <c r="Y1363" s="30" t="s">
        <v>56</v>
      </c>
      <c r="Z1363" s="30" t="s">
        <v>57</v>
      </c>
      <c r="AA1363" s="30" t="s">
        <v>58</v>
      </c>
      <c r="AB1363" s="30" t="s">
        <v>56</v>
      </c>
      <c r="AC1363" s="27"/>
      <c r="AD1363" s="31" t="s">
        <v>57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4052</v>
      </c>
      <c r="C1364" s="41" t="s">
        <v>4053</v>
      </c>
      <c r="D1364" s="39" t="s">
        <v>3481</v>
      </c>
      <c r="E1364" s="42">
        <v>46129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4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70">
        <v>46248</v>
      </c>
      <c r="X1364" s="30" t="s">
        <v>55</v>
      </c>
      <c r="Y1364" s="30" t="s">
        <v>56</v>
      </c>
      <c r="Z1364" s="30" t="s">
        <v>57</v>
      </c>
      <c r="AA1364" s="30" t="s">
        <v>58</v>
      </c>
      <c r="AB1364" s="30" t="s">
        <v>56</v>
      </c>
      <c r="AC1364" s="27"/>
      <c r="AD1364" s="31" t="s">
        <v>57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4054</v>
      </c>
      <c r="C1365" s="25" t="s">
        <v>4055</v>
      </c>
      <c r="D1365" s="23" t="s">
        <v>3481</v>
      </c>
      <c r="E1365" s="42">
        <v>46129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4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70">
        <v>46248</v>
      </c>
      <c r="X1365" s="30" t="s">
        <v>55</v>
      </c>
      <c r="Y1365" s="30" t="s">
        <v>56</v>
      </c>
      <c r="Z1365" s="30" t="s">
        <v>57</v>
      </c>
      <c r="AA1365" s="30" t="s">
        <v>58</v>
      </c>
      <c r="AB1365" s="30" t="s">
        <v>56</v>
      </c>
      <c r="AC1365" s="27"/>
      <c r="AD1365" s="31" t="s">
        <v>57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4056</v>
      </c>
      <c r="C1366" s="41" t="s">
        <v>4057</v>
      </c>
      <c r="D1366" s="39" t="s">
        <v>3481</v>
      </c>
      <c r="E1366" s="42">
        <v>46129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4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70">
        <v>46248</v>
      </c>
      <c r="X1366" s="30" t="s">
        <v>55</v>
      </c>
      <c r="Y1366" s="30" t="s">
        <v>56</v>
      </c>
      <c r="Z1366" s="30" t="s">
        <v>57</v>
      </c>
      <c r="AA1366" s="30" t="s">
        <v>58</v>
      </c>
      <c r="AB1366" s="30" t="s">
        <v>56</v>
      </c>
      <c r="AC1366" s="27"/>
      <c r="AD1366" s="31" t="s">
        <v>57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4058</v>
      </c>
      <c r="C1367" s="25" t="s">
        <v>4059</v>
      </c>
      <c r="D1367" s="23" t="s">
        <v>3481</v>
      </c>
      <c r="E1367" s="42">
        <v>46129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4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70">
        <v>46248</v>
      </c>
      <c r="X1367" s="30" t="s">
        <v>55</v>
      </c>
      <c r="Y1367" s="30" t="s">
        <v>56</v>
      </c>
      <c r="Z1367" s="30" t="s">
        <v>57</v>
      </c>
      <c r="AA1367" s="30" t="s">
        <v>58</v>
      </c>
      <c r="AB1367" s="30" t="s">
        <v>56</v>
      </c>
      <c r="AC1367" s="27"/>
      <c r="AD1367" s="31" t="s">
        <v>57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4060</v>
      </c>
      <c r="C1368" s="41" t="s">
        <v>4061</v>
      </c>
      <c r="D1368" s="39" t="s">
        <v>3481</v>
      </c>
      <c r="E1368" s="42">
        <v>46129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4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70">
        <v>46248</v>
      </c>
      <c r="X1368" s="30" t="s">
        <v>55</v>
      </c>
      <c r="Y1368" s="30" t="s">
        <v>56</v>
      </c>
      <c r="Z1368" s="30" t="s">
        <v>57</v>
      </c>
      <c r="AA1368" s="30" t="s">
        <v>58</v>
      </c>
      <c r="AB1368" s="30" t="s">
        <v>56</v>
      </c>
      <c r="AC1368" s="27"/>
      <c r="AD1368" s="31" t="s">
        <v>57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4062</v>
      </c>
      <c r="C1369" s="25" t="s">
        <v>4063</v>
      </c>
      <c r="D1369" s="23" t="s">
        <v>3481</v>
      </c>
      <c r="E1369" s="42">
        <v>46129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4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70">
        <v>46248</v>
      </c>
      <c r="X1369" s="30" t="s">
        <v>55</v>
      </c>
      <c r="Y1369" s="30" t="s">
        <v>56</v>
      </c>
      <c r="Z1369" s="30" t="s">
        <v>57</v>
      </c>
      <c r="AA1369" s="30" t="s">
        <v>58</v>
      </c>
      <c r="AB1369" s="30" t="s">
        <v>56</v>
      </c>
      <c r="AC1369" s="27"/>
      <c r="AD1369" s="31" t="s">
        <v>57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4064</v>
      </c>
      <c r="C1370" s="41" t="s">
        <v>4065</v>
      </c>
      <c r="D1370" s="39" t="s">
        <v>3481</v>
      </c>
      <c r="E1370" s="42">
        <v>46129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4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70">
        <v>46248</v>
      </c>
      <c r="X1370" s="30" t="s">
        <v>55</v>
      </c>
      <c r="Y1370" s="30" t="s">
        <v>56</v>
      </c>
      <c r="Z1370" s="30" t="s">
        <v>57</v>
      </c>
      <c r="AA1370" s="30" t="s">
        <v>58</v>
      </c>
      <c r="AB1370" s="30" t="s">
        <v>56</v>
      </c>
      <c r="AC1370" s="27"/>
      <c r="AD1370" s="31" t="s">
        <v>57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4066</v>
      </c>
      <c r="C1371" s="25" t="s">
        <v>4067</v>
      </c>
      <c r="D1371" s="23" t="s">
        <v>3481</v>
      </c>
      <c r="E1371" s="42">
        <v>46129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4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70">
        <v>46248</v>
      </c>
      <c r="X1371" s="30" t="s">
        <v>55</v>
      </c>
      <c r="Y1371" s="30" t="s">
        <v>56</v>
      </c>
      <c r="Z1371" s="30" t="s">
        <v>57</v>
      </c>
      <c r="AA1371" s="30" t="s">
        <v>58</v>
      </c>
      <c r="AB1371" s="30" t="s">
        <v>56</v>
      </c>
      <c r="AC1371" s="27"/>
      <c r="AD1371" s="31" t="s">
        <v>57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4068</v>
      </c>
      <c r="C1372" s="41" t="s">
        <v>4069</v>
      </c>
      <c r="D1372" s="39" t="s">
        <v>3481</v>
      </c>
      <c r="E1372" s="42">
        <v>46129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4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70">
        <v>46248</v>
      </c>
      <c r="X1372" s="30" t="s">
        <v>55</v>
      </c>
      <c r="Y1372" s="30" t="s">
        <v>56</v>
      </c>
      <c r="Z1372" s="30" t="s">
        <v>57</v>
      </c>
      <c r="AA1372" s="30" t="s">
        <v>58</v>
      </c>
      <c r="AB1372" s="30" t="s">
        <v>56</v>
      </c>
      <c r="AC1372" s="27"/>
      <c r="AD1372" s="31" t="s">
        <v>57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4070</v>
      </c>
      <c r="C1373" s="25" t="s">
        <v>4071</v>
      </c>
      <c r="D1373" s="23" t="s">
        <v>3481</v>
      </c>
      <c r="E1373" s="42">
        <v>46129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4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70">
        <v>46248</v>
      </c>
      <c r="X1373" s="30" t="s">
        <v>55</v>
      </c>
      <c r="Y1373" s="30" t="s">
        <v>56</v>
      </c>
      <c r="Z1373" s="30" t="s">
        <v>57</v>
      </c>
      <c r="AA1373" s="30" t="s">
        <v>58</v>
      </c>
      <c r="AB1373" s="30" t="s">
        <v>56</v>
      </c>
      <c r="AC1373" s="27"/>
      <c r="AD1373" s="31" t="s">
        <v>57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4072</v>
      </c>
      <c r="C1374" s="41" t="s">
        <v>4073</v>
      </c>
      <c r="D1374" s="39" t="s">
        <v>3481</v>
      </c>
      <c r="E1374" s="42">
        <v>46129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4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70">
        <v>46248</v>
      </c>
      <c r="X1374" s="30" t="s">
        <v>55</v>
      </c>
      <c r="Y1374" s="30" t="s">
        <v>56</v>
      </c>
      <c r="Z1374" s="30" t="s">
        <v>57</v>
      </c>
      <c r="AA1374" s="30" t="s">
        <v>58</v>
      </c>
      <c r="AB1374" s="30" t="s">
        <v>56</v>
      </c>
      <c r="AC1374" s="27"/>
      <c r="AD1374" s="31" t="s">
        <v>57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4074</v>
      </c>
      <c r="C1375" s="25" t="s">
        <v>4075</v>
      </c>
      <c r="D1375" s="23" t="s">
        <v>3481</v>
      </c>
      <c r="E1375" s="42">
        <v>46129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4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70">
        <v>46248</v>
      </c>
      <c r="X1375" s="30" t="s">
        <v>55</v>
      </c>
      <c r="Y1375" s="30" t="s">
        <v>56</v>
      </c>
      <c r="Z1375" s="30" t="s">
        <v>57</v>
      </c>
      <c r="AA1375" s="30" t="s">
        <v>58</v>
      </c>
      <c r="AB1375" s="30" t="s">
        <v>56</v>
      </c>
      <c r="AC1375" s="27"/>
      <c r="AD1375" s="31" t="s">
        <v>57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4076</v>
      </c>
      <c r="C1376" s="41" t="s">
        <v>4077</v>
      </c>
      <c r="D1376" s="39" t="s">
        <v>3481</v>
      </c>
      <c r="E1376" s="42">
        <v>46129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4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70">
        <v>46248</v>
      </c>
      <c r="X1376" s="30" t="s">
        <v>55</v>
      </c>
      <c r="Y1376" s="30" t="s">
        <v>56</v>
      </c>
      <c r="Z1376" s="30" t="s">
        <v>57</v>
      </c>
      <c r="AA1376" s="30" t="s">
        <v>58</v>
      </c>
      <c r="AB1376" s="30" t="s">
        <v>56</v>
      </c>
      <c r="AC1376" s="27"/>
      <c r="AD1376" s="31" t="s">
        <v>57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4078</v>
      </c>
      <c r="C1377" s="25" t="s">
        <v>4079</v>
      </c>
      <c r="D1377" s="23" t="s">
        <v>3481</v>
      </c>
      <c r="E1377" s="42">
        <v>46129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4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70">
        <v>46248</v>
      </c>
      <c r="X1377" s="30" t="s">
        <v>55</v>
      </c>
      <c r="Y1377" s="30" t="s">
        <v>56</v>
      </c>
      <c r="Z1377" s="30" t="s">
        <v>57</v>
      </c>
      <c r="AA1377" s="30" t="s">
        <v>58</v>
      </c>
      <c r="AB1377" s="30" t="s">
        <v>56</v>
      </c>
      <c r="AC1377" s="27"/>
      <c r="AD1377" s="31" t="s">
        <v>57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4080</v>
      </c>
      <c r="C1378" s="41" t="s">
        <v>4081</v>
      </c>
      <c r="D1378" s="39" t="s">
        <v>3481</v>
      </c>
      <c r="E1378" s="42">
        <v>46129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4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70">
        <v>46248</v>
      </c>
      <c r="X1378" s="30" t="s">
        <v>55</v>
      </c>
      <c r="Y1378" s="30" t="s">
        <v>56</v>
      </c>
      <c r="Z1378" s="30" t="s">
        <v>57</v>
      </c>
      <c r="AA1378" s="30" t="s">
        <v>58</v>
      </c>
      <c r="AB1378" s="30" t="s">
        <v>56</v>
      </c>
      <c r="AC1378" s="27"/>
      <c r="AD1378" s="31" t="s">
        <v>57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4082</v>
      </c>
      <c r="C1379" s="25" t="s">
        <v>4083</v>
      </c>
      <c r="D1379" s="23" t="s">
        <v>3481</v>
      </c>
      <c r="E1379" s="42">
        <v>46129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4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70">
        <v>46248</v>
      </c>
      <c r="X1379" s="30" t="s">
        <v>55</v>
      </c>
      <c r="Y1379" s="30" t="s">
        <v>56</v>
      </c>
      <c r="Z1379" s="30" t="s">
        <v>57</v>
      </c>
      <c r="AA1379" s="30" t="s">
        <v>58</v>
      </c>
      <c r="AB1379" s="30" t="s">
        <v>56</v>
      </c>
      <c r="AC1379" s="27"/>
      <c r="AD1379" s="31" t="s">
        <v>57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4084</v>
      </c>
      <c r="C1380" s="41" t="s">
        <v>4085</v>
      </c>
      <c r="D1380" s="39" t="s">
        <v>3481</v>
      </c>
      <c r="E1380" s="42">
        <v>46129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4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70">
        <v>46248</v>
      </c>
      <c r="X1380" s="30" t="s">
        <v>55</v>
      </c>
      <c r="Y1380" s="30" t="s">
        <v>56</v>
      </c>
      <c r="Z1380" s="30" t="s">
        <v>57</v>
      </c>
      <c r="AA1380" s="30" t="s">
        <v>58</v>
      </c>
      <c r="AB1380" s="30" t="s">
        <v>56</v>
      </c>
      <c r="AC1380" s="27"/>
      <c r="AD1380" s="31" t="s">
        <v>57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4086</v>
      </c>
      <c r="C1381" s="25" t="s">
        <v>4087</v>
      </c>
      <c r="D1381" s="23" t="s">
        <v>3481</v>
      </c>
      <c r="E1381" s="42">
        <v>46129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4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70">
        <v>46248</v>
      </c>
      <c r="X1381" s="30" t="s">
        <v>55</v>
      </c>
      <c r="Y1381" s="30" t="s">
        <v>56</v>
      </c>
      <c r="Z1381" s="30" t="s">
        <v>57</v>
      </c>
      <c r="AA1381" s="30" t="s">
        <v>58</v>
      </c>
      <c r="AB1381" s="30" t="s">
        <v>56</v>
      </c>
      <c r="AC1381" s="27"/>
      <c r="AD1381" s="31" t="s">
        <v>57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4088</v>
      </c>
      <c r="C1382" s="41" t="s">
        <v>4089</v>
      </c>
      <c r="D1382" s="39" t="s">
        <v>3481</v>
      </c>
      <c r="E1382" s="42">
        <v>46129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4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70">
        <v>46248</v>
      </c>
      <c r="X1382" s="30" t="s">
        <v>55</v>
      </c>
      <c r="Y1382" s="30" t="s">
        <v>56</v>
      </c>
      <c r="Z1382" s="30" t="s">
        <v>57</v>
      </c>
      <c r="AA1382" s="30" t="s">
        <v>58</v>
      </c>
      <c r="AB1382" s="30" t="s">
        <v>56</v>
      </c>
      <c r="AC1382" s="27"/>
      <c r="AD1382" s="31" t="s">
        <v>57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4090</v>
      </c>
      <c r="C1383" s="25" t="s">
        <v>4091</v>
      </c>
      <c r="D1383" s="23" t="s">
        <v>3481</v>
      </c>
      <c r="E1383" s="42">
        <v>46129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4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70">
        <v>46248</v>
      </c>
      <c r="X1383" s="30" t="s">
        <v>55</v>
      </c>
      <c r="Y1383" s="30" t="s">
        <v>56</v>
      </c>
      <c r="Z1383" s="30" t="s">
        <v>57</v>
      </c>
      <c r="AA1383" s="30" t="s">
        <v>58</v>
      </c>
      <c r="AB1383" s="30" t="s">
        <v>56</v>
      </c>
      <c r="AC1383" s="27"/>
      <c r="AD1383" s="31" t="s">
        <v>57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4092</v>
      </c>
      <c r="C1384" s="41" t="s">
        <v>4093</v>
      </c>
      <c r="D1384" s="39" t="s">
        <v>3481</v>
      </c>
      <c r="E1384" s="42">
        <v>46129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4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70">
        <v>46248</v>
      </c>
      <c r="X1384" s="30" t="s">
        <v>55</v>
      </c>
      <c r="Y1384" s="30" t="s">
        <v>56</v>
      </c>
      <c r="Z1384" s="30" t="s">
        <v>57</v>
      </c>
      <c r="AA1384" s="30" t="s">
        <v>58</v>
      </c>
      <c r="AB1384" s="30" t="s">
        <v>56</v>
      </c>
      <c r="AC1384" s="27"/>
      <c r="AD1384" s="31" t="s">
        <v>57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4094</v>
      </c>
      <c r="C1385" s="25" t="s">
        <v>4095</v>
      </c>
      <c r="D1385" s="23" t="s">
        <v>3481</v>
      </c>
      <c r="E1385" s="42">
        <v>46129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4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70">
        <v>46248</v>
      </c>
      <c r="X1385" s="30" t="s">
        <v>55</v>
      </c>
      <c r="Y1385" s="30" t="s">
        <v>56</v>
      </c>
      <c r="Z1385" s="30" t="s">
        <v>57</v>
      </c>
      <c r="AA1385" s="30" t="s">
        <v>58</v>
      </c>
      <c r="AB1385" s="30" t="s">
        <v>56</v>
      </c>
      <c r="AC1385" s="27"/>
      <c r="AD1385" s="31" t="s">
        <v>57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4096</v>
      </c>
      <c r="C1386" s="41" t="s">
        <v>4097</v>
      </c>
      <c r="D1386" s="39" t="s">
        <v>3481</v>
      </c>
      <c r="E1386" s="42">
        <v>46129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4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70">
        <v>46248</v>
      </c>
      <c r="X1386" s="30" t="s">
        <v>55</v>
      </c>
      <c r="Y1386" s="30" t="s">
        <v>56</v>
      </c>
      <c r="Z1386" s="30" t="s">
        <v>57</v>
      </c>
      <c r="AA1386" s="30" t="s">
        <v>58</v>
      </c>
      <c r="AB1386" s="30" t="s">
        <v>56</v>
      </c>
      <c r="AC1386" s="27"/>
      <c r="AD1386" s="31" t="s">
        <v>57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4098</v>
      </c>
      <c r="C1387" s="25" t="s">
        <v>4099</v>
      </c>
      <c r="D1387" s="23" t="s">
        <v>3481</v>
      </c>
      <c r="E1387" s="42">
        <v>46129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4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70">
        <v>46248</v>
      </c>
      <c r="X1387" s="30" t="s">
        <v>55</v>
      </c>
      <c r="Y1387" s="30" t="s">
        <v>56</v>
      </c>
      <c r="Z1387" s="30" t="s">
        <v>57</v>
      </c>
      <c r="AA1387" s="30" t="s">
        <v>58</v>
      </c>
      <c r="AB1387" s="30" t="s">
        <v>56</v>
      </c>
      <c r="AC1387" s="27"/>
      <c r="AD1387" s="31" t="s">
        <v>57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4100</v>
      </c>
      <c r="C1388" s="41" t="s">
        <v>4101</v>
      </c>
      <c r="D1388" s="39" t="s">
        <v>3481</v>
      </c>
      <c r="E1388" s="42">
        <v>46129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4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70">
        <v>46248</v>
      </c>
      <c r="X1388" s="30" t="s">
        <v>55</v>
      </c>
      <c r="Y1388" s="30" t="s">
        <v>56</v>
      </c>
      <c r="Z1388" s="30" t="s">
        <v>57</v>
      </c>
      <c r="AA1388" s="30" t="s">
        <v>58</v>
      </c>
      <c r="AB1388" s="30" t="s">
        <v>56</v>
      </c>
      <c r="AC1388" s="27"/>
      <c r="AD1388" s="31" t="s">
        <v>57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4102</v>
      </c>
      <c r="C1389" s="25" t="s">
        <v>4103</v>
      </c>
      <c r="D1389" s="23" t="s">
        <v>3481</v>
      </c>
      <c r="E1389" s="42">
        <v>46129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4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70">
        <v>46248</v>
      </c>
      <c r="X1389" s="30" t="s">
        <v>55</v>
      </c>
      <c r="Y1389" s="30" t="s">
        <v>56</v>
      </c>
      <c r="Z1389" s="30" t="s">
        <v>57</v>
      </c>
      <c r="AA1389" s="30" t="s">
        <v>58</v>
      </c>
      <c r="AB1389" s="30" t="s">
        <v>56</v>
      </c>
      <c r="AC1389" s="27"/>
      <c r="AD1389" s="31" t="s">
        <v>57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4104</v>
      </c>
      <c r="C1390" s="41" t="s">
        <v>4105</v>
      </c>
      <c r="D1390" s="39" t="s">
        <v>3481</v>
      </c>
      <c r="E1390" s="42">
        <v>46129</v>
      </c>
      <c r="F1390" s="26" t="s">
        <v>55</v>
      </c>
      <c r="G1390" s="26" t="s">
        <v>56</v>
      </c>
      <c r="H1390" s="26" t="s">
        <v>57</v>
      </c>
      <c r="I1390" s="26" t="s">
        <v>277</v>
      </c>
      <c r="J1390" s="26" t="s">
        <v>57</v>
      </c>
      <c r="K1390" s="27" t="s">
        <v>4106</v>
      </c>
      <c r="L1390" s="28" t="s">
        <v>56</v>
      </c>
      <c r="M1390" s="29" t="str">
        <f t="shared" si="105"/>
        <v>⚠ Check</v>
      </c>
      <c r="N1390" s="42">
        <v>46185</v>
      </c>
      <c r="O1390" s="26" t="s">
        <v>55</v>
      </c>
      <c r="P1390" s="26" t="s">
        <v>56</v>
      </c>
      <c r="Q1390" s="26" t="s">
        <v>57</v>
      </c>
      <c r="R1390" s="26" t="s">
        <v>277</v>
      </c>
      <c r="S1390" s="26" t="s">
        <v>57</v>
      </c>
      <c r="T1390" s="27" t="s">
        <v>4106</v>
      </c>
      <c r="U1390" s="28" t="s">
        <v>56</v>
      </c>
      <c r="V1390" s="29" t="str">
        <f t="shared" si="106"/>
        <v>⚠ Check</v>
      </c>
      <c r="W1390" s="70">
        <v>46248</v>
      </c>
      <c r="X1390" s="30" t="s">
        <v>55</v>
      </c>
      <c r="Y1390" s="30" t="s">
        <v>56</v>
      </c>
      <c r="Z1390" s="30" t="s">
        <v>57</v>
      </c>
      <c r="AA1390" s="30" t="s">
        <v>277</v>
      </c>
      <c r="AB1390" s="30" t="s">
        <v>57</v>
      </c>
      <c r="AC1390" s="27" t="s">
        <v>4106</v>
      </c>
      <c r="AD1390" s="31" t="s">
        <v>56</v>
      </c>
      <c r="AE1390" s="32" t="str">
        <f t="shared" si="107"/>
        <v>⚠ Check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4107</v>
      </c>
      <c r="C1391" s="25" t="s">
        <v>4108</v>
      </c>
      <c r="D1391" s="23" t="s">
        <v>3481</v>
      </c>
      <c r="E1391" s="42">
        <v>46129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4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70">
        <v>46248</v>
      </c>
      <c r="X1391" s="30" t="s">
        <v>55</v>
      </c>
      <c r="Y1391" s="30" t="s">
        <v>56</v>
      </c>
      <c r="Z1391" s="30" t="s">
        <v>57</v>
      </c>
      <c r="AA1391" s="30" t="s">
        <v>58</v>
      </c>
      <c r="AB1391" s="30" t="s">
        <v>56</v>
      </c>
      <c r="AC1391" s="27"/>
      <c r="AD1391" s="31" t="s">
        <v>57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4109</v>
      </c>
      <c r="C1392" s="41" t="s">
        <v>4110</v>
      </c>
      <c r="D1392" s="39" t="s">
        <v>3481</v>
      </c>
      <c r="E1392" s="42">
        <v>46129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4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70">
        <v>46248</v>
      </c>
      <c r="X1392" s="30" t="s">
        <v>55</v>
      </c>
      <c r="Y1392" s="30" t="s">
        <v>56</v>
      </c>
      <c r="Z1392" s="30" t="s">
        <v>57</v>
      </c>
      <c r="AA1392" s="30" t="s">
        <v>58</v>
      </c>
      <c r="AB1392" s="30" t="s">
        <v>56</v>
      </c>
      <c r="AC1392" s="27"/>
      <c r="AD1392" s="31" t="s">
        <v>57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4111</v>
      </c>
      <c r="C1393" s="25" t="s">
        <v>4112</v>
      </c>
      <c r="D1393" s="23" t="s">
        <v>3481</v>
      </c>
      <c r="E1393" s="42">
        <v>46129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4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70">
        <v>46248</v>
      </c>
      <c r="X1393" s="30" t="s">
        <v>55</v>
      </c>
      <c r="Y1393" s="30" t="s">
        <v>56</v>
      </c>
      <c r="Z1393" s="30" t="s">
        <v>57</v>
      </c>
      <c r="AA1393" s="30" t="s">
        <v>58</v>
      </c>
      <c r="AB1393" s="30" t="s">
        <v>56</v>
      </c>
      <c r="AC1393" s="27"/>
      <c r="AD1393" s="31" t="s">
        <v>57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4113</v>
      </c>
      <c r="C1394" s="41" t="s">
        <v>4114</v>
      </c>
      <c r="D1394" s="39" t="s">
        <v>3481</v>
      </c>
      <c r="E1394" s="42">
        <v>46129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4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70">
        <v>46248</v>
      </c>
      <c r="X1394" s="30" t="s">
        <v>55</v>
      </c>
      <c r="Y1394" s="30" t="s">
        <v>56</v>
      </c>
      <c r="Z1394" s="30" t="s">
        <v>57</v>
      </c>
      <c r="AA1394" s="30" t="s">
        <v>58</v>
      </c>
      <c r="AB1394" s="30" t="s">
        <v>56</v>
      </c>
      <c r="AC1394" s="27"/>
      <c r="AD1394" s="31" t="s">
        <v>57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4115</v>
      </c>
      <c r="C1395" s="25" t="s">
        <v>4116</v>
      </c>
      <c r="D1395" s="23" t="s">
        <v>3481</v>
      </c>
      <c r="E1395" s="42">
        <v>46129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4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70">
        <v>46248</v>
      </c>
      <c r="X1395" s="30" t="s">
        <v>55</v>
      </c>
      <c r="Y1395" s="30" t="s">
        <v>56</v>
      </c>
      <c r="Z1395" s="30" t="s">
        <v>57</v>
      </c>
      <c r="AA1395" s="30" t="s">
        <v>58</v>
      </c>
      <c r="AB1395" s="30" t="s">
        <v>56</v>
      </c>
      <c r="AC1395" s="27"/>
      <c r="AD1395" s="31" t="s">
        <v>57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4117</v>
      </c>
      <c r="C1396" s="41" t="s">
        <v>4118</v>
      </c>
      <c r="D1396" s="39" t="s">
        <v>3481</v>
      </c>
      <c r="E1396" s="42">
        <v>46129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4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70">
        <v>46248</v>
      </c>
      <c r="X1396" s="30" t="s">
        <v>55</v>
      </c>
      <c r="Y1396" s="30" t="s">
        <v>56</v>
      </c>
      <c r="Z1396" s="30" t="s">
        <v>57</v>
      </c>
      <c r="AA1396" s="30" t="s">
        <v>58</v>
      </c>
      <c r="AB1396" s="30" t="s">
        <v>56</v>
      </c>
      <c r="AC1396" s="27"/>
      <c r="AD1396" s="31" t="s">
        <v>57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4119</v>
      </c>
      <c r="C1397" s="25" t="s">
        <v>4120</v>
      </c>
      <c r="D1397" s="23" t="s">
        <v>3481</v>
      </c>
      <c r="E1397" s="42">
        <v>46129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4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70">
        <v>46248</v>
      </c>
      <c r="X1397" s="30" t="s">
        <v>55</v>
      </c>
      <c r="Y1397" s="30" t="s">
        <v>56</v>
      </c>
      <c r="Z1397" s="30" t="s">
        <v>57</v>
      </c>
      <c r="AA1397" s="30" t="s">
        <v>58</v>
      </c>
      <c r="AB1397" s="30" t="s">
        <v>56</v>
      </c>
      <c r="AC1397" s="27"/>
      <c r="AD1397" s="31" t="s">
        <v>57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4121</v>
      </c>
      <c r="C1398" s="41" t="s">
        <v>4122</v>
      </c>
      <c r="D1398" s="39" t="s">
        <v>3481</v>
      </c>
      <c r="E1398" s="42">
        <v>46129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4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70">
        <v>46248</v>
      </c>
      <c r="X1398" s="30" t="s">
        <v>55</v>
      </c>
      <c r="Y1398" s="30" t="s">
        <v>56</v>
      </c>
      <c r="Z1398" s="30" t="s">
        <v>57</v>
      </c>
      <c r="AA1398" s="30" t="s">
        <v>58</v>
      </c>
      <c r="AB1398" s="30" t="s">
        <v>56</v>
      </c>
      <c r="AC1398" s="27"/>
      <c r="AD1398" s="31" t="s">
        <v>57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4123</v>
      </c>
      <c r="C1399" s="25" t="s">
        <v>4124</v>
      </c>
      <c r="D1399" s="23" t="s">
        <v>3481</v>
      </c>
      <c r="E1399" s="42">
        <v>46129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4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70">
        <v>46248</v>
      </c>
      <c r="X1399" s="30" t="s">
        <v>55</v>
      </c>
      <c r="Y1399" s="30" t="s">
        <v>56</v>
      </c>
      <c r="Z1399" s="30" t="s">
        <v>57</v>
      </c>
      <c r="AA1399" s="30" t="s">
        <v>58</v>
      </c>
      <c r="AB1399" s="30" t="s">
        <v>56</v>
      </c>
      <c r="AC1399" s="27"/>
      <c r="AD1399" s="31" t="s">
        <v>57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4125</v>
      </c>
      <c r="C1400" s="41" t="s">
        <v>4126</v>
      </c>
      <c r="D1400" s="39" t="s">
        <v>3481</v>
      </c>
      <c r="E1400" s="42">
        <v>46129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4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70">
        <v>46248</v>
      </c>
      <c r="X1400" s="30" t="s">
        <v>55</v>
      </c>
      <c r="Y1400" s="30" t="s">
        <v>56</v>
      </c>
      <c r="Z1400" s="30" t="s">
        <v>57</v>
      </c>
      <c r="AA1400" s="30" t="s">
        <v>58</v>
      </c>
      <c r="AB1400" s="30" t="s">
        <v>56</v>
      </c>
      <c r="AC1400" s="27"/>
      <c r="AD1400" s="31" t="s">
        <v>57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4127</v>
      </c>
      <c r="C1401" s="25" t="s">
        <v>4128</v>
      </c>
      <c r="D1401" s="23" t="s">
        <v>3481</v>
      </c>
      <c r="E1401" s="42">
        <v>46129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4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70">
        <v>46248</v>
      </c>
      <c r="X1401" s="30" t="s">
        <v>55</v>
      </c>
      <c r="Y1401" s="30" t="s">
        <v>56</v>
      </c>
      <c r="Z1401" s="30" t="s">
        <v>57</v>
      </c>
      <c r="AA1401" s="30" t="s">
        <v>58</v>
      </c>
      <c r="AB1401" s="30" t="s">
        <v>56</v>
      </c>
      <c r="AC1401" s="27"/>
      <c r="AD1401" s="31" t="s">
        <v>57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4129</v>
      </c>
      <c r="C1402" s="41" t="s">
        <v>4130</v>
      </c>
      <c r="D1402" s="39" t="s">
        <v>3481</v>
      </c>
      <c r="E1402" s="42">
        <v>46129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4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70">
        <v>46248</v>
      </c>
      <c r="X1402" s="30" t="s">
        <v>55</v>
      </c>
      <c r="Y1402" s="30" t="s">
        <v>56</v>
      </c>
      <c r="Z1402" s="30" t="s">
        <v>57</v>
      </c>
      <c r="AA1402" s="30" t="s">
        <v>58</v>
      </c>
      <c r="AB1402" s="30" t="s">
        <v>56</v>
      </c>
      <c r="AC1402" s="27"/>
      <c r="AD1402" s="31" t="s">
        <v>57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4131</v>
      </c>
      <c r="C1403" s="25" t="s">
        <v>4132</v>
      </c>
      <c r="D1403" s="23" t="s">
        <v>3481</v>
      </c>
      <c r="E1403" s="42">
        <v>46129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4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70">
        <v>46248</v>
      </c>
      <c r="X1403" s="30" t="s">
        <v>55</v>
      </c>
      <c r="Y1403" s="30" t="s">
        <v>56</v>
      </c>
      <c r="Z1403" s="30" t="s">
        <v>57</v>
      </c>
      <c r="AA1403" s="30" t="s">
        <v>58</v>
      </c>
      <c r="AB1403" s="30" t="s">
        <v>56</v>
      </c>
      <c r="AC1403" s="27"/>
      <c r="AD1403" s="31" t="s">
        <v>57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4133</v>
      </c>
      <c r="C1404" s="41" t="s">
        <v>4134</v>
      </c>
      <c r="D1404" s="39" t="s">
        <v>3481</v>
      </c>
      <c r="E1404" s="42">
        <v>46129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4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70">
        <v>46248</v>
      </c>
      <c r="X1404" s="30" t="s">
        <v>55</v>
      </c>
      <c r="Y1404" s="30" t="s">
        <v>56</v>
      </c>
      <c r="Z1404" s="30" t="s">
        <v>57</v>
      </c>
      <c r="AA1404" s="30" t="s">
        <v>58</v>
      </c>
      <c r="AB1404" s="30" t="s">
        <v>56</v>
      </c>
      <c r="AC1404" s="27"/>
      <c r="AD1404" s="31" t="s">
        <v>57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4135</v>
      </c>
      <c r="C1405" s="25" t="s">
        <v>4136</v>
      </c>
      <c r="D1405" s="23" t="s">
        <v>3481</v>
      </c>
      <c r="E1405" s="42">
        <v>46129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4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70">
        <v>46248</v>
      </c>
      <c r="X1405" s="30" t="s">
        <v>55</v>
      </c>
      <c r="Y1405" s="30" t="s">
        <v>56</v>
      </c>
      <c r="Z1405" s="30" t="s">
        <v>57</v>
      </c>
      <c r="AA1405" s="30" t="s">
        <v>58</v>
      </c>
      <c r="AB1405" s="30" t="s">
        <v>56</v>
      </c>
      <c r="AC1405" s="27"/>
      <c r="AD1405" s="31" t="s">
        <v>57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4137</v>
      </c>
      <c r="C1406" s="41" t="s">
        <v>4138</v>
      </c>
      <c r="D1406" s="39" t="s">
        <v>3481</v>
      </c>
      <c r="E1406" s="42">
        <v>46129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4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70">
        <v>46248</v>
      </c>
      <c r="X1406" s="30" t="s">
        <v>55</v>
      </c>
      <c r="Y1406" s="30" t="s">
        <v>56</v>
      </c>
      <c r="Z1406" s="30" t="s">
        <v>57</v>
      </c>
      <c r="AA1406" s="30" t="s">
        <v>58</v>
      </c>
      <c r="AB1406" s="30" t="s">
        <v>56</v>
      </c>
      <c r="AC1406" s="27"/>
      <c r="AD1406" s="31" t="s">
        <v>57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4139</v>
      </c>
      <c r="C1407" s="25" t="s">
        <v>4140</v>
      </c>
      <c r="D1407" s="23" t="s">
        <v>3481</v>
      </c>
      <c r="E1407" s="42">
        <v>46129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4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70">
        <v>46248</v>
      </c>
      <c r="X1407" s="30" t="s">
        <v>55</v>
      </c>
      <c r="Y1407" s="30" t="s">
        <v>56</v>
      </c>
      <c r="Z1407" s="30" t="s">
        <v>57</v>
      </c>
      <c r="AA1407" s="30" t="s">
        <v>58</v>
      </c>
      <c r="AB1407" s="30" t="s">
        <v>56</v>
      </c>
      <c r="AC1407" s="27"/>
      <c r="AD1407" s="31" t="s">
        <v>57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4141</v>
      </c>
      <c r="C1408" s="41" t="s">
        <v>4142</v>
      </c>
      <c r="D1408" s="39" t="s">
        <v>3481</v>
      </c>
      <c r="E1408" s="42">
        <v>46129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4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70">
        <v>46248</v>
      </c>
      <c r="X1408" s="30" t="s">
        <v>55</v>
      </c>
      <c r="Y1408" s="30" t="s">
        <v>56</v>
      </c>
      <c r="Z1408" s="30" t="s">
        <v>57</v>
      </c>
      <c r="AA1408" s="30" t="s">
        <v>58</v>
      </c>
      <c r="AB1408" s="30" t="s">
        <v>56</v>
      </c>
      <c r="AC1408" s="27"/>
      <c r="AD1408" s="31" t="s">
        <v>57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4143</v>
      </c>
      <c r="C1409" s="25" t="s">
        <v>4144</v>
      </c>
      <c r="D1409" s="23" t="s">
        <v>3481</v>
      </c>
      <c r="E1409" s="42">
        <v>46129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4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70">
        <v>46248</v>
      </c>
      <c r="X1409" s="30" t="s">
        <v>55</v>
      </c>
      <c r="Y1409" s="30" t="s">
        <v>56</v>
      </c>
      <c r="Z1409" s="30" t="s">
        <v>57</v>
      </c>
      <c r="AA1409" s="30" t="s">
        <v>58</v>
      </c>
      <c r="AB1409" s="30" t="s">
        <v>56</v>
      </c>
      <c r="AC1409" s="27"/>
      <c r="AD1409" s="31" t="s">
        <v>57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4145</v>
      </c>
      <c r="C1410" s="41" t="s">
        <v>4146</v>
      </c>
      <c r="D1410" s="39" t="s">
        <v>3481</v>
      </c>
      <c r="E1410" s="42">
        <v>46129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4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70">
        <v>46248</v>
      </c>
      <c r="X1410" s="30" t="s">
        <v>55</v>
      </c>
      <c r="Y1410" s="30" t="s">
        <v>56</v>
      </c>
      <c r="Z1410" s="30" t="s">
        <v>57</v>
      </c>
      <c r="AA1410" s="30" t="s">
        <v>58</v>
      </c>
      <c r="AB1410" s="30" t="s">
        <v>56</v>
      </c>
      <c r="AC1410" s="27"/>
      <c r="AD1410" s="31" t="s">
        <v>57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4147</v>
      </c>
      <c r="C1411" s="25" t="s">
        <v>4148</v>
      </c>
      <c r="D1411" s="23" t="s">
        <v>3481</v>
      </c>
      <c r="E1411" s="42">
        <v>46129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4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70">
        <v>46248</v>
      </c>
      <c r="X1411" s="30" t="s">
        <v>55</v>
      </c>
      <c r="Y1411" s="30" t="s">
        <v>56</v>
      </c>
      <c r="Z1411" s="30" t="s">
        <v>57</v>
      </c>
      <c r="AA1411" s="30" t="s">
        <v>58</v>
      </c>
      <c r="AB1411" s="30" t="s">
        <v>56</v>
      </c>
      <c r="AC1411" s="27"/>
      <c r="AD1411" s="31" t="s">
        <v>57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4149</v>
      </c>
      <c r="C1412" s="41" t="s">
        <v>4150</v>
      </c>
      <c r="D1412" s="39" t="s">
        <v>3481</v>
      </c>
      <c r="E1412" s="42">
        <v>46129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4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70">
        <v>46248</v>
      </c>
      <c r="X1412" s="30" t="s">
        <v>55</v>
      </c>
      <c r="Y1412" s="30" t="s">
        <v>56</v>
      </c>
      <c r="Z1412" s="30" t="s">
        <v>57</v>
      </c>
      <c r="AA1412" s="30" t="s">
        <v>58</v>
      </c>
      <c r="AB1412" s="30" t="s">
        <v>56</v>
      </c>
      <c r="AC1412" s="27"/>
      <c r="AD1412" s="31" t="s">
        <v>57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4151</v>
      </c>
      <c r="C1413" s="25" t="s">
        <v>4152</v>
      </c>
      <c r="D1413" s="23" t="s">
        <v>3481</v>
      </c>
      <c r="E1413" s="42">
        <v>46129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4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70">
        <v>46248</v>
      </c>
      <c r="X1413" s="30" t="s">
        <v>55</v>
      </c>
      <c r="Y1413" s="30" t="s">
        <v>56</v>
      </c>
      <c r="Z1413" s="30" t="s">
        <v>57</v>
      </c>
      <c r="AA1413" s="30" t="s">
        <v>58</v>
      </c>
      <c r="AB1413" s="30" t="s">
        <v>56</v>
      </c>
      <c r="AC1413" s="27"/>
      <c r="AD1413" s="31" t="s">
        <v>57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35" priority="15">
      <formula>G5="Yes"</formula>
    </cfRule>
    <cfRule type="expression" dxfId="434" priority="16">
      <formula>G5="No"</formula>
    </cfRule>
  </conditionalFormatting>
  <conditionalFormatting sqref="H5:H1413">
    <cfRule type="expression" dxfId="433" priority="17">
      <formula>H5="Yes"</formula>
    </cfRule>
  </conditionalFormatting>
  <conditionalFormatting sqref="J5:J1413">
    <cfRule type="expression" dxfId="432" priority="18">
      <formula>J5="Yes"</formula>
    </cfRule>
    <cfRule type="expression" dxfId="431" priority="19">
      <formula>J5="No"</formula>
    </cfRule>
  </conditionalFormatting>
  <conditionalFormatting sqref="M5:M1413">
    <cfRule type="expression" dxfId="430" priority="13">
      <formula>M5="⚠ Missing"</formula>
    </cfRule>
    <cfRule type="expression" dxfId="429" priority="11">
      <formula>M5="✓ OK"</formula>
    </cfRule>
    <cfRule type="expression" dxfId="428" priority="12">
      <formula>M5="❌ Disc"</formula>
    </cfRule>
    <cfRule type="expression" dxfId="427" priority="14">
      <formula>M5="⚠ Check"</formula>
    </cfRule>
  </conditionalFormatting>
  <conditionalFormatting sqref="N5:N1413">
    <cfRule type="expression" dxfId="426" priority="1">
      <formula>MOD(ROW(),2)=0</formula>
    </cfRule>
  </conditionalFormatting>
  <conditionalFormatting sqref="A5:M1413 O5:AW1413">
    <cfRule type="expression" dxfId="425" priority="56">
      <formula>MOD(ROW(),2)=0</formula>
    </cfRule>
  </conditionalFormatting>
  <conditionalFormatting sqref="P5:P1413">
    <cfRule type="expression" dxfId="424" priority="6">
      <formula>P5="Yes"</formula>
    </cfRule>
    <cfRule type="expression" dxfId="423" priority="7">
      <formula>P5="No"</formula>
    </cfRule>
    <cfRule type="expression" dxfId="422" priority="24">
      <formula>P5="Yes"</formula>
    </cfRule>
    <cfRule type="expression" dxfId="421" priority="25">
      <formula>P5="No"</formula>
    </cfRule>
  </conditionalFormatting>
  <conditionalFormatting sqref="Q5:Q1413">
    <cfRule type="expression" dxfId="420" priority="8">
      <formula>Q5="Yes"</formula>
    </cfRule>
  </conditionalFormatting>
  <conditionalFormatting sqref="S5:S1413">
    <cfRule type="expression" dxfId="419" priority="9">
      <formula>S5="Yes"</formula>
    </cfRule>
    <cfRule type="expression" dxfId="418" priority="10">
      <formula>S5="No"</formula>
    </cfRule>
    <cfRule type="expression" dxfId="417" priority="27">
      <formula>S5="Yes"</formula>
    </cfRule>
    <cfRule type="expression" dxfId="416" priority="28">
      <formula>S5="No"</formula>
    </cfRule>
  </conditionalFormatting>
  <conditionalFormatting sqref="V5:V1413">
    <cfRule type="expression" dxfId="415" priority="2">
      <formula>V5="✓ OK"</formula>
    </cfRule>
    <cfRule type="expression" dxfId="414" priority="3">
      <formula>V5="❌ Disc"</formula>
    </cfRule>
    <cfRule type="expression" dxfId="413" priority="4">
      <formula>V5="⚠ Missing"</formula>
    </cfRule>
    <cfRule type="expression" dxfId="412" priority="5">
      <formula>V5="⚠ Check"</formula>
    </cfRule>
    <cfRule type="expression" dxfId="411" priority="20">
      <formula>V5="✓ OK"</formula>
    </cfRule>
    <cfRule type="expression" dxfId="410" priority="21">
      <formula>V5="❌ Disc"</formula>
    </cfRule>
    <cfRule type="expression" dxfId="409" priority="22">
      <formula>V5="⚠ Missing"</formula>
    </cfRule>
    <cfRule type="expression" dxfId="408" priority="23">
      <formula>V5="⚠ Check"</formula>
    </cfRule>
  </conditionalFormatting>
  <conditionalFormatting sqref="Y5:Y1413">
    <cfRule type="expression" dxfId="407" priority="33">
      <formula>Y5="Yes"</formula>
    </cfRule>
    <cfRule type="expression" dxfId="406" priority="34">
      <formula>Y5="No"</formula>
    </cfRule>
  </conditionalFormatting>
  <conditionalFormatting sqref="Z5:Z1413">
    <cfRule type="expression" dxfId="405" priority="35">
      <formula>Z5="Yes"</formula>
    </cfRule>
  </conditionalFormatting>
  <conditionalFormatting sqref="AB5:AB1413">
    <cfRule type="expression" dxfId="404" priority="36">
      <formula>AB5="Yes"</formula>
    </cfRule>
    <cfRule type="expression" dxfId="403" priority="37">
      <formula>AB5="No"</formula>
    </cfRule>
  </conditionalFormatting>
  <conditionalFormatting sqref="AE5:AE1413">
    <cfRule type="expression" dxfId="402" priority="30">
      <formula>AE5="❌ Disc"</formula>
    </cfRule>
    <cfRule type="expression" dxfId="401" priority="31">
      <formula>AE5="⚠ Missing"</formula>
    </cfRule>
    <cfRule type="expression" dxfId="400" priority="29">
      <formula>AE5="✓ OK"</formula>
    </cfRule>
    <cfRule type="expression" dxfId="399" priority="32">
      <formula>AE5="⚠ Check"</formula>
    </cfRule>
  </conditionalFormatting>
  <conditionalFormatting sqref="AH5:AH1413">
    <cfRule type="expression" dxfId="398" priority="42">
      <formula>AH5="Yes"</formula>
    </cfRule>
    <cfRule type="expression" dxfId="397" priority="43">
      <formula>AH5="No"</formula>
    </cfRule>
  </conditionalFormatting>
  <conditionalFormatting sqref="AI5:AI1413">
    <cfRule type="expression" dxfId="396" priority="44">
      <formula>AI5="Yes"</formula>
    </cfRule>
  </conditionalFormatting>
  <conditionalFormatting sqref="AK5:AK1413">
    <cfRule type="expression" dxfId="395" priority="45">
      <formula>AK5="Yes"</formula>
    </cfRule>
    <cfRule type="expression" dxfId="394" priority="46">
      <formula>AK5="No"</formula>
    </cfRule>
  </conditionalFormatting>
  <conditionalFormatting sqref="AN5:AN1413">
    <cfRule type="expression" dxfId="393" priority="38">
      <formula>AN5="✓ OK"</formula>
    </cfRule>
    <cfRule type="expression" dxfId="392" priority="39">
      <formula>AN5="❌ Disc"</formula>
    </cfRule>
    <cfRule type="expression" dxfId="391" priority="40">
      <formula>AN5="⚠ Missing"</formula>
    </cfRule>
    <cfRule type="expression" dxfId="390" priority="41">
      <formula>AN5="⚠ Check"</formula>
    </cfRule>
  </conditionalFormatting>
  <conditionalFormatting sqref="AQ5:AQ1413">
    <cfRule type="expression" dxfId="389" priority="51">
      <formula>AQ5="Yes"</formula>
    </cfRule>
    <cfRule type="expression" dxfId="388" priority="52">
      <formula>AQ5="No"</formula>
    </cfRule>
  </conditionalFormatting>
  <conditionalFormatting sqref="AR5:AR1413">
    <cfRule type="expression" dxfId="387" priority="53">
      <formula>AR5="Yes"</formula>
    </cfRule>
  </conditionalFormatting>
  <conditionalFormatting sqref="AT5:AT1413">
    <cfRule type="expression" dxfId="386" priority="54">
      <formula>AT5="Yes"</formula>
    </cfRule>
    <cfRule type="expression" dxfId="385" priority="55">
      <formula>AT5="No"</formula>
    </cfRule>
  </conditionalFormatting>
  <conditionalFormatting sqref="AW5:AW1413">
    <cfRule type="expression" dxfId="384" priority="47">
      <formula>AW5="✓ OK"</formula>
    </cfRule>
    <cfRule type="expression" dxfId="383" priority="48">
      <formula>AW5="❌ Disc"</formula>
    </cfRule>
    <cfRule type="expression" dxfId="382" priority="49">
      <formula>AW5="⚠ Missing"</formula>
    </cfRule>
    <cfRule type="expression" dxfId="381" priority="50">
      <formula>AW5="⚠ Check"</formula>
    </cfRule>
  </conditionalFormatting>
  <dataValidations count="2">
    <dataValidation type="list" allowBlank="1" sqref="G5:H1413 J5:J1413 P5:Q1413 S5:S1413 AT5:AT1413 AB5:AB1413 AH5:AI1413 AK5:AK1413 AQ5:AR1413 Y5:Z1413" xr:uid="{00000000-0002-0000-0500-000000000000}">
      <formula1>"Yes,No"</formula1>
    </dataValidation>
    <dataValidation type="list" allowBlank="1" sqref="I5:I1413 R5:R1413 AA5:AA1413 AJ5:AJ1413 AS5:AS1413" xr:uid="{00000000-0002-0000-05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Y5" activePane="bottomRight" state="frozen"/>
      <selection pane="topRight" activeCell="H13" sqref="H13"/>
      <selection pane="bottomLeft" activeCell="H13" sqref="H13"/>
      <selection pane="bottomRight" activeCell="AA5" sqref="AA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4153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4154</v>
      </c>
      <c r="C5" s="25" t="s">
        <v>4155</v>
      </c>
      <c r="D5" s="23" t="s">
        <v>4156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4157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4157</v>
      </c>
      <c r="U5" s="28" t="s">
        <v>56</v>
      </c>
      <c r="V5" s="29" t="str">
        <f t="shared" ref="V5:V36" si="1"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4158</v>
      </c>
      <c r="C6" s="41" t="s">
        <v>4159</v>
      </c>
      <c r="D6" s="39" t="s">
        <v>4156</v>
      </c>
      <c r="E6" s="42">
        <v>46129</v>
      </c>
      <c r="F6" s="26" t="s">
        <v>55</v>
      </c>
      <c r="G6" s="26" t="s">
        <v>57</v>
      </c>
      <c r="H6" s="26" t="s">
        <v>57</v>
      </c>
      <c r="I6" s="26" t="s">
        <v>89</v>
      </c>
      <c r="J6" s="26" t="s">
        <v>57</v>
      </c>
      <c r="K6" s="27" t="s">
        <v>90</v>
      </c>
      <c r="L6" s="28" t="s">
        <v>56</v>
      </c>
      <c r="M6" s="29" t="str">
        <f t="shared" si="0"/>
        <v>⚠ Missing</v>
      </c>
      <c r="N6" s="42">
        <v>46196</v>
      </c>
      <c r="O6" s="26" t="s">
        <v>55</v>
      </c>
      <c r="P6" s="26" t="s">
        <v>57</v>
      </c>
      <c r="Q6" s="26" t="s">
        <v>57</v>
      </c>
      <c r="R6" s="26" t="s">
        <v>89</v>
      </c>
      <c r="S6" s="26" t="s">
        <v>57</v>
      </c>
      <c r="T6" s="27" t="s">
        <v>90</v>
      </c>
      <c r="U6" s="28" t="s">
        <v>56</v>
      </c>
      <c r="V6" s="29" t="str">
        <f t="shared" si="1"/>
        <v>⚠ Missing</v>
      </c>
      <c r="W6" s="70">
        <v>46248</v>
      </c>
      <c r="X6" s="30" t="s">
        <v>55</v>
      </c>
      <c r="Y6" s="30" t="s">
        <v>57</v>
      </c>
      <c r="Z6" s="30" t="s">
        <v>57</v>
      </c>
      <c r="AA6" s="30" t="s">
        <v>89</v>
      </c>
      <c r="AB6" s="30" t="s">
        <v>57</v>
      </c>
      <c r="AC6" s="27" t="s">
        <v>90</v>
      </c>
      <c r="AD6" s="31" t="s">
        <v>56</v>
      </c>
      <c r="AE6" s="32" t="str">
        <f t="shared" si="2"/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4160</v>
      </c>
      <c r="C7" s="25" t="s">
        <v>4161</v>
      </c>
      <c r="D7" s="23" t="s">
        <v>4156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57</v>
      </c>
      <c r="K7" s="27" t="s">
        <v>4157</v>
      </c>
      <c r="L7" s="28" t="s">
        <v>56</v>
      </c>
      <c r="M7" s="29" t="str">
        <f t="shared" si="0"/>
        <v>⚠ Check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57</v>
      </c>
      <c r="T7" s="27" t="s">
        <v>4157</v>
      </c>
      <c r="U7" s="28" t="s">
        <v>56</v>
      </c>
      <c r="V7" s="29" t="str">
        <f t="shared" si="1"/>
        <v>⚠ Check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4162</v>
      </c>
      <c r="C8" s="41" t="s">
        <v>4163</v>
      </c>
      <c r="D8" s="39" t="s">
        <v>4156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57</v>
      </c>
      <c r="K8" s="27" t="s">
        <v>4157</v>
      </c>
      <c r="L8" s="28" t="s">
        <v>56</v>
      </c>
      <c r="M8" s="29" t="str">
        <f t="shared" si="0"/>
        <v>⚠ Check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57</v>
      </c>
      <c r="T8" s="27" t="s">
        <v>4157</v>
      </c>
      <c r="U8" s="28" t="s">
        <v>56</v>
      </c>
      <c r="V8" s="29" t="str">
        <f t="shared" si="1"/>
        <v>⚠ Check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4164</v>
      </c>
      <c r="C9" s="25" t="s">
        <v>4165</v>
      </c>
      <c r="D9" s="23" t="s">
        <v>4156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57</v>
      </c>
      <c r="K9" s="27" t="s">
        <v>4157</v>
      </c>
      <c r="L9" s="28" t="s">
        <v>56</v>
      </c>
      <c r="M9" s="29" t="str">
        <f t="shared" si="0"/>
        <v>⚠ Check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57</v>
      </c>
      <c r="T9" s="27" t="s">
        <v>4157</v>
      </c>
      <c r="U9" s="28" t="s">
        <v>56</v>
      </c>
      <c r="V9" s="29" t="str">
        <f t="shared" si="1"/>
        <v>⚠ Check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4166</v>
      </c>
      <c r="C10" s="41" t="s">
        <v>4167</v>
      </c>
      <c r="D10" s="39" t="s">
        <v>4156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4157</v>
      </c>
      <c r="L10" s="28" t="s">
        <v>56</v>
      </c>
      <c r="M10" s="29" t="str">
        <f t="shared" si="0"/>
        <v>⚠ Check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4157</v>
      </c>
      <c r="U10" s="28" t="s">
        <v>56</v>
      </c>
      <c r="V10" s="29" t="str">
        <f t="shared" si="1"/>
        <v>⚠ Check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4168</v>
      </c>
      <c r="C11" s="25" t="s">
        <v>4169</v>
      </c>
      <c r="D11" s="23" t="s">
        <v>4156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4170</v>
      </c>
      <c r="C12" s="41" t="s">
        <v>4171</v>
      </c>
      <c r="D12" s="39" t="s">
        <v>4156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4172</v>
      </c>
      <c r="C13" s="25" t="s">
        <v>4173</v>
      </c>
      <c r="D13" s="23" t="s">
        <v>4156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4174</v>
      </c>
      <c r="C14" s="41" t="s">
        <v>4175</v>
      </c>
      <c r="D14" s="39" t="s">
        <v>4156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4176</v>
      </c>
      <c r="C15" s="25" t="s">
        <v>4177</v>
      </c>
      <c r="D15" s="23" t="s">
        <v>4156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4178</v>
      </c>
      <c r="C16" s="41" t="s">
        <v>4179</v>
      </c>
      <c r="D16" s="39" t="s">
        <v>4156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4157</v>
      </c>
      <c r="L16" s="28" t="s">
        <v>56</v>
      </c>
      <c r="M16" s="29" t="str">
        <f t="shared" si="0"/>
        <v>⚠ Check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4157</v>
      </c>
      <c r="U16" s="28" t="s">
        <v>56</v>
      </c>
      <c r="V16" s="29" t="str">
        <f t="shared" si="1"/>
        <v>⚠ Check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4180</v>
      </c>
      <c r="C17" s="25" t="s">
        <v>4181</v>
      </c>
      <c r="D17" s="23" t="s">
        <v>4156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57</v>
      </c>
      <c r="K17" s="27" t="s">
        <v>4157</v>
      </c>
      <c r="L17" s="28" t="s">
        <v>56</v>
      </c>
      <c r="M17" s="29" t="str">
        <f t="shared" si="0"/>
        <v>⚠ Check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57</v>
      </c>
      <c r="T17" s="27" t="s">
        <v>4157</v>
      </c>
      <c r="U17" s="28" t="s">
        <v>56</v>
      </c>
      <c r="V17" s="29" t="str">
        <f t="shared" si="1"/>
        <v>⚠ Check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4182</v>
      </c>
      <c r="C18" s="41" t="s">
        <v>4183</v>
      </c>
      <c r="D18" s="39" t="s">
        <v>4156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4184</v>
      </c>
      <c r="C19" s="25" t="s">
        <v>4185</v>
      </c>
      <c r="D19" s="23" t="s">
        <v>4156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57</v>
      </c>
      <c r="K19" s="27" t="s">
        <v>4157</v>
      </c>
      <c r="L19" s="28" t="s">
        <v>56</v>
      </c>
      <c r="M19" s="29" t="str">
        <f t="shared" si="0"/>
        <v>⚠ Check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57</v>
      </c>
      <c r="T19" s="27" t="s">
        <v>4157</v>
      </c>
      <c r="U19" s="28" t="s">
        <v>56</v>
      </c>
      <c r="V19" s="29" t="str">
        <f t="shared" si="1"/>
        <v>⚠ Check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4186</v>
      </c>
      <c r="C20" s="41" t="s">
        <v>4187</v>
      </c>
      <c r="D20" s="39" t="s">
        <v>4156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4188</v>
      </c>
      <c r="C21" s="25" t="s">
        <v>4189</v>
      </c>
      <c r="D21" s="23" t="s">
        <v>4156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4190</v>
      </c>
      <c r="C22" s="41" t="s">
        <v>4191</v>
      </c>
      <c r="D22" s="39" t="s">
        <v>4156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57</v>
      </c>
      <c r="K22" s="27" t="s">
        <v>4157</v>
      </c>
      <c r="L22" s="28" t="s">
        <v>56</v>
      </c>
      <c r="M22" s="29" t="str">
        <f t="shared" si="0"/>
        <v>⚠ Check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57</v>
      </c>
      <c r="T22" s="27" t="s">
        <v>4157</v>
      </c>
      <c r="U22" s="28" t="s">
        <v>56</v>
      </c>
      <c r="V22" s="29" t="str">
        <f t="shared" si="1"/>
        <v>⚠ Check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4192</v>
      </c>
      <c r="C23" s="25" t="s">
        <v>4193</v>
      </c>
      <c r="D23" s="23" t="s">
        <v>4156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4194</v>
      </c>
      <c r="C24" s="41" t="s">
        <v>4195</v>
      </c>
      <c r="D24" s="39" t="s">
        <v>4156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57</v>
      </c>
      <c r="K24" s="27" t="s">
        <v>4157</v>
      </c>
      <c r="L24" s="28" t="s">
        <v>56</v>
      </c>
      <c r="M24" s="29" t="str">
        <f t="shared" si="0"/>
        <v>⚠ Check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57</v>
      </c>
      <c r="T24" s="27" t="s">
        <v>4157</v>
      </c>
      <c r="U24" s="28" t="s">
        <v>56</v>
      </c>
      <c r="V24" s="29" t="str">
        <f t="shared" si="1"/>
        <v>⚠ Check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4196</v>
      </c>
      <c r="C25" s="25" t="s">
        <v>4197</v>
      </c>
      <c r="D25" s="23" t="s">
        <v>4156</v>
      </c>
      <c r="E25" s="42">
        <v>46129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57</v>
      </c>
      <c r="K25" s="27" t="s">
        <v>4157</v>
      </c>
      <c r="L25" s="28" t="s">
        <v>56</v>
      </c>
      <c r="M25" s="29" t="str">
        <f t="shared" si="0"/>
        <v>⚠ Check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57</v>
      </c>
      <c r="T25" s="27" t="s">
        <v>4157</v>
      </c>
      <c r="U25" s="28" t="s">
        <v>56</v>
      </c>
      <c r="V25" s="29" t="str">
        <f t="shared" si="1"/>
        <v>⚠ Check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4198</v>
      </c>
      <c r="C26" s="41" t="s">
        <v>4199</v>
      </c>
      <c r="D26" s="39" t="s">
        <v>4156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57</v>
      </c>
      <c r="K26" s="27" t="s">
        <v>4157</v>
      </c>
      <c r="L26" s="28" t="s">
        <v>56</v>
      </c>
      <c r="M26" s="29" t="str">
        <f t="shared" si="0"/>
        <v>⚠ Check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57</v>
      </c>
      <c r="T26" s="27" t="s">
        <v>4157</v>
      </c>
      <c r="U26" s="28" t="s">
        <v>56</v>
      </c>
      <c r="V26" s="29" t="str">
        <f t="shared" si="1"/>
        <v>⚠ Check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4200</v>
      </c>
      <c r="C27" s="25" t="s">
        <v>4201</v>
      </c>
      <c r="D27" s="23" t="s">
        <v>4156</v>
      </c>
      <c r="E27" s="42">
        <v>46129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 t="shared" si="0"/>
        <v>⚠ Missing</v>
      </c>
      <c r="N27" s="42">
        <v>46196</v>
      </c>
      <c r="O27" s="26" t="s">
        <v>55</v>
      </c>
      <c r="P27" s="26" t="s">
        <v>57</v>
      </c>
      <c r="Q27" s="26" t="s">
        <v>57</v>
      </c>
      <c r="R27" s="26" t="s">
        <v>89</v>
      </c>
      <c r="S27" s="26" t="s">
        <v>57</v>
      </c>
      <c r="T27" s="27" t="s">
        <v>90</v>
      </c>
      <c r="U27" s="28" t="s">
        <v>56</v>
      </c>
      <c r="V27" s="29" t="str">
        <f t="shared" si="1"/>
        <v>⚠ Missing</v>
      </c>
      <c r="W27" s="70">
        <v>46248</v>
      </c>
      <c r="X27" s="30" t="s">
        <v>55</v>
      </c>
      <c r="Y27" s="30" t="s">
        <v>57</v>
      </c>
      <c r="Z27" s="30" t="s">
        <v>57</v>
      </c>
      <c r="AA27" s="30" t="s">
        <v>89</v>
      </c>
      <c r="AB27" s="30" t="s">
        <v>57</v>
      </c>
      <c r="AC27" s="27" t="s">
        <v>90</v>
      </c>
      <c r="AD27" s="31" t="s">
        <v>56</v>
      </c>
      <c r="AE27" s="32" t="str">
        <f t="shared" si="2"/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4202</v>
      </c>
      <c r="C28" s="41" t="s">
        <v>4203</v>
      </c>
      <c r="D28" s="39" t="s">
        <v>4156</v>
      </c>
      <c r="E28" s="42">
        <v>46129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 t="shared" si="0"/>
        <v>⚠ Missing</v>
      </c>
      <c r="N28" s="42">
        <v>46196</v>
      </c>
      <c r="O28" s="26" t="s">
        <v>55</v>
      </c>
      <c r="P28" s="26" t="s">
        <v>57</v>
      </c>
      <c r="Q28" s="26" t="s">
        <v>57</v>
      </c>
      <c r="R28" s="26" t="s">
        <v>89</v>
      </c>
      <c r="S28" s="26" t="s">
        <v>57</v>
      </c>
      <c r="T28" s="27" t="s">
        <v>90</v>
      </c>
      <c r="U28" s="28" t="s">
        <v>56</v>
      </c>
      <c r="V28" s="29" t="str">
        <f t="shared" si="1"/>
        <v>⚠ Missing</v>
      </c>
      <c r="W28" s="70">
        <v>46248</v>
      </c>
      <c r="X28" s="30" t="s">
        <v>55</v>
      </c>
      <c r="Y28" s="30" t="s">
        <v>57</v>
      </c>
      <c r="Z28" s="30" t="s">
        <v>57</v>
      </c>
      <c r="AA28" s="30" t="s">
        <v>89</v>
      </c>
      <c r="AB28" s="30" t="s">
        <v>57</v>
      </c>
      <c r="AC28" s="27" t="s">
        <v>90</v>
      </c>
      <c r="AD28" s="31" t="s">
        <v>56</v>
      </c>
      <c r="AE28" s="32" t="str">
        <f t="shared" si="2"/>
        <v>⚠ Missing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4204</v>
      </c>
      <c r="C29" s="25" t="s">
        <v>4205</v>
      </c>
      <c r="D29" s="23" t="s">
        <v>4156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4206</v>
      </c>
      <c r="C30" s="41" t="s">
        <v>4207</v>
      </c>
      <c r="D30" s="39" t="s">
        <v>4156</v>
      </c>
      <c r="E30" s="42">
        <v>46129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57</v>
      </c>
      <c r="K30" s="27" t="s">
        <v>4157</v>
      </c>
      <c r="L30" s="28" t="s">
        <v>56</v>
      </c>
      <c r="M30" s="29" t="str">
        <f t="shared" si="0"/>
        <v>⚠ Check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57</v>
      </c>
      <c r="T30" s="27" t="s">
        <v>4157</v>
      </c>
      <c r="U30" s="28" t="s">
        <v>56</v>
      </c>
      <c r="V30" s="29" t="str">
        <f t="shared" si="1"/>
        <v>⚠ Check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4208</v>
      </c>
      <c r="C31" s="25" t="s">
        <v>4209</v>
      </c>
      <c r="D31" s="23" t="s">
        <v>4156</v>
      </c>
      <c r="E31" s="42">
        <v>46129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 t="shared" si="0"/>
        <v>⚠ Missing</v>
      </c>
      <c r="N31" s="42">
        <v>46196</v>
      </c>
      <c r="O31" s="26" t="s">
        <v>55</v>
      </c>
      <c r="P31" s="26" t="s">
        <v>57</v>
      </c>
      <c r="Q31" s="26" t="s">
        <v>57</v>
      </c>
      <c r="R31" s="26" t="s">
        <v>89</v>
      </c>
      <c r="S31" s="26" t="s">
        <v>57</v>
      </c>
      <c r="T31" s="27" t="s">
        <v>90</v>
      </c>
      <c r="U31" s="28" t="s">
        <v>56</v>
      </c>
      <c r="V31" s="29" t="str">
        <f t="shared" si="1"/>
        <v>⚠ Missing</v>
      </c>
      <c r="W31" s="70">
        <v>46248</v>
      </c>
      <c r="X31" s="30" t="s">
        <v>55</v>
      </c>
      <c r="Y31" s="30" t="s">
        <v>57</v>
      </c>
      <c r="Z31" s="30" t="s">
        <v>57</v>
      </c>
      <c r="AA31" s="30" t="s">
        <v>89</v>
      </c>
      <c r="AB31" s="30" t="s">
        <v>57</v>
      </c>
      <c r="AC31" s="27" t="s">
        <v>90</v>
      </c>
      <c r="AD31" s="31" t="s">
        <v>56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4210</v>
      </c>
      <c r="C32" s="41" t="s">
        <v>4211</v>
      </c>
      <c r="D32" s="39" t="s">
        <v>4156</v>
      </c>
      <c r="E32" s="42">
        <v>46129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4212</v>
      </c>
      <c r="C33" s="25" t="s">
        <v>4213</v>
      </c>
      <c r="D33" s="23" t="s">
        <v>4156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57</v>
      </c>
      <c r="K33" s="27" t="s">
        <v>4157</v>
      </c>
      <c r="L33" s="28" t="s">
        <v>56</v>
      </c>
      <c r="M33" s="29" t="str">
        <f t="shared" si="0"/>
        <v>⚠ Check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57</v>
      </c>
      <c r="T33" s="27" t="s">
        <v>4157</v>
      </c>
      <c r="U33" s="28" t="s">
        <v>56</v>
      </c>
      <c r="V33" s="29" t="str">
        <f t="shared" si="1"/>
        <v>⚠ Check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4214</v>
      </c>
      <c r="C34" s="41" t="s">
        <v>4215</v>
      </c>
      <c r="D34" s="39" t="s">
        <v>4156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57</v>
      </c>
      <c r="K34" s="27" t="s">
        <v>4157</v>
      </c>
      <c r="L34" s="28" t="s">
        <v>56</v>
      </c>
      <c r="M34" s="29" t="str">
        <f t="shared" si="0"/>
        <v>⚠ Check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57</v>
      </c>
      <c r="T34" s="27" t="s">
        <v>4157</v>
      </c>
      <c r="U34" s="28" t="s">
        <v>56</v>
      </c>
      <c r="V34" s="29" t="str">
        <f t="shared" si="1"/>
        <v>⚠ Check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4216</v>
      </c>
      <c r="C35" s="25" t="s">
        <v>4217</v>
      </c>
      <c r="D35" s="23" t="s">
        <v>4156</v>
      </c>
      <c r="E35" s="42">
        <v>46129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 t="shared" si="0"/>
        <v>⚠ Missing</v>
      </c>
      <c r="N35" s="42">
        <v>46196</v>
      </c>
      <c r="O35" s="26" t="s">
        <v>55</v>
      </c>
      <c r="P35" s="26" t="s">
        <v>57</v>
      </c>
      <c r="Q35" s="26" t="s">
        <v>57</v>
      </c>
      <c r="R35" s="26" t="s">
        <v>89</v>
      </c>
      <c r="S35" s="26" t="s">
        <v>57</v>
      </c>
      <c r="T35" s="27" t="s">
        <v>90</v>
      </c>
      <c r="U35" s="28" t="s">
        <v>56</v>
      </c>
      <c r="V35" s="29" t="str">
        <f t="shared" si="1"/>
        <v>⚠ Missing</v>
      </c>
      <c r="W35" s="70">
        <v>46248</v>
      </c>
      <c r="X35" s="30" t="s">
        <v>55</v>
      </c>
      <c r="Y35" s="30" t="s">
        <v>57</v>
      </c>
      <c r="Z35" s="30" t="s">
        <v>57</v>
      </c>
      <c r="AA35" s="30" t="s">
        <v>89</v>
      </c>
      <c r="AB35" s="30" t="s">
        <v>57</v>
      </c>
      <c r="AC35" s="27" t="s">
        <v>90</v>
      </c>
      <c r="AD35" s="31" t="s">
        <v>56</v>
      </c>
      <c r="AE35" s="32" t="str">
        <f t="shared" si="2"/>
        <v>⚠ Missing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4218</v>
      </c>
      <c r="C36" s="41" t="s">
        <v>4219</v>
      </c>
      <c r="D36" s="39" t="s">
        <v>4156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4220</v>
      </c>
      <c r="C37" s="25" t="s">
        <v>4221</v>
      </c>
      <c r="D37" s="23" t="s">
        <v>4156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57</v>
      </c>
      <c r="K37" s="27" t="s">
        <v>4157</v>
      </c>
      <c r="L37" s="28" t="s">
        <v>56</v>
      </c>
      <c r="M37" s="29" t="str">
        <f t="shared" ref="M37:M68" si="5">IF(E37="","",IF(H37="Yes","❌ Disc",IF(G37="No","⚠ Missing",IF(J37="Yes","✓ OK","⚠ Check"))))</f>
        <v>⚠ Check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57</v>
      </c>
      <c r="T37" s="27" t="s">
        <v>4157</v>
      </c>
      <c r="U37" s="28" t="s">
        <v>56</v>
      </c>
      <c r="V37" s="29" t="str">
        <f t="shared" ref="V37:V68" si="6">IF(N37="","",IF(Q37="Yes","❌ Disc",IF(P37="No","⚠ Missing",IF(S37="Yes","✓ OK","⚠ Check"))))</f>
        <v>⚠ Check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4222</v>
      </c>
      <c r="C38" s="41" t="s">
        <v>4223</v>
      </c>
      <c r="D38" s="39" t="s">
        <v>4156</v>
      </c>
      <c r="E38" s="42">
        <v>46129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5"/>
        <v>⚠ Missing</v>
      </c>
      <c r="N38" s="42">
        <v>46196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 t="shared" si="6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89</v>
      </c>
      <c r="AB38" s="30" t="s">
        <v>57</v>
      </c>
      <c r="AC38" s="27" t="s">
        <v>90</v>
      </c>
      <c r="AD38" s="31" t="s">
        <v>56</v>
      </c>
      <c r="AE38" s="32" t="str">
        <f t="shared" si="7"/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4224</v>
      </c>
      <c r="C39" s="25" t="s">
        <v>4225</v>
      </c>
      <c r="D39" s="23" t="s">
        <v>4156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4157</v>
      </c>
      <c r="L39" s="28" t="s">
        <v>56</v>
      </c>
      <c r="M39" s="29" t="str">
        <f t="shared" si="5"/>
        <v>⚠ Check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4157</v>
      </c>
      <c r="U39" s="28" t="s">
        <v>56</v>
      </c>
      <c r="V39" s="29" t="str">
        <f t="shared" si="6"/>
        <v>⚠ Check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4226</v>
      </c>
      <c r="C40" s="41" t="s">
        <v>4227</v>
      </c>
      <c r="D40" s="39" t="s">
        <v>4156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4157</v>
      </c>
      <c r="L40" s="28" t="s">
        <v>56</v>
      </c>
      <c r="M40" s="29" t="str">
        <f t="shared" si="5"/>
        <v>⚠ Check</v>
      </c>
      <c r="N40" s="4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4157</v>
      </c>
      <c r="U40" s="28" t="s">
        <v>56</v>
      </c>
      <c r="V40" s="29" t="str">
        <f t="shared" si="6"/>
        <v>⚠ Check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4228</v>
      </c>
      <c r="C41" s="25" t="s">
        <v>4229</v>
      </c>
      <c r="D41" s="23" t="s">
        <v>4156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4157</v>
      </c>
      <c r="L41" s="28" t="s">
        <v>56</v>
      </c>
      <c r="M41" s="29" t="str">
        <f t="shared" si="5"/>
        <v>⚠ Check</v>
      </c>
      <c r="N41" s="42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4157</v>
      </c>
      <c r="U41" s="28" t="s">
        <v>56</v>
      </c>
      <c r="V41" s="29" t="str">
        <f t="shared" si="6"/>
        <v>⚠ Check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4230</v>
      </c>
      <c r="C42" s="41" t="s">
        <v>4231</v>
      </c>
      <c r="D42" s="39" t="s">
        <v>4156</v>
      </c>
      <c r="E42" s="42">
        <v>46136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4232</v>
      </c>
      <c r="C43" s="25" t="s">
        <v>4233</v>
      </c>
      <c r="D43" s="23" t="s">
        <v>4156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57</v>
      </c>
      <c r="K43" s="27" t="s">
        <v>4157</v>
      </c>
      <c r="L43" s="28" t="s">
        <v>56</v>
      </c>
      <c r="M43" s="29" t="str">
        <f t="shared" si="5"/>
        <v>⚠ Check</v>
      </c>
      <c r="N43" s="4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57</v>
      </c>
      <c r="T43" s="27" t="s">
        <v>4157</v>
      </c>
      <c r="U43" s="28" t="s">
        <v>56</v>
      </c>
      <c r="V43" s="29" t="str">
        <f t="shared" si="6"/>
        <v>⚠ Check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4234</v>
      </c>
      <c r="C44" s="41" t="s">
        <v>4235</v>
      </c>
      <c r="D44" s="39" t="s">
        <v>4156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4236</v>
      </c>
      <c r="C45" s="25" t="s">
        <v>4237</v>
      </c>
      <c r="D45" s="23" t="s">
        <v>4156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57</v>
      </c>
      <c r="K45" s="27" t="s">
        <v>4157</v>
      </c>
      <c r="L45" s="28" t="s">
        <v>56</v>
      </c>
      <c r="M45" s="29" t="str">
        <f t="shared" si="5"/>
        <v>⚠ Check</v>
      </c>
      <c r="N45" s="4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57</v>
      </c>
      <c r="T45" s="27" t="s">
        <v>4157</v>
      </c>
      <c r="U45" s="28" t="s">
        <v>56</v>
      </c>
      <c r="V45" s="29" t="str">
        <f t="shared" si="6"/>
        <v>⚠ Check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4238</v>
      </c>
      <c r="C46" s="41" t="s">
        <v>4239</v>
      </c>
      <c r="D46" s="39" t="s">
        <v>4156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4240</v>
      </c>
      <c r="C47" s="25" t="s">
        <v>4241</v>
      </c>
      <c r="D47" s="23" t="s">
        <v>4156</v>
      </c>
      <c r="E47" s="42">
        <v>46129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4157</v>
      </c>
      <c r="L47" s="28" t="s">
        <v>56</v>
      </c>
      <c r="M47" s="29" t="str">
        <f t="shared" si="5"/>
        <v>⚠ Check</v>
      </c>
      <c r="N47" s="4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4157</v>
      </c>
      <c r="U47" s="28" t="s">
        <v>56</v>
      </c>
      <c r="V47" s="29" t="str">
        <f t="shared" si="6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4242</v>
      </c>
      <c r="C48" s="41" t="s">
        <v>4243</v>
      </c>
      <c r="D48" s="39" t="s">
        <v>4244</v>
      </c>
      <c r="E48" s="42">
        <v>46132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26" t="s">
        <v>57</v>
      </c>
      <c r="Q48" s="26" t="s">
        <v>56</v>
      </c>
      <c r="R48" s="26" t="s">
        <v>61</v>
      </c>
      <c r="S48" s="26" t="s">
        <v>57</v>
      </c>
      <c r="T48" s="27"/>
      <c r="U48" s="28" t="s">
        <v>57</v>
      </c>
      <c r="V48" s="29" t="str">
        <f t="shared" si="6"/>
        <v>❌ Disc</v>
      </c>
      <c r="W48" s="70">
        <v>46248</v>
      </c>
      <c r="X48" s="30" t="s">
        <v>60</v>
      </c>
      <c r="Y48" s="30" t="s">
        <v>57</v>
      </c>
      <c r="Z48" s="30" t="s">
        <v>56</v>
      </c>
      <c r="AA48" s="30" t="s">
        <v>61</v>
      </c>
      <c r="AB48" s="30" t="s">
        <v>57</v>
      </c>
      <c r="AC48" s="27"/>
      <c r="AD48" s="31" t="s">
        <v>57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4245</v>
      </c>
      <c r="C49" s="25" t="s">
        <v>4246</v>
      </c>
      <c r="D49" s="23" t="s">
        <v>4244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26" t="s">
        <v>57</v>
      </c>
      <c r="Q49" s="26" t="s">
        <v>56</v>
      </c>
      <c r="R49" s="26" t="s">
        <v>61</v>
      </c>
      <c r="S49" s="26" t="s">
        <v>57</v>
      </c>
      <c r="T49" s="27"/>
      <c r="U49" s="28" t="s">
        <v>57</v>
      </c>
      <c r="V49" s="29" t="str">
        <f t="shared" si="6"/>
        <v>❌ Disc</v>
      </c>
      <c r="W49" s="70">
        <v>46248</v>
      </c>
      <c r="X49" s="30" t="s">
        <v>60</v>
      </c>
      <c r="Y49" s="30" t="s">
        <v>57</v>
      </c>
      <c r="Z49" s="30" t="s">
        <v>56</v>
      </c>
      <c r="AA49" s="30" t="s">
        <v>61</v>
      </c>
      <c r="AB49" s="30" t="s">
        <v>57</v>
      </c>
      <c r="AC49" s="27"/>
      <c r="AD49" s="31" t="s">
        <v>57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4247</v>
      </c>
      <c r="C50" s="41" t="s">
        <v>4248</v>
      </c>
      <c r="D50" s="39" t="s">
        <v>4244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57</v>
      </c>
      <c r="K50" s="27" t="s">
        <v>4157</v>
      </c>
      <c r="L50" s="28" t="s">
        <v>56</v>
      </c>
      <c r="M50" s="29" t="str">
        <f t="shared" si="5"/>
        <v>⚠ Check</v>
      </c>
      <c r="N50" s="42">
        <v>46196</v>
      </c>
      <c r="O50" s="26" t="s">
        <v>55</v>
      </c>
      <c r="P50" s="26" t="s">
        <v>57</v>
      </c>
      <c r="Q50" s="26" t="s">
        <v>56</v>
      </c>
      <c r="R50" s="26" t="s">
        <v>61</v>
      </c>
      <c r="S50" s="26" t="s">
        <v>57</v>
      </c>
      <c r="T50" s="27"/>
      <c r="U50" s="28" t="s">
        <v>57</v>
      </c>
      <c r="V50" s="29" t="str">
        <f t="shared" si="6"/>
        <v>❌ Disc</v>
      </c>
      <c r="W50" s="70">
        <v>46248</v>
      </c>
      <c r="X50" s="30" t="s">
        <v>60</v>
      </c>
      <c r="Y50" s="30" t="s">
        <v>57</v>
      </c>
      <c r="Z50" s="30" t="s">
        <v>56</v>
      </c>
      <c r="AA50" s="30" t="s">
        <v>61</v>
      </c>
      <c r="AB50" s="30" t="s">
        <v>57</v>
      </c>
      <c r="AC50" s="27"/>
      <c r="AD50" s="31" t="s">
        <v>57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4249</v>
      </c>
      <c r="C51" s="25" t="s">
        <v>4250</v>
      </c>
      <c r="D51" s="23" t="s">
        <v>4244</v>
      </c>
      <c r="E51" s="42">
        <v>46129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26" t="s">
        <v>57</v>
      </c>
      <c r="Q51" s="26" t="s">
        <v>56</v>
      </c>
      <c r="R51" s="26" t="s">
        <v>61</v>
      </c>
      <c r="S51" s="26" t="s">
        <v>57</v>
      </c>
      <c r="T51" s="27"/>
      <c r="U51" s="28" t="s">
        <v>57</v>
      </c>
      <c r="V51" s="29" t="str">
        <f t="shared" si="6"/>
        <v>❌ Disc</v>
      </c>
      <c r="W51" s="70">
        <v>46248</v>
      </c>
      <c r="X51" s="30" t="s">
        <v>60</v>
      </c>
      <c r="Y51" s="30" t="s">
        <v>57</v>
      </c>
      <c r="Z51" s="30" t="s">
        <v>56</v>
      </c>
      <c r="AA51" s="30" t="s">
        <v>61</v>
      </c>
      <c r="AB51" s="30" t="s">
        <v>57</v>
      </c>
      <c r="AC51" s="27"/>
      <c r="AD51" s="31" t="s">
        <v>57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4251</v>
      </c>
      <c r="C52" s="41" t="s">
        <v>4252</v>
      </c>
      <c r="D52" s="39" t="s">
        <v>4244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4157</v>
      </c>
      <c r="L52" s="28" t="s">
        <v>56</v>
      </c>
      <c r="M52" s="29" t="str">
        <f t="shared" si="5"/>
        <v>⚠ Check</v>
      </c>
      <c r="N52" s="42">
        <v>46196</v>
      </c>
      <c r="O52" s="26" t="s">
        <v>55</v>
      </c>
      <c r="P52" s="26" t="s">
        <v>57</v>
      </c>
      <c r="Q52" s="26" t="s">
        <v>56</v>
      </c>
      <c r="R52" s="26" t="s">
        <v>61</v>
      </c>
      <c r="S52" s="26" t="s">
        <v>57</v>
      </c>
      <c r="T52" s="27"/>
      <c r="U52" s="28" t="s">
        <v>57</v>
      </c>
      <c r="V52" s="29" t="str">
        <f t="shared" si="6"/>
        <v>❌ Disc</v>
      </c>
      <c r="W52" s="70">
        <v>46248</v>
      </c>
      <c r="X52" s="30" t="s">
        <v>60</v>
      </c>
      <c r="Y52" s="30" t="s">
        <v>57</v>
      </c>
      <c r="Z52" s="30" t="s">
        <v>56</v>
      </c>
      <c r="AA52" s="30" t="s">
        <v>61</v>
      </c>
      <c r="AB52" s="30" t="s">
        <v>57</v>
      </c>
      <c r="AC52" s="27"/>
      <c r="AD52" s="31" t="s">
        <v>57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4253</v>
      </c>
      <c r="C53" s="25" t="s">
        <v>4254</v>
      </c>
      <c r="D53" s="23" t="s">
        <v>4244</v>
      </c>
      <c r="E53" s="42">
        <v>46129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26" t="s">
        <v>57</v>
      </c>
      <c r="Q53" s="26" t="s">
        <v>56</v>
      </c>
      <c r="R53" s="26" t="s">
        <v>61</v>
      </c>
      <c r="S53" s="26" t="s">
        <v>57</v>
      </c>
      <c r="T53" s="27"/>
      <c r="U53" s="28" t="s">
        <v>57</v>
      </c>
      <c r="V53" s="29" t="str">
        <f t="shared" si="6"/>
        <v>❌ Disc</v>
      </c>
      <c r="W53" s="70">
        <v>46248</v>
      </c>
      <c r="X53" s="30" t="s">
        <v>60</v>
      </c>
      <c r="Y53" s="30" t="s">
        <v>57</v>
      </c>
      <c r="Z53" s="30" t="s">
        <v>56</v>
      </c>
      <c r="AA53" s="30" t="s">
        <v>61</v>
      </c>
      <c r="AB53" s="30" t="s">
        <v>57</v>
      </c>
      <c r="AC53" s="27"/>
      <c r="AD53" s="31" t="s">
        <v>57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4255</v>
      </c>
      <c r="C54" s="41" t="s">
        <v>4256</v>
      </c>
      <c r="D54" s="39" t="s">
        <v>4244</v>
      </c>
      <c r="E54" s="42">
        <v>46132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26" t="s">
        <v>57</v>
      </c>
      <c r="Q54" s="26" t="s">
        <v>56</v>
      </c>
      <c r="R54" s="26" t="s">
        <v>61</v>
      </c>
      <c r="S54" s="26" t="s">
        <v>57</v>
      </c>
      <c r="T54" s="27"/>
      <c r="U54" s="28" t="s">
        <v>57</v>
      </c>
      <c r="V54" s="29" t="str">
        <f t="shared" si="6"/>
        <v>❌ Disc</v>
      </c>
      <c r="W54" s="70">
        <v>46248</v>
      </c>
      <c r="X54" s="30" t="s">
        <v>60</v>
      </c>
      <c r="Y54" s="30" t="s">
        <v>57</v>
      </c>
      <c r="Z54" s="30" t="s">
        <v>56</v>
      </c>
      <c r="AA54" s="30" t="s">
        <v>61</v>
      </c>
      <c r="AB54" s="30" t="s">
        <v>57</v>
      </c>
      <c r="AC54" s="27"/>
      <c r="AD54" s="31" t="s">
        <v>57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4257</v>
      </c>
      <c r="C55" s="25" t="s">
        <v>4258</v>
      </c>
      <c r="D55" s="23" t="s">
        <v>4244</v>
      </c>
      <c r="E55" s="42">
        <v>46129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57</v>
      </c>
      <c r="K55" s="27" t="s">
        <v>4157</v>
      </c>
      <c r="L55" s="28" t="s">
        <v>56</v>
      </c>
      <c r="M55" s="29" t="str">
        <f t="shared" si="5"/>
        <v>⚠ Check</v>
      </c>
      <c r="N55" s="42">
        <v>46196</v>
      </c>
      <c r="O55" s="26" t="s">
        <v>55</v>
      </c>
      <c r="P55" s="26" t="s">
        <v>57</v>
      </c>
      <c r="Q55" s="26" t="s">
        <v>56</v>
      </c>
      <c r="R55" s="26" t="s">
        <v>61</v>
      </c>
      <c r="S55" s="26" t="s">
        <v>57</v>
      </c>
      <c r="T55" s="27"/>
      <c r="U55" s="28" t="s">
        <v>57</v>
      </c>
      <c r="V55" s="29" t="str">
        <f t="shared" si="6"/>
        <v>❌ Disc</v>
      </c>
      <c r="W55" s="70">
        <v>46248</v>
      </c>
      <c r="X55" s="30" t="s">
        <v>60</v>
      </c>
      <c r="Y55" s="30" t="s">
        <v>57</v>
      </c>
      <c r="Z55" s="30" t="s">
        <v>56</v>
      </c>
      <c r="AA55" s="30" t="s">
        <v>61</v>
      </c>
      <c r="AB55" s="30" t="s">
        <v>57</v>
      </c>
      <c r="AC55" s="27"/>
      <c r="AD55" s="31" t="s">
        <v>57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4259</v>
      </c>
      <c r="C56" s="41" t="s">
        <v>4260</v>
      </c>
      <c r="D56" s="39" t="s">
        <v>4244</v>
      </c>
      <c r="E56" s="42">
        <v>46132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57</v>
      </c>
      <c r="K56" s="27" t="s">
        <v>4157</v>
      </c>
      <c r="L56" s="28" t="s">
        <v>56</v>
      </c>
      <c r="M56" s="29" t="str">
        <f t="shared" si="5"/>
        <v>⚠ Check</v>
      </c>
      <c r="N56" s="42">
        <v>46196</v>
      </c>
      <c r="O56" s="26" t="s">
        <v>55</v>
      </c>
      <c r="P56" s="26" t="s">
        <v>57</v>
      </c>
      <c r="Q56" s="26" t="s">
        <v>56</v>
      </c>
      <c r="R56" s="26" t="s">
        <v>61</v>
      </c>
      <c r="S56" s="26" t="s">
        <v>57</v>
      </c>
      <c r="T56" s="27"/>
      <c r="U56" s="28" t="s">
        <v>57</v>
      </c>
      <c r="V56" s="29" t="str">
        <f t="shared" si="6"/>
        <v>❌ Disc</v>
      </c>
      <c r="W56" s="70">
        <v>46248</v>
      </c>
      <c r="X56" s="30" t="s">
        <v>60</v>
      </c>
      <c r="Y56" s="30" t="s">
        <v>57</v>
      </c>
      <c r="Z56" s="30" t="s">
        <v>56</v>
      </c>
      <c r="AA56" s="30" t="s">
        <v>61</v>
      </c>
      <c r="AB56" s="30" t="s">
        <v>57</v>
      </c>
      <c r="AC56" s="27"/>
      <c r="AD56" s="31" t="s">
        <v>57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4261</v>
      </c>
      <c r="C57" s="25" t="s">
        <v>4262</v>
      </c>
      <c r="D57" s="23" t="s">
        <v>4244</v>
      </c>
      <c r="E57" s="42">
        <v>46129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4157</v>
      </c>
      <c r="L57" s="28" t="s">
        <v>56</v>
      </c>
      <c r="M57" s="29" t="str">
        <f t="shared" si="5"/>
        <v>⚠ Check</v>
      </c>
      <c r="N57" s="42">
        <v>46196</v>
      </c>
      <c r="O57" s="26" t="s">
        <v>55</v>
      </c>
      <c r="P57" s="26" t="s">
        <v>57</v>
      </c>
      <c r="Q57" s="26" t="s">
        <v>56</v>
      </c>
      <c r="R57" s="26" t="s">
        <v>61</v>
      </c>
      <c r="S57" s="26" t="s">
        <v>57</v>
      </c>
      <c r="T57" s="27"/>
      <c r="U57" s="28" t="s">
        <v>57</v>
      </c>
      <c r="V57" s="29" t="str">
        <f t="shared" si="6"/>
        <v>❌ Disc</v>
      </c>
      <c r="W57" s="70">
        <v>46248</v>
      </c>
      <c r="X57" s="30" t="s">
        <v>60</v>
      </c>
      <c r="Y57" s="30" t="s">
        <v>57</v>
      </c>
      <c r="Z57" s="30" t="s">
        <v>56</v>
      </c>
      <c r="AA57" s="30" t="s">
        <v>61</v>
      </c>
      <c r="AB57" s="30" t="s">
        <v>57</v>
      </c>
      <c r="AC57" s="27"/>
      <c r="AD57" s="31" t="s">
        <v>57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4263</v>
      </c>
      <c r="C58" s="41" t="s">
        <v>4264</v>
      </c>
      <c r="D58" s="39" t="s">
        <v>4265</v>
      </c>
      <c r="E58" s="42">
        <v>46129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4266</v>
      </c>
      <c r="C59" s="25" t="s">
        <v>4267</v>
      </c>
      <c r="D59" s="23" t="s">
        <v>4265</v>
      </c>
      <c r="E59" s="42">
        <v>46132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 t="s">
        <v>4157</v>
      </c>
      <c r="L59" s="28" t="s">
        <v>56</v>
      </c>
      <c r="M59" s="29" t="str">
        <f t="shared" si="5"/>
        <v>⚠ Check</v>
      </c>
      <c r="N59" s="4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 t="s">
        <v>4157</v>
      </c>
      <c r="U59" s="28" t="s">
        <v>56</v>
      </c>
      <c r="V59" s="29" t="str">
        <f t="shared" si="6"/>
        <v>⚠ Check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4268</v>
      </c>
      <c r="C60" s="41" t="s">
        <v>4269</v>
      </c>
      <c r="D60" s="39" t="s">
        <v>4265</v>
      </c>
      <c r="E60" s="42">
        <v>46132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4270</v>
      </c>
      <c r="C61" s="25" t="s">
        <v>4271</v>
      </c>
      <c r="D61" s="23" t="s">
        <v>4265</v>
      </c>
      <c r="E61" s="42">
        <v>46129</v>
      </c>
      <c r="F61" s="26" t="s">
        <v>55</v>
      </c>
      <c r="G61" s="26" t="s">
        <v>57</v>
      </c>
      <c r="H61" s="26" t="s">
        <v>57</v>
      </c>
      <c r="I61" s="26" t="s">
        <v>89</v>
      </c>
      <c r="J61" s="26" t="s">
        <v>57</v>
      </c>
      <c r="K61" s="27" t="s">
        <v>90</v>
      </c>
      <c r="L61" s="28" t="s">
        <v>56</v>
      </c>
      <c r="M61" s="29" t="str">
        <f t="shared" si="5"/>
        <v>⚠ Missing</v>
      </c>
      <c r="N61" s="42">
        <v>46196</v>
      </c>
      <c r="O61" s="26" t="s">
        <v>55</v>
      </c>
      <c r="P61" s="26" t="s">
        <v>57</v>
      </c>
      <c r="Q61" s="26" t="s">
        <v>57</v>
      </c>
      <c r="R61" s="26" t="s">
        <v>89</v>
      </c>
      <c r="S61" s="26" t="s">
        <v>57</v>
      </c>
      <c r="T61" s="27" t="s">
        <v>90</v>
      </c>
      <c r="U61" s="28" t="s">
        <v>56</v>
      </c>
      <c r="V61" s="29" t="str">
        <f t="shared" si="6"/>
        <v>⚠ Missing</v>
      </c>
      <c r="W61" s="70">
        <v>46248</v>
      </c>
      <c r="X61" s="30" t="s">
        <v>55</v>
      </c>
      <c r="Y61" s="30" t="s">
        <v>57</v>
      </c>
      <c r="Z61" s="30" t="s">
        <v>57</v>
      </c>
      <c r="AA61" s="30" t="s">
        <v>89</v>
      </c>
      <c r="AB61" s="30" t="s">
        <v>57</v>
      </c>
      <c r="AC61" s="27" t="s">
        <v>90</v>
      </c>
      <c r="AD61" s="31" t="s">
        <v>56</v>
      </c>
      <c r="AE61" s="32" t="str">
        <f t="shared" si="7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4272</v>
      </c>
      <c r="C62" s="41" t="s">
        <v>4273</v>
      </c>
      <c r="D62" s="39" t="s">
        <v>4265</v>
      </c>
      <c r="E62" s="42">
        <v>46129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4274</v>
      </c>
      <c r="C63" s="25" t="s">
        <v>4275</v>
      </c>
      <c r="D63" s="23" t="s">
        <v>4265</v>
      </c>
      <c r="E63" s="42">
        <v>46132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59</v>
      </c>
      <c r="L63" s="28" t="s">
        <v>56</v>
      </c>
      <c r="M63" s="29" t="str">
        <f t="shared" si="5"/>
        <v>⚠ Check</v>
      </c>
      <c r="N63" s="4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59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4276</v>
      </c>
      <c r="C64" s="41" t="s">
        <v>4277</v>
      </c>
      <c r="D64" s="39" t="s">
        <v>4265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59</v>
      </c>
      <c r="L64" s="28" t="s">
        <v>56</v>
      </c>
      <c r="M64" s="29" t="str">
        <f t="shared" si="5"/>
        <v>⚠ Check</v>
      </c>
      <c r="N64" s="4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59</v>
      </c>
      <c r="U64" s="28" t="s">
        <v>56</v>
      </c>
      <c r="V64" s="29" t="str">
        <f t="shared" si="6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4278</v>
      </c>
      <c r="C65" s="25" t="s">
        <v>4279</v>
      </c>
      <c r="D65" s="23" t="s">
        <v>4265</v>
      </c>
      <c r="E65" s="42">
        <v>46129</v>
      </c>
      <c r="F65" s="26" t="s">
        <v>55</v>
      </c>
      <c r="G65" s="26" t="s">
        <v>56</v>
      </c>
      <c r="H65" s="26" t="s">
        <v>57</v>
      </c>
      <c r="I65" s="26" t="s">
        <v>1131</v>
      </c>
      <c r="J65" s="26" t="s">
        <v>57</v>
      </c>
      <c r="K65" s="27" t="s">
        <v>1116</v>
      </c>
      <c r="L65" s="28" t="s">
        <v>56</v>
      </c>
      <c r="M65" s="29" t="str">
        <f t="shared" si="5"/>
        <v>⚠ Check</v>
      </c>
      <c r="N65" s="42">
        <v>46196</v>
      </c>
      <c r="O65" s="26" t="s">
        <v>55</v>
      </c>
      <c r="P65" s="26" t="s">
        <v>56</v>
      </c>
      <c r="Q65" s="26" t="s">
        <v>57</v>
      </c>
      <c r="R65" s="26" t="s">
        <v>1131</v>
      </c>
      <c r="S65" s="26" t="s">
        <v>57</v>
      </c>
      <c r="T65" s="27" t="s">
        <v>1116</v>
      </c>
      <c r="U65" s="28" t="s">
        <v>56</v>
      </c>
      <c r="V65" s="29" t="str">
        <f t="shared" si="6"/>
        <v>⚠ Check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1131</v>
      </c>
      <c r="AB65" s="30" t="s">
        <v>57</v>
      </c>
      <c r="AC65" s="27" t="s">
        <v>1116</v>
      </c>
      <c r="AD65" s="31" t="s">
        <v>56</v>
      </c>
      <c r="AE65" s="32" t="str">
        <f t="shared" si="7"/>
        <v>⚠ Check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4280</v>
      </c>
      <c r="C66" s="41" t="s">
        <v>4281</v>
      </c>
      <c r="D66" s="39" t="s">
        <v>4265</v>
      </c>
      <c r="E66" s="42">
        <v>46129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4282</v>
      </c>
      <c r="C67" s="25" t="s">
        <v>4283</v>
      </c>
      <c r="D67" s="23" t="s">
        <v>4265</v>
      </c>
      <c r="E67" s="42">
        <v>46129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4284</v>
      </c>
      <c r="C68" s="41" t="s">
        <v>4285</v>
      </c>
      <c r="D68" s="39" t="s">
        <v>4265</v>
      </c>
      <c r="E68" s="42">
        <v>46132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4286</v>
      </c>
      <c r="C69" s="25" t="s">
        <v>4287</v>
      </c>
      <c r="D69" s="23" t="s">
        <v>4265</v>
      </c>
      <c r="E69" s="42">
        <v>46129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77" si="10">IF(E69="","",IF(H69="Yes","❌ Disc",IF(G69="No","⚠ Missing",IF(J69="Yes","✓ OK","⚠ Check"))))</f>
        <v>✓ OK</v>
      </c>
      <c r="N69" s="4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77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77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4288</v>
      </c>
      <c r="C70" s="41" t="s">
        <v>4289</v>
      </c>
      <c r="D70" s="39" t="s">
        <v>4265</v>
      </c>
      <c r="E70" s="42">
        <v>46129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4157</v>
      </c>
      <c r="L70" s="28" t="s">
        <v>56</v>
      </c>
      <c r="M70" s="29" t="str">
        <f t="shared" si="10"/>
        <v>⚠ Check</v>
      </c>
      <c r="N70" s="4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4157</v>
      </c>
      <c r="U70" s="28" t="s">
        <v>56</v>
      </c>
      <c r="V70" s="29" t="str">
        <f t="shared" si="11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56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4290</v>
      </c>
      <c r="C71" s="25" t="s">
        <v>4291</v>
      </c>
      <c r="D71" s="23" t="s">
        <v>4265</v>
      </c>
      <c r="E71" s="42">
        <v>46129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4292</v>
      </c>
      <c r="C72" s="41" t="s">
        <v>4293</v>
      </c>
      <c r="D72" s="39" t="s">
        <v>4265</v>
      </c>
      <c r="E72" s="42">
        <v>46129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4294</v>
      </c>
      <c r="C73" s="25" t="s">
        <v>4295</v>
      </c>
      <c r="D73" s="23" t="s">
        <v>4265</v>
      </c>
      <c r="E73" s="42">
        <v>46129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57</v>
      </c>
      <c r="K73" s="27" t="s">
        <v>4157</v>
      </c>
      <c r="L73" s="28" t="s">
        <v>56</v>
      </c>
      <c r="M73" s="29" t="str">
        <f t="shared" si="10"/>
        <v>⚠ Check</v>
      </c>
      <c r="N73" s="42">
        <v>46196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57</v>
      </c>
      <c r="T73" s="27" t="s">
        <v>4157</v>
      </c>
      <c r="U73" s="28" t="s">
        <v>56</v>
      </c>
      <c r="V73" s="29" t="str">
        <f t="shared" si="11"/>
        <v>⚠ Check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4296</v>
      </c>
      <c r="C74" s="41" t="s">
        <v>4297</v>
      </c>
      <c r="D74" s="39" t="s">
        <v>4265</v>
      </c>
      <c r="E74" s="42">
        <v>46129</v>
      </c>
      <c r="F74" s="26" t="s">
        <v>55</v>
      </c>
      <c r="G74" s="26" t="s">
        <v>56</v>
      </c>
      <c r="H74" s="26" t="s">
        <v>57</v>
      </c>
      <c r="I74" s="26" t="s">
        <v>1131</v>
      </c>
      <c r="J74" s="26" t="s">
        <v>57</v>
      </c>
      <c r="K74" s="27" t="s">
        <v>1116</v>
      </c>
      <c r="L74" s="28" t="s">
        <v>56</v>
      </c>
      <c r="M74" s="29" t="str">
        <f t="shared" si="10"/>
        <v>⚠ Check</v>
      </c>
      <c r="N74" s="42">
        <v>46196</v>
      </c>
      <c r="O74" s="26" t="s">
        <v>55</v>
      </c>
      <c r="P74" s="26" t="s">
        <v>56</v>
      </c>
      <c r="Q74" s="26" t="s">
        <v>57</v>
      </c>
      <c r="R74" s="26" t="s">
        <v>1131</v>
      </c>
      <c r="S74" s="26" t="s">
        <v>57</v>
      </c>
      <c r="T74" s="27" t="s">
        <v>1116</v>
      </c>
      <c r="U74" s="28" t="s">
        <v>56</v>
      </c>
      <c r="V74" s="29" t="str">
        <f t="shared" si="11"/>
        <v>⚠ Check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1131</v>
      </c>
      <c r="AB74" s="30" t="s">
        <v>57</v>
      </c>
      <c r="AC74" s="27" t="s">
        <v>1116</v>
      </c>
      <c r="AD74" s="31" t="s">
        <v>56</v>
      </c>
      <c r="AE74" s="32" t="str">
        <f t="shared" si="12"/>
        <v>⚠ Check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4298</v>
      </c>
      <c r="C75" s="25" t="s">
        <v>4299</v>
      </c>
      <c r="D75" s="23" t="s">
        <v>4265</v>
      </c>
      <c r="E75" s="42">
        <v>46129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4300</v>
      </c>
      <c r="C76" s="41" t="s">
        <v>4301</v>
      </c>
      <c r="D76" s="39" t="s">
        <v>4265</v>
      </c>
      <c r="E76" s="42">
        <v>46129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4302</v>
      </c>
      <c r="C77" s="25" t="s">
        <v>4303</v>
      </c>
      <c r="D77" s="23" t="s">
        <v>4265</v>
      </c>
      <c r="E77" s="42">
        <v>46129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80" priority="55">
      <formula>MOD(ROW(),2)=0</formula>
    </cfRule>
  </conditionalFormatting>
  <conditionalFormatting sqref="G5:G77">
    <cfRule type="expression" dxfId="379" priority="14">
      <formula>G5="Yes"</formula>
    </cfRule>
    <cfRule type="expression" dxfId="378" priority="15">
      <formula>G5="No"</formula>
    </cfRule>
  </conditionalFormatting>
  <conditionalFormatting sqref="H5:H77">
    <cfRule type="expression" dxfId="377" priority="16">
      <formula>H5="Yes"</formula>
    </cfRule>
  </conditionalFormatting>
  <conditionalFormatting sqref="J5:J77">
    <cfRule type="expression" dxfId="376" priority="17">
      <formula>J5="Yes"</formula>
    </cfRule>
    <cfRule type="expression" dxfId="375" priority="18">
      <formula>J5="No"</formula>
    </cfRule>
  </conditionalFormatting>
  <conditionalFormatting sqref="M5:M77">
    <cfRule type="expression" dxfId="374" priority="13">
      <formula>M5="⚠ Check"</formula>
    </cfRule>
    <cfRule type="expression" dxfId="373" priority="10">
      <formula>M5="✓ OK"</formula>
    </cfRule>
    <cfRule type="expression" dxfId="372" priority="11">
      <formula>M5="❌ Disc"</formula>
    </cfRule>
    <cfRule type="expression" dxfId="371" priority="12">
      <formula>M5="⚠ Missing"</formula>
    </cfRule>
  </conditionalFormatting>
  <conditionalFormatting sqref="P5:P77">
    <cfRule type="expression" dxfId="370" priority="5">
      <formula>P5="Yes"</formula>
    </cfRule>
    <cfRule type="expression" dxfId="369" priority="6">
      <formula>P5="No"</formula>
    </cfRule>
    <cfRule type="expression" dxfId="368" priority="23">
      <formula>P5="Yes"</formula>
    </cfRule>
    <cfRule type="expression" dxfId="367" priority="24">
      <formula>P5="No"</formula>
    </cfRule>
  </conditionalFormatting>
  <conditionalFormatting sqref="Q5:Q77">
    <cfRule type="expression" dxfId="366" priority="7">
      <formula>Q5="Yes"</formula>
    </cfRule>
  </conditionalFormatting>
  <conditionalFormatting sqref="S5:S77">
    <cfRule type="expression" dxfId="365" priority="8">
      <formula>S5="Yes"</formula>
    </cfRule>
    <cfRule type="expression" dxfId="364" priority="9">
      <formula>S5="No"</formula>
    </cfRule>
    <cfRule type="expression" dxfId="363" priority="26">
      <formula>S5="Yes"</formula>
    </cfRule>
    <cfRule type="expression" dxfId="362" priority="27">
      <formula>S5="No"</formula>
    </cfRule>
  </conditionalFormatting>
  <conditionalFormatting sqref="V5:V77">
    <cfRule type="expression" dxfId="361" priority="2">
      <formula>V5="❌ Disc"</formula>
    </cfRule>
    <cfRule type="expression" dxfId="360" priority="3">
      <formula>V5="⚠ Missing"</formula>
    </cfRule>
    <cfRule type="expression" dxfId="359" priority="4">
      <formula>V5="⚠ Check"</formula>
    </cfRule>
    <cfRule type="expression" dxfId="358" priority="1">
      <formula>V5="✓ OK"</formula>
    </cfRule>
    <cfRule type="expression" dxfId="357" priority="19">
      <formula>V5="✓ OK"</formula>
    </cfRule>
    <cfRule type="expression" dxfId="356" priority="20">
      <formula>V5="❌ Disc"</formula>
    </cfRule>
    <cfRule type="expression" dxfId="355" priority="21">
      <formula>V5="⚠ Missing"</formula>
    </cfRule>
    <cfRule type="expression" dxfId="354" priority="22">
      <formula>V5="⚠ Check"</formula>
    </cfRule>
  </conditionalFormatting>
  <conditionalFormatting sqref="Y5:Y77">
    <cfRule type="expression" dxfId="353" priority="32">
      <formula>Y5="Yes"</formula>
    </cfRule>
    <cfRule type="expression" dxfId="352" priority="33">
      <formula>Y5="No"</formula>
    </cfRule>
  </conditionalFormatting>
  <conditionalFormatting sqref="Z5:Z77">
    <cfRule type="expression" dxfId="351" priority="34">
      <formula>Z5="Yes"</formula>
    </cfRule>
  </conditionalFormatting>
  <conditionalFormatting sqref="AB5:AB77">
    <cfRule type="expression" dxfId="350" priority="36">
      <formula>AB5="No"</formula>
    </cfRule>
    <cfRule type="expression" dxfId="349" priority="35">
      <formula>AB5="Yes"</formula>
    </cfRule>
  </conditionalFormatting>
  <conditionalFormatting sqref="AE5:AE77">
    <cfRule type="expression" dxfId="348" priority="31">
      <formula>AE5="⚠ Check"</formula>
    </cfRule>
    <cfRule type="expression" dxfId="347" priority="29">
      <formula>AE5="❌ Disc"</formula>
    </cfRule>
    <cfRule type="expression" dxfId="346" priority="28">
      <formula>AE5="✓ OK"</formula>
    </cfRule>
    <cfRule type="expression" dxfId="345" priority="30">
      <formula>AE5="⚠ Missing"</formula>
    </cfRule>
  </conditionalFormatting>
  <conditionalFormatting sqref="AH5:AH77">
    <cfRule type="expression" dxfId="344" priority="41">
      <formula>AH5="Yes"</formula>
    </cfRule>
    <cfRule type="expression" dxfId="343" priority="42">
      <formula>AH5="No"</formula>
    </cfRule>
  </conditionalFormatting>
  <conditionalFormatting sqref="AI5:AI77">
    <cfRule type="expression" dxfId="342" priority="43">
      <formula>AI5="Yes"</formula>
    </cfRule>
  </conditionalFormatting>
  <conditionalFormatting sqref="AK5:AK77">
    <cfRule type="expression" dxfId="341" priority="44">
      <formula>AK5="Yes"</formula>
    </cfRule>
    <cfRule type="expression" dxfId="340" priority="45">
      <formula>AK5="No"</formula>
    </cfRule>
  </conditionalFormatting>
  <conditionalFormatting sqref="AN5:AN77">
    <cfRule type="expression" dxfId="339" priority="37">
      <formula>AN5="✓ OK"</formula>
    </cfRule>
    <cfRule type="expression" dxfId="338" priority="38">
      <formula>AN5="❌ Disc"</formula>
    </cfRule>
    <cfRule type="expression" dxfId="337" priority="39">
      <formula>AN5="⚠ Missing"</formula>
    </cfRule>
    <cfRule type="expression" dxfId="336" priority="40">
      <formula>AN5="⚠ Check"</formula>
    </cfRule>
  </conditionalFormatting>
  <conditionalFormatting sqref="AQ5:AQ77">
    <cfRule type="expression" dxfId="335" priority="50">
      <formula>AQ5="Yes"</formula>
    </cfRule>
    <cfRule type="expression" dxfId="334" priority="51">
      <formula>AQ5="No"</formula>
    </cfRule>
  </conditionalFormatting>
  <conditionalFormatting sqref="AR5:AR77">
    <cfRule type="expression" dxfId="333" priority="52">
      <formula>AR5="Yes"</formula>
    </cfRule>
  </conditionalFormatting>
  <conditionalFormatting sqref="AT5:AT77">
    <cfRule type="expression" dxfId="332" priority="53">
      <formula>AT5="Yes"</formula>
    </cfRule>
    <cfRule type="expression" dxfId="331" priority="54">
      <formula>AT5="No"</formula>
    </cfRule>
  </conditionalFormatting>
  <conditionalFormatting sqref="AW5:AW77">
    <cfRule type="expression" dxfId="330" priority="46">
      <formula>AW5="✓ OK"</formula>
    </cfRule>
    <cfRule type="expression" dxfId="329" priority="47">
      <formula>AW5="❌ Disc"</formula>
    </cfRule>
    <cfRule type="expression" dxfId="328" priority="48">
      <formula>AW5="⚠ Missing"</formula>
    </cfRule>
    <cfRule type="expression" dxfId="327" priority="49">
      <formula>AW5="⚠ Check"</formula>
    </cfRule>
  </conditionalFormatting>
  <dataValidations count="2">
    <dataValidation type="list" allowBlank="1" sqref="G5:H77 J5:J77 P5:Q77 S5:S77 AT5:AT77 Y5:Z77 AH5:AI77 AK5:AK77 AQ5:AR77 AB5:AB77" xr:uid="{00000000-0002-0000-0600-000000000000}">
      <formula1>"Yes,No"</formula1>
    </dataValidation>
    <dataValidation type="list" allowBlank="1" sqref="I5:I77 R5:R77 AA5:AA77 AJ5:AJ77 AS5:AS77" xr:uid="{00000000-0002-0000-06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X5" activePane="bottomRight" state="frozen"/>
      <selection pane="topRight" activeCell="H13" sqref="H13"/>
      <selection pane="bottomLeft" activeCell="H13" sqref="H13"/>
      <selection pane="bottomRight" activeCell="AE5" sqref="A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4304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4305</v>
      </c>
      <c r="C5" s="25" t="s">
        <v>4306</v>
      </c>
      <c r="D5" s="23" t="s">
        <v>4307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5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15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4308</v>
      </c>
      <c r="C6" s="41" t="s">
        <v>4309</v>
      </c>
      <c r="D6" s="39" t="s">
        <v>4307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4310</v>
      </c>
      <c r="C7" s="25" t="s">
        <v>4311</v>
      </c>
      <c r="D7" s="23" t="s">
        <v>4307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4312</v>
      </c>
      <c r="C8" s="41" t="s">
        <v>4313</v>
      </c>
      <c r="D8" s="39" t="s">
        <v>4307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4314</v>
      </c>
      <c r="C9" s="25" t="s">
        <v>4315</v>
      </c>
      <c r="D9" s="23" t="s">
        <v>4307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4316</v>
      </c>
      <c r="C10" s="41" t="s">
        <v>4317</v>
      </c>
      <c r="D10" s="39" t="s">
        <v>4307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4318</v>
      </c>
      <c r="C11" s="25" t="s">
        <v>4319</v>
      </c>
      <c r="D11" s="23" t="s">
        <v>4307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4320</v>
      </c>
      <c r="C12" s="41" t="s">
        <v>4321</v>
      </c>
      <c r="D12" s="39" t="s">
        <v>4307</v>
      </c>
      <c r="E12" s="42">
        <v>46129</v>
      </c>
      <c r="F12" s="26" t="s">
        <v>55</v>
      </c>
      <c r="G12" s="26" t="s">
        <v>57</v>
      </c>
      <c r="H12" s="26" t="s">
        <v>57</v>
      </c>
      <c r="I12" s="26" t="s">
        <v>89</v>
      </c>
      <c r="J12" s="26" t="s">
        <v>57</v>
      </c>
      <c r="K12" s="27" t="s">
        <v>90</v>
      </c>
      <c r="L12" s="28" t="s">
        <v>56</v>
      </c>
      <c r="M12" s="29" t="str">
        <f t="shared" si="0"/>
        <v>⚠ Missing</v>
      </c>
      <c r="N12" s="42">
        <v>46196</v>
      </c>
      <c r="O12" s="26" t="s">
        <v>55</v>
      </c>
      <c r="P12" s="26" t="s">
        <v>57</v>
      </c>
      <c r="Q12" s="26" t="s">
        <v>57</v>
      </c>
      <c r="R12" s="26" t="s">
        <v>89</v>
      </c>
      <c r="S12" s="26" t="s">
        <v>57</v>
      </c>
      <c r="T12" s="27" t="s">
        <v>90</v>
      </c>
      <c r="U12" s="28" t="s">
        <v>56</v>
      </c>
      <c r="V12" s="29" t="str">
        <f t="shared" si="1"/>
        <v>⚠ Missing</v>
      </c>
      <c r="W12" s="70">
        <v>46248</v>
      </c>
      <c r="X12" s="30" t="s">
        <v>55</v>
      </c>
      <c r="Y12" s="30" t="s">
        <v>57</v>
      </c>
      <c r="Z12" s="30" t="s">
        <v>57</v>
      </c>
      <c r="AA12" s="30" t="s">
        <v>89</v>
      </c>
      <c r="AB12" s="30" t="s">
        <v>57</v>
      </c>
      <c r="AC12" s="27" t="s">
        <v>90</v>
      </c>
      <c r="AD12" s="31" t="s">
        <v>56</v>
      </c>
      <c r="AE12" s="32" t="str">
        <f t="shared" si="2"/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4322</v>
      </c>
      <c r="C13" s="25" t="s">
        <v>4323</v>
      </c>
      <c r="D13" s="23" t="s">
        <v>4307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4324</v>
      </c>
      <c r="C14" s="41" t="s">
        <v>4325</v>
      </c>
      <c r="D14" s="39" t="s">
        <v>4307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4326</v>
      </c>
      <c r="C15" s="25" t="s">
        <v>4327</v>
      </c>
      <c r="D15" s="23" t="s">
        <v>4307</v>
      </c>
      <c r="E15" s="42">
        <v>46132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26" priority="15">
      <formula>G5="Yes"</formula>
    </cfRule>
    <cfRule type="expression" dxfId="325" priority="16">
      <formula>G5="No"</formula>
    </cfRule>
  </conditionalFormatting>
  <conditionalFormatting sqref="H5:H15">
    <cfRule type="expression" dxfId="324" priority="17">
      <formula>H5="Yes"</formula>
    </cfRule>
  </conditionalFormatting>
  <conditionalFormatting sqref="J5:J15">
    <cfRule type="expression" dxfId="323" priority="18">
      <formula>J5="Yes"</formula>
    </cfRule>
    <cfRule type="expression" dxfId="322" priority="19">
      <formula>J5="No"</formula>
    </cfRule>
  </conditionalFormatting>
  <conditionalFormatting sqref="M5:M15">
    <cfRule type="expression" dxfId="321" priority="13">
      <formula>M5="⚠ Missing"</formula>
    </cfRule>
    <cfRule type="expression" dxfId="320" priority="11">
      <formula>M5="✓ OK"</formula>
    </cfRule>
    <cfRule type="expression" dxfId="319" priority="12">
      <formula>M5="❌ Disc"</formula>
    </cfRule>
    <cfRule type="expression" dxfId="318" priority="14">
      <formula>M5="⚠ Check"</formula>
    </cfRule>
  </conditionalFormatting>
  <conditionalFormatting sqref="N5:N15">
    <cfRule type="expression" dxfId="317" priority="1">
      <formula>MOD(ROW(),2)=0</formula>
    </cfRule>
  </conditionalFormatting>
  <conditionalFormatting sqref="A5:M15 O5:AW15">
    <cfRule type="expression" dxfId="316" priority="56">
      <formula>MOD(ROW(),2)=0</formula>
    </cfRule>
  </conditionalFormatting>
  <conditionalFormatting sqref="P5:P15">
    <cfRule type="expression" dxfId="315" priority="6">
      <formula>P5="Yes"</formula>
    </cfRule>
    <cfRule type="expression" dxfId="314" priority="7">
      <formula>P5="No"</formula>
    </cfRule>
    <cfRule type="expression" dxfId="313" priority="24">
      <formula>P5="Yes"</formula>
    </cfRule>
    <cfRule type="expression" dxfId="312" priority="25">
      <formula>P5="No"</formula>
    </cfRule>
  </conditionalFormatting>
  <conditionalFormatting sqref="Q5:Q15">
    <cfRule type="expression" dxfId="311" priority="8">
      <formula>Q5="Yes"</formula>
    </cfRule>
  </conditionalFormatting>
  <conditionalFormatting sqref="S5:S15">
    <cfRule type="expression" dxfId="310" priority="9">
      <formula>S5="Yes"</formula>
    </cfRule>
    <cfRule type="expression" dxfId="309" priority="10">
      <formula>S5="No"</formula>
    </cfRule>
    <cfRule type="expression" dxfId="308" priority="27">
      <formula>S5="Yes"</formula>
    </cfRule>
    <cfRule type="expression" dxfId="307" priority="28">
      <formula>S5="No"</formula>
    </cfRule>
  </conditionalFormatting>
  <conditionalFormatting sqref="V5:V15">
    <cfRule type="expression" dxfId="306" priority="2">
      <formula>V5="✓ OK"</formula>
    </cfRule>
    <cfRule type="expression" dxfId="305" priority="3">
      <formula>V5="❌ Disc"</formula>
    </cfRule>
    <cfRule type="expression" dxfId="304" priority="4">
      <formula>V5="⚠ Missing"</formula>
    </cfRule>
    <cfRule type="expression" dxfId="303" priority="5">
      <formula>V5="⚠ Check"</formula>
    </cfRule>
    <cfRule type="expression" dxfId="302" priority="20">
      <formula>V5="✓ OK"</formula>
    </cfRule>
    <cfRule type="expression" dxfId="301" priority="21">
      <formula>V5="❌ Disc"</formula>
    </cfRule>
    <cfRule type="expression" dxfId="300" priority="22">
      <formula>V5="⚠ Missing"</formula>
    </cfRule>
    <cfRule type="expression" dxfId="299" priority="23">
      <formula>V5="⚠ Check"</formula>
    </cfRule>
  </conditionalFormatting>
  <conditionalFormatting sqref="Y5:Y15">
    <cfRule type="expression" dxfId="298" priority="33">
      <formula>Y5="Yes"</formula>
    </cfRule>
    <cfRule type="expression" dxfId="297" priority="34">
      <formula>Y5="No"</formula>
    </cfRule>
  </conditionalFormatting>
  <conditionalFormatting sqref="Z5:Z15">
    <cfRule type="expression" dxfId="296" priority="35">
      <formula>Z5="Yes"</formula>
    </cfRule>
  </conditionalFormatting>
  <conditionalFormatting sqref="AB5:AB15">
    <cfRule type="expression" dxfId="295" priority="36">
      <formula>AB5="Yes"</formula>
    </cfRule>
    <cfRule type="expression" dxfId="294" priority="37">
      <formula>AB5="No"</formula>
    </cfRule>
  </conditionalFormatting>
  <conditionalFormatting sqref="AE5:AE15">
    <cfRule type="expression" dxfId="293" priority="30">
      <formula>AE5="❌ Disc"</formula>
    </cfRule>
    <cfRule type="expression" dxfId="292" priority="31">
      <formula>AE5="⚠ Missing"</formula>
    </cfRule>
    <cfRule type="expression" dxfId="291" priority="29">
      <formula>AE5="✓ OK"</formula>
    </cfRule>
    <cfRule type="expression" dxfId="290" priority="32">
      <formula>AE5="⚠ Check"</formula>
    </cfRule>
  </conditionalFormatting>
  <conditionalFormatting sqref="AH5:AH15">
    <cfRule type="expression" dxfId="289" priority="42">
      <formula>AH5="Yes"</formula>
    </cfRule>
    <cfRule type="expression" dxfId="288" priority="43">
      <formula>AH5="No"</formula>
    </cfRule>
  </conditionalFormatting>
  <conditionalFormatting sqref="AI5:AI15">
    <cfRule type="expression" dxfId="287" priority="44">
      <formula>AI5="Yes"</formula>
    </cfRule>
  </conditionalFormatting>
  <conditionalFormatting sqref="AK5:AK15">
    <cfRule type="expression" dxfId="286" priority="45">
      <formula>AK5="Yes"</formula>
    </cfRule>
    <cfRule type="expression" dxfId="285" priority="46">
      <formula>AK5="No"</formula>
    </cfRule>
  </conditionalFormatting>
  <conditionalFormatting sqref="AN5:AN15">
    <cfRule type="expression" dxfId="284" priority="38">
      <formula>AN5="✓ OK"</formula>
    </cfRule>
    <cfRule type="expression" dxfId="283" priority="39">
      <formula>AN5="❌ Disc"</formula>
    </cfRule>
    <cfRule type="expression" dxfId="282" priority="40">
      <formula>AN5="⚠ Missing"</formula>
    </cfRule>
    <cfRule type="expression" dxfId="281" priority="41">
      <formula>AN5="⚠ Check"</formula>
    </cfRule>
  </conditionalFormatting>
  <conditionalFormatting sqref="AQ5:AQ15">
    <cfRule type="expression" dxfId="280" priority="51">
      <formula>AQ5="Yes"</formula>
    </cfRule>
    <cfRule type="expression" dxfId="279" priority="52">
      <formula>AQ5="No"</formula>
    </cfRule>
  </conditionalFormatting>
  <conditionalFormatting sqref="AR5:AR15">
    <cfRule type="expression" dxfId="278" priority="53">
      <formula>AR5="Yes"</formula>
    </cfRule>
  </conditionalFormatting>
  <conditionalFormatting sqref="AT5:AT15">
    <cfRule type="expression" dxfId="277" priority="54">
      <formula>AT5="Yes"</formula>
    </cfRule>
    <cfRule type="expression" dxfId="276" priority="55">
      <formula>AT5="No"</formula>
    </cfRule>
  </conditionalFormatting>
  <conditionalFormatting sqref="AW5:AW15">
    <cfRule type="expression" dxfId="275" priority="47">
      <formula>AW5="✓ OK"</formula>
    </cfRule>
    <cfRule type="expression" dxfId="274" priority="48">
      <formula>AW5="❌ Disc"</formula>
    </cfRule>
    <cfRule type="expression" dxfId="273" priority="49">
      <formula>AW5="⚠ Missing"</formula>
    </cfRule>
    <cfRule type="expression" dxfId="272" priority="50">
      <formula>AW5="⚠ Check"</formula>
    </cfRule>
  </conditionalFormatting>
  <dataValidations count="2">
    <dataValidation type="list" allowBlank="1" sqref="G5:H15 J5:J15 P5:Q15 S5:S15 AT5:AT15 AB5:AB15 AH5:AI15 AK5:AK15 AQ5:AR15 Y5:Z15" xr:uid="{00000000-0002-0000-0700-000000000000}">
      <formula1>"Yes,No"</formula1>
    </dataValidation>
    <dataValidation type="list" allowBlank="1" sqref="I5:I15 R5:R15 AA5:AA15 AJ5:AJ15 AS5:AS15" xr:uid="{00000000-0002-0000-07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4328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4329</v>
      </c>
      <c r="C5" s="25" t="s">
        <v>4330</v>
      </c>
      <c r="D5" s="23" t="s">
        <v>4331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2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4332</v>
      </c>
      <c r="C6" s="41" t="s">
        <v>4333</v>
      </c>
      <c r="D6" s="39" t="s">
        <v>4331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4334</v>
      </c>
      <c r="C7" s="25" t="s">
        <v>4335</v>
      </c>
      <c r="D7" s="23" t="s">
        <v>4331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4336</v>
      </c>
      <c r="C8" s="41" t="s">
        <v>4337</v>
      </c>
      <c r="D8" s="39" t="s">
        <v>4331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4338</v>
      </c>
      <c r="C9" s="25" t="s">
        <v>4339</v>
      </c>
      <c r="D9" s="23" t="s">
        <v>4331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4340</v>
      </c>
      <c r="C10" s="41" t="s">
        <v>4341</v>
      </c>
      <c r="D10" s="39" t="s">
        <v>4331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4342</v>
      </c>
      <c r="C11" s="25" t="s">
        <v>4343</v>
      </c>
      <c r="D11" s="23" t="s">
        <v>4331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4344</v>
      </c>
      <c r="C12" s="41" t="s">
        <v>4345</v>
      </c>
      <c r="D12" s="39" t="s">
        <v>4331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4346</v>
      </c>
      <c r="C13" s="25" t="s">
        <v>4347</v>
      </c>
      <c r="D13" s="23" t="s">
        <v>4331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4348</v>
      </c>
      <c r="C14" s="41" t="s">
        <v>4349</v>
      </c>
      <c r="D14" s="39" t="s">
        <v>4331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4350</v>
      </c>
      <c r="C15" s="25" t="s">
        <v>4351</v>
      </c>
      <c r="D15" s="23" t="s">
        <v>4331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4352</v>
      </c>
      <c r="C16" s="41" t="s">
        <v>4353</v>
      </c>
      <c r="D16" s="39" t="s">
        <v>4331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4354</v>
      </c>
      <c r="C17" s="25" t="s">
        <v>4355</v>
      </c>
      <c r="D17" s="23" t="s">
        <v>4331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4356</v>
      </c>
      <c r="C18" s="41" t="s">
        <v>4357</v>
      </c>
      <c r="D18" s="39" t="s">
        <v>4331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4358</v>
      </c>
      <c r="C19" s="25" t="s">
        <v>4359</v>
      </c>
      <c r="D19" s="23" t="s">
        <v>4331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4360</v>
      </c>
      <c r="C20" s="41" t="s">
        <v>4361</v>
      </c>
      <c r="D20" s="39" t="s">
        <v>4331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4362</v>
      </c>
      <c r="C21" s="25" t="s">
        <v>4363</v>
      </c>
      <c r="D21" s="23" t="s">
        <v>4331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4364</v>
      </c>
      <c r="C22" s="41" t="s">
        <v>4365</v>
      </c>
      <c r="D22" s="39" t="s">
        <v>4366</v>
      </c>
      <c r="E22" s="42">
        <v>46132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4367</v>
      </c>
      <c r="C23" s="25" t="s">
        <v>4368</v>
      </c>
      <c r="D23" s="23" t="s">
        <v>4366</v>
      </c>
      <c r="E23" s="42">
        <v>46132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4369</v>
      </c>
      <c r="C24" s="41" t="s">
        <v>4370</v>
      </c>
      <c r="D24" s="39" t="s">
        <v>4366</v>
      </c>
      <c r="E24" s="42">
        <v>46132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4371</v>
      </c>
      <c r="C25" s="25" t="s">
        <v>4372</v>
      </c>
      <c r="D25" s="23" t="s">
        <v>4366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4373</v>
      </c>
      <c r="C26" s="41" t="s">
        <v>4374</v>
      </c>
      <c r="D26" s="39" t="s">
        <v>4366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 t="shared" si="0"/>
        <v>⚠ Missing</v>
      </c>
      <c r="N26" s="42">
        <v>46196</v>
      </c>
      <c r="O26" s="26" t="s">
        <v>55</v>
      </c>
      <c r="P26" s="26" t="s">
        <v>57</v>
      </c>
      <c r="Q26" s="26" t="s">
        <v>57</v>
      </c>
      <c r="R26" s="26" t="s">
        <v>89</v>
      </c>
      <c r="S26" s="26" t="s">
        <v>57</v>
      </c>
      <c r="T26" s="27" t="s">
        <v>90</v>
      </c>
      <c r="U26" s="28" t="s">
        <v>56</v>
      </c>
      <c r="V26" s="29" t="str">
        <f t="shared" si="1"/>
        <v>⚠ Missing</v>
      </c>
      <c r="W26" s="70">
        <v>46248</v>
      </c>
      <c r="X26" s="30" t="s">
        <v>55</v>
      </c>
      <c r="Y26" s="30" t="s">
        <v>57</v>
      </c>
      <c r="Z26" s="30" t="s">
        <v>57</v>
      </c>
      <c r="AA26" s="30" t="s">
        <v>89</v>
      </c>
      <c r="AB26" s="30" t="s">
        <v>57</v>
      </c>
      <c r="AC26" s="27" t="s">
        <v>90</v>
      </c>
      <c r="AD26" s="31" t="s">
        <v>56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71" priority="15">
      <formula>G5="Yes"</formula>
    </cfRule>
    <cfRule type="expression" dxfId="270" priority="16">
      <formula>G5="No"</formula>
    </cfRule>
  </conditionalFormatting>
  <conditionalFormatting sqref="H5:H26">
    <cfRule type="expression" dxfId="269" priority="17">
      <formula>H5="Yes"</formula>
    </cfRule>
  </conditionalFormatting>
  <conditionalFormatting sqref="J5:J26">
    <cfRule type="expression" dxfId="268" priority="18">
      <formula>J5="Yes"</formula>
    </cfRule>
    <cfRule type="expression" dxfId="267" priority="19">
      <formula>J5="No"</formula>
    </cfRule>
  </conditionalFormatting>
  <conditionalFormatting sqref="M5:M26">
    <cfRule type="expression" dxfId="266" priority="13">
      <formula>M5="⚠ Missing"</formula>
    </cfRule>
    <cfRule type="expression" dxfId="265" priority="11">
      <formula>M5="✓ OK"</formula>
    </cfRule>
    <cfRule type="expression" dxfId="264" priority="12">
      <formula>M5="❌ Disc"</formula>
    </cfRule>
    <cfRule type="expression" dxfId="263" priority="14">
      <formula>M5="⚠ Check"</formula>
    </cfRule>
  </conditionalFormatting>
  <conditionalFormatting sqref="N5:N26">
    <cfRule type="expression" dxfId="262" priority="1">
      <formula>MOD(ROW(),2)=0</formula>
    </cfRule>
  </conditionalFormatting>
  <conditionalFormatting sqref="A5:M26 O5:AW26">
    <cfRule type="expression" dxfId="261" priority="56">
      <formula>MOD(ROW(),2)=0</formula>
    </cfRule>
  </conditionalFormatting>
  <conditionalFormatting sqref="P5:P26">
    <cfRule type="expression" dxfId="260" priority="6">
      <formula>P5="Yes"</formula>
    </cfRule>
    <cfRule type="expression" dxfId="259" priority="7">
      <formula>P5="No"</formula>
    </cfRule>
    <cfRule type="expression" dxfId="258" priority="24">
      <formula>P5="Yes"</formula>
    </cfRule>
    <cfRule type="expression" dxfId="257" priority="25">
      <formula>P5="No"</formula>
    </cfRule>
  </conditionalFormatting>
  <conditionalFormatting sqref="Q5:Q26">
    <cfRule type="expression" dxfId="256" priority="8">
      <formula>Q5="Yes"</formula>
    </cfRule>
  </conditionalFormatting>
  <conditionalFormatting sqref="S5:S26">
    <cfRule type="expression" dxfId="255" priority="9">
      <formula>S5="Yes"</formula>
    </cfRule>
    <cfRule type="expression" dxfId="254" priority="10">
      <formula>S5="No"</formula>
    </cfRule>
    <cfRule type="expression" dxfId="253" priority="27">
      <formula>S5="Yes"</formula>
    </cfRule>
    <cfRule type="expression" dxfId="252" priority="28">
      <formula>S5="No"</formula>
    </cfRule>
  </conditionalFormatting>
  <conditionalFormatting sqref="V5:V26">
    <cfRule type="expression" dxfId="251" priority="2">
      <formula>V5="✓ OK"</formula>
    </cfRule>
    <cfRule type="expression" dxfId="250" priority="3">
      <formula>V5="❌ Disc"</formula>
    </cfRule>
    <cfRule type="expression" dxfId="249" priority="4">
      <formula>V5="⚠ Missing"</formula>
    </cfRule>
    <cfRule type="expression" dxfId="248" priority="5">
      <formula>V5="⚠ Check"</formula>
    </cfRule>
    <cfRule type="expression" dxfId="247" priority="20">
      <formula>V5="✓ OK"</formula>
    </cfRule>
    <cfRule type="expression" dxfId="246" priority="21">
      <formula>V5="❌ Disc"</formula>
    </cfRule>
    <cfRule type="expression" dxfId="245" priority="22">
      <formula>V5="⚠ Missing"</formula>
    </cfRule>
    <cfRule type="expression" dxfId="244" priority="23">
      <formula>V5="⚠ Check"</formula>
    </cfRule>
  </conditionalFormatting>
  <conditionalFormatting sqref="Y5:Y26">
    <cfRule type="expression" dxfId="243" priority="33">
      <formula>Y5="Yes"</formula>
    </cfRule>
    <cfRule type="expression" dxfId="242" priority="34">
      <formula>Y5="No"</formula>
    </cfRule>
  </conditionalFormatting>
  <conditionalFormatting sqref="Z5:Z26">
    <cfRule type="expression" dxfId="241" priority="35">
      <formula>Z5="Yes"</formula>
    </cfRule>
  </conditionalFormatting>
  <conditionalFormatting sqref="AB5:AB26">
    <cfRule type="expression" dxfId="240" priority="36">
      <formula>AB5="Yes"</formula>
    </cfRule>
    <cfRule type="expression" dxfId="239" priority="37">
      <formula>AB5="No"</formula>
    </cfRule>
  </conditionalFormatting>
  <conditionalFormatting sqref="AE5:AE26">
    <cfRule type="expression" dxfId="238" priority="30">
      <formula>AE5="❌ Disc"</formula>
    </cfRule>
    <cfRule type="expression" dxfId="237" priority="31">
      <formula>AE5="⚠ Missing"</formula>
    </cfRule>
    <cfRule type="expression" dxfId="236" priority="29">
      <formula>AE5="✓ OK"</formula>
    </cfRule>
    <cfRule type="expression" dxfId="235" priority="32">
      <formula>AE5="⚠ Check"</formula>
    </cfRule>
  </conditionalFormatting>
  <conditionalFormatting sqref="AH5:AH26">
    <cfRule type="expression" dxfId="234" priority="42">
      <formula>AH5="Yes"</formula>
    </cfRule>
    <cfRule type="expression" dxfId="233" priority="43">
      <formula>AH5="No"</formula>
    </cfRule>
  </conditionalFormatting>
  <conditionalFormatting sqref="AI5:AI26">
    <cfRule type="expression" dxfId="232" priority="44">
      <formula>AI5="Yes"</formula>
    </cfRule>
  </conditionalFormatting>
  <conditionalFormatting sqref="AK5:AK26">
    <cfRule type="expression" dxfId="231" priority="45">
      <formula>AK5="Yes"</formula>
    </cfRule>
    <cfRule type="expression" dxfId="230" priority="46">
      <formula>AK5="No"</formula>
    </cfRule>
  </conditionalFormatting>
  <conditionalFormatting sqref="AN5:AN26">
    <cfRule type="expression" dxfId="229" priority="38">
      <formula>AN5="✓ OK"</formula>
    </cfRule>
    <cfRule type="expression" dxfId="228" priority="39">
      <formula>AN5="❌ Disc"</formula>
    </cfRule>
    <cfRule type="expression" dxfId="227" priority="40">
      <formula>AN5="⚠ Missing"</formula>
    </cfRule>
    <cfRule type="expression" dxfId="226" priority="41">
      <formula>AN5="⚠ Check"</formula>
    </cfRule>
  </conditionalFormatting>
  <conditionalFormatting sqref="AQ5:AQ26">
    <cfRule type="expression" dxfId="225" priority="51">
      <formula>AQ5="Yes"</formula>
    </cfRule>
    <cfRule type="expression" dxfId="224" priority="52">
      <formula>AQ5="No"</formula>
    </cfRule>
  </conditionalFormatting>
  <conditionalFormatting sqref="AR5:AR26">
    <cfRule type="expression" dxfId="223" priority="53">
      <formula>AR5="Yes"</formula>
    </cfRule>
  </conditionalFormatting>
  <conditionalFormatting sqref="AT5:AT26">
    <cfRule type="expression" dxfId="222" priority="54">
      <formula>AT5="Yes"</formula>
    </cfRule>
    <cfRule type="expression" dxfId="221" priority="55">
      <formula>AT5="No"</formula>
    </cfRule>
  </conditionalFormatting>
  <conditionalFormatting sqref="AW5:AW26">
    <cfRule type="expression" dxfId="220" priority="47">
      <formula>AW5="✓ OK"</formula>
    </cfRule>
    <cfRule type="expression" dxfId="219" priority="48">
      <formula>AW5="❌ Disc"</formula>
    </cfRule>
    <cfRule type="expression" dxfId="218" priority="49">
      <formula>AW5="⚠ Missing"</formula>
    </cfRule>
    <cfRule type="expression" dxfId="217" priority="50">
      <formula>AW5="⚠ Check"</formula>
    </cfRule>
  </conditionalFormatting>
  <dataValidations count="2">
    <dataValidation type="list" allowBlank="1" sqref="G5:H26 J5:J26 P5:Q26 S5:S26 AT5:AT26 AB5:AB26 AH5:AI26 AK5:AK26 AQ5:AR26 Y5:Z26" xr:uid="{00000000-0002-0000-0800-000000000000}">
      <formula1>"Yes,No"</formula1>
    </dataValidation>
    <dataValidation type="list" allowBlank="1" sqref="I5:I26 R5:R26 AA5:AA26 AJ5:AJ26 AS5:AS26" xr:uid="{00000000-0002-0000-08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V5" activePane="bottomRight" state="frozen"/>
      <selection pane="topRight" activeCell="H13" sqref="H13"/>
      <selection pane="bottomLeft" activeCell="H13" sqref="H13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4375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4376</v>
      </c>
      <c r="C5" s="25" t="s">
        <v>4377</v>
      </c>
      <c r="D5" s="23" t="s">
        <v>995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4378</v>
      </c>
      <c r="C6" s="41" t="s">
        <v>4379</v>
      </c>
      <c r="D6" s="39" t="s">
        <v>995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4380</v>
      </c>
      <c r="C7" s="25" t="s">
        <v>4381</v>
      </c>
      <c r="D7" s="23" t="s">
        <v>995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4382</v>
      </c>
      <c r="C8" s="41" t="s">
        <v>4383</v>
      </c>
      <c r="D8" s="39" t="s">
        <v>995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4384</v>
      </c>
      <c r="C9" s="25" t="s">
        <v>4385</v>
      </c>
      <c r="D9" s="23" t="s">
        <v>995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4386</v>
      </c>
      <c r="C10" s="41" t="s">
        <v>4387</v>
      </c>
      <c r="D10" s="39" t="s">
        <v>995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4388</v>
      </c>
      <c r="C11" s="25" t="s">
        <v>4389</v>
      </c>
      <c r="D11" s="23" t="s">
        <v>995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4390</v>
      </c>
      <c r="C12" s="41" t="s">
        <v>4391</v>
      </c>
      <c r="D12" s="39" t="s">
        <v>995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4392</v>
      </c>
      <c r="C13" s="25" t="s">
        <v>4393</v>
      </c>
      <c r="D13" s="23" t="s">
        <v>4307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4394</v>
      </c>
      <c r="C14" s="41" t="s">
        <v>4395</v>
      </c>
      <c r="D14" s="39" t="s">
        <v>4307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4396</v>
      </c>
      <c r="C15" s="25" t="s">
        <v>4397</v>
      </c>
      <c r="D15" s="23" t="s">
        <v>4307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4398</v>
      </c>
      <c r="C16" s="41" t="s">
        <v>4399</v>
      </c>
      <c r="D16" s="39" t="s">
        <v>4307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4400</v>
      </c>
      <c r="C17" s="25" t="s">
        <v>4401</v>
      </c>
      <c r="D17" s="23" t="s">
        <v>4307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4402</v>
      </c>
      <c r="C18" s="41" t="s">
        <v>4403</v>
      </c>
      <c r="D18" s="39" t="s">
        <v>4307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4404</v>
      </c>
      <c r="C19" s="25" t="s">
        <v>4405</v>
      </c>
      <c r="D19" s="23" t="s">
        <v>4307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4406</v>
      </c>
      <c r="C20" s="41" t="s">
        <v>4407</v>
      </c>
      <c r="D20" s="39" t="s">
        <v>4307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4408</v>
      </c>
      <c r="C21" s="25" t="s">
        <v>4409</v>
      </c>
      <c r="D21" s="23" t="s">
        <v>4307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4410</v>
      </c>
      <c r="C22" s="41" t="s">
        <v>4411</v>
      </c>
      <c r="D22" s="39" t="s">
        <v>4307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4412</v>
      </c>
      <c r="C23" s="25" t="s">
        <v>4413</v>
      </c>
      <c r="D23" s="23" t="s">
        <v>4307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4414</v>
      </c>
      <c r="C24" s="41" t="s">
        <v>4415</v>
      </c>
      <c r="D24" s="39" t="s">
        <v>4307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4416</v>
      </c>
      <c r="C25" s="25" t="s">
        <v>4417</v>
      </c>
      <c r="D25" s="23" t="s">
        <v>4307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4418</v>
      </c>
      <c r="C26" s="41" t="s">
        <v>4419</v>
      </c>
      <c r="D26" s="39" t="s">
        <v>4307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4420</v>
      </c>
      <c r="C27" s="25" t="s">
        <v>4421</v>
      </c>
      <c r="D27" s="23" t="s">
        <v>4307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4422</v>
      </c>
      <c r="C28" s="41" t="s">
        <v>4423</v>
      </c>
      <c r="D28" s="39" t="s">
        <v>4307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4424</v>
      </c>
      <c r="C29" s="25" t="s">
        <v>4425</v>
      </c>
      <c r="D29" s="23" t="s">
        <v>4307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4426</v>
      </c>
      <c r="C30" s="41" t="s">
        <v>4427</v>
      </c>
      <c r="D30" s="39" t="s">
        <v>4307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4428</v>
      </c>
      <c r="C31" s="25" t="s">
        <v>4429</v>
      </c>
      <c r="D31" s="23" t="s">
        <v>4307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4430</v>
      </c>
      <c r="C32" s="41" t="s">
        <v>4431</v>
      </c>
      <c r="D32" s="39" t="s">
        <v>4307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4432</v>
      </c>
      <c r="C33" s="25" t="s">
        <v>4433</v>
      </c>
      <c r="D33" s="23" t="s">
        <v>4307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4434</v>
      </c>
      <c r="C34" s="41" t="s">
        <v>4435</v>
      </c>
      <c r="D34" s="39" t="s">
        <v>4307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4436</v>
      </c>
      <c r="C35" s="25" t="s">
        <v>4437</v>
      </c>
      <c r="D35" s="23" t="s">
        <v>4307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4438</v>
      </c>
      <c r="C36" s="41" t="s">
        <v>4439</v>
      </c>
      <c r="D36" s="39" t="s">
        <v>4307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4440</v>
      </c>
      <c r="C37" s="25" t="s">
        <v>4441</v>
      </c>
      <c r="D37" s="23" t="s">
        <v>4307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4442</v>
      </c>
      <c r="C38" s="41" t="s">
        <v>4443</v>
      </c>
      <c r="D38" s="39" t="s">
        <v>4307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4444</v>
      </c>
      <c r="C39" s="25" t="s">
        <v>4445</v>
      </c>
      <c r="D39" s="23" t="s">
        <v>4307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16" priority="15">
      <formula>G5="Yes"</formula>
    </cfRule>
    <cfRule type="expression" dxfId="215" priority="16">
      <formula>G5="No"</formula>
    </cfRule>
  </conditionalFormatting>
  <conditionalFormatting sqref="H5:H39">
    <cfRule type="expression" dxfId="214" priority="17">
      <formula>H5="Yes"</formula>
    </cfRule>
  </conditionalFormatting>
  <conditionalFormatting sqref="J5:J39">
    <cfRule type="expression" dxfId="213" priority="18">
      <formula>J5="Yes"</formula>
    </cfRule>
    <cfRule type="expression" dxfId="212" priority="19">
      <formula>J5="No"</formula>
    </cfRule>
  </conditionalFormatting>
  <conditionalFormatting sqref="M5:M39">
    <cfRule type="expression" dxfId="211" priority="13">
      <formula>M5="⚠ Missing"</formula>
    </cfRule>
    <cfRule type="expression" dxfId="210" priority="11">
      <formula>M5="✓ OK"</formula>
    </cfRule>
    <cfRule type="expression" dxfId="209" priority="12">
      <formula>M5="❌ Disc"</formula>
    </cfRule>
    <cfRule type="expression" dxfId="208" priority="14">
      <formula>M5="⚠ Check"</formula>
    </cfRule>
  </conditionalFormatting>
  <conditionalFormatting sqref="N5:N39">
    <cfRule type="expression" dxfId="207" priority="1">
      <formula>MOD(ROW(),2)=0</formula>
    </cfRule>
  </conditionalFormatting>
  <conditionalFormatting sqref="A5:M39 O5:AW39">
    <cfRule type="expression" dxfId="206" priority="56">
      <formula>MOD(ROW(),2)=0</formula>
    </cfRule>
  </conditionalFormatting>
  <conditionalFormatting sqref="P5:P39">
    <cfRule type="expression" dxfId="205" priority="6">
      <formula>P5="Yes"</formula>
    </cfRule>
    <cfRule type="expression" dxfId="204" priority="7">
      <formula>P5="No"</formula>
    </cfRule>
    <cfRule type="expression" dxfId="203" priority="24">
      <formula>P5="Yes"</formula>
    </cfRule>
    <cfRule type="expression" dxfId="202" priority="25">
      <formula>P5="No"</formula>
    </cfRule>
  </conditionalFormatting>
  <conditionalFormatting sqref="Q5:Q39">
    <cfRule type="expression" dxfId="201" priority="8">
      <formula>Q5="Yes"</formula>
    </cfRule>
  </conditionalFormatting>
  <conditionalFormatting sqref="S5:S39">
    <cfRule type="expression" dxfId="200" priority="9">
      <formula>S5="Yes"</formula>
    </cfRule>
    <cfRule type="expression" dxfId="199" priority="10">
      <formula>S5="No"</formula>
    </cfRule>
    <cfRule type="expression" dxfId="198" priority="27">
      <formula>S5="Yes"</formula>
    </cfRule>
    <cfRule type="expression" dxfId="197" priority="28">
      <formula>S5="No"</formula>
    </cfRule>
  </conditionalFormatting>
  <conditionalFormatting sqref="V5:V39">
    <cfRule type="expression" dxfId="196" priority="2">
      <formula>V5="✓ OK"</formula>
    </cfRule>
    <cfRule type="expression" dxfId="195" priority="3">
      <formula>V5="❌ Disc"</formula>
    </cfRule>
    <cfRule type="expression" dxfId="194" priority="4">
      <formula>V5="⚠ Missing"</formula>
    </cfRule>
    <cfRule type="expression" dxfId="193" priority="5">
      <formula>V5="⚠ Check"</formula>
    </cfRule>
    <cfRule type="expression" dxfId="192" priority="20">
      <formula>V5="✓ OK"</formula>
    </cfRule>
    <cfRule type="expression" dxfId="191" priority="21">
      <formula>V5="❌ Disc"</formula>
    </cfRule>
    <cfRule type="expression" dxfId="190" priority="22">
      <formula>V5="⚠ Missing"</formula>
    </cfRule>
    <cfRule type="expression" dxfId="189" priority="23">
      <formula>V5="⚠ Check"</formula>
    </cfRule>
  </conditionalFormatting>
  <conditionalFormatting sqref="Y5:Y39">
    <cfRule type="expression" dxfId="188" priority="33">
      <formula>Y5="Yes"</formula>
    </cfRule>
    <cfRule type="expression" dxfId="187" priority="34">
      <formula>Y5="No"</formula>
    </cfRule>
  </conditionalFormatting>
  <conditionalFormatting sqref="Z5:Z39">
    <cfRule type="expression" dxfId="186" priority="35">
      <formula>Z5="Yes"</formula>
    </cfRule>
  </conditionalFormatting>
  <conditionalFormatting sqref="AB5:AB39">
    <cfRule type="expression" dxfId="185" priority="36">
      <formula>AB5="Yes"</formula>
    </cfRule>
    <cfRule type="expression" dxfId="184" priority="37">
      <formula>AB5="No"</formula>
    </cfRule>
  </conditionalFormatting>
  <conditionalFormatting sqref="AE5:AE39">
    <cfRule type="expression" dxfId="183" priority="30">
      <formula>AE5="❌ Disc"</formula>
    </cfRule>
    <cfRule type="expression" dxfId="182" priority="31">
      <formula>AE5="⚠ Missing"</formula>
    </cfRule>
    <cfRule type="expression" dxfId="181" priority="29">
      <formula>AE5="✓ OK"</formula>
    </cfRule>
    <cfRule type="expression" dxfId="180" priority="32">
      <formula>AE5="⚠ Check"</formula>
    </cfRule>
  </conditionalFormatting>
  <conditionalFormatting sqref="AH5:AH39">
    <cfRule type="expression" dxfId="179" priority="42">
      <formula>AH5="Yes"</formula>
    </cfRule>
    <cfRule type="expression" dxfId="178" priority="43">
      <formula>AH5="No"</formula>
    </cfRule>
  </conditionalFormatting>
  <conditionalFormatting sqref="AI5:AI39">
    <cfRule type="expression" dxfId="177" priority="44">
      <formula>AI5="Yes"</formula>
    </cfRule>
  </conditionalFormatting>
  <conditionalFormatting sqref="AK5:AK39">
    <cfRule type="expression" dxfId="176" priority="45">
      <formula>AK5="Yes"</formula>
    </cfRule>
    <cfRule type="expression" dxfId="175" priority="46">
      <formula>AK5="No"</formula>
    </cfRule>
  </conditionalFormatting>
  <conditionalFormatting sqref="AN5:AN39">
    <cfRule type="expression" dxfId="174" priority="38">
      <formula>AN5="✓ OK"</formula>
    </cfRule>
    <cfRule type="expression" dxfId="173" priority="39">
      <formula>AN5="❌ Disc"</formula>
    </cfRule>
    <cfRule type="expression" dxfId="172" priority="40">
      <formula>AN5="⚠ Missing"</formula>
    </cfRule>
    <cfRule type="expression" dxfId="171" priority="41">
      <formula>AN5="⚠ Check"</formula>
    </cfRule>
  </conditionalFormatting>
  <conditionalFormatting sqref="AQ5:AQ39">
    <cfRule type="expression" dxfId="170" priority="51">
      <formula>AQ5="Yes"</formula>
    </cfRule>
    <cfRule type="expression" dxfId="169" priority="52">
      <formula>AQ5="No"</formula>
    </cfRule>
  </conditionalFormatting>
  <conditionalFormatting sqref="AR5:AR39">
    <cfRule type="expression" dxfId="168" priority="53">
      <formula>AR5="Yes"</formula>
    </cfRule>
  </conditionalFormatting>
  <conditionalFormatting sqref="AT5:AT39">
    <cfRule type="expression" dxfId="167" priority="54">
      <formula>AT5="Yes"</formula>
    </cfRule>
    <cfRule type="expression" dxfId="166" priority="55">
      <formula>AT5="No"</formula>
    </cfRule>
  </conditionalFormatting>
  <conditionalFormatting sqref="AW5:AW39">
    <cfRule type="expression" dxfId="165" priority="47">
      <formula>AW5="✓ OK"</formula>
    </cfRule>
    <cfRule type="expression" dxfId="164" priority="48">
      <formula>AW5="❌ Disc"</formula>
    </cfRule>
    <cfRule type="expression" dxfId="163" priority="49">
      <formula>AW5="⚠ Missing"</formula>
    </cfRule>
    <cfRule type="expression" dxfId="162" priority="50">
      <formula>AW5="⚠ Check"</formula>
    </cfRule>
  </conditionalFormatting>
  <dataValidations count="2">
    <dataValidation type="list" allowBlank="1" sqref="G5:H39 J5:J39 P5:Q39 S5:S39 AT5:AT39 AB5:AB39 AH5:AI39 AK5:AK39 AQ5:AR39 Y5:Z39" xr:uid="{00000000-0002-0000-0900-000000000000}">
      <formula1>"Yes,No"</formula1>
    </dataValidation>
    <dataValidation type="list" allowBlank="1" sqref="I5:I39 R5:R39 AA5:AA39 AJ5:AJ39 AS5:AS39" xr:uid="{00000000-0002-0000-09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4446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4447</v>
      </c>
      <c r="C5" s="41" t="s">
        <v>4448</v>
      </c>
      <c r="D5" s="39" t="s">
        <v>21</v>
      </c>
      <c r="E5" s="42">
        <v>46128</v>
      </c>
      <c r="F5" s="26" t="s">
        <v>55</v>
      </c>
      <c r="G5" s="44" t="s">
        <v>832</v>
      </c>
      <c r="H5" s="26" t="s">
        <v>57</v>
      </c>
      <c r="I5" s="44" t="s">
        <v>832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832</v>
      </c>
      <c r="Q5" s="26" t="s">
        <v>57</v>
      </c>
      <c r="R5" s="44" t="s">
        <v>832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832</v>
      </c>
      <c r="Z5" s="30" t="s">
        <v>57</v>
      </c>
      <c r="AA5" s="30" t="s">
        <v>832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4449</v>
      </c>
      <c r="C6" s="25" t="s">
        <v>4450</v>
      </c>
      <c r="D6" s="23" t="s">
        <v>21</v>
      </c>
      <c r="E6" s="42">
        <v>46128</v>
      </c>
      <c r="F6" s="26" t="s">
        <v>55</v>
      </c>
      <c r="G6" s="44" t="s">
        <v>832</v>
      </c>
      <c r="H6" s="26" t="s">
        <v>57</v>
      </c>
      <c r="I6" s="44" t="s">
        <v>832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832</v>
      </c>
      <c r="Q6" s="26" t="s">
        <v>57</v>
      </c>
      <c r="R6" s="44" t="s">
        <v>832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832</v>
      </c>
      <c r="Z6" s="30" t="s">
        <v>57</v>
      </c>
      <c r="AA6" s="30" t="s">
        <v>832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4451</v>
      </c>
      <c r="C7" s="41" t="s">
        <v>4452</v>
      </c>
      <c r="D7" s="39" t="s">
        <v>21</v>
      </c>
      <c r="E7" s="42">
        <v>46128</v>
      </c>
      <c r="F7" s="26" t="s">
        <v>55</v>
      </c>
      <c r="G7" s="44" t="s">
        <v>56</v>
      </c>
      <c r="H7" s="26" t="s">
        <v>57</v>
      </c>
      <c r="I7" s="44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56</v>
      </c>
      <c r="Q7" s="26" t="s">
        <v>57</v>
      </c>
      <c r="R7" s="44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24" t="s">
        <v>4453</v>
      </c>
      <c r="C8" s="25" t="s">
        <v>4454</v>
      </c>
      <c r="D8" s="23" t="s">
        <v>21</v>
      </c>
      <c r="E8" s="42">
        <v>46128</v>
      </c>
      <c r="F8" s="26" t="s">
        <v>55</v>
      </c>
      <c r="G8" s="44" t="s">
        <v>832</v>
      </c>
      <c r="H8" s="26" t="s">
        <v>57</v>
      </c>
      <c r="I8" s="44" t="s">
        <v>832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832</v>
      </c>
      <c r="Q8" s="26" t="s">
        <v>57</v>
      </c>
      <c r="R8" s="44" t="s">
        <v>832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832</v>
      </c>
      <c r="Z8" s="30" t="s">
        <v>57</v>
      </c>
      <c r="AA8" s="30" t="s">
        <v>832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4455</v>
      </c>
      <c r="C9" s="25" t="s">
        <v>4456</v>
      </c>
      <c r="D9" s="23" t="s">
        <v>21</v>
      </c>
      <c r="E9" s="42">
        <v>46128</v>
      </c>
      <c r="F9" s="26" t="s">
        <v>55</v>
      </c>
      <c r="G9" s="44" t="s">
        <v>832</v>
      </c>
      <c r="H9" s="26" t="s">
        <v>57</v>
      </c>
      <c r="I9" s="44" t="s">
        <v>832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832</v>
      </c>
      <c r="Q9" s="26" t="s">
        <v>57</v>
      </c>
      <c r="R9" s="44" t="s">
        <v>832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832</v>
      </c>
      <c r="Z9" s="30" t="s">
        <v>57</v>
      </c>
      <c r="AA9" s="30" t="s">
        <v>832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4457</v>
      </c>
      <c r="C10" s="41" t="s">
        <v>4458</v>
      </c>
      <c r="D10" s="39" t="s">
        <v>21</v>
      </c>
      <c r="E10" s="42">
        <v>46128</v>
      </c>
      <c r="F10" s="26" t="s">
        <v>55</v>
      </c>
      <c r="G10" s="44" t="s">
        <v>56</v>
      </c>
      <c r="H10" s="26" t="s">
        <v>57</v>
      </c>
      <c r="I10" s="44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56</v>
      </c>
      <c r="Q10" s="26" t="s">
        <v>57</v>
      </c>
      <c r="R10" s="44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4459</v>
      </c>
      <c r="C11" s="41" t="s">
        <v>4460</v>
      </c>
      <c r="D11" s="39" t="s">
        <v>21</v>
      </c>
      <c r="E11" s="42">
        <v>46128</v>
      </c>
      <c r="F11" s="26" t="s">
        <v>55</v>
      </c>
      <c r="G11" s="44" t="s">
        <v>832</v>
      </c>
      <c r="H11" s="26" t="s">
        <v>57</v>
      </c>
      <c r="I11" s="44" t="s">
        <v>832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832</v>
      </c>
      <c r="Q11" s="26" t="s">
        <v>57</v>
      </c>
      <c r="R11" s="44" t="s">
        <v>832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832</v>
      </c>
      <c r="Z11" s="30" t="s">
        <v>57</v>
      </c>
      <c r="AA11" s="30" t="s">
        <v>832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4461</v>
      </c>
      <c r="C12" s="25" t="s">
        <v>4462</v>
      </c>
      <c r="D12" s="23" t="s">
        <v>21</v>
      </c>
      <c r="E12" s="42">
        <v>46128</v>
      </c>
      <c r="F12" s="26" t="s">
        <v>55</v>
      </c>
      <c r="G12" s="44" t="s">
        <v>832</v>
      </c>
      <c r="H12" s="26" t="s">
        <v>57</v>
      </c>
      <c r="I12" s="44" t="s">
        <v>832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832</v>
      </c>
      <c r="Q12" s="26" t="s">
        <v>57</v>
      </c>
      <c r="R12" s="44" t="s">
        <v>832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832</v>
      </c>
      <c r="Z12" s="30" t="s">
        <v>57</v>
      </c>
      <c r="AA12" s="30" t="s">
        <v>832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4463</v>
      </c>
      <c r="C13" s="41" t="s">
        <v>4464</v>
      </c>
      <c r="D13" s="39" t="s">
        <v>21</v>
      </c>
      <c r="E13" s="42">
        <v>46128</v>
      </c>
      <c r="F13" s="26" t="s">
        <v>55</v>
      </c>
      <c r="G13" s="44" t="s">
        <v>832</v>
      </c>
      <c r="H13" s="26" t="s">
        <v>57</v>
      </c>
      <c r="I13" s="44" t="s">
        <v>832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832</v>
      </c>
      <c r="Q13" s="26" t="s">
        <v>57</v>
      </c>
      <c r="R13" s="44" t="s">
        <v>832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832</v>
      </c>
      <c r="Z13" s="30" t="s">
        <v>57</v>
      </c>
      <c r="AA13" s="30" t="s">
        <v>832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24" t="s">
        <v>4465</v>
      </c>
      <c r="C14" s="25" t="s">
        <v>4466</v>
      </c>
      <c r="D14" s="23" t="s">
        <v>21</v>
      </c>
      <c r="E14" s="42">
        <v>46128</v>
      </c>
      <c r="F14" s="26" t="s">
        <v>55</v>
      </c>
      <c r="G14" s="44" t="s">
        <v>832</v>
      </c>
      <c r="H14" s="26" t="s">
        <v>57</v>
      </c>
      <c r="I14" s="44" t="s">
        <v>832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832</v>
      </c>
      <c r="Q14" s="26" t="s">
        <v>57</v>
      </c>
      <c r="R14" s="44" t="s">
        <v>832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832</v>
      </c>
      <c r="Z14" s="30" t="s">
        <v>57</v>
      </c>
      <c r="AA14" s="30" t="s">
        <v>832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40" t="s">
        <v>4467</v>
      </c>
      <c r="C15" s="41" t="s">
        <v>4468</v>
      </c>
      <c r="D15" s="39" t="s">
        <v>21</v>
      </c>
      <c r="E15" s="42">
        <v>46128</v>
      </c>
      <c r="F15" s="26" t="s">
        <v>55</v>
      </c>
      <c r="G15" s="44" t="s">
        <v>832</v>
      </c>
      <c r="H15" s="26" t="s">
        <v>57</v>
      </c>
      <c r="I15" s="44" t="s">
        <v>832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832</v>
      </c>
      <c r="Q15" s="26" t="s">
        <v>57</v>
      </c>
      <c r="R15" s="44" t="s">
        <v>832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832</v>
      </c>
      <c r="Z15" s="30" t="s">
        <v>57</v>
      </c>
      <c r="AA15" s="30" t="s">
        <v>832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4469</v>
      </c>
      <c r="C16" s="41" t="s">
        <v>4470</v>
      </c>
      <c r="D16" s="39" t="s">
        <v>21</v>
      </c>
      <c r="E16" s="42">
        <v>46128</v>
      </c>
      <c r="F16" s="26" t="s">
        <v>55</v>
      </c>
      <c r="G16" s="44" t="s">
        <v>832</v>
      </c>
      <c r="H16" s="26" t="s">
        <v>57</v>
      </c>
      <c r="I16" s="44" t="s">
        <v>832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832</v>
      </c>
      <c r="Q16" s="26" t="s">
        <v>57</v>
      </c>
      <c r="R16" s="44" t="s">
        <v>832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832</v>
      </c>
      <c r="Z16" s="30" t="s">
        <v>57</v>
      </c>
      <c r="AA16" s="30" t="s">
        <v>832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4471</v>
      </c>
      <c r="C17" s="25" t="s">
        <v>4472</v>
      </c>
      <c r="D17" s="23" t="s">
        <v>21</v>
      </c>
      <c r="E17" s="42">
        <v>46128</v>
      </c>
      <c r="F17" s="26" t="s">
        <v>55</v>
      </c>
      <c r="G17" s="44" t="s">
        <v>832</v>
      </c>
      <c r="H17" s="26" t="s">
        <v>57</v>
      </c>
      <c r="I17" s="44" t="s">
        <v>832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832</v>
      </c>
      <c r="Q17" s="26" t="s">
        <v>57</v>
      </c>
      <c r="R17" s="44" t="s">
        <v>832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832</v>
      </c>
      <c r="Z17" s="30" t="s">
        <v>57</v>
      </c>
      <c r="AA17" s="30" t="s">
        <v>832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24" t="s">
        <v>4473</v>
      </c>
      <c r="C18" s="25" t="s">
        <v>4474</v>
      </c>
      <c r="D18" s="23" t="s">
        <v>21</v>
      </c>
      <c r="E18" s="42">
        <v>46128</v>
      </c>
      <c r="F18" s="26" t="s">
        <v>55</v>
      </c>
      <c r="G18" s="44" t="s">
        <v>56</v>
      </c>
      <c r="H18" s="26" t="s">
        <v>57</v>
      </c>
      <c r="I18" s="44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56</v>
      </c>
      <c r="Q18" s="26" t="s">
        <v>57</v>
      </c>
      <c r="R18" s="44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40" t="s">
        <v>4475</v>
      </c>
      <c r="C19" s="41" t="s">
        <v>4476</v>
      </c>
      <c r="D19" s="39" t="s">
        <v>21</v>
      </c>
      <c r="E19" s="42">
        <v>46128</v>
      </c>
      <c r="F19" s="26" t="s">
        <v>55</v>
      </c>
      <c r="G19" s="44" t="s">
        <v>832</v>
      </c>
      <c r="H19" s="26" t="s">
        <v>57</v>
      </c>
      <c r="I19" s="44" t="s">
        <v>832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832</v>
      </c>
      <c r="Q19" s="26" t="s">
        <v>57</v>
      </c>
      <c r="R19" s="44" t="s">
        <v>832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832</v>
      </c>
      <c r="Z19" s="30" t="s">
        <v>57</v>
      </c>
      <c r="AA19" s="30" t="s">
        <v>832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24" t="s">
        <v>4477</v>
      </c>
      <c r="C20" s="25" t="s">
        <v>4478</v>
      </c>
      <c r="D20" s="23" t="s">
        <v>21</v>
      </c>
      <c r="E20" s="42">
        <v>46128</v>
      </c>
      <c r="F20" s="26" t="s">
        <v>55</v>
      </c>
      <c r="G20" s="44" t="s">
        <v>832</v>
      </c>
      <c r="H20" s="26" t="s">
        <v>57</v>
      </c>
      <c r="I20" s="44" t="s">
        <v>832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832</v>
      </c>
      <c r="Q20" s="26" t="s">
        <v>57</v>
      </c>
      <c r="R20" s="44" t="s">
        <v>832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832</v>
      </c>
      <c r="Z20" s="30" t="s">
        <v>57</v>
      </c>
      <c r="AA20" s="30" t="s">
        <v>832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40" t="s">
        <v>4479</v>
      </c>
      <c r="C21" s="41" t="s">
        <v>4480</v>
      </c>
      <c r="D21" s="39" t="s">
        <v>21</v>
      </c>
      <c r="E21" s="42">
        <v>46128</v>
      </c>
      <c r="F21" s="26" t="s">
        <v>55</v>
      </c>
      <c r="G21" s="44" t="s">
        <v>832</v>
      </c>
      <c r="H21" s="26" t="s">
        <v>57</v>
      </c>
      <c r="I21" s="44" t="s">
        <v>832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832</v>
      </c>
      <c r="Q21" s="26" t="s">
        <v>57</v>
      </c>
      <c r="R21" s="44" t="s">
        <v>832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832</v>
      </c>
      <c r="Z21" s="30" t="s">
        <v>57</v>
      </c>
      <c r="AA21" s="30" t="s">
        <v>832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24" t="s">
        <v>4481</v>
      </c>
      <c r="C22" s="25" t="s">
        <v>4482</v>
      </c>
      <c r="D22" s="23" t="s">
        <v>21</v>
      </c>
      <c r="E22" s="42">
        <v>46128</v>
      </c>
      <c r="F22" s="26" t="s">
        <v>55</v>
      </c>
      <c r="G22" s="44" t="s">
        <v>832</v>
      </c>
      <c r="H22" s="26" t="s">
        <v>57</v>
      </c>
      <c r="I22" s="44" t="s">
        <v>832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832</v>
      </c>
      <c r="Q22" s="26" t="s">
        <v>57</v>
      </c>
      <c r="R22" s="44" t="s">
        <v>832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832</v>
      </c>
      <c r="Z22" s="30" t="s">
        <v>57</v>
      </c>
      <c r="AA22" s="30" t="s">
        <v>832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4483</v>
      </c>
      <c r="C23" s="25" t="s">
        <v>4484</v>
      </c>
      <c r="D23" s="23" t="s">
        <v>21</v>
      </c>
      <c r="E23" s="42">
        <v>46128</v>
      </c>
      <c r="F23" s="26" t="s">
        <v>55</v>
      </c>
      <c r="G23" s="44" t="s">
        <v>832</v>
      </c>
      <c r="H23" s="26" t="s">
        <v>57</v>
      </c>
      <c r="I23" s="44" t="s">
        <v>832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832</v>
      </c>
      <c r="Q23" s="26" t="s">
        <v>57</v>
      </c>
      <c r="R23" s="44" t="s">
        <v>832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832</v>
      </c>
      <c r="Z23" s="30" t="s">
        <v>57</v>
      </c>
      <c r="AA23" s="30" t="s">
        <v>832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4485</v>
      </c>
      <c r="C24" s="41" t="s">
        <v>4486</v>
      </c>
      <c r="D24" s="39" t="s">
        <v>21</v>
      </c>
      <c r="E24" s="42">
        <v>46128</v>
      </c>
      <c r="F24" s="26" t="s">
        <v>55</v>
      </c>
      <c r="G24" s="44" t="s">
        <v>832</v>
      </c>
      <c r="H24" s="26" t="s">
        <v>57</v>
      </c>
      <c r="I24" s="44" t="s">
        <v>832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832</v>
      </c>
      <c r="Q24" s="26" t="s">
        <v>57</v>
      </c>
      <c r="R24" s="44" t="s">
        <v>832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832</v>
      </c>
      <c r="Z24" s="30" t="s">
        <v>57</v>
      </c>
      <c r="AA24" s="30" t="s">
        <v>832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40" t="s">
        <v>4487</v>
      </c>
      <c r="C25" s="41" t="s">
        <v>4488</v>
      </c>
      <c r="D25" s="39" t="s">
        <v>21</v>
      </c>
      <c r="E25" s="42">
        <v>46128</v>
      </c>
      <c r="F25" s="26" t="s">
        <v>55</v>
      </c>
      <c r="G25" s="44" t="s">
        <v>832</v>
      </c>
      <c r="H25" s="26" t="s">
        <v>57</v>
      </c>
      <c r="I25" s="44" t="s">
        <v>832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832</v>
      </c>
      <c r="Q25" s="26" t="s">
        <v>57</v>
      </c>
      <c r="R25" s="44" t="s">
        <v>832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832</v>
      </c>
      <c r="Z25" s="30" t="s">
        <v>57</v>
      </c>
      <c r="AA25" s="30" t="s">
        <v>832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4489</v>
      </c>
      <c r="C26" s="41" t="s">
        <v>4490</v>
      </c>
      <c r="D26" s="39" t="s">
        <v>21</v>
      </c>
      <c r="E26" s="42">
        <v>46128</v>
      </c>
      <c r="F26" s="26" t="s">
        <v>55</v>
      </c>
      <c r="G26" s="44" t="s">
        <v>832</v>
      </c>
      <c r="H26" s="26" t="s">
        <v>57</v>
      </c>
      <c r="I26" s="44" t="s">
        <v>832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832</v>
      </c>
      <c r="Q26" s="26" t="s">
        <v>57</v>
      </c>
      <c r="R26" s="44" t="s">
        <v>832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832</v>
      </c>
      <c r="Z26" s="30" t="s">
        <v>57</v>
      </c>
      <c r="AA26" s="30" t="s">
        <v>832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40" t="s">
        <v>4491</v>
      </c>
      <c r="C27" s="41" t="s">
        <v>4492</v>
      </c>
      <c r="D27" s="39" t="s">
        <v>21</v>
      </c>
      <c r="E27" s="42">
        <v>46128</v>
      </c>
      <c r="F27" s="26" t="s">
        <v>55</v>
      </c>
      <c r="G27" s="44" t="s">
        <v>832</v>
      </c>
      <c r="H27" s="26" t="s">
        <v>57</v>
      </c>
      <c r="I27" s="44" t="s">
        <v>832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832</v>
      </c>
      <c r="Q27" s="26" t="s">
        <v>57</v>
      </c>
      <c r="R27" s="44" t="s">
        <v>832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832</v>
      </c>
      <c r="Z27" s="30" t="s">
        <v>57</v>
      </c>
      <c r="AA27" s="30" t="s">
        <v>832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24" t="s">
        <v>4493</v>
      </c>
      <c r="C28" s="25" t="s">
        <v>4494</v>
      </c>
      <c r="D28" s="23" t="s">
        <v>21</v>
      </c>
      <c r="E28" s="42">
        <v>46128</v>
      </c>
      <c r="F28" s="26" t="s">
        <v>55</v>
      </c>
      <c r="G28" s="44" t="s">
        <v>832</v>
      </c>
      <c r="H28" s="26" t="s">
        <v>57</v>
      </c>
      <c r="I28" s="44" t="s">
        <v>832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832</v>
      </c>
      <c r="Q28" s="26" t="s">
        <v>57</v>
      </c>
      <c r="R28" s="44" t="s">
        <v>832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832</v>
      </c>
      <c r="Z28" s="30" t="s">
        <v>57</v>
      </c>
      <c r="AA28" s="30" t="s">
        <v>832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40" t="s">
        <v>4495</v>
      </c>
      <c r="C29" s="41" t="s">
        <v>4496</v>
      </c>
      <c r="D29" s="39" t="s">
        <v>21</v>
      </c>
      <c r="E29" s="42">
        <v>46128</v>
      </c>
      <c r="F29" s="26" t="s">
        <v>55</v>
      </c>
      <c r="G29" s="44" t="s">
        <v>832</v>
      </c>
      <c r="H29" s="26" t="s">
        <v>57</v>
      </c>
      <c r="I29" s="44" t="s">
        <v>832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832</v>
      </c>
      <c r="Q29" s="26" t="s">
        <v>57</v>
      </c>
      <c r="R29" s="44" t="s">
        <v>832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832</v>
      </c>
      <c r="Z29" s="30" t="s">
        <v>57</v>
      </c>
      <c r="AA29" s="30" t="s">
        <v>832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24" t="s">
        <v>4497</v>
      </c>
      <c r="C30" s="25" t="s">
        <v>4498</v>
      </c>
      <c r="D30" s="23" t="s">
        <v>21</v>
      </c>
      <c r="E30" s="42">
        <v>46128</v>
      </c>
      <c r="F30" s="26" t="s">
        <v>55</v>
      </c>
      <c r="G30" s="44" t="s">
        <v>832</v>
      </c>
      <c r="H30" s="26" t="s">
        <v>57</v>
      </c>
      <c r="I30" s="44" t="s">
        <v>832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832</v>
      </c>
      <c r="Q30" s="26" t="s">
        <v>57</v>
      </c>
      <c r="R30" s="44" t="s">
        <v>832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832</v>
      </c>
      <c r="Z30" s="30" t="s">
        <v>57</v>
      </c>
      <c r="AA30" s="30" t="s">
        <v>832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4499</v>
      </c>
      <c r="C31" s="25" t="s">
        <v>4500</v>
      </c>
      <c r="D31" s="23" t="s">
        <v>21</v>
      </c>
      <c r="E31" s="42">
        <v>46128</v>
      </c>
      <c r="F31" s="26" t="s">
        <v>55</v>
      </c>
      <c r="G31" s="44" t="s">
        <v>832</v>
      </c>
      <c r="H31" s="26" t="s">
        <v>57</v>
      </c>
      <c r="I31" s="44" t="s">
        <v>832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832</v>
      </c>
      <c r="Q31" s="26" t="s">
        <v>57</v>
      </c>
      <c r="R31" s="44" t="s">
        <v>832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832</v>
      </c>
      <c r="Z31" s="30" t="s">
        <v>57</v>
      </c>
      <c r="AA31" s="30" t="s">
        <v>832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4501</v>
      </c>
      <c r="C32" s="41" t="s">
        <v>4502</v>
      </c>
      <c r="D32" s="39" t="s">
        <v>21</v>
      </c>
      <c r="E32" s="42">
        <v>46128</v>
      </c>
      <c r="F32" s="26" t="s">
        <v>55</v>
      </c>
      <c r="G32" s="44" t="s">
        <v>832</v>
      </c>
      <c r="H32" s="26" t="s">
        <v>57</v>
      </c>
      <c r="I32" s="44" t="s">
        <v>832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832</v>
      </c>
      <c r="Q32" s="26" t="s">
        <v>57</v>
      </c>
      <c r="R32" s="44" t="s">
        <v>832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832</v>
      </c>
      <c r="Z32" s="30" t="s">
        <v>57</v>
      </c>
      <c r="AA32" s="30" t="s">
        <v>832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4503</v>
      </c>
      <c r="C33" s="25" t="s">
        <v>4504</v>
      </c>
      <c r="D33" s="23" t="s">
        <v>21</v>
      </c>
      <c r="E33" s="42">
        <v>46128</v>
      </c>
      <c r="F33" s="26" t="s">
        <v>55</v>
      </c>
      <c r="G33" s="44" t="s">
        <v>56</v>
      </c>
      <c r="H33" s="26" t="s">
        <v>57</v>
      </c>
      <c r="I33" s="44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56</v>
      </c>
      <c r="Q33" s="26" t="s">
        <v>57</v>
      </c>
      <c r="R33" s="44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24" t="s">
        <v>4505</v>
      </c>
      <c r="C34" s="25" t="s">
        <v>4506</v>
      </c>
      <c r="D34" s="23" t="s">
        <v>21</v>
      </c>
      <c r="E34" s="42">
        <v>46128</v>
      </c>
      <c r="F34" s="26" t="s">
        <v>55</v>
      </c>
      <c r="G34" s="44" t="s">
        <v>56</v>
      </c>
      <c r="H34" s="26" t="s">
        <v>57</v>
      </c>
      <c r="I34" s="44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56</v>
      </c>
      <c r="Q34" s="26" t="s">
        <v>57</v>
      </c>
      <c r="R34" s="44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4507</v>
      </c>
      <c r="C35" s="25" t="s">
        <v>4508</v>
      </c>
      <c r="D35" s="23" t="s">
        <v>21</v>
      </c>
      <c r="E35" s="42">
        <v>46128</v>
      </c>
      <c r="F35" s="26" t="s">
        <v>55</v>
      </c>
      <c r="G35" s="44" t="s">
        <v>832</v>
      </c>
      <c r="H35" s="26" t="s">
        <v>57</v>
      </c>
      <c r="I35" s="44" t="s">
        <v>832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832</v>
      </c>
      <c r="Q35" s="26" t="s">
        <v>57</v>
      </c>
      <c r="R35" s="44" t="s">
        <v>832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832</v>
      </c>
      <c r="Z35" s="30" t="s">
        <v>57</v>
      </c>
      <c r="AA35" s="30" t="s">
        <v>832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4509</v>
      </c>
      <c r="C36" s="41" t="s">
        <v>4510</v>
      </c>
      <c r="D36" s="39" t="s">
        <v>21</v>
      </c>
      <c r="E36" s="42">
        <v>46128</v>
      </c>
      <c r="F36" s="26" t="s">
        <v>55</v>
      </c>
      <c r="G36" s="44" t="s">
        <v>832</v>
      </c>
      <c r="H36" s="26" t="s">
        <v>57</v>
      </c>
      <c r="I36" s="44" t="s">
        <v>832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832</v>
      </c>
      <c r="Q36" s="26" t="s">
        <v>57</v>
      </c>
      <c r="R36" s="44" t="s">
        <v>832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832</v>
      </c>
      <c r="Z36" s="30" t="s">
        <v>57</v>
      </c>
      <c r="AA36" s="30" t="s">
        <v>832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4511</v>
      </c>
      <c r="C37" s="25" t="s">
        <v>4512</v>
      </c>
      <c r="D37" s="23" t="s">
        <v>21</v>
      </c>
      <c r="E37" s="42">
        <v>46128</v>
      </c>
      <c r="F37" s="26" t="s">
        <v>55</v>
      </c>
      <c r="G37" s="44" t="s">
        <v>832</v>
      </c>
      <c r="H37" s="26" t="s">
        <v>57</v>
      </c>
      <c r="I37" s="44" t="s">
        <v>832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46196</v>
      </c>
      <c r="O37" s="26" t="s">
        <v>55</v>
      </c>
      <c r="P37" s="44" t="s">
        <v>832</v>
      </c>
      <c r="Q37" s="26" t="s">
        <v>57</v>
      </c>
      <c r="R37" s="44" t="s">
        <v>832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832</v>
      </c>
      <c r="Z37" s="30" t="s">
        <v>57</v>
      </c>
      <c r="AA37" s="30" t="s">
        <v>832</v>
      </c>
      <c r="AB37" s="30" t="s">
        <v>56</v>
      </c>
      <c r="AC37" s="27"/>
      <c r="AD37" s="31" t="s">
        <v>57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4513</v>
      </c>
      <c r="C38" s="41" t="s">
        <v>4514</v>
      </c>
      <c r="D38" s="39" t="s">
        <v>21</v>
      </c>
      <c r="E38" s="42">
        <v>46128</v>
      </c>
      <c r="F38" s="26" t="s">
        <v>55</v>
      </c>
      <c r="G38" s="44" t="s">
        <v>56</v>
      </c>
      <c r="H38" s="26" t="s">
        <v>57</v>
      </c>
      <c r="I38" s="44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46196</v>
      </c>
      <c r="O38" s="26" t="s">
        <v>55</v>
      </c>
      <c r="P38" s="44" t="s">
        <v>56</v>
      </c>
      <c r="Q38" s="26" t="s">
        <v>57</v>
      </c>
      <c r="R38" s="44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40" t="s">
        <v>4515</v>
      </c>
      <c r="C39" s="41" t="s">
        <v>4516</v>
      </c>
      <c r="D39" s="39" t="s">
        <v>21</v>
      </c>
      <c r="E39" s="42">
        <v>46128</v>
      </c>
      <c r="F39" s="26" t="s">
        <v>55</v>
      </c>
      <c r="G39" s="44" t="s">
        <v>832</v>
      </c>
      <c r="H39" s="26" t="s">
        <v>57</v>
      </c>
      <c r="I39" s="44" t="s">
        <v>832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46196</v>
      </c>
      <c r="O39" s="26" t="s">
        <v>55</v>
      </c>
      <c r="P39" s="44" t="s">
        <v>832</v>
      </c>
      <c r="Q39" s="26" t="s">
        <v>57</v>
      </c>
      <c r="R39" s="44" t="s">
        <v>832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832</v>
      </c>
      <c r="Z39" s="30" t="s">
        <v>57</v>
      </c>
      <c r="AA39" s="30" t="s">
        <v>832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24" t="s">
        <v>4517</v>
      </c>
      <c r="C40" s="25" t="s">
        <v>4518</v>
      </c>
      <c r="D40" s="23" t="s">
        <v>21</v>
      </c>
      <c r="E40" s="42">
        <v>46128</v>
      </c>
      <c r="F40" s="26" t="s">
        <v>55</v>
      </c>
      <c r="G40" s="44" t="s">
        <v>832</v>
      </c>
      <c r="H40" s="26" t="s">
        <v>57</v>
      </c>
      <c r="I40" s="44" t="s">
        <v>832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46196</v>
      </c>
      <c r="O40" s="26" t="s">
        <v>55</v>
      </c>
      <c r="P40" s="44" t="s">
        <v>832</v>
      </c>
      <c r="Q40" s="26" t="s">
        <v>57</v>
      </c>
      <c r="R40" s="44" t="s">
        <v>832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832</v>
      </c>
      <c r="Z40" s="30" t="s">
        <v>57</v>
      </c>
      <c r="AA40" s="30" t="s">
        <v>832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4519</v>
      </c>
      <c r="C41" s="25" t="s">
        <v>4520</v>
      </c>
      <c r="D41" s="23" t="s">
        <v>21</v>
      </c>
      <c r="E41" s="42">
        <v>46128</v>
      </c>
      <c r="F41" s="26" t="s">
        <v>55</v>
      </c>
      <c r="G41" s="44" t="s">
        <v>832</v>
      </c>
      <c r="H41" s="26" t="s">
        <v>57</v>
      </c>
      <c r="I41" s="44" t="s">
        <v>832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46196</v>
      </c>
      <c r="O41" s="26" t="s">
        <v>55</v>
      </c>
      <c r="P41" s="44" t="s">
        <v>832</v>
      </c>
      <c r="Q41" s="26" t="s">
        <v>57</v>
      </c>
      <c r="R41" s="44" t="s">
        <v>832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832</v>
      </c>
      <c r="Z41" s="30" t="s">
        <v>57</v>
      </c>
      <c r="AA41" s="30" t="s">
        <v>832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4521</v>
      </c>
      <c r="C42" s="41" t="s">
        <v>4522</v>
      </c>
      <c r="D42" s="39" t="s">
        <v>21</v>
      </c>
      <c r="E42" s="42">
        <v>46128</v>
      </c>
      <c r="F42" s="26" t="s">
        <v>55</v>
      </c>
      <c r="G42" s="44" t="s">
        <v>832</v>
      </c>
      <c r="H42" s="26" t="s">
        <v>57</v>
      </c>
      <c r="I42" s="44" t="s">
        <v>832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44" t="s">
        <v>832</v>
      </c>
      <c r="Q42" s="26" t="s">
        <v>57</v>
      </c>
      <c r="R42" s="44" t="s">
        <v>832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832</v>
      </c>
      <c r="Z42" s="30" t="s">
        <v>57</v>
      </c>
      <c r="AA42" s="30" t="s">
        <v>832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40" t="s">
        <v>4523</v>
      </c>
      <c r="C43" s="41" t="s">
        <v>4524</v>
      </c>
      <c r="D43" s="39" t="s">
        <v>21</v>
      </c>
      <c r="E43" s="42">
        <v>46128</v>
      </c>
      <c r="F43" s="26" t="s">
        <v>55</v>
      </c>
      <c r="G43" s="44" t="s">
        <v>832</v>
      </c>
      <c r="H43" s="26" t="s">
        <v>57</v>
      </c>
      <c r="I43" s="44" t="s">
        <v>832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46196</v>
      </c>
      <c r="O43" s="26" t="s">
        <v>55</v>
      </c>
      <c r="P43" s="44" t="s">
        <v>832</v>
      </c>
      <c r="Q43" s="26" t="s">
        <v>57</v>
      </c>
      <c r="R43" s="44" t="s">
        <v>832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832</v>
      </c>
      <c r="Z43" s="30" t="s">
        <v>57</v>
      </c>
      <c r="AA43" s="30" t="s">
        <v>832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24" t="s">
        <v>4525</v>
      </c>
      <c r="C44" s="25" t="s">
        <v>4526</v>
      </c>
      <c r="D44" s="23" t="s">
        <v>21</v>
      </c>
      <c r="E44" s="42">
        <v>46128</v>
      </c>
      <c r="F44" s="26" t="s">
        <v>55</v>
      </c>
      <c r="G44" s="44" t="s">
        <v>56</v>
      </c>
      <c r="H44" s="26" t="s">
        <v>57</v>
      </c>
      <c r="I44" s="44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44" t="s">
        <v>56</v>
      </c>
      <c r="Q44" s="26" t="s">
        <v>57</v>
      </c>
      <c r="R44" s="44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4527</v>
      </c>
      <c r="C45" s="25" t="s">
        <v>4528</v>
      </c>
      <c r="D45" s="23" t="s">
        <v>21</v>
      </c>
      <c r="E45" s="42">
        <v>46128</v>
      </c>
      <c r="F45" s="26" t="s">
        <v>55</v>
      </c>
      <c r="G45" s="44" t="s">
        <v>56</v>
      </c>
      <c r="H45" s="26" t="s">
        <v>57</v>
      </c>
      <c r="I45" s="44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46196</v>
      </c>
      <c r="O45" s="26" t="s">
        <v>55</v>
      </c>
      <c r="P45" s="44" t="s">
        <v>56</v>
      </c>
      <c r="Q45" s="26" t="s">
        <v>57</v>
      </c>
      <c r="R45" s="44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4529</v>
      </c>
      <c r="C46" s="41" t="s">
        <v>4530</v>
      </c>
      <c r="D46" s="39" t="s">
        <v>21</v>
      </c>
      <c r="E46" s="42">
        <v>46128</v>
      </c>
      <c r="F46" s="26" t="s">
        <v>55</v>
      </c>
      <c r="G46" s="44" t="s">
        <v>56</v>
      </c>
      <c r="H46" s="26" t="s">
        <v>57</v>
      </c>
      <c r="I46" s="44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44" t="s">
        <v>56</v>
      </c>
      <c r="Q46" s="26" t="s">
        <v>57</v>
      </c>
      <c r="R46" s="44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40" t="s">
        <v>4531</v>
      </c>
      <c r="C47" s="41" t="s">
        <v>4532</v>
      </c>
      <c r="D47" s="39" t="s">
        <v>21</v>
      </c>
      <c r="E47" s="42">
        <v>46128</v>
      </c>
      <c r="F47" s="26" t="s">
        <v>55</v>
      </c>
      <c r="G47" s="44" t="s">
        <v>832</v>
      </c>
      <c r="H47" s="26" t="s">
        <v>57</v>
      </c>
      <c r="I47" s="44" t="s">
        <v>832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46196</v>
      </c>
      <c r="O47" s="26" t="s">
        <v>55</v>
      </c>
      <c r="P47" s="44" t="s">
        <v>832</v>
      </c>
      <c r="Q47" s="26" t="s">
        <v>57</v>
      </c>
      <c r="R47" s="44" t="s">
        <v>832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832</v>
      </c>
      <c r="Z47" s="30" t="s">
        <v>57</v>
      </c>
      <c r="AA47" s="30" t="s">
        <v>832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4533</v>
      </c>
      <c r="C48" s="41" t="s">
        <v>4534</v>
      </c>
      <c r="D48" s="39" t="s">
        <v>21</v>
      </c>
      <c r="E48" s="42">
        <v>46128</v>
      </c>
      <c r="F48" s="26" t="s">
        <v>55</v>
      </c>
      <c r="G48" s="44" t="s">
        <v>832</v>
      </c>
      <c r="H48" s="26" t="s">
        <v>57</v>
      </c>
      <c r="I48" s="44" t="s">
        <v>832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44" t="s">
        <v>832</v>
      </c>
      <c r="Q48" s="26" t="s">
        <v>57</v>
      </c>
      <c r="R48" s="44" t="s">
        <v>832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832</v>
      </c>
      <c r="Z48" s="30" t="s">
        <v>57</v>
      </c>
      <c r="AA48" s="30" t="s">
        <v>832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4535</v>
      </c>
      <c r="C49" s="25" t="s">
        <v>4536</v>
      </c>
      <c r="D49" s="23" t="s">
        <v>21</v>
      </c>
      <c r="E49" s="42">
        <v>46128</v>
      </c>
      <c r="F49" s="26" t="s">
        <v>55</v>
      </c>
      <c r="G49" s="44" t="s">
        <v>832</v>
      </c>
      <c r="H49" s="26" t="s">
        <v>57</v>
      </c>
      <c r="I49" s="44" t="s">
        <v>832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44" t="s">
        <v>832</v>
      </c>
      <c r="Q49" s="26" t="s">
        <v>57</v>
      </c>
      <c r="R49" s="44" t="s">
        <v>832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832</v>
      </c>
      <c r="Z49" s="30" t="s">
        <v>57</v>
      </c>
      <c r="AA49" s="30" t="s">
        <v>832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4537</v>
      </c>
      <c r="C50" s="41" t="s">
        <v>4538</v>
      </c>
      <c r="D50" s="39" t="s">
        <v>21</v>
      </c>
      <c r="E50" s="42">
        <v>46128</v>
      </c>
      <c r="F50" s="26" t="s">
        <v>55</v>
      </c>
      <c r="G50" s="44" t="s">
        <v>832</v>
      </c>
      <c r="H50" s="26" t="s">
        <v>57</v>
      </c>
      <c r="I50" s="44" t="s">
        <v>832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46196</v>
      </c>
      <c r="O50" s="26" t="s">
        <v>55</v>
      </c>
      <c r="P50" s="44" t="s">
        <v>832</v>
      </c>
      <c r="Q50" s="26" t="s">
        <v>57</v>
      </c>
      <c r="R50" s="44" t="s">
        <v>832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832</v>
      </c>
      <c r="Z50" s="30" t="s">
        <v>57</v>
      </c>
      <c r="AA50" s="30" t="s">
        <v>832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4539</v>
      </c>
      <c r="C51" s="25" t="s">
        <v>4540</v>
      </c>
      <c r="D51" s="23" t="s">
        <v>21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24" t="s">
        <v>4541</v>
      </c>
      <c r="C52" s="25" t="s">
        <v>4542</v>
      </c>
      <c r="D52" s="23" t="s">
        <v>21</v>
      </c>
      <c r="E52" s="42">
        <v>46128</v>
      </c>
      <c r="F52" s="26" t="s">
        <v>55</v>
      </c>
      <c r="G52" s="44" t="s">
        <v>832</v>
      </c>
      <c r="H52" s="26" t="s">
        <v>57</v>
      </c>
      <c r="I52" s="44" t="s">
        <v>832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46196</v>
      </c>
      <c r="O52" s="26" t="s">
        <v>55</v>
      </c>
      <c r="P52" s="44" t="s">
        <v>832</v>
      </c>
      <c r="Q52" s="26" t="s">
        <v>57</v>
      </c>
      <c r="R52" s="44" t="s">
        <v>832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832</v>
      </c>
      <c r="Z52" s="30" t="s">
        <v>57</v>
      </c>
      <c r="AA52" s="30" t="s">
        <v>832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40" t="s">
        <v>4543</v>
      </c>
      <c r="C53" s="41" t="s">
        <v>4544</v>
      </c>
      <c r="D53" s="39" t="s">
        <v>21</v>
      </c>
      <c r="E53" s="42">
        <v>46128</v>
      </c>
      <c r="F53" s="26" t="s">
        <v>55</v>
      </c>
      <c r="G53" s="44" t="s">
        <v>832</v>
      </c>
      <c r="H53" s="26" t="s">
        <v>57</v>
      </c>
      <c r="I53" s="44" t="s">
        <v>832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44" t="s">
        <v>832</v>
      </c>
      <c r="Q53" s="26" t="s">
        <v>57</v>
      </c>
      <c r="R53" s="44" t="s">
        <v>832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832</v>
      </c>
      <c r="Z53" s="30" t="s">
        <v>57</v>
      </c>
      <c r="AA53" s="30" t="s">
        <v>832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24" t="s">
        <v>4545</v>
      </c>
      <c r="C54" s="25" t="s">
        <v>4546</v>
      </c>
      <c r="D54" s="23" t="s">
        <v>21</v>
      </c>
      <c r="E54" s="42">
        <v>46128</v>
      </c>
      <c r="F54" s="26" t="s">
        <v>55</v>
      </c>
      <c r="G54" s="44" t="s">
        <v>832</v>
      </c>
      <c r="H54" s="26" t="s">
        <v>57</v>
      </c>
      <c r="I54" s="44" t="s">
        <v>832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44" t="s">
        <v>832</v>
      </c>
      <c r="Q54" s="26" t="s">
        <v>57</v>
      </c>
      <c r="R54" s="44" t="s">
        <v>832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832</v>
      </c>
      <c r="Z54" s="30" t="s">
        <v>57</v>
      </c>
      <c r="AA54" s="30" t="s">
        <v>832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40" t="s">
        <v>4547</v>
      </c>
      <c r="C55" s="41" t="s">
        <v>4548</v>
      </c>
      <c r="D55" s="39" t="s">
        <v>21</v>
      </c>
      <c r="E55" s="42">
        <v>46128</v>
      </c>
      <c r="F55" s="26" t="s">
        <v>55</v>
      </c>
      <c r="G55" s="44" t="s">
        <v>832</v>
      </c>
      <c r="H55" s="26" t="s">
        <v>57</v>
      </c>
      <c r="I55" s="44" t="s">
        <v>832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46196</v>
      </c>
      <c r="O55" s="26" t="s">
        <v>55</v>
      </c>
      <c r="P55" s="44" t="s">
        <v>832</v>
      </c>
      <c r="Q55" s="26" t="s">
        <v>57</v>
      </c>
      <c r="R55" s="44" t="s">
        <v>832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832</v>
      </c>
      <c r="Z55" s="30" t="s">
        <v>57</v>
      </c>
      <c r="AA55" s="30" t="s">
        <v>832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4549</v>
      </c>
      <c r="C56" s="41" t="s">
        <v>4550</v>
      </c>
      <c r="D56" s="39" t="s">
        <v>21</v>
      </c>
      <c r="E56" s="42">
        <v>46128</v>
      </c>
      <c r="F56" s="26" t="s">
        <v>55</v>
      </c>
      <c r="G56" s="44" t="s">
        <v>832</v>
      </c>
      <c r="H56" s="26" t="s">
        <v>57</v>
      </c>
      <c r="I56" s="44" t="s">
        <v>832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46196</v>
      </c>
      <c r="O56" s="26" t="s">
        <v>55</v>
      </c>
      <c r="P56" s="44" t="s">
        <v>832</v>
      </c>
      <c r="Q56" s="26" t="s">
        <v>57</v>
      </c>
      <c r="R56" s="44" t="s">
        <v>832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832</v>
      </c>
      <c r="Z56" s="30" t="s">
        <v>57</v>
      </c>
      <c r="AA56" s="30" t="s">
        <v>832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4551</v>
      </c>
      <c r="C57" s="25" t="s">
        <v>4552</v>
      </c>
      <c r="D57" s="23" t="s">
        <v>21</v>
      </c>
      <c r="E57" s="42">
        <v>46128</v>
      </c>
      <c r="F57" s="26" t="s">
        <v>55</v>
      </c>
      <c r="G57" s="44" t="s">
        <v>832</v>
      </c>
      <c r="H57" s="26" t="s">
        <v>57</v>
      </c>
      <c r="I57" s="44" t="s">
        <v>832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46196</v>
      </c>
      <c r="O57" s="26" t="s">
        <v>55</v>
      </c>
      <c r="P57" s="44" t="s">
        <v>832</v>
      </c>
      <c r="Q57" s="26" t="s">
        <v>57</v>
      </c>
      <c r="R57" s="44" t="s">
        <v>832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832</v>
      </c>
      <c r="Z57" s="30" t="s">
        <v>57</v>
      </c>
      <c r="AA57" s="30" t="s">
        <v>832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4553</v>
      </c>
      <c r="C58" s="41" t="s">
        <v>4554</v>
      </c>
      <c r="D58" s="39" t="s">
        <v>21</v>
      </c>
      <c r="E58" s="42">
        <v>46128</v>
      </c>
      <c r="F58" s="26" t="s">
        <v>55</v>
      </c>
      <c r="G58" s="44" t="s">
        <v>832</v>
      </c>
      <c r="H58" s="26" t="s">
        <v>57</v>
      </c>
      <c r="I58" s="44" t="s">
        <v>832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44" t="s">
        <v>832</v>
      </c>
      <c r="Q58" s="26" t="s">
        <v>57</v>
      </c>
      <c r="R58" s="44" t="s">
        <v>832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832</v>
      </c>
      <c r="Z58" s="30" t="s">
        <v>57</v>
      </c>
      <c r="AA58" s="30" t="s">
        <v>832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40" t="s">
        <v>4555</v>
      </c>
      <c r="C59" s="41" t="s">
        <v>4556</v>
      </c>
      <c r="D59" s="39" t="s">
        <v>21</v>
      </c>
      <c r="E59" s="42">
        <v>46128</v>
      </c>
      <c r="F59" s="26" t="s">
        <v>55</v>
      </c>
      <c r="G59" s="44" t="s">
        <v>56</v>
      </c>
      <c r="H59" s="26" t="s">
        <v>57</v>
      </c>
      <c r="I59" s="44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46196</v>
      </c>
      <c r="O59" s="26" t="s">
        <v>55</v>
      </c>
      <c r="P59" s="44" t="s">
        <v>56</v>
      </c>
      <c r="Q59" s="26" t="s">
        <v>57</v>
      </c>
      <c r="R59" s="44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4557</v>
      </c>
      <c r="C60" s="41" t="s">
        <v>4558</v>
      </c>
      <c r="D60" s="39" t="s">
        <v>21</v>
      </c>
      <c r="E60" s="42">
        <v>46128</v>
      </c>
      <c r="F60" s="26" t="s">
        <v>55</v>
      </c>
      <c r="G60" s="44" t="s">
        <v>832</v>
      </c>
      <c r="H60" s="26" t="s">
        <v>57</v>
      </c>
      <c r="I60" s="44" t="s">
        <v>832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44" t="s">
        <v>832</v>
      </c>
      <c r="Q60" s="26" t="s">
        <v>57</v>
      </c>
      <c r="R60" s="44" t="s">
        <v>832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832</v>
      </c>
      <c r="Z60" s="30" t="s">
        <v>57</v>
      </c>
      <c r="AA60" s="30" t="s">
        <v>832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4559</v>
      </c>
      <c r="C61" s="25" t="s">
        <v>4560</v>
      </c>
      <c r="D61" s="23" t="s">
        <v>21</v>
      </c>
      <c r="E61" s="42">
        <v>46128</v>
      </c>
      <c r="F61" s="26" t="s">
        <v>55</v>
      </c>
      <c r="G61" s="44" t="s">
        <v>832</v>
      </c>
      <c r="H61" s="26" t="s">
        <v>57</v>
      </c>
      <c r="I61" s="44" t="s">
        <v>832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46196</v>
      </c>
      <c r="O61" s="26" t="s">
        <v>55</v>
      </c>
      <c r="P61" s="44" t="s">
        <v>832</v>
      </c>
      <c r="Q61" s="26" t="s">
        <v>57</v>
      </c>
      <c r="R61" s="44" t="s">
        <v>832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832</v>
      </c>
      <c r="Z61" s="30" t="s">
        <v>57</v>
      </c>
      <c r="AA61" s="30" t="s">
        <v>832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4561</v>
      </c>
      <c r="C62" s="41" t="s">
        <v>4562</v>
      </c>
      <c r="D62" s="39" t="s">
        <v>21</v>
      </c>
      <c r="E62" s="42">
        <v>46128</v>
      </c>
      <c r="F62" s="26" t="s">
        <v>55</v>
      </c>
      <c r="G62" s="44" t="s">
        <v>832</v>
      </c>
      <c r="H62" s="26" t="s">
        <v>57</v>
      </c>
      <c r="I62" s="44" t="s">
        <v>832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44" t="s">
        <v>832</v>
      </c>
      <c r="Q62" s="26" t="s">
        <v>57</v>
      </c>
      <c r="R62" s="44" t="s">
        <v>832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832</v>
      </c>
      <c r="Z62" s="30" t="s">
        <v>57</v>
      </c>
      <c r="AA62" s="30" t="s">
        <v>832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4563</v>
      </c>
      <c r="C63" s="25" t="s">
        <v>4564</v>
      </c>
      <c r="D63" s="23" t="s">
        <v>21</v>
      </c>
      <c r="E63" s="42">
        <v>46128</v>
      </c>
      <c r="F63" s="26" t="s">
        <v>55</v>
      </c>
      <c r="G63" s="44" t="s">
        <v>832</v>
      </c>
      <c r="H63" s="26" t="s">
        <v>57</v>
      </c>
      <c r="I63" s="44" t="s">
        <v>832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2">
        <v>46196</v>
      </c>
      <c r="O63" s="26" t="s">
        <v>55</v>
      </c>
      <c r="P63" s="44" t="s">
        <v>832</v>
      </c>
      <c r="Q63" s="26" t="s">
        <v>57</v>
      </c>
      <c r="R63" s="44" t="s">
        <v>832</v>
      </c>
      <c r="S63" s="26" t="s">
        <v>56</v>
      </c>
      <c r="T63" s="27"/>
      <c r="U63" s="28" t="s">
        <v>57</v>
      </c>
      <c r="V63" s="29" t="str">
        <f t="shared" si="6"/>
        <v>✓ OK</v>
      </c>
      <c r="W63" s="70">
        <v>46248</v>
      </c>
      <c r="X63" s="30" t="s">
        <v>55</v>
      </c>
      <c r="Y63" s="30" t="s">
        <v>832</v>
      </c>
      <c r="Z63" s="30" t="s">
        <v>57</v>
      </c>
      <c r="AA63" s="30" t="s">
        <v>832</v>
      </c>
      <c r="AB63" s="30" t="s">
        <v>56</v>
      </c>
      <c r="AC63" s="27"/>
      <c r="AD63" s="31" t="s">
        <v>57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24" t="s">
        <v>4565</v>
      </c>
      <c r="C64" s="25" t="s">
        <v>4566</v>
      </c>
      <c r="D64" s="23" t="s">
        <v>21</v>
      </c>
      <c r="E64" s="42">
        <v>46128</v>
      </c>
      <c r="F64" s="26" t="s">
        <v>55</v>
      </c>
      <c r="G64" s="44" t="s">
        <v>56</v>
      </c>
      <c r="H64" s="26" t="s">
        <v>57</v>
      </c>
      <c r="I64" s="44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46196</v>
      </c>
      <c r="O64" s="26" t="s">
        <v>55</v>
      </c>
      <c r="P64" s="44" t="s">
        <v>56</v>
      </c>
      <c r="Q64" s="26" t="s">
        <v>57</v>
      </c>
      <c r="R64" s="44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4567</v>
      </c>
      <c r="C65" s="25" t="s">
        <v>4568</v>
      </c>
      <c r="D65" s="23" t="s">
        <v>21</v>
      </c>
      <c r="E65" s="42">
        <v>46128</v>
      </c>
      <c r="F65" s="26" t="s">
        <v>55</v>
      </c>
      <c r="G65" s="44" t="s">
        <v>832</v>
      </c>
      <c r="H65" s="26" t="s">
        <v>57</v>
      </c>
      <c r="I65" s="44" t="s">
        <v>832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46196</v>
      </c>
      <c r="O65" s="26" t="s">
        <v>55</v>
      </c>
      <c r="P65" s="44" t="s">
        <v>832</v>
      </c>
      <c r="Q65" s="26" t="s">
        <v>57</v>
      </c>
      <c r="R65" s="44" t="s">
        <v>832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832</v>
      </c>
      <c r="Z65" s="30" t="s">
        <v>57</v>
      </c>
      <c r="AA65" s="30" t="s">
        <v>832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4569</v>
      </c>
      <c r="C66" s="41" t="s">
        <v>4570</v>
      </c>
      <c r="D66" s="39" t="s">
        <v>21</v>
      </c>
      <c r="E66" s="42">
        <v>46128</v>
      </c>
      <c r="F66" s="26" t="s">
        <v>55</v>
      </c>
      <c r="G66" s="44" t="s">
        <v>832</v>
      </c>
      <c r="H66" s="26" t="s">
        <v>57</v>
      </c>
      <c r="I66" s="44" t="s">
        <v>832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44" t="s">
        <v>832</v>
      </c>
      <c r="Q66" s="26" t="s">
        <v>57</v>
      </c>
      <c r="R66" s="44" t="s">
        <v>832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832</v>
      </c>
      <c r="Z66" s="30" t="s">
        <v>57</v>
      </c>
      <c r="AA66" s="30" t="s">
        <v>832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40" t="s">
        <v>4571</v>
      </c>
      <c r="C67" s="41" t="s">
        <v>4572</v>
      </c>
      <c r="D67" s="39" t="s">
        <v>21</v>
      </c>
      <c r="E67" s="42">
        <v>46128</v>
      </c>
      <c r="F67" s="26" t="s">
        <v>55</v>
      </c>
      <c r="G67" s="44" t="s">
        <v>832</v>
      </c>
      <c r="H67" s="26" t="s">
        <v>57</v>
      </c>
      <c r="I67" s="44" t="s">
        <v>832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44" t="s">
        <v>832</v>
      </c>
      <c r="Q67" s="26" t="s">
        <v>57</v>
      </c>
      <c r="R67" s="44" t="s">
        <v>832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832</v>
      </c>
      <c r="Z67" s="30" t="s">
        <v>57</v>
      </c>
      <c r="AA67" s="30" t="s">
        <v>832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4573</v>
      </c>
      <c r="C68" s="41" t="s">
        <v>4574</v>
      </c>
      <c r="D68" s="39" t="s">
        <v>21</v>
      </c>
      <c r="E68" s="42">
        <v>46128</v>
      </c>
      <c r="F68" s="26" t="s">
        <v>55</v>
      </c>
      <c r="G68" s="44" t="s">
        <v>832</v>
      </c>
      <c r="H68" s="26" t="s">
        <v>57</v>
      </c>
      <c r="I68" s="44" t="s">
        <v>832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44" t="s">
        <v>832</v>
      </c>
      <c r="Q68" s="26" t="s">
        <v>57</v>
      </c>
      <c r="R68" s="44" t="s">
        <v>832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832</v>
      </c>
      <c r="Z68" s="30" t="s">
        <v>57</v>
      </c>
      <c r="AA68" s="30" t="s">
        <v>832</v>
      </c>
      <c r="AB68" s="30" t="s">
        <v>56</v>
      </c>
      <c r="AC68" s="27"/>
      <c r="AD68" s="31" t="s">
        <v>57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4575</v>
      </c>
      <c r="C69" s="25" t="s">
        <v>4576</v>
      </c>
      <c r="D69" s="23" t="s">
        <v>21</v>
      </c>
      <c r="E69" s="42">
        <v>46128</v>
      </c>
      <c r="F69" s="26" t="s">
        <v>55</v>
      </c>
      <c r="G69" s="44" t="s">
        <v>56</v>
      </c>
      <c r="H69" s="26" t="s">
        <v>57</v>
      </c>
      <c r="I69" s="44" t="s">
        <v>58</v>
      </c>
      <c r="J69" s="26" t="s">
        <v>56</v>
      </c>
      <c r="K69" s="27"/>
      <c r="L69" s="28" t="s">
        <v>57</v>
      </c>
      <c r="M69" s="29" t="str">
        <f t="shared" ref="M69:M80" si="10">IF(E69="","",IF(H69="Yes","❌ Disc",IF(G69="No","⚠ Missing",IF(J69="Yes","✓ OK","⚠ Check"))))</f>
        <v>✓ OK</v>
      </c>
      <c r="N69" s="42">
        <v>46196</v>
      </c>
      <c r="O69" s="26" t="s">
        <v>55</v>
      </c>
      <c r="P69" s="44" t="s">
        <v>56</v>
      </c>
      <c r="Q69" s="26" t="s">
        <v>57</v>
      </c>
      <c r="R69" s="44" t="s">
        <v>58</v>
      </c>
      <c r="S69" s="26" t="s">
        <v>56</v>
      </c>
      <c r="T69" s="27"/>
      <c r="U69" s="28" t="s">
        <v>57</v>
      </c>
      <c r="V69" s="29" t="str">
        <f t="shared" ref="V69:V80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4577</v>
      </c>
      <c r="C70" s="41" t="s">
        <v>4578</v>
      </c>
      <c r="D70" s="39" t="s">
        <v>21</v>
      </c>
      <c r="E70" s="42">
        <v>46128</v>
      </c>
      <c r="F70" s="26" t="s">
        <v>55</v>
      </c>
      <c r="G70" s="44" t="s">
        <v>832</v>
      </c>
      <c r="H70" s="26" t="s">
        <v>57</v>
      </c>
      <c r="I70" s="44" t="s">
        <v>832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42">
        <v>46196</v>
      </c>
      <c r="O70" s="26" t="s">
        <v>55</v>
      </c>
      <c r="P70" s="44" t="s">
        <v>832</v>
      </c>
      <c r="Q70" s="26" t="s">
        <v>57</v>
      </c>
      <c r="R70" s="44" t="s">
        <v>832</v>
      </c>
      <c r="S70" s="26" t="s">
        <v>56</v>
      </c>
      <c r="T70" s="27"/>
      <c r="U70" s="28" t="s">
        <v>57</v>
      </c>
      <c r="V70" s="29" t="str">
        <f t="shared" si="11"/>
        <v>✓ OK</v>
      </c>
      <c r="W70" s="70">
        <v>46248</v>
      </c>
      <c r="X70" s="30" t="s">
        <v>55</v>
      </c>
      <c r="Y70" s="30" t="s">
        <v>832</v>
      </c>
      <c r="Z70" s="30" t="s">
        <v>57</v>
      </c>
      <c r="AA70" s="30" t="s">
        <v>832</v>
      </c>
      <c r="AB70" s="30" t="s">
        <v>56</v>
      </c>
      <c r="AC70" s="27"/>
      <c r="AD70" s="31" t="s">
        <v>57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4579</v>
      </c>
      <c r="C71" s="25" t="s">
        <v>4580</v>
      </c>
      <c r="D71" s="23" t="s">
        <v>21</v>
      </c>
      <c r="E71" s="42">
        <v>46128</v>
      </c>
      <c r="F71" s="26" t="s">
        <v>55</v>
      </c>
      <c r="G71" s="44" t="s">
        <v>56</v>
      </c>
      <c r="H71" s="26" t="s">
        <v>57</v>
      </c>
      <c r="I71" s="44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46196</v>
      </c>
      <c r="O71" s="26" t="s">
        <v>55</v>
      </c>
      <c r="P71" s="44" t="s">
        <v>56</v>
      </c>
      <c r="Q71" s="26" t="s">
        <v>57</v>
      </c>
      <c r="R71" s="44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24" t="s">
        <v>4581</v>
      </c>
      <c r="C72" s="25" t="s">
        <v>4582</v>
      </c>
      <c r="D72" s="23" t="s">
        <v>21</v>
      </c>
      <c r="E72" s="42">
        <v>46128</v>
      </c>
      <c r="F72" s="26" t="s">
        <v>55</v>
      </c>
      <c r="G72" s="44" t="s">
        <v>56</v>
      </c>
      <c r="H72" s="26" t="s">
        <v>57</v>
      </c>
      <c r="I72" s="44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46196</v>
      </c>
      <c r="O72" s="26" t="s">
        <v>55</v>
      </c>
      <c r="P72" s="44" t="s">
        <v>56</v>
      </c>
      <c r="Q72" s="26" t="s">
        <v>57</v>
      </c>
      <c r="R72" s="44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40" t="s">
        <v>4583</v>
      </c>
      <c r="C73" s="41" t="s">
        <v>4584</v>
      </c>
      <c r="D73" s="39" t="s">
        <v>21</v>
      </c>
      <c r="E73" s="42">
        <v>46128</v>
      </c>
      <c r="F73" s="26" t="s">
        <v>55</v>
      </c>
      <c r="G73" s="44" t="s">
        <v>832</v>
      </c>
      <c r="H73" s="26" t="s">
        <v>57</v>
      </c>
      <c r="I73" s="44" t="s">
        <v>832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2">
        <v>46196</v>
      </c>
      <c r="O73" s="26" t="s">
        <v>55</v>
      </c>
      <c r="P73" s="44" t="s">
        <v>832</v>
      </c>
      <c r="Q73" s="26" t="s">
        <v>57</v>
      </c>
      <c r="R73" s="44" t="s">
        <v>832</v>
      </c>
      <c r="S73" s="26" t="s">
        <v>56</v>
      </c>
      <c r="T73" s="27"/>
      <c r="U73" s="28" t="s">
        <v>57</v>
      </c>
      <c r="V73" s="29" t="str">
        <f t="shared" si="11"/>
        <v>✓ OK</v>
      </c>
      <c r="W73" s="70">
        <v>46248</v>
      </c>
      <c r="X73" s="30" t="s">
        <v>55</v>
      </c>
      <c r="Y73" s="30" t="s">
        <v>832</v>
      </c>
      <c r="Z73" s="30" t="s">
        <v>57</v>
      </c>
      <c r="AA73" s="30" t="s">
        <v>832</v>
      </c>
      <c r="AB73" s="30" t="s">
        <v>56</v>
      </c>
      <c r="AC73" s="27"/>
      <c r="AD73" s="31" t="s">
        <v>57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24" t="s">
        <v>4585</v>
      </c>
      <c r="C74" s="25" t="s">
        <v>4586</v>
      </c>
      <c r="D74" s="23" t="s">
        <v>21</v>
      </c>
      <c r="E74" s="42">
        <v>46128</v>
      </c>
      <c r="F74" s="26" t="s">
        <v>55</v>
      </c>
      <c r="G74" s="44" t="s">
        <v>832</v>
      </c>
      <c r="H74" s="26" t="s">
        <v>57</v>
      </c>
      <c r="I74" s="44" t="s">
        <v>832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42">
        <v>46196</v>
      </c>
      <c r="O74" s="26" t="s">
        <v>55</v>
      </c>
      <c r="P74" s="44" t="s">
        <v>832</v>
      </c>
      <c r="Q74" s="26" t="s">
        <v>57</v>
      </c>
      <c r="R74" s="44" t="s">
        <v>832</v>
      </c>
      <c r="S74" s="26" t="s">
        <v>56</v>
      </c>
      <c r="T74" s="27"/>
      <c r="U74" s="28" t="s">
        <v>57</v>
      </c>
      <c r="V74" s="29" t="str">
        <f t="shared" si="11"/>
        <v>✓ OK</v>
      </c>
      <c r="W74" s="70">
        <v>46248</v>
      </c>
      <c r="X74" s="30" t="s">
        <v>55</v>
      </c>
      <c r="Y74" s="30" t="s">
        <v>832</v>
      </c>
      <c r="Z74" s="30" t="s">
        <v>57</v>
      </c>
      <c r="AA74" s="30" t="s">
        <v>832</v>
      </c>
      <c r="AB74" s="30" t="s">
        <v>56</v>
      </c>
      <c r="AC74" s="27"/>
      <c r="AD74" s="31" t="s">
        <v>57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40" t="s">
        <v>4587</v>
      </c>
      <c r="C75" s="41" t="s">
        <v>4588</v>
      </c>
      <c r="D75" s="39" t="s">
        <v>21</v>
      </c>
      <c r="E75" s="42">
        <v>46128</v>
      </c>
      <c r="F75" s="26" t="s">
        <v>55</v>
      </c>
      <c r="G75" s="44" t="s">
        <v>56</v>
      </c>
      <c r="H75" s="26" t="s">
        <v>57</v>
      </c>
      <c r="I75" s="44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46196</v>
      </c>
      <c r="O75" s="26" t="s">
        <v>55</v>
      </c>
      <c r="P75" s="44" t="s">
        <v>56</v>
      </c>
      <c r="Q75" s="26" t="s">
        <v>57</v>
      </c>
      <c r="R75" s="44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24" t="s">
        <v>4589</v>
      </c>
      <c r="C76" s="25" t="s">
        <v>4590</v>
      </c>
      <c r="D76" s="23" t="s">
        <v>21</v>
      </c>
      <c r="E76" s="42">
        <v>46128</v>
      </c>
      <c r="F76" s="26" t="s">
        <v>55</v>
      </c>
      <c r="G76" s="44" t="s">
        <v>832</v>
      </c>
      <c r="H76" s="26" t="s">
        <v>57</v>
      </c>
      <c r="I76" s="44" t="s">
        <v>832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46196</v>
      </c>
      <c r="O76" s="26" t="s">
        <v>55</v>
      </c>
      <c r="P76" s="44" t="s">
        <v>832</v>
      </c>
      <c r="Q76" s="26" t="s">
        <v>57</v>
      </c>
      <c r="R76" s="44" t="s">
        <v>832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832</v>
      </c>
      <c r="Z76" s="30" t="s">
        <v>57</v>
      </c>
      <c r="AA76" s="30" t="s">
        <v>832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4591</v>
      </c>
      <c r="C77" s="25" t="s">
        <v>4592</v>
      </c>
      <c r="D77" s="23" t="s">
        <v>21</v>
      </c>
      <c r="E77" s="42">
        <v>46128</v>
      </c>
      <c r="F77" s="26" t="s">
        <v>55</v>
      </c>
      <c r="G77" s="44" t="s">
        <v>832</v>
      </c>
      <c r="H77" s="26" t="s">
        <v>57</v>
      </c>
      <c r="I77" s="44" t="s">
        <v>832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46196</v>
      </c>
      <c r="O77" s="26" t="s">
        <v>55</v>
      </c>
      <c r="P77" s="44" t="s">
        <v>832</v>
      </c>
      <c r="Q77" s="26" t="s">
        <v>57</v>
      </c>
      <c r="R77" s="44" t="s">
        <v>832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832</v>
      </c>
      <c r="Z77" s="30" t="s">
        <v>57</v>
      </c>
      <c r="AA77" s="30" t="s">
        <v>832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24" t="s">
        <v>4593</v>
      </c>
      <c r="C78" s="25" t="s">
        <v>4594</v>
      </c>
      <c r="D78" s="23" t="s">
        <v>21</v>
      </c>
      <c r="E78" s="42">
        <v>46128</v>
      </c>
      <c r="F78" s="26" t="s">
        <v>55</v>
      </c>
      <c r="G78" s="44" t="s">
        <v>56</v>
      </c>
      <c r="H78" s="26" t="s">
        <v>57</v>
      </c>
      <c r="I78" s="44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2">
        <v>46196</v>
      </c>
      <c r="O78" s="26" t="s">
        <v>55</v>
      </c>
      <c r="P78" s="44" t="s">
        <v>56</v>
      </c>
      <c r="Q78" s="26" t="s">
        <v>57</v>
      </c>
      <c r="R78" s="44" t="s">
        <v>58</v>
      </c>
      <c r="S78" s="26" t="s">
        <v>56</v>
      </c>
      <c r="T78" s="27"/>
      <c r="U78" s="28" t="s">
        <v>57</v>
      </c>
      <c r="V78" s="29" t="str">
        <f t="shared" si="11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4595</v>
      </c>
      <c r="C79" s="25" t="s">
        <v>4596</v>
      </c>
      <c r="D79" s="23" t="s">
        <v>21</v>
      </c>
      <c r="E79" s="42">
        <v>46128</v>
      </c>
      <c r="F79" s="26" t="s">
        <v>55</v>
      </c>
      <c r="G79" s="44" t="s">
        <v>832</v>
      </c>
      <c r="H79" s="26" t="s">
        <v>57</v>
      </c>
      <c r="I79" s="44" t="s">
        <v>832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2">
        <v>46196</v>
      </c>
      <c r="O79" s="26" t="s">
        <v>55</v>
      </c>
      <c r="P79" s="44" t="s">
        <v>832</v>
      </c>
      <c r="Q79" s="26" t="s">
        <v>57</v>
      </c>
      <c r="R79" s="44" t="s">
        <v>832</v>
      </c>
      <c r="S79" s="26" t="s">
        <v>56</v>
      </c>
      <c r="T79" s="27"/>
      <c r="U79" s="28" t="s">
        <v>57</v>
      </c>
      <c r="V79" s="29" t="str">
        <f t="shared" si="11"/>
        <v>✓ OK</v>
      </c>
      <c r="W79" s="70">
        <v>46248</v>
      </c>
      <c r="X79" s="30" t="s">
        <v>55</v>
      </c>
      <c r="Y79" s="30" t="s">
        <v>832</v>
      </c>
      <c r="Z79" s="30" t="s">
        <v>57</v>
      </c>
      <c r="AA79" s="30" t="s">
        <v>832</v>
      </c>
      <c r="AB79" s="30" t="s">
        <v>56</v>
      </c>
      <c r="AC79" s="27"/>
      <c r="AD79" s="31" t="s">
        <v>57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4597</v>
      </c>
      <c r="C80" s="41" t="s">
        <v>4598</v>
      </c>
      <c r="D80" s="39" t="s">
        <v>21</v>
      </c>
      <c r="E80" s="42">
        <v>46128</v>
      </c>
      <c r="F80" s="26" t="s">
        <v>55</v>
      </c>
      <c r="G80" s="44" t="s">
        <v>832</v>
      </c>
      <c r="H80" s="26" t="s">
        <v>57</v>
      </c>
      <c r="I80" s="44" t="s">
        <v>832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2">
        <v>46196</v>
      </c>
      <c r="O80" s="26" t="s">
        <v>55</v>
      </c>
      <c r="P80" s="44" t="s">
        <v>832</v>
      </c>
      <c r="Q80" s="26" t="s">
        <v>57</v>
      </c>
      <c r="R80" s="44" t="s">
        <v>832</v>
      </c>
      <c r="S80" s="26" t="s">
        <v>56</v>
      </c>
      <c r="T80" s="27"/>
      <c r="U80" s="28" t="s">
        <v>57</v>
      </c>
      <c r="V80" s="29" t="str">
        <f t="shared" si="11"/>
        <v>✓ OK</v>
      </c>
      <c r="W80" s="70">
        <v>46248</v>
      </c>
      <c r="X80" s="30" t="s">
        <v>55</v>
      </c>
      <c r="Y80" s="30" t="s">
        <v>832</v>
      </c>
      <c r="Z80" s="30" t="s">
        <v>57</v>
      </c>
      <c r="AA80" s="30" t="s">
        <v>832</v>
      </c>
      <c r="AB80" s="30" t="s">
        <v>56</v>
      </c>
      <c r="AC80" s="27"/>
      <c r="AD80" s="31" t="s">
        <v>57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4" xr:uid="{00000000-0001-0000-0A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61" priority="15">
      <formula>G5="Yes"</formula>
    </cfRule>
    <cfRule type="expression" dxfId="160" priority="16">
      <formula>G5="No"</formula>
    </cfRule>
    <cfRule type="expression" dxfId="159" priority="17">
      <formula>MOD(ROW(),2)=0</formula>
    </cfRule>
  </conditionalFormatting>
  <conditionalFormatting sqref="H5:H80">
    <cfRule type="expression" dxfId="158" priority="18">
      <formula>H5="Yes"</formula>
    </cfRule>
  </conditionalFormatting>
  <conditionalFormatting sqref="I5:I80">
    <cfRule type="expression" dxfId="157" priority="14">
      <formula>MOD(ROW(),2)=0</formula>
    </cfRule>
  </conditionalFormatting>
  <conditionalFormatting sqref="J5:J80">
    <cfRule type="expression" dxfId="156" priority="19">
      <formula>J5="Yes"</formula>
    </cfRule>
    <cfRule type="expression" dxfId="155" priority="20">
      <formula>J5="No"</formula>
    </cfRule>
  </conditionalFormatting>
  <conditionalFormatting sqref="J5:L80 H5:H80">
    <cfRule type="expression" dxfId="154" priority="21">
      <formula>MOD(ROW(),2)=0</formula>
    </cfRule>
  </conditionalFormatting>
  <conditionalFormatting sqref="M5:M80">
    <cfRule type="expression" dxfId="153" priority="22">
      <formula>M5="✓ OK"</formula>
    </cfRule>
    <cfRule type="expression" dxfId="152" priority="23">
      <formula>M5="❌ Disc"</formula>
    </cfRule>
    <cfRule type="expression" dxfId="151" priority="24">
      <formula>M5="⚠ Missing"</formula>
    </cfRule>
    <cfRule type="expression" dxfId="150" priority="25">
      <formula>M5="⚠ Check"</formula>
    </cfRule>
  </conditionalFormatting>
  <conditionalFormatting sqref="N5:O80">
    <cfRule type="expression" dxfId="149" priority="1">
      <formula>MOD(ROW(),2)=0</formula>
    </cfRule>
  </conditionalFormatting>
  <conditionalFormatting sqref="P5:P80">
    <cfRule type="expression" dxfId="148" priority="3">
      <formula>P5="Yes"</formula>
    </cfRule>
    <cfRule type="expression" dxfId="147" priority="4">
      <formula>P5="No"</formula>
    </cfRule>
    <cfRule type="expression" dxfId="146" priority="5">
      <formula>MOD(ROW(),2)=0</formula>
    </cfRule>
  </conditionalFormatting>
  <conditionalFormatting sqref="Q5:Q80">
    <cfRule type="expression" dxfId="145" priority="6">
      <formula>Q5="Yes"</formula>
    </cfRule>
  </conditionalFormatting>
  <conditionalFormatting sqref="R5:R80">
    <cfRule type="expression" dxfId="144" priority="2">
      <formula>MOD(ROW(),2)=0</formula>
    </cfRule>
  </conditionalFormatting>
  <conditionalFormatting sqref="S5:S80">
    <cfRule type="expression" dxfId="143" priority="7">
      <formula>S5="Yes"</formula>
    </cfRule>
    <cfRule type="expression" dxfId="142" priority="8">
      <formula>S5="No"</formula>
    </cfRule>
  </conditionalFormatting>
  <conditionalFormatting sqref="S5:U80 Q5:Q80">
    <cfRule type="expression" dxfId="141" priority="9">
      <formula>MOD(ROW(),2)=0</formula>
    </cfRule>
  </conditionalFormatting>
  <conditionalFormatting sqref="V5:V80">
    <cfRule type="expression" dxfId="140" priority="10">
      <formula>V5="✓ OK"</formula>
    </cfRule>
    <cfRule type="expression" dxfId="139" priority="11">
      <formula>V5="❌ Disc"</formula>
    </cfRule>
    <cfRule type="expression" dxfId="138" priority="12">
      <formula>V5="⚠ Missing"</formula>
    </cfRule>
    <cfRule type="expression" dxfId="137" priority="13">
      <formula>V5="⚠ Check"</formula>
    </cfRule>
  </conditionalFormatting>
  <conditionalFormatting sqref="M5:M80 A5:F80 V5:AW80">
    <cfRule type="expression" dxfId="136" priority="67">
      <formula>MOD(ROW(),2)=0</formula>
    </cfRule>
  </conditionalFormatting>
  <conditionalFormatting sqref="Y5:Y80">
    <cfRule type="expression" dxfId="135" priority="44">
      <formula>Y5="Yes"</formula>
    </cfRule>
    <cfRule type="expression" dxfId="134" priority="45">
      <formula>Y5="No"</formula>
    </cfRule>
  </conditionalFormatting>
  <conditionalFormatting sqref="Z5:Z80">
    <cfRule type="expression" dxfId="133" priority="46">
      <formula>Z5="Yes"</formula>
    </cfRule>
  </conditionalFormatting>
  <conditionalFormatting sqref="AB5:AB80">
    <cfRule type="expression" dxfId="132" priority="48">
      <formula>AB5="No"</formula>
    </cfRule>
    <cfRule type="expression" dxfId="131" priority="47">
      <formula>AB5="Yes"</formula>
    </cfRule>
  </conditionalFormatting>
  <conditionalFormatting sqref="AE5:AE80">
    <cfRule type="expression" dxfId="130" priority="43">
      <formula>AE5="⚠ Check"</formula>
    </cfRule>
    <cfRule type="expression" dxfId="129" priority="41">
      <formula>AE5="❌ Disc"</formula>
    </cfRule>
    <cfRule type="expression" dxfId="128" priority="40">
      <formula>AE5="✓ OK"</formula>
    </cfRule>
    <cfRule type="expression" dxfId="127" priority="42">
      <formula>AE5="⚠ Missing"</formula>
    </cfRule>
  </conditionalFormatting>
  <conditionalFormatting sqref="AH5:AH80">
    <cfRule type="expression" dxfId="126" priority="53">
      <formula>AH5="Yes"</formula>
    </cfRule>
    <cfRule type="expression" dxfId="125" priority="54">
      <formula>AH5="No"</formula>
    </cfRule>
  </conditionalFormatting>
  <conditionalFormatting sqref="AI5:AI80">
    <cfRule type="expression" dxfId="124" priority="55">
      <formula>AI5="Yes"</formula>
    </cfRule>
  </conditionalFormatting>
  <conditionalFormatting sqref="AK5:AK80">
    <cfRule type="expression" dxfId="123" priority="56">
      <formula>AK5="Yes"</formula>
    </cfRule>
    <cfRule type="expression" dxfId="122" priority="57">
      <formula>AK5="No"</formula>
    </cfRule>
  </conditionalFormatting>
  <conditionalFormatting sqref="AN5:AN80">
    <cfRule type="expression" dxfId="121" priority="49">
      <formula>AN5="✓ OK"</formula>
    </cfRule>
    <cfRule type="expression" dxfId="120" priority="50">
      <formula>AN5="❌ Disc"</formula>
    </cfRule>
    <cfRule type="expression" dxfId="119" priority="51">
      <formula>AN5="⚠ Missing"</formula>
    </cfRule>
    <cfRule type="expression" dxfId="118" priority="52">
      <formula>AN5="⚠ Check"</formula>
    </cfRule>
  </conditionalFormatting>
  <conditionalFormatting sqref="AQ5:AQ80">
    <cfRule type="expression" dxfId="117" priority="62">
      <formula>AQ5="Yes"</formula>
    </cfRule>
    <cfRule type="expression" dxfId="116" priority="63">
      <formula>AQ5="No"</formula>
    </cfRule>
  </conditionalFormatting>
  <conditionalFormatting sqref="AR5:AR80">
    <cfRule type="expression" dxfId="115" priority="64">
      <formula>AR5="Yes"</formula>
    </cfRule>
  </conditionalFormatting>
  <conditionalFormatting sqref="AT5:AT80">
    <cfRule type="expression" dxfId="114" priority="65">
      <formula>AT5="Yes"</formula>
    </cfRule>
    <cfRule type="expression" dxfId="113" priority="66">
      <formula>AT5="No"</formula>
    </cfRule>
  </conditionalFormatting>
  <conditionalFormatting sqref="AW5:AW80">
    <cfRule type="expression" dxfId="112" priority="58">
      <formula>AW5="✓ OK"</formula>
    </cfRule>
    <cfRule type="expression" dxfId="111" priority="59">
      <formula>AW5="❌ Disc"</formula>
    </cfRule>
    <cfRule type="expression" dxfId="110" priority="60">
      <formula>AW5="⚠ Missing"</formula>
    </cfRule>
    <cfRule type="expression" dxfId="109" priority="61">
      <formula>AW5="⚠ Check"</formula>
    </cfRule>
  </conditionalFormatting>
  <dataValidations count="4">
    <dataValidation type="list" allowBlank="1" sqref="H5:H80 J5:J80 Q5:Q80 S5:S80 AT5:AT80 AB5:AB80 AH5:AI80 AK5:AK80 AQ5:AR80 Y5:Z80" xr:uid="{00000000-0002-0000-0A00-000000000000}">
      <formula1>"Yes,No"</formula1>
    </dataValidation>
    <dataValidation type="list" allowBlank="1" sqref="AA5:AA80 AJ5:AJ80 AS5:AS80" xr:uid="{00000000-0002-0000-0A00-000001000000}">
      <formula1>"Good finish,Minor defect,Major defect,Discontinued,Not Available"</formula1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80 R5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4599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4600</v>
      </c>
      <c r="C5" s="25" t="s">
        <v>4601</v>
      </c>
      <c r="D5" s="23" t="s">
        <v>4602</v>
      </c>
      <c r="E5" s="42">
        <v>46128</v>
      </c>
      <c r="F5" s="26" t="s">
        <v>55</v>
      </c>
      <c r="G5" s="44" t="s">
        <v>56</v>
      </c>
      <c r="H5" s="26" t="s">
        <v>57</v>
      </c>
      <c r="I5" s="44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56</v>
      </c>
      <c r="Q5" s="26" t="s">
        <v>57</v>
      </c>
      <c r="R5" s="44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4603</v>
      </c>
      <c r="C6" s="41" t="s">
        <v>4604</v>
      </c>
      <c r="D6" s="39" t="s">
        <v>4602</v>
      </c>
      <c r="E6" s="42">
        <v>46128</v>
      </c>
      <c r="F6" s="26" t="s">
        <v>55</v>
      </c>
      <c r="G6" s="44" t="s">
        <v>832</v>
      </c>
      <c r="H6" s="26" t="s">
        <v>57</v>
      </c>
      <c r="I6" s="44" t="s">
        <v>832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832</v>
      </c>
      <c r="Q6" s="26" t="s">
        <v>57</v>
      </c>
      <c r="R6" s="44" t="s">
        <v>832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832</v>
      </c>
      <c r="Z6" s="30" t="s">
        <v>57</v>
      </c>
      <c r="AA6" s="30" t="s">
        <v>832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4605</v>
      </c>
      <c r="C7" s="25" t="s">
        <v>4606</v>
      </c>
      <c r="D7" s="23" t="s">
        <v>4602</v>
      </c>
      <c r="E7" s="42">
        <v>46128</v>
      </c>
      <c r="F7" s="26" t="s">
        <v>55</v>
      </c>
      <c r="G7" s="44" t="s">
        <v>832</v>
      </c>
      <c r="H7" s="26" t="s">
        <v>57</v>
      </c>
      <c r="I7" s="44" t="s">
        <v>832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832</v>
      </c>
      <c r="Q7" s="26" t="s">
        <v>57</v>
      </c>
      <c r="R7" s="44" t="s">
        <v>832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832</v>
      </c>
      <c r="Z7" s="30" t="s">
        <v>57</v>
      </c>
      <c r="AA7" s="30" t="s">
        <v>832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4607</v>
      </c>
      <c r="C8" s="41" t="s">
        <v>4608</v>
      </c>
      <c r="D8" s="39" t="s">
        <v>4602</v>
      </c>
      <c r="E8" s="42">
        <v>46128</v>
      </c>
      <c r="F8" s="26" t="s">
        <v>55</v>
      </c>
      <c r="G8" s="44" t="s">
        <v>56</v>
      </c>
      <c r="H8" s="26" t="s">
        <v>57</v>
      </c>
      <c r="I8" s="44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56</v>
      </c>
      <c r="Q8" s="26" t="s">
        <v>57</v>
      </c>
      <c r="R8" s="44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4609</v>
      </c>
      <c r="C9" s="25" t="s">
        <v>4610</v>
      </c>
      <c r="D9" s="23" t="s">
        <v>4602</v>
      </c>
      <c r="E9" s="42">
        <v>46128</v>
      </c>
      <c r="F9" s="26" t="s">
        <v>55</v>
      </c>
      <c r="G9" s="44" t="s">
        <v>56</v>
      </c>
      <c r="H9" s="26" t="s">
        <v>57</v>
      </c>
      <c r="I9" s="44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56</v>
      </c>
      <c r="Q9" s="26" t="s">
        <v>57</v>
      </c>
      <c r="R9" s="44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4611</v>
      </c>
      <c r="C10" s="41" t="s">
        <v>4612</v>
      </c>
      <c r="D10" s="39" t="s">
        <v>4602</v>
      </c>
      <c r="E10" s="42">
        <v>46128</v>
      </c>
      <c r="F10" s="26" t="s">
        <v>55</v>
      </c>
      <c r="G10" s="44" t="s">
        <v>832</v>
      </c>
      <c r="H10" s="26" t="s">
        <v>57</v>
      </c>
      <c r="I10" s="44" t="s">
        <v>832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832</v>
      </c>
      <c r="Q10" s="26" t="s">
        <v>57</v>
      </c>
      <c r="R10" s="44" t="s">
        <v>832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832</v>
      </c>
      <c r="Z10" s="30" t="s">
        <v>57</v>
      </c>
      <c r="AA10" s="30" t="s">
        <v>832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4613</v>
      </c>
      <c r="C11" s="25" t="s">
        <v>4614</v>
      </c>
      <c r="D11" s="23" t="s">
        <v>4602</v>
      </c>
      <c r="E11" s="42">
        <v>46128</v>
      </c>
      <c r="F11" s="26" t="s">
        <v>55</v>
      </c>
      <c r="G11" s="44" t="s">
        <v>832</v>
      </c>
      <c r="H11" s="26" t="s">
        <v>57</v>
      </c>
      <c r="I11" s="44" t="s">
        <v>832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832</v>
      </c>
      <c r="Q11" s="26" t="s">
        <v>57</v>
      </c>
      <c r="R11" s="44" t="s">
        <v>832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832</v>
      </c>
      <c r="Z11" s="30" t="s">
        <v>57</v>
      </c>
      <c r="AA11" s="30" t="s">
        <v>832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4615</v>
      </c>
      <c r="C12" s="41" t="s">
        <v>4616</v>
      </c>
      <c r="D12" s="39" t="s">
        <v>4602</v>
      </c>
      <c r="E12" s="42">
        <v>46128</v>
      </c>
      <c r="F12" s="26" t="s">
        <v>55</v>
      </c>
      <c r="G12" s="44" t="s">
        <v>832</v>
      </c>
      <c r="H12" s="26" t="s">
        <v>57</v>
      </c>
      <c r="I12" s="44" t="s">
        <v>832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832</v>
      </c>
      <c r="Q12" s="26" t="s">
        <v>57</v>
      </c>
      <c r="R12" s="44" t="s">
        <v>832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832</v>
      </c>
      <c r="Z12" s="30" t="s">
        <v>57</v>
      </c>
      <c r="AA12" s="30" t="s">
        <v>832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4617</v>
      </c>
      <c r="C13" s="25" t="s">
        <v>4618</v>
      </c>
      <c r="D13" s="23" t="s">
        <v>4602</v>
      </c>
      <c r="E13" s="42">
        <v>46128</v>
      </c>
      <c r="F13" s="26" t="s">
        <v>55</v>
      </c>
      <c r="G13" s="44" t="s">
        <v>832</v>
      </c>
      <c r="H13" s="26" t="s">
        <v>57</v>
      </c>
      <c r="I13" s="44" t="s">
        <v>832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832</v>
      </c>
      <c r="Q13" s="26" t="s">
        <v>57</v>
      </c>
      <c r="R13" s="44" t="s">
        <v>832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832</v>
      </c>
      <c r="Z13" s="30" t="s">
        <v>57</v>
      </c>
      <c r="AA13" s="30" t="s">
        <v>832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4619</v>
      </c>
      <c r="C14" s="41" t="s">
        <v>4620</v>
      </c>
      <c r="D14" s="39" t="s">
        <v>4602</v>
      </c>
      <c r="E14" s="42">
        <v>46128</v>
      </c>
      <c r="F14" s="26" t="s">
        <v>55</v>
      </c>
      <c r="G14" s="44" t="s">
        <v>832</v>
      </c>
      <c r="H14" s="26" t="s">
        <v>57</v>
      </c>
      <c r="I14" s="44" t="s">
        <v>832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832</v>
      </c>
      <c r="Q14" s="26" t="s">
        <v>57</v>
      </c>
      <c r="R14" s="44" t="s">
        <v>832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832</v>
      </c>
      <c r="Z14" s="30" t="s">
        <v>57</v>
      </c>
      <c r="AA14" s="30" t="s">
        <v>832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4621</v>
      </c>
      <c r="C15" s="25" t="s">
        <v>4622</v>
      </c>
      <c r="D15" s="23" t="s">
        <v>4602</v>
      </c>
      <c r="E15" s="42">
        <v>46128</v>
      </c>
      <c r="F15" s="26" t="s">
        <v>55</v>
      </c>
      <c r="G15" s="44" t="s">
        <v>832</v>
      </c>
      <c r="H15" s="26" t="s">
        <v>57</v>
      </c>
      <c r="I15" s="44" t="s">
        <v>832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832</v>
      </c>
      <c r="Q15" s="26" t="s">
        <v>57</v>
      </c>
      <c r="R15" s="44" t="s">
        <v>832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832</v>
      </c>
      <c r="Z15" s="30" t="s">
        <v>57</v>
      </c>
      <c r="AA15" s="30" t="s">
        <v>832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4623</v>
      </c>
      <c r="C16" s="41" t="s">
        <v>4624</v>
      </c>
      <c r="D16" s="39" t="s">
        <v>4602</v>
      </c>
      <c r="E16" s="42">
        <v>46128</v>
      </c>
      <c r="F16" s="26" t="s">
        <v>55</v>
      </c>
      <c r="G16" s="44" t="s">
        <v>832</v>
      </c>
      <c r="H16" s="26" t="s">
        <v>57</v>
      </c>
      <c r="I16" s="44" t="s">
        <v>832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832</v>
      </c>
      <c r="Q16" s="26" t="s">
        <v>57</v>
      </c>
      <c r="R16" s="44" t="s">
        <v>832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832</v>
      </c>
      <c r="Z16" s="30" t="s">
        <v>57</v>
      </c>
      <c r="AA16" s="30" t="s">
        <v>832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4625</v>
      </c>
      <c r="C17" s="25" t="s">
        <v>4626</v>
      </c>
      <c r="D17" s="23" t="s">
        <v>4602</v>
      </c>
      <c r="E17" s="42">
        <v>46128</v>
      </c>
      <c r="F17" s="26" t="s">
        <v>55</v>
      </c>
      <c r="G17" s="44" t="s">
        <v>832</v>
      </c>
      <c r="H17" s="26" t="s">
        <v>57</v>
      </c>
      <c r="I17" s="44" t="s">
        <v>832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832</v>
      </c>
      <c r="Q17" s="26" t="s">
        <v>57</v>
      </c>
      <c r="R17" s="44" t="s">
        <v>832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832</v>
      </c>
      <c r="Z17" s="30" t="s">
        <v>57</v>
      </c>
      <c r="AA17" s="30" t="s">
        <v>832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4627</v>
      </c>
      <c r="C18" s="41" t="s">
        <v>4628</v>
      </c>
      <c r="D18" s="39" t="s">
        <v>4602</v>
      </c>
      <c r="E18" s="42">
        <v>46128</v>
      </c>
      <c r="F18" s="26" t="s">
        <v>55</v>
      </c>
      <c r="G18" s="44" t="s">
        <v>832</v>
      </c>
      <c r="H18" s="26" t="s">
        <v>57</v>
      </c>
      <c r="I18" s="44" t="s">
        <v>832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832</v>
      </c>
      <c r="Q18" s="26" t="s">
        <v>57</v>
      </c>
      <c r="R18" s="44" t="s">
        <v>832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832</v>
      </c>
      <c r="Z18" s="30" t="s">
        <v>57</v>
      </c>
      <c r="AA18" s="30" t="s">
        <v>832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4629</v>
      </c>
      <c r="C19" s="25" t="s">
        <v>4630</v>
      </c>
      <c r="D19" s="23" t="s">
        <v>4602</v>
      </c>
      <c r="E19" s="42">
        <v>46128</v>
      </c>
      <c r="F19" s="26" t="s">
        <v>55</v>
      </c>
      <c r="G19" s="44" t="s">
        <v>56</v>
      </c>
      <c r="H19" s="26" t="s">
        <v>57</v>
      </c>
      <c r="I19" s="44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56</v>
      </c>
      <c r="Q19" s="26" t="s">
        <v>57</v>
      </c>
      <c r="R19" s="44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4631</v>
      </c>
      <c r="C20" s="41" t="s">
        <v>4632</v>
      </c>
      <c r="D20" s="39" t="s">
        <v>4602</v>
      </c>
      <c r="E20" s="42">
        <v>46128</v>
      </c>
      <c r="F20" s="26" t="s">
        <v>55</v>
      </c>
      <c r="G20" s="44" t="s">
        <v>832</v>
      </c>
      <c r="H20" s="26" t="s">
        <v>57</v>
      </c>
      <c r="I20" s="44" t="s">
        <v>832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832</v>
      </c>
      <c r="Q20" s="26" t="s">
        <v>57</v>
      </c>
      <c r="R20" s="44" t="s">
        <v>832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832</v>
      </c>
      <c r="Z20" s="30" t="s">
        <v>57</v>
      </c>
      <c r="AA20" s="30" t="s">
        <v>832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4633</v>
      </c>
      <c r="C21" s="25" t="s">
        <v>4634</v>
      </c>
      <c r="D21" s="23" t="s">
        <v>4602</v>
      </c>
      <c r="E21" s="42">
        <v>46128</v>
      </c>
      <c r="F21" s="26" t="s">
        <v>55</v>
      </c>
      <c r="G21" s="44" t="s">
        <v>832</v>
      </c>
      <c r="H21" s="26" t="s">
        <v>57</v>
      </c>
      <c r="I21" s="44" t="s">
        <v>832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832</v>
      </c>
      <c r="Q21" s="26" t="s">
        <v>57</v>
      </c>
      <c r="R21" s="44" t="s">
        <v>832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832</v>
      </c>
      <c r="Z21" s="30" t="s">
        <v>57</v>
      </c>
      <c r="AA21" s="30" t="s">
        <v>832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4635</v>
      </c>
      <c r="C22" s="41" t="s">
        <v>4636</v>
      </c>
      <c r="D22" s="39" t="s">
        <v>4602</v>
      </c>
      <c r="E22" s="42">
        <v>46128</v>
      </c>
      <c r="F22" s="26" t="s">
        <v>55</v>
      </c>
      <c r="G22" s="44" t="s">
        <v>832</v>
      </c>
      <c r="H22" s="26" t="s">
        <v>57</v>
      </c>
      <c r="I22" s="44" t="s">
        <v>832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832</v>
      </c>
      <c r="Q22" s="26" t="s">
        <v>57</v>
      </c>
      <c r="R22" s="44" t="s">
        <v>832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832</v>
      </c>
      <c r="Z22" s="30" t="s">
        <v>57</v>
      </c>
      <c r="AA22" s="30" t="s">
        <v>832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4637</v>
      </c>
      <c r="C23" s="25" t="s">
        <v>4638</v>
      </c>
      <c r="D23" s="23" t="s">
        <v>4602</v>
      </c>
      <c r="E23" s="42">
        <v>46128</v>
      </c>
      <c r="F23" s="26" t="s">
        <v>55</v>
      </c>
      <c r="G23" s="44" t="s">
        <v>832</v>
      </c>
      <c r="H23" s="26" t="s">
        <v>57</v>
      </c>
      <c r="I23" s="44" t="s">
        <v>832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832</v>
      </c>
      <c r="Q23" s="26" t="s">
        <v>57</v>
      </c>
      <c r="R23" s="44" t="s">
        <v>832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832</v>
      </c>
      <c r="Z23" s="30" t="s">
        <v>57</v>
      </c>
      <c r="AA23" s="30" t="s">
        <v>832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4639</v>
      </c>
      <c r="C24" s="41" t="s">
        <v>4640</v>
      </c>
      <c r="D24" s="39" t="s">
        <v>4602</v>
      </c>
      <c r="E24" s="42">
        <v>46128</v>
      </c>
      <c r="F24" s="26" t="s">
        <v>55</v>
      </c>
      <c r="G24" s="44" t="s">
        <v>832</v>
      </c>
      <c r="H24" s="26" t="s">
        <v>57</v>
      </c>
      <c r="I24" s="44" t="s">
        <v>832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832</v>
      </c>
      <c r="Q24" s="26" t="s">
        <v>57</v>
      </c>
      <c r="R24" s="44" t="s">
        <v>832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832</v>
      </c>
      <c r="Z24" s="30" t="s">
        <v>57</v>
      </c>
      <c r="AA24" s="30" t="s">
        <v>832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4641</v>
      </c>
      <c r="C25" s="25" t="s">
        <v>4642</v>
      </c>
      <c r="D25" s="23" t="s">
        <v>4602</v>
      </c>
      <c r="E25" s="42">
        <v>46128</v>
      </c>
      <c r="F25" s="26" t="s">
        <v>55</v>
      </c>
      <c r="G25" s="44" t="s">
        <v>832</v>
      </c>
      <c r="H25" s="26" t="s">
        <v>57</v>
      </c>
      <c r="I25" s="44" t="s">
        <v>832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832</v>
      </c>
      <c r="Q25" s="26" t="s">
        <v>57</v>
      </c>
      <c r="R25" s="44" t="s">
        <v>832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832</v>
      </c>
      <c r="Z25" s="30" t="s">
        <v>57</v>
      </c>
      <c r="AA25" s="30" t="s">
        <v>832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4643</v>
      </c>
      <c r="C26" s="41" t="s">
        <v>4644</v>
      </c>
      <c r="D26" s="39" t="s">
        <v>4602</v>
      </c>
      <c r="E26" s="42">
        <v>46128</v>
      </c>
      <c r="F26" s="26" t="s">
        <v>55</v>
      </c>
      <c r="G26" s="44" t="s">
        <v>832</v>
      </c>
      <c r="H26" s="26" t="s">
        <v>57</v>
      </c>
      <c r="I26" s="44" t="s">
        <v>832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832</v>
      </c>
      <c r="Q26" s="26" t="s">
        <v>57</v>
      </c>
      <c r="R26" s="44" t="s">
        <v>832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832</v>
      </c>
      <c r="Z26" s="30" t="s">
        <v>57</v>
      </c>
      <c r="AA26" s="30" t="s">
        <v>832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4645</v>
      </c>
      <c r="C27" s="25" t="s">
        <v>4646</v>
      </c>
      <c r="D27" s="23" t="s">
        <v>4602</v>
      </c>
      <c r="E27" s="42">
        <v>46128</v>
      </c>
      <c r="F27" s="26" t="s">
        <v>55</v>
      </c>
      <c r="G27" s="44" t="s">
        <v>832</v>
      </c>
      <c r="H27" s="26" t="s">
        <v>57</v>
      </c>
      <c r="I27" s="44" t="s">
        <v>832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832</v>
      </c>
      <c r="Q27" s="26" t="s">
        <v>57</v>
      </c>
      <c r="R27" s="44" t="s">
        <v>832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832</v>
      </c>
      <c r="Z27" s="30" t="s">
        <v>57</v>
      </c>
      <c r="AA27" s="30" t="s">
        <v>832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4647</v>
      </c>
      <c r="C28" s="41" t="s">
        <v>4648</v>
      </c>
      <c r="D28" s="39" t="s">
        <v>4602</v>
      </c>
      <c r="E28" s="42">
        <v>46128</v>
      </c>
      <c r="F28" s="26" t="s">
        <v>55</v>
      </c>
      <c r="G28" s="44" t="s">
        <v>832</v>
      </c>
      <c r="H28" s="26" t="s">
        <v>57</v>
      </c>
      <c r="I28" s="44" t="s">
        <v>832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832</v>
      </c>
      <c r="Q28" s="26" t="s">
        <v>57</v>
      </c>
      <c r="R28" s="44" t="s">
        <v>832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832</v>
      </c>
      <c r="Z28" s="30" t="s">
        <v>57</v>
      </c>
      <c r="AA28" s="30" t="s">
        <v>832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4649</v>
      </c>
      <c r="C29" s="25" t="s">
        <v>4650</v>
      </c>
      <c r="D29" s="23" t="s">
        <v>4602</v>
      </c>
      <c r="E29" s="42">
        <v>46128</v>
      </c>
      <c r="F29" s="26" t="s">
        <v>55</v>
      </c>
      <c r="G29" s="44" t="s">
        <v>832</v>
      </c>
      <c r="H29" s="26" t="s">
        <v>57</v>
      </c>
      <c r="I29" s="44" t="s">
        <v>832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832</v>
      </c>
      <c r="Q29" s="26" t="s">
        <v>57</v>
      </c>
      <c r="R29" s="44" t="s">
        <v>832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832</v>
      </c>
      <c r="Z29" s="30" t="s">
        <v>57</v>
      </c>
      <c r="AA29" s="30" t="s">
        <v>832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4651</v>
      </c>
      <c r="C30" s="41" t="s">
        <v>4652</v>
      </c>
      <c r="D30" s="39" t="s">
        <v>4602</v>
      </c>
      <c r="E30" s="42">
        <v>46128</v>
      </c>
      <c r="F30" s="26" t="s">
        <v>55</v>
      </c>
      <c r="G30" s="44" t="s">
        <v>56</v>
      </c>
      <c r="H30" s="26" t="s">
        <v>57</v>
      </c>
      <c r="I30" s="44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56</v>
      </c>
      <c r="Q30" s="26" t="s">
        <v>57</v>
      </c>
      <c r="R30" s="44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4653</v>
      </c>
      <c r="C31" s="25" t="s">
        <v>4654</v>
      </c>
      <c r="D31" s="23" t="s">
        <v>4602</v>
      </c>
      <c r="E31" s="42">
        <v>46128</v>
      </c>
      <c r="F31" s="26" t="s">
        <v>55</v>
      </c>
      <c r="G31" s="44" t="s">
        <v>832</v>
      </c>
      <c r="H31" s="26" t="s">
        <v>57</v>
      </c>
      <c r="I31" s="44" t="s">
        <v>832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832</v>
      </c>
      <c r="Q31" s="26" t="s">
        <v>57</v>
      </c>
      <c r="R31" s="44" t="s">
        <v>832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832</v>
      </c>
      <c r="Z31" s="30" t="s">
        <v>57</v>
      </c>
      <c r="AA31" s="30" t="s">
        <v>832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4655</v>
      </c>
      <c r="C32" s="41" t="s">
        <v>4656</v>
      </c>
      <c r="D32" s="39" t="s">
        <v>4602</v>
      </c>
      <c r="E32" s="42">
        <v>46128</v>
      </c>
      <c r="F32" s="26" t="s">
        <v>55</v>
      </c>
      <c r="G32" s="44" t="s">
        <v>832</v>
      </c>
      <c r="H32" s="26" t="s">
        <v>57</v>
      </c>
      <c r="I32" s="44" t="s">
        <v>832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832</v>
      </c>
      <c r="Q32" s="26" t="s">
        <v>57</v>
      </c>
      <c r="R32" s="44" t="s">
        <v>832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832</v>
      </c>
      <c r="Z32" s="30" t="s">
        <v>57</v>
      </c>
      <c r="AA32" s="30" t="s">
        <v>832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4657</v>
      </c>
      <c r="C33" s="25" t="s">
        <v>4658</v>
      </c>
      <c r="D33" s="23" t="s">
        <v>4602</v>
      </c>
      <c r="E33" s="42">
        <v>46128</v>
      </c>
      <c r="F33" s="26" t="s">
        <v>55</v>
      </c>
      <c r="G33" s="44" t="s">
        <v>832</v>
      </c>
      <c r="H33" s="26" t="s">
        <v>57</v>
      </c>
      <c r="I33" s="44" t="s">
        <v>832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832</v>
      </c>
      <c r="Q33" s="26" t="s">
        <v>57</v>
      </c>
      <c r="R33" s="44" t="s">
        <v>832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832</v>
      </c>
      <c r="Z33" s="30" t="s">
        <v>57</v>
      </c>
      <c r="AA33" s="30" t="s">
        <v>832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4659</v>
      </c>
      <c r="C34" s="41" t="s">
        <v>4660</v>
      </c>
      <c r="D34" s="39" t="s">
        <v>4602</v>
      </c>
      <c r="E34" s="42">
        <v>46128</v>
      </c>
      <c r="F34" s="26" t="s">
        <v>55</v>
      </c>
      <c r="G34" s="44" t="s">
        <v>832</v>
      </c>
      <c r="H34" s="26" t="s">
        <v>57</v>
      </c>
      <c r="I34" s="44" t="s">
        <v>832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832</v>
      </c>
      <c r="Q34" s="26" t="s">
        <v>57</v>
      </c>
      <c r="R34" s="44" t="s">
        <v>832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832</v>
      </c>
      <c r="Z34" s="30" t="s">
        <v>57</v>
      </c>
      <c r="AA34" s="30" t="s">
        <v>832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4661</v>
      </c>
      <c r="C35" s="25" t="s">
        <v>4662</v>
      </c>
      <c r="D35" s="23" t="s">
        <v>4602</v>
      </c>
      <c r="E35" s="42">
        <v>46128</v>
      </c>
      <c r="F35" s="26" t="s">
        <v>55</v>
      </c>
      <c r="G35" s="44" t="s">
        <v>832</v>
      </c>
      <c r="H35" s="26" t="s">
        <v>57</v>
      </c>
      <c r="I35" s="44" t="s">
        <v>832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832</v>
      </c>
      <c r="Q35" s="26" t="s">
        <v>57</v>
      </c>
      <c r="R35" s="44" t="s">
        <v>832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832</v>
      </c>
      <c r="Z35" s="30" t="s">
        <v>57</v>
      </c>
      <c r="AA35" s="30" t="s">
        <v>832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4663</v>
      </c>
      <c r="C36" s="41" t="s">
        <v>4664</v>
      </c>
      <c r="D36" s="39" t="s">
        <v>4602</v>
      </c>
      <c r="E36" s="42">
        <v>46128</v>
      </c>
      <c r="F36" s="26" t="s">
        <v>55</v>
      </c>
      <c r="G36" s="44" t="s">
        <v>832</v>
      </c>
      <c r="H36" s="26" t="s">
        <v>57</v>
      </c>
      <c r="I36" s="44" t="s">
        <v>832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832</v>
      </c>
      <c r="Q36" s="26" t="s">
        <v>57</v>
      </c>
      <c r="R36" s="44" t="s">
        <v>832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832</v>
      </c>
      <c r="Z36" s="30" t="s">
        <v>57</v>
      </c>
      <c r="AA36" s="30" t="s">
        <v>832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4665</v>
      </c>
      <c r="C37" s="25" t="s">
        <v>4666</v>
      </c>
      <c r="D37" s="23" t="s">
        <v>4602</v>
      </c>
      <c r="E37" s="42">
        <v>46128</v>
      </c>
      <c r="F37" s="26" t="s">
        <v>55</v>
      </c>
      <c r="G37" s="44" t="s">
        <v>832</v>
      </c>
      <c r="H37" s="26" t="s">
        <v>57</v>
      </c>
      <c r="I37" s="44" t="s">
        <v>832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44" t="s">
        <v>832</v>
      </c>
      <c r="Q37" s="26" t="s">
        <v>57</v>
      </c>
      <c r="R37" s="44" t="s">
        <v>832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832</v>
      </c>
      <c r="Z37" s="30" t="s">
        <v>57</v>
      </c>
      <c r="AA37" s="30" t="s">
        <v>832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4667</v>
      </c>
      <c r="C38" s="41" t="s">
        <v>4668</v>
      </c>
      <c r="D38" s="39" t="s">
        <v>4602</v>
      </c>
      <c r="E38" s="42">
        <v>46128</v>
      </c>
      <c r="F38" s="26" t="s">
        <v>55</v>
      </c>
      <c r="G38" s="44" t="s">
        <v>832</v>
      </c>
      <c r="H38" s="26" t="s">
        <v>57</v>
      </c>
      <c r="I38" s="44" t="s">
        <v>832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44" t="s">
        <v>832</v>
      </c>
      <c r="Q38" s="26" t="s">
        <v>57</v>
      </c>
      <c r="R38" s="44" t="s">
        <v>832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832</v>
      </c>
      <c r="Z38" s="30" t="s">
        <v>57</v>
      </c>
      <c r="AA38" s="30" t="s">
        <v>832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4669</v>
      </c>
      <c r="C39" s="25" t="s">
        <v>4670</v>
      </c>
      <c r="D39" s="23" t="s">
        <v>4602</v>
      </c>
      <c r="E39" s="42">
        <v>46128</v>
      </c>
      <c r="F39" s="26" t="s">
        <v>55</v>
      </c>
      <c r="G39" s="44" t="s">
        <v>832</v>
      </c>
      <c r="H39" s="26" t="s">
        <v>57</v>
      </c>
      <c r="I39" s="44" t="s">
        <v>832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44" t="s">
        <v>832</v>
      </c>
      <c r="Q39" s="26" t="s">
        <v>57</v>
      </c>
      <c r="R39" s="44" t="s">
        <v>832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832</v>
      </c>
      <c r="Z39" s="30" t="s">
        <v>57</v>
      </c>
      <c r="AA39" s="30" t="s">
        <v>832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4671</v>
      </c>
      <c r="C40" s="41" t="s">
        <v>4672</v>
      </c>
      <c r="D40" s="39" t="s">
        <v>4602</v>
      </c>
      <c r="E40" s="42">
        <v>46128</v>
      </c>
      <c r="F40" s="26" t="s">
        <v>55</v>
      </c>
      <c r="G40" s="44" t="s">
        <v>832</v>
      </c>
      <c r="H40" s="26" t="s">
        <v>57</v>
      </c>
      <c r="I40" s="44" t="s">
        <v>832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2">
        <v>46196</v>
      </c>
      <c r="O40" s="26" t="s">
        <v>55</v>
      </c>
      <c r="P40" s="44" t="s">
        <v>832</v>
      </c>
      <c r="Q40" s="26" t="s">
        <v>57</v>
      </c>
      <c r="R40" s="44" t="s">
        <v>832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832</v>
      </c>
      <c r="Z40" s="30" t="s">
        <v>57</v>
      </c>
      <c r="AA40" s="30" t="s">
        <v>832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4673</v>
      </c>
      <c r="C41" s="25" t="s">
        <v>4674</v>
      </c>
      <c r="D41" s="23" t="s">
        <v>4602</v>
      </c>
      <c r="E41" s="42">
        <v>46128</v>
      </c>
      <c r="F41" s="26" t="s">
        <v>55</v>
      </c>
      <c r="G41" s="44" t="s">
        <v>832</v>
      </c>
      <c r="H41" s="26" t="s">
        <v>57</v>
      </c>
      <c r="I41" s="44" t="s">
        <v>832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2">
        <v>46196</v>
      </c>
      <c r="O41" s="26" t="s">
        <v>55</v>
      </c>
      <c r="P41" s="44" t="s">
        <v>832</v>
      </c>
      <c r="Q41" s="26" t="s">
        <v>57</v>
      </c>
      <c r="R41" s="44" t="s">
        <v>832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832</v>
      </c>
      <c r="Z41" s="30" t="s">
        <v>57</v>
      </c>
      <c r="AA41" s="30" t="s">
        <v>832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4675</v>
      </c>
      <c r="C42" s="41" t="s">
        <v>4676</v>
      </c>
      <c r="D42" s="39" t="s">
        <v>4602</v>
      </c>
      <c r="E42" s="42">
        <v>46128</v>
      </c>
      <c r="F42" s="26" t="s">
        <v>55</v>
      </c>
      <c r="G42" s="44" t="s">
        <v>832</v>
      </c>
      <c r="H42" s="26" t="s">
        <v>57</v>
      </c>
      <c r="I42" s="44" t="s">
        <v>832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2">
        <v>46196</v>
      </c>
      <c r="O42" s="26" t="s">
        <v>55</v>
      </c>
      <c r="P42" s="44" t="s">
        <v>832</v>
      </c>
      <c r="Q42" s="26" t="s">
        <v>57</v>
      </c>
      <c r="R42" s="44" t="s">
        <v>832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832</v>
      </c>
      <c r="Z42" s="30" t="s">
        <v>57</v>
      </c>
      <c r="AA42" s="30" t="s">
        <v>832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4677</v>
      </c>
      <c r="C43" s="25" t="s">
        <v>4678</v>
      </c>
      <c r="D43" s="23" t="s">
        <v>4602</v>
      </c>
      <c r="E43" s="42">
        <v>46128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4679</v>
      </c>
      <c r="C44" s="41" t="s">
        <v>4680</v>
      </c>
      <c r="D44" s="39" t="s">
        <v>4602</v>
      </c>
      <c r="E44" s="42">
        <v>46128</v>
      </c>
      <c r="F44" s="26" t="s">
        <v>55</v>
      </c>
      <c r="G44" s="44" t="s">
        <v>832</v>
      </c>
      <c r="H44" s="26" t="s">
        <v>57</v>
      </c>
      <c r="I44" s="44" t="s">
        <v>832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46196</v>
      </c>
      <c r="O44" s="26" t="s">
        <v>55</v>
      </c>
      <c r="P44" s="44" t="s">
        <v>832</v>
      </c>
      <c r="Q44" s="26" t="s">
        <v>57</v>
      </c>
      <c r="R44" s="44" t="s">
        <v>832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832</v>
      </c>
      <c r="Z44" s="30" t="s">
        <v>57</v>
      </c>
      <c r="AA44" s="30" t="s">
        <v>832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4681</v>
      </c>
      <c r="C45" s="25" t="s">
        <v>4682</v>
      </c>
      <c r="D45" s="23" t="s">
        <v>4602</v>
      </c>
      <c r="E45" s="42">
        <v>46128</v>
      </c>
      <c r="F45" s="26" t="s">
        <v>55</v>
      </c>
      <c r="G45" s="44" t="s">
        <v>832</v>
      </c>
      <c r="H45" s="26" t="s">
        <v>57</v>
      </c>
      <c r="I45" s="44" t="s">
        <v>832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46196</v>
      </c>
      <c r="O45" s="26" t="s">
        <v>55</v>
      </c>
      <c r="P45" s="44" t="s">
        <v>832</v>
      </c>
      <c r="Q45" s="26" t="s">
        <v>57</v>
      </c>
      <c r="R45" s="44" t="s">
        <v>832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832</v>
      </c>
      <c r="Z45" s="30" t="s">
        <v>57</v>
      </c>
      <c r="AA45" s="30" t="s">
        <v>832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4683</v>
      </c>
      <c r="C46" s="41" t="s">
        <v>4684</v>
      </c>
      <c r="D46" s="39" t="s">
        <v>4602</v>
      </c>
      <c r="E46" s="42">
        <v>46128</v>
      </c>
      <c r="F46" s="26" t="s">
        <v>55</v>
      </c>
      <c r="G46" s="44" t="s">
        <v>832</v>
      </c>
      <c r="H46" s="26" t="s">
        <v>57</v>
      </c>
      <c r="I46" s="44" t="s">
        <v>832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46196</v>
      </c>
      <c r="O46" s="26" t="s">
        <v>55</v>
      </c>
      <c r="P46" s="44" t="s">
        <v>832</v>
      </c>
      <c r="Q46" s="26" t="s">
        <v>57</v>
      </c>
      <c r="R46" s="44" t="s">
        <v>832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832</v>
      </c>
      <c r="Z46" s="30" t="s">
        <v>57</v>
      </c>
      <c r="AA46" s="30" t="s">
        <v>832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4685</v>
      </c>
      <c r="C47" s="25" t="s">
        <v>4686</v>
      </c>
      <c r="D47" s="23" t="s">
        <v>4602</v>
      </c>
      <c r="E47" s="42">
        <v>46128</v>
      </c>
      <c r="F47" s="26" t="s">
        <v>55</v>
      </c>
      <c r="G47" s="44" t="s">
        <v>832</v>
      </c>
      <c r="H47" s="26" t="s">
        <v>57</v>
      </c>
      <c r="I47" s="44" t="s">
        <v>832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2">
        <v>46196</v>
      </c>
      <c r="O47" s="26" t="s">
        <v>55</v>
      </c>
      <c r="P47" s="44" t="s">
        <v>832</v>
      </c>
      <c r="Q47" s="26" t="s">
        <v>57</v>
      </c>
      <c r="R47" s="44" t="s">
        <v>832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832</v>
      </c>
      <c r="Z47" s="30" t="s">
        <v>57</v>
      </c>
      <c r="AA47" s="30" t="s">
        <v>832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4687</v>
      </c>
      <c r="C48" s="41" t="s">
        <v>4688</v>
      </c>
      <c r="D48" s="39" t="s">
        <v>4602</v>
      </c>
      <c r="E48" s="42">
        <v>46128</v>
      </c>
      <c r="F48" s="26" t="s">
        <v>55</v>
      </c>
      <c r="G48" s="44" t="s">
        <v>832</v>
      </c>
      <c r="H48" s="26" t="s">
        <v>57</v>
      </c>
      <c r="I48" s="44" t="s">
        <v>832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46196</v>
      </c>
      <c r="O48" s="26" t="s">
        <v>55</v>
      </c>
      <c r="P48" s="44" t="s">
        <v>832</v>
      </c>
      <c r="Q48" s="26" t="s">
        <v>57</v>
      </c>
      <c r="R48" s="44" t="s">
        <v>832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832</v>
      </c>
      <c r="Z48" s="30" t="s">
        <v>57</v>
      </c>
      <c r="AA48" s="30" t="s">
        <v>832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4689</v>
      </c>
      <c r="C49" s="25" t="s">
        <v>4690</v>
      </c>
      <c r="D49" s="23" t="s">
        <v>4602</v>
      </c>
      <c r="E49" s="42">
        <v>46128</v>
      </c>
      <c r="F49" s="26" t="s">
        <v>55</v>
      </c>
      <c r="G49" s="44" t="s">
        <v>832</v>
      </c>
      <c r="H49" s="26" t="s">
        <v>57</v>
      </c>
      <c r="I49" s="44" t="s">
        <v>832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2">
        <v>46196</v>
      </c>
      <c r="O49" s="26" t="s">
        <v>55</v>
      </c>
      <c r="P49" s="44" t="s">
        <v>832</v>
      </c>
      <c r="Q49" s="26" t="s">
        <v>57</v>
      </c>
      <c r="R49" s="44" t="s">
        <v>832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832</v>
      </c>
      <c r="Z49" s="30" t="s">
        <v>57</v>
      </c>
      <c r="AA49" s="30" t="s">
        <v>832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4691</v>
      </c>
      <c r="C50" s="41" t="s">
        <v>4692</v>
      </c>
      <c r="D50" s="39" t="s">
        <v>4602</v>
      </c>
      <c r="E50" s="42">
        <v>46128</v>
      </c>
      <c r="F50" s="26" t="s">
        <v>55</v>
      </c>
      <c r="G50" s="44" t="s">
        <v>832</v>
      </c>
      <c r="H50" s="26" t="s">
        <v>57</v>
      </c>
      <c r="I50" s="44" t="s">
        <v>832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46196</v>
      </c>
      <c r="O50" s="26" t="s">
        <v>55</v>
      </c>
      <c r="P50" s="44" t="s">
        <v>832</v>
      </c>
      <c r="Q50" s="26" t="s">
        <v>57</v>
      </c>
      <c r="R50" s="44" t="s">
        <v>832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832</v>
      </c>
      <c r="Z50" s="30" t="s">
        <v>57</v>
      </c>
      <c r="AA50" s="30" t="s">
        <v>832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4693</v>
      </c>
      <c r="C51" s="25" t="s">
        <v>4694</v>
      </c>
      <c r="D51" s="23" t="s">
        <v>4602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4695</v>
      </c>
      <c r="C52" s="41" t="s">
        <v>4696</v>
      </c>
      <c r="D52" s="39" t="s">
        <v>4602</v>
      </c>
      <c r="E52" s="42">
        <v>46128</v>
      </c>
      <c r="F52" s="26" t="s">
        <v>55</v>
      </c>
      <c r="G52" s="44" t="s">
        <v>832</v>
      </c>
      <c r="H52" s="26" t="s">
        <v>57</v>
      </c>
      <c r="I52" s="44" t="s">
        <v>832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46196</v>
      </c>
      <c r="O52" s="26" t="s">
        <v>55</v>
      </c>
      <c r="P52" s="44" t="s">
        <v>832</v>
      </c>
      <c r="Q52" s="26" t="s">
        <v>57</v>
      </c>
      <c r="R52" s="44" t="s">
        <v>832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832</v>
      </c>
      <c r="Z52" s="30" t="s">
        <v>57</v>
      </c>
      <c r="AA52" s="30" t="s">
        <v>832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4697</v>
      </c>
      <c r="C53" s="25" t="s">
        <v>4698</v>
      </c>
      <c r="D53" s="23" t="s">
        <v>4602</v>
      </c>
      <c r="E53" s="42">
        <v>46128</v>
      </c>
      <c r="F53" s="26" t="s">
        <v>55</v>
      </c>
      <c r="G53" s="44" t="s">
        <v>57</v>
      </c>
      <c r="H53" s="26" t="s">
        <v>57</v>
      </c>
      <c r="I53" s="44" t="s">
        <v>89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42">
        <v>46196</v>
      </c>
      <c r="O53" s="26" t="s">
        <v>55</v>
      </c>
      <c r="P53" s="44" t="s">
        <v>57</v>
      </c>
      <c r="Q53" s="26" t="s">
        <v>57</v>
      </c>
      <c r="R53" s="44" t="s">
        <v>89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70">
        <v>46248</v>
      </c>
      <c r="X53" s="30" t="s">
        <v>55</v>
      </c>
      <c r="Y53" s="30" t="s">
        <v>57</v>
      </c>
      <c r="Z53" s="30" t="s">
        <v>57</v>
      </c>
      <c r="AA53" s="30" t="s">
        <v>89</v>
      </c>
      <c r="AB53" s="30" t="s">
        <v>57</v>
      </c>
      <c r="AC53" s="27"/>
      <c r="AD53" s="31" t="s">
        <v>56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4699</v>
      </c>
      <c r="C54" s="41" t="s">
        <v>4700</v>
      </c>
      <c r="D54" s="39" t="s">
        <v>4602</v>
      </c>
      <c r="E54" s="42">
        <v>46128</v>
      </c>
      <c r="F54" s="26" t="s">
        <v>55</v>
      </c>
      <c r="G54" s="44" t="s">
        <v>57</v>
      </c>
      <c r="H54" s="26" t="s">
        <v>57</v>
      </c>
      <c r="I54" s="44" t="s">
        <v>89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42">
        <v>46196</v>
      </c>
      <c r="O54" s="26" t="s">
        <v>55</v>
      </c>
      <c r="P54" s="44" t="s">
        <v>57</v>
      </c>
      <c r="Q54" s="26" t="s">
        <v>57</v>
      </c>
      <c r="R54" s="44" t="s">
        <v>89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70">
        <v>46248</v>
      </c>
      <c r="X54" s="30" t="s">
        <v>55</v>
      </c>
      <c r="Y54" s="30" t="s">
        <v>57</v>
      </c>
      <c r="Z54" s="30" t="s">
        <v>57</v>
      </c>
      <c r="AA54" s="30" t="s">
        <v>89</v>
      </c>
      <c r="AB54" s="30" t="s">
        <v>57</v>
      </c>
      <c r="AC54" s="27"/>
      <c r="AD54" s="31" t="s">
        <v>56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4701</v>
      </c>
      <c r="C55" s="25" t="s">
        <v>4702</v>
      </c>
      <c r="D55" s="23" t="s">
        <v>4602</v>
      </c>
      <c r="E55" s="42">
        <v>46128</v>
      </c>
      <c r="F55" s="26" t="s">
        <v>55</v>
      </c>
      <c r="G55" s="44" t="s">
        <v>57</v>
      </c>
      <c r="H55" s="26" t="s">
        <v>57</v>
      </c>
      <c r="I55" s="44" t="s">
        <v>89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42">
        <v>46196</v>
      </c>
      <c r="O55" s="26" t="s">
        <v>55</v>
      </c>
      <c r="P55" s="44" t="s">
        <v>57</v>
      </c>
      <c r="Q55" s="26" t="s">
        <v>57</v>
      </c>
      <c r="R55" s="44" t="s">
        <v>89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70">
        <v>46248</v>
      </c>
      <c r="X55" s="30" t="s">
        <v>55</v>
      </c>
      <c r="Y55" s="30" t="s">
        <v>57</v>
      </c>
      <c r="Z55" s="30" t="s">
        <v>57</v>
      </c>
      <c r="AA55" s="30" t="s">
        <v>89</v>
      </c>
      <c r="AB55" s="30" t="s">
        <v>57</v>
      </c>
      <c r="AC55" s="27"/>
      <c r="AD55" s="31" t="s">
        <v>56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4703</v>
      </c>
      <c r="C56" s="41" t="s">
        <v>4704</v>
      </c>
      <c r="D56" s="39" t="s">
        <v>4602</v>
      </c>
      <c r="E56" s="42">
        <v>46128</v>
      </c>
      <c r="F56" s="26" t="s">
        <v>55</v>
      </c>
      <c r="G56" s="44" t="s">
        <v>57</v>
      </c>
      <c r="H56" s="26" t="s">
        <v>57</v>
      </c>
      <c r="I56" s="44" t="s">
        <v>89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42">
        <v>46196</v>
      </c>
      <c r="O56" s="26" t="s">
        <v>55</v>
      </c>
      <c r="P56" s="44" t="s">
        <v>57</v>
      </c>
      <c r="Q56" s="26" t="s">
        <v>57</v>
      </c>
      <c r="R56" s="44" t="s">
        <v>89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70">
        <v>46248</v>
      </c>
      <c r="X56" s="30" t="s">
        <v>55</v>
      </c>
      <c r="Y56" s="30" t="s">
        <v>57</v>
      </c>
      <c r="Z56" s="30" t="s">
        <v>57</v>
      </c>
      <c r="AA56" s="30" t="s">
        <v>89</v>
      </c>
      <c r="AB56" s="30" t="s">
        <v>57</v>
      </c>
      <c r="AC56" s="27"/>
      <c r="AD56" s="31" t="s">
        <v>56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4705</v>
      </c>
      <c r="C57" s="25" t="s">
        <v>4706</v>
      </c>
      <c r="D57" s="23" t="s">
        <v>4602</v>
      </c>
      <c r="E57" s="42">
        <v>46128</v>
      </c>
      <c r="F57" s="26" t="s">
        <v>55</v>
      </c>
      <c r="G57" s="44" t="s">
        <v>57</v>
      </c>
      <c r="H57" s="26" t="s">
        <v>57</v>
      </c>
      <c r="I57" s="44" t="s">
        <v>89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42">
        <v>46196</v>
      </c>
      <c r="O57" s="26" t="s">
        <v>55</v>
      </c>
      <c r="P57" s="44" t="s">
        <v>57</v>
      </c>
      <c r="Q57" s="26" t="s">
        <v>57</v>
      </c>
      <c r="R57" s="44" t="s">
        <v>89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70">
        <v>46248</v>
      </c>
      <c r="X57" s="30" t="s">
        <v>55</v>
      </c>
      <c r="Y57" s="30" t="s">
        <v>57</v>
      </c>
      <c r="Z57" s="30" t="s">
        <v>57</v>
      </c>
      <c r="AA57" s="30" t="s">
        <v>89</v>
      </c>
      <c r="AB57" s="30" t="s">
        <v>57</v>
      </c>
      <c r="AC57" s="27"/>
      <c r="AD57" s="31" t="s">
        <v>56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4707</v>
      </c>
      <c r="C58" s="41" t="s">
        <v>4708</v>
      </c>
      <c r="D58" s="39" t="s">
        <v>4602</v>
      </c>
      <c r="E58" s="42">
        <v>46128</v>
      </c>
      <c r="F58" s="26" t="s">
        <v>55</v>
      </c>
      <c r="G58" s="44" t="s">
        <v>57</v>
      </c>
      <c r="H58" s="26" t="s">
        <v>57</v>
      </c>
      <c r="I58" s="44" t="s">
        <v>89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42">
        <v>46196</v>
      </c>
      <c r="O58" s="26" t="s">
        <v>55</v>
      </c>
      <c r="P58" s="44" t="s">
        <v>57</v>
      </c>
      <c r="Q58" s="26" t="s">
        <v>57</v>
      </c>
      <c r="R58" s="44" t="s">
        <v>89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70">
        <v>46248</v>
      </c>
      <c r="X58" s="30" t="s">
        <v>55</v>
      </c>
      <c r="Y58" s="30" t="s">
        <v>57</v>
      </c>
      <c r="Z58" s="30" t="s">
        <v>57</v>
      </c>
      <c r="AA58" s="30" t="s">
        <v>89</v>
      </c>
      <c r="AB58" s="30" t="s">
        <v>57</v>
      </c>
      <c r="AC58" s="27"/>
      <c r="AD58" s="31" t="s">
        <v>56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4709</v>
      </c>
      <c r="C59" s="25" t="s">
        <v>4710</v>
      </c>
      <c r="D59" s="23" t="s">
        <v>4602</v>
      </c>
      <c r="E59" s="42">
        <v>46128</v>
      </c>
      <c r="F59" s="26" t="s">
        <v>55</v>
      </c>
      <c r="G59" s="44" t="s">
        <v>57</v>
      </c>
      <c r="H59" s="26" t="s">
        <v>57</v>
      </c>
      <c r="I59" s="44" t="s">
        <v>89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42">
        <v>46196</v>
      </c>
      <c r="O59" s="26" t="s">
        <v>55</v>
      </c>
      <c r="P59" s="44" t="s">
        <v>57</v>
      </c>
      <c r="Q59" s="26" t="s">
        <v>57</v>
      </c>
      <c r="R59" s="44" t="s">
        <v>89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70">
        <v>46248</v>
      </c>
      <c r="X59" s="30" t="s">
        <v>55</v>
      </c>
      <c r="Y59" s="30" t="s">
        <v>57</v>
      </c>
      <c r="Z59" s="30" t="s">
        <v>57</v>
      </c>
      <c r="AA59" s="30" t="s">
        <v>89</v>
      </c>
      <c r="AB59" s="30" t="s">
        <v>57</v>
      </c>
      <c r="AC59" s="27"/>
      <c r="AD59" s="31" t="s">
        <v>56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4711</v>
      </c>
      <c r="C60" s="41" t="s">
        <v>4712</v>
      </c>
      <c r="D60" s="39" t="s">
        <v>4602</v>
      </c>
      <c r="E60" s="42">
        <v>46128</v>
      </c>
      <c r="F60" s="26" t="s">
        <v>55</v>
      </c>
      <c r="G60" s="44" t="s">
        <v>57</v>
      </c>
      <c r="H60" s="26" t="s">
        <v>57</v>
      </c>
      <c r="I60" s="44" t="s">
        <v>89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42">
        <v>46196</v>
      </c>
      <c r="O60" s="26" t="s">
        <v>55</v>
      </c>
      <c r="P60" s="44" t="s">
        <v>57</v>
      </c>
      <c r="Q60" s="26" t="s">
        <v>57</v>
      </c>
      <c r="R60" s="44" t="s">
        <v>89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70">
        <v>46248</v>
      </c>
      <c r="X60" s="30" t="s">
        <v>55</v>
      </c>
      <c r="Y60" s="30" t="s">
        <v>57</v>
      </c>
      <c r="Z60" s="30" t="s">
        <v>57</v>
      </c>
      <c r="AA60" s="30" t="s">
        <v>89</v>
      </c>
      <c r="AB60" s="30" t="s">
        <v>57</v>
      </c>
      <c r="AC60" s="27"/>
      <c r="AD60" s="31" t="s">
        <v>56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4713</v>
      </c>
      <c r="C61" s="25" t="s">
        <v>4714</v>
      </c>
      <c r="D61" s="23" t="s">
        <v>4602</v>
      </c>
      <c r="E61" s="42">
        <v>46128</v>
      </c>
      <c r="F61" s="26" t="s">
        <v>55</v>
      </c>
      <c r="G61" s="44" t="s">
        <v>57</v>
      </c>
      <c r="H61" s="26" t="s">
        <v>57</v>
      </c>
      <c r="I61" s="44" t="s">
        <v>89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42">
        <v>46196</v>
      </c>
      <c r="O61" s="26" t="s">
        <v>55</v>
      </c>
      <c r="P61" s="44" t="s">
        <v>57</v>
      </c>
      <c r="Q61" s="26" t="s">
        <v>57</v>
      </c>
      <c r="R61" s="44" t="s">
        <v>89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70">
        <v>46248</v>
      </c>
      <c r="X61" s="30" t="s">
        <v>55</v>
      </c>
      <c r="Y61" s="30" t="s">
        <v>57</v>
      </c>
      <c r="Z61" s="30" t="s">
        <v>57</v>
      </c>
      <c r="AA61" s="30" t="s">
        <v>89</v>
      </c>
      <c r="AB61" s="30" t="s">
        <v>57</v>
      </c>
      <c r="AC61" s="27"/>
      <c r="AD61" s="31" t="s">
        <v>56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4715</v>
      </c>
      <c r="C62" s="41" t="s">
        <v>4716</v>
      </c>
      <c r="D62" s="39" t="s">
        <v>4602</v>
      </c>
      <c r="E62" s="42">
        <v>46128</v>
      </c>
      <c r="F62" s="26" t="s">
        <v>55</v>
      </c>
      <c r="G62" s="44" t="s">
        <v>57</v>
      </c>
      <c r="H62" s="26" t="s">
        <v>57</v>
      </c>
      <c r="I62" s="44" t="s">
        <v>89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42">
        <v>46196</v>
      </c>
      <c r="O62" s="26" t="s">
        <v>55</v>
      </c>
      <c r="P62" s="44" t="s">
        <v>57</v>
      </c>
      <c r="Q62" s="26" t="s">
        <v>57</v>
      </c>
      <c r="R62" s="44" t="s">
        <v>89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70">
        <v>46248</v>
      </c>
      <c r="X62" s="30" t="s">
        <v>55</v>
      </c>
      <c r="Y62" s="30" t="s">
        <v>57</v>
      </c>
      <c r="Z62" s="30" t="s">
        <v>57</v>
      </c>
      <c r="AA62" s="30" t="s">
        <v>89</v>
      </c>
      <c r="AB62" s="30" t="s">
        <v>57</v>
      </c>
      <c r="AC62" s="27"/>
      <c r="AD62" s="31" t="s">
        <v>56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4717</v>
      </c>
      <c r="C63" s="25" t="s">
        <v>4718</v>
      </c>
      <c r="D63" s="23" t="s">
        <v>4602</v>
      </c>
      <c r="E63" s="42">
        <v>46128</v>
      </c>
      <c r="F63" s="26" t="s">
        <v>55</v>
      </c>
      <c r="G63" s="44" t="s">
        <v>57</v>
      </c>
      <c r="H63" s="26" t="s">
        <v>57</v>
      </c>
      <c r="I63" s="44" t="s">
        <v>89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42">
        <v>46196</v>
      </c>
      <c r="O63" s="26" t="s">
        <v>55</v>
      </c>
      <c r="P63" s="44" t="s">
        <v>57</v>
      </c>
      <c r="Q63" s="26" t="s">
        <v>57</v>
      </c>
      <c r="R63" s="44" t="s">
        <v>89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70">
        <v>46248</v>
      </c>
      <c r="X63" s="30" t="s">
        <v>55</v>
      </c>
      <c r="Y63" s="30" t="s">
        <v>57</v>
      </c>
      <c r="Z63" s="30" t="s">
        <v>57</v>
      </c>
      <c r="AA63" s="30" t="s">
        <v>89</v>
      </c>
      <c r="AB63" s="30" t="s">
        <v>57</v>
      </c>
      <c r="AC63" s="27"/>
      <c r="AD63" s="31" t="s">
        <v>56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4719</v>
      </c>
      <c r="C64" s="41" t="s">
        <v>4720</v>
      </c>
      <c r="D64" s="39" t="s">
        <v>4602</v>
      </c>
      <c r="E64" s="42">
        <v>46128</v>
      </c>
      <c r="F64" s="26" t="s">
        <v>55</v>
      </c>
      <c r="G64" s="44" t="s">
        <v>57</v>
      </c>
      <c r="H64" s="26" t="s">
        <v>57</v>
      </c>
      <c r="I64" s="44" t="s">
        <v>89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42">
        <v>46196</v>
      </c>
      <c r="O64" s="26" t="s">
        <v>55</v>
      </c>
      <c r="P64" s="44" t="s">
        <v>57</v>
      </c>
      <c r="Q64" s="26" t="s">
        <v>57</v>
      </c>
      <c r="R64" s="44" t="s">
        <v>89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70">
        <v>46248</v>
      </c>
      <c r="X64" s="30" t="s">
        <v>55</v>
      </c>
      <c r="Y64" s="30" t="s">
        <v>57</v>
      </c>
      <c r="Z64" s="30" t="s">
        <v>57</v>
      </c>
      <c r="AA64" s="30" t="s">
        <v>89</v>
      </c>
      <c r="AB64" s="30" t="s">
        <v>57</v>
      </c>
      <c r="AC64" s="27"/>
      <c r="AD64" s="31" t="s">
        <v>56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4721</v>
      </c>
      <c r="C65" s="25" t="s">
        <v>4722</v>
      </c>
      <c r="D65" s="23" t="s">
        <v>4602</v>
      </c>
      <c r="E65" s="42">
        <v>46128</v>
      </c>
      <c r="F65" s="26" t="s">
        <v>55</v>
      </c>
      <c r="G65" s="44" t="s">
        <v>57</v>
      </c>
      <c r="H65" s="26" t="s">
        <v>57</v>
      </c>
      <c r="I65" s="44" t="s">
        <v>89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42">
        <v>46196</v>
      </c>
      <c r="O65" s="26" t="s">
        <v>55</v>
      </c>
      <c r="P65" s="44" t="s">
        <v>57</v>
      </c>
      <c r="Q65" s="26" t="s">
        <v>57</v>
      </c>
      <c r="R65" s="44" t="s">
        <v>89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70">
        <v>46248</v>
      </c>
      <c r="X65" s="30" t="s">
        <v>55</v>
      </c>
      <c r="Y65" s="30" t="s">
        <v>57</v>
      </c>
      <c r="Z65" s="30" t="s">
        <v>57</v>
      </c>
      <c r="AA65" s="30" t="s">
        <v>89</v>
      </c>
      <c r="AB65" s="30" t="s">
        <v>57</v>
      </c>
      <c r="AC65" s="27"/>
      <c r="AD65" s="31" t="s">
        <v>56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4723</v>
      </c>
      <c r="C66" s="41" t="s">
        <v>4724</v>
      </c>
      <c r="D66" s="39" t="s">
        <v>4602</v>
      </c>
      <c r="E66" s="42">
        <v>46128</v>
      </c>
      <c r="F66" s="26" t="s">
        <v>55</v>
      </c>
      <c r="G66" s="44" t="s">
        <v>57</v>
      </c>
      <c r="H66" s="26" t="s">
        <v>57</v>
      </c>
      <c r="I66" s="44" t="s">
        <v>89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42">
        <v>46196</v>
      </c>
      <c r="O66" s="26" t="s">
        <v>55</v>
      </c>
      <c r="P66" s="44" t="s">
        <v>57</v>
      </c>
      <c r="Q66" s="26" t="s">
        <v>57</v>
      </c>
      <c r="R66" s="44" t="s">
        <v>89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70">
        <v>46248</v>
      </c>
      <c r="X66" s="30" t="s">
        <v>55</v>
      </c>
      <c r="Y66" s="30" t="s">
        <v>57</v>
      </c>
      <c r="Z66" s="30" t="s">
        <v>57</v>
      </c>
      <c r="AA66" s="30" t="s">
        <v>89</v>
      </c>
      <c r="AB66" s="30" t="s">
        <v>57</v>
      </c>
      <c r="AC66" s="27"/>
      <c r="AD66" s="31" t="s">
        <v>56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4725</v>
      </c>
      <c r="C67" s="25" t="s">
        <v>4726</v>
      </c>
      <c r="D67" s="23" t="s">
        <v>4602</v>
      </c>
      <c r="E67" s="42">
        <v>46128</v>
      </c>
      <c r="F67" s="26" t="s">
        <v>55</v>
      </c>
      <c r="G67" s="44" t="s">
        <v>57</v>
      </c>
      <c r="H67" s="26" t="s">
        <v>57</v>
      </c>
      <c r="I67" s="44" t="s">
        <v>89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42">
        <v>46196</v>
      </c>
      <c r="O67" s="26" t="s">
        <v>55</v>
      </c>
      <c r="P67" s="44" t="s">
        <v>57</v>
      </c>
      <c r="Q67" s="26" t="s">
        <v>57</v>
      </c>
      <c r="R67" s="44" t="s">
        <v>89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70">
        <v>46248</v>
      </c>
      <c r="X67" s="30" t="s">
        <v>55</v>
      </c>
      <c r="Y67" s="30" t="s">
        <v>57</v>
      </c>
      <c r="Z67" s="30" t="s">
        <v>57</v>
      </c>
      <c r="AA67" s="30" t="s">
        <v>89</v>
      </c>
      <c r="AB67" s="30" t="s">
        <v>57</v>
      </c>
      <c r="AC67" s="27"/>
      <c r="AD67" s="31" t="s">
        <v>56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4727</v>
      </c>
      <c r="C68" s="41" t="s">
        <v>4728</v>
      </c>
      <c r="D68" s="39" t="s">
        <v>4602</v>
      </c>
      <c r="E68" s="42">
        <v>46128</v>
      </c>
      <c r="F68" s="26" t="s">
        <v>55</v>
      </c>
      <c r="G68" s="44" t="s">
        <v>57</v>
      </c>
      <c r="H68" s="26" t="s">
        <v>57</v>
      </c>
      <c r="I68" s="44" t="s">
        <v>89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42">
        <v>46196</v>
      </c>
      <c r="O68" s="26" t="s">
        <v>55</v>
      </c>
      <c r="P68" s="44" t="s">
        <v>57</v>
      </c>
      <c r="Q68" s="26" t="s">
        <v>57</v>
      </c>
      <c r="R68" s="44" t="s">
        <v>89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70">
        <v>46248</v>
      </c>
      <c r="X68" s="30" t="s">
        <v>55</v>
      </c>
      <c r="Y68" s="30" t="s">
        <v>57</v>
      </c>
      <c r="Z68" s="30" t="s">
        <v>57</v>
      </c>
      <c r="AA68" s="30" t="s">
        <v>89</v>
      </c>
      <c r="AB68" s="30" t="s">
        <v>57</v>
      </c>
      <c r="AC68" s="27"/>
      <c r="AD68" s="31" t="s">
        <v>56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4729</v>
      </c>
      <c r="C69" s="25" t="s">
        <v>4730</v>
      </c>
      <c r="D69" s="23" t="s">
        <v>4602</v>
      </c>
      <c r="E69" s="42">
        <v>46128</v>
      </c>
      <c r="F69" s="26" t="s">
        <v>55</v>
      </c>
      <c r="G69" s="44" t="s">
        <v>57</v>
      </c>
      <c r="H69" s="26" t="s">
        <v>57</v>
      </c>
      <c r="I69" s="44" t="s">
        <v>89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46196</v>
      </c>
      <c r="O69" s="26" t="s">
        <v>55</v>
      </c>
      <c r="P69" s="44" t="s">
        <v>57</v>
      </c>
      <c r="Q69" s="26" t="s">
        <v>57</v>
      </c>
      <c r="R69" s="44" t="s">
        <v>89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70">
        <v>46248</v>
      </c>
      <c r="X69" s="30" t="s">
        <v>55</v>
      </c>
      <c r="Y69" s="30" t="s">
        <v>57</v>
      </c>
      <c r="Z69" s="30" t="s">
        <v>57</v>
      </c>
      <c r="AA69" s="30" t="s">
        <v>89</v>
      </c>
      <c r="AB69" s="30" t="s">
        <v>57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4731</v>
      </c>
      <c r="C70" s="41" t="s">
        <v>4732</v>
      </c>
      <c r="D70" s="39" t="s">
        <v>4602</v>
      </c>
      <c r="E70" s="42">
        <v>46128</v>
      </c>
      <c r="F70" s="26" t="s">
        <v>55</v>
      </c>
      <c r="G70" s="44" t="s">
        <v>57</v>
      </c>
      <c r="H70" s="26" t="s">
        <v>57</v>
      </c>
      <c r="I70" s="44" t="s">
        <v>89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42">
        <v>46196</v>
      </c>
      <c r="O70" s="26" t="s">
        <v>55</v>
      </c>
      <c r="P70" s="44" t="s">
        <v>57</v>
      </c>
      <c r="Q70" s="26" t="s">
        <v>57</v>
      </c>
      <c r="R70" s="44" t="s">
        <v>89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70">
        <v>46248</v>
      </c>
      <c r="X70" s="30" t="s">
        <v>55</v>
      </c>
      <c r="Y70" s="30" t="s">
        <v>57</v>
      </c>
      <c r="Z70" s="30" t="s">
        <v>57</v>
      </c>
      <c r="AA70" s="30" t="s">
        <v>89</v>
      </c>
      <c r="AB70" s="30" t="s">
        <v>57</v>
      </c>
      <c r="AC70" s="27"/>
      <c r="AD70" s="31" t="s">
        <v>56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4733</v>
      </c>
      <c r="C71" s="25" t="s">
        <v>4734</v>
      </c>
      <c r="D71" s="23" t="s">
        <v>4602</v>
      </c>
      <c r="E71" s="42">
        <v>46128</v>
      </c>
      <c r="F71" s="26" t="s">
        <v>55</v>
      </c>
      <c r="G71" s="44" t="s">
        <v>57</v>
      </c>
      <c r="H71" s="26" t="s">
        <v>57</v>
      </c>
      <c r="I71" s="44" t="s">
        <v>89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42">
        <v>46196</v>
      </c>
      <c r="O71" s="26" t="s">
        <v>55</v>
      </c>
      <c r="P71" s="44" t="s">
        <v>57</v>
      </c>
      <c r="Q71" s="26" t="s">
        <v>57</v>
      </c>
      <c r="R71" s="44" t="s">
        <v>89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70">
        <v>46248</v>
      </c>
      <c r="X71" s="30" t="s">
        <v>55</v>
      </c>
      <c r="Y71" s="30" t="s">
        <v>57</v>
      </c>
      <c r="Z71" s="30" t="s">
        <v>57</v>
      </c>
      <c r="AA71" s="30" t="s">
        <v>89</v>
      </c>
      <c r="AB71" s="30" t="s">
        <v>57</v>
      </c>
      <c r="AC71" s="27"/>
      <c r="AD71" s="31" t="s">
        <v>56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4735</v>
      </c>
      <c r="C72" s="41" t="s">
        <v>4736</v>
      </c>
      <c r="D72" s="39" t="s">
        <v>4602</v>
      </c>
      <c r="E72" s="42">
        <v>46128</v>
      </c>
      <c r="F72" s="26" t="s">
        <v>55</v>
      </c>
      <c r="G72" s="44" t="s">
        <v>57</v>
      </c>
      <c r="H72" s="26" t="s">
        <v>57</v>
      </c>
      <c r="I72" s="44" t="s">
        <v>89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42">
        <v>46196</v>
      </c>
      <c r="O72" s="26" t="s">
        <v>55</v>
      </c>
      <c r="P72" s="44" t="s">
        <v>57</v>
      </c>
      <c r="Q72" s="26" t="s">
        <v>57</v>
      </c>
      <c r="R72" s="44" t="s">
        <v>89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70">
        <v>46248</v>
      </c>
      <c r="X72" s="30" t="s">
        <v>55</v>
      </c>
      <c r="Y72" s="30" t="s">
        <v>57</v>
      </c>
      <c r="Z72" s="30" t="s">
        <v>57</v>
      </c>
      <c r="AA72" s="30" t="s">
        <v>89</v>
      </c>
      <c r="AB72" s="30" t="s">
        <v>57</v>
      </c>
      <c r="AC72" s="27"/>
      <c r="AD72" s="31" t="s">
        <v>56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4737</v>
      </c>
      <c r="C73" s="25" t="s">
        <v>4738</v>
      </c>
      <c r="D73" s="23" t="s">
        <v>4602</v>
      </c>
      <c r="E73" s="42">
        <v>46128</v>
      </c>
      <c r="F73" s="26" t="s">
        <v>55</v>
      </c>
      <c r="G73" s="44" t="s">
        <v>57</v>
      </c>
      <c r="H73" s="26" t="s">
        <v>57</v>
      </c>
      <c r="I73" s="44" t="s">
        <v>89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42">
        <v>46196</v>
      </c>
      <c r="O73" s="26" t="s">
        <v>55</v>
      </c>
      <c r="P73" s="44" t="s">
        <v>57</v>
      </c>
      <c r="Q73" s="26" t="s">
        <v>57</v>
      </c>
      <c r="R73" s="44" t="s">
        <v>89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70">
        <v>46248</v>
      </c>
      <c r="X73" s="30" t="s">
        <v>55</v>
      </c>
      <c r="Y73" s="30" t="s">
        <v>57</v>
      </c>
      <c r="Z73" s="30" t="s">
        <v>57</v>
      </c>
      <c r="AA73" s="30" t="s">
        <v>89</v>
      </c>
      <c r="AB73" s="30" t="s">
        <v>57</v>
      </c>
      <c r="AC73" s="27"/>
      <c r="AD73" s="31" t="s">
        <v>56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4739</v>
      </c>
      <c r="C74" s="41" t="s">
        <v>4740</v>
      </c>
      <c r="D74" s="39" t="s">
        <v>4602</v>
      </c>
      <c r="E74" s="42">
        <v>46128</v>
      </c>
      <c r="F74" s="26" t="s">
        <v>55</v>
      </c>
      <c r="G74" s="44" t="s">
        <v>57</v>
      </c>
      <c r="H74" s="26" t="s">
        <v>57</v>
      </c>
      <c r="I74" s="44" t="s">
        <v>89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42">
        <v>46196</v>
      </c>
      <c r="O74" s="26" t="s">
        <v>55</v>
      </c>
      <c r="P74" s="44" t="s">
        <v>57</v>
      </c>
      <c r="Q74" s="26" t="s">
        <v>57</v>
      </c>
      <c r="R74" s="44" t="s">
        <v>89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70">
        <v>46248</v>
      </c>
      <c r="X74" s="30" t="s">
        <v>55</v>
      </c>
      <c r="Y74" s="30" t="s">
        <v>57</v>
      </c>
      <c r="Z74" s="30" t="s">
        <v>57</v>
      </c>
      <c r="AA74" s="30" t="s">
        <v>89</v>
      </c>
      <c r="AB74" s="30" t="s">
        <v>57</v>
      </c>
      <c r="AC74" s="27"/>
      <c r="AD74" s="31" t="s">
        <v>56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4741</v>
      </c>
      <c r="C75" s="25" t="s">
        <v>4742</v>
      </c>
      <c r="D75" s="23" t="s">
        <v>4602</v>
      </c>
      <c r="E75" s="42">
        <v>46128</v>
      </c>
      <c r="F75" s="26" t="s">
        <v>55</v>
      </c>
      <c r="G75" s="44" t="s">
        <v>57</v>
      </c>
      <c r="H75" s="26" t="s">
        <v>57</v>
      </c>
      <c r="I75" s="44" t="s">
        <v>89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42">
        <v>46196</v>
      </c>
      <c r="O75" s="26" t="s">
        <v>55</v>
      </c>
      <c r="P75" s="44" t="s">
        <v>57</v>
      </c>
      <c r="Q75" s="26" t="s">
        <v>57</v>
      </c>
      <c r="R75" s="44" t="s">
        <v>89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70">
        <v>46248</v>
      </c>
      <c r="X75" s="30" t="s">
        <v>55</v>
      </c>
      <c r="Y75" s="30" t="s">
        <v>57</v>
      </c>
      <c r="Z75" s="30" t="s">
        <v>57</v>
      </c>
      <c r="AA75" s="30" t="s">
        <v>89</v>
      </c>
      <c r="AB75" s="30" t="s">
        <v>57</v>
      </c>
      <c r="AC75" s="27"/>
      <c r="AD75" s="31" t="s">
        <v>56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4743</v>
      </c>
      <c r="C76" s="41" t="s">
        <v>4744</v>
      </c>
      <c r="D76" s="39" t="s">
        <v>4602</v>
      </c>
      <c r="E76" s="42">
        <v>46128</v>
      </c>
      <c r="F76" s="26" t="s">
        <v>55</v>
      </c>
      <c r="G76" s="44" t="s">
        <v>57</v>
      </c>
      <c r="H76" s="26" t="s">
        <v>57</v>
      </c>
      <c r="I76" s="44" t="s">
        <v>89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42">
        <v>46196</v>
      </c>
      <c r="O76" s="26" t="s">
        <v>55</v>
      </c>
      <c r="P76" s="44" t="s">
        <v>57</v>
      </c>
      <c r="Q76" s="26" t="s">
        <v>57</v>
      </c>
      <c r="R76" s="44" t="s">
        <v>89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70">
        <v>46248</v>
      </c>
      <c r="X76" s="30" t="s">
        <v>55</v>
      </c>
      <c r="Y76" s="30" t="s">
        <v>57</v>
      </c>
      <c r="Z76" s="30" t="s">
        <v>57</v>
      </c>
      <c r="AA76" s="30" t="s">
        <v>89</v>
      </c>
      <c r="AB76" s="30" t="s">
        <v>57</v>
      </c>
      <c r="AC76" s="27"/>
      <c r="AD76" s="31" t="s">
        <v>56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4745</v>
      </c>
      <c r="C77" s="25" t="s">
        <v>4746</v>
      </c>
      <c r="D77" s="23" t="s">
        <v>4602</v>
      </c>
      <c r="E77" s="42">
        <v>46128</v>
      </c>
      <c r="F77" s="26" t="s">
        <v>55</v>
      </c>
      <c r="G77" s="44" t="s">
        <v>57</v>
      </c>
      <c r="H77" s="26" t="s">
        <v>57</v>
      </c>
      <c r="I77" s="44" t="s">
        <v>89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42">
        <v>46196</v>
      </c>
      <c r="O77" s="26" t="s">
        <v>55</v>
      </c>
      <c r="P77" s="44" t="s">
        <v>57</v>
      </c>
      <c r="Q77" s="26" t="s">
        <v>57</v>
      </c>
      <c r="R77" s="44" t="s">
        <v>89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70">
        <v>46248</v>
      </c>
      <c r="X77" s="30" t="s">
        <v>55</v>
      </c>
      <c r="Y77" s="30" t="s">
        <v>57</v>
      </c>
      <c r="Z77" s="30" t="s">
        <v>57</v>
      </c>
      <c r="AA77" s="30" t="s">
        <v>89</v>
      </c>
      <c r="AB77" s="30" t="s">
        <v>57</v>
      </c>
      <c r="AC77" s="27"/>
      <c r="AD77" s="31" t="s">
        <v>56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4747</v>
      </c>
      <c r="C78" s="41" t="s">
        <v>4748</v>
      </c>
      <c r="D78" s="39" t="s">
        <v>4602</v>
      </c>
      <c r="E78" s="42">
        <v>46128</v>
      </c>
      <c r="F78" s="26" t="s">
        <v>55</v>
      </c>
      <c r="G78" s="44" t="s">
        <v>57</v>
      </c>
      <c r="H78" s="26" t="s">
        <v>57</v>
      </c>
      <c r="I78" s="44" t="s">
        <v>89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42">
        <v>46196</v>
      </c>
      <c r="O78" s="26" t="s">
        <v>55</v>
      </c>
      <c r="P78" s="44" t="s">
        <v>57</v>
      </c>
      <c r="Q78" s="26" t="s">
        <v>57</v>
      </c>
      <c r="R78" s="44" t="s">
        <v>89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70">
        <v>46248</v>
      </c>
      <c r="X78" s="30" t="s">
        <v>55</v>
      </c>
      <c r="Y78" s="30" t="s">
        <v>57</v>
      </c>
      <c r="Z78" s="30" t="s">
        <v>57</v>
      </c>
      <c r="AA78" s="30" t="s">
        <v>89</v>
      </c>
      <c r="AB78" s="30" t="s">
        <v>57</v>
      </c>
      <c r="AC78" s="27"/>
      <c r="AD78" s="31" t="s">
        <v>56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4749</v>
      </c>
      <c r="C79" s="25" t="s">
        <v>4750</v>
      </c>
      <c r="D79" s="23" t="s">
        <v>4602</v>
      </c>
      <c r="E79" s="42">
        <v>46128</v>
      </c>
      <c r="F79" s="26" t="s">
        <v>55</v>
      </c>
      <c r="G79" s="44" t="s">
        <v>57</v>
      </c>
      <c r="H79" s="26" t="s">
        <v>57</v>
      </c>
      <c r="I79" s="44" t="s">
        <v>89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42">
        <v>46196</v>
      </c>
      <c r="O79" s="26" t="s">
        <v>55</v>
      </c>
      <c r="P79" s="44" t="s">
        <v>57</v>
      </c>
      <c r="Q79" s="26" t="s">
        <v>57</v>
      </c>
      <c r="R79" s="44" t="s">
        <v>89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70">
        <v>46248</v>
      </c>
      <c r="X79" s="30" t="s">
        <v>55</v>
      </c>
      <c r="Y79" s="30" t="s">
        <v>57</v>
      </c>
      <c r="Z79" s="30" t="s">
        <v>57</v>
      </c>
      <c r="AA79" s="30" t="s">
        <v>89</v>
      </c>
      <c r="AB79" s="30" t="s">
        <v>57</v>
      </c>
      <c r="AC79" s="27"/>
      <c r="AD79" s="31" t="s">
        <v>56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4751</v>
      </c>
      <c r="C80" s="41" t="s">
        <v>4752</v>
      </c>
      <c r="D80" s="39" t="s">
        <v>4602</v>
      </c>
      <c r="E80" s="42">
        <v>46128</v>
      </c>
      <c r="F80" s="26" t="s">
        <v>55</v>
      </c>
      <c r="G80" s="44" t="s">
        <v>57</v>
      </c>
      <c r="H80" s="26" t="s">
        <v>57</v>
      </c>
      <c r="I80" s="44" t="s">
        <v>89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42">
        <v>46196</v>
      </c>
      <c r="O80" s="26" t="s">
        <v>55</v>
      </c>
      <c r="P80" s="44" t="s">
        <v>57</v>
      </c>
      <c r="Q80" s="26" t="s">
        <v>57</v>
      </c>
      <c r="R80" s="44" t="s">
        <v>89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70">
        <v>46248</v>
      </c>
      <c r="X80" s="30" t="s">
        <v>55</v>
      </c>
      <c r="Y80" s="30" t="s">
        <v>57</v>
      </c>
      <c r="Z80" s="30" t="s">
        <v>57</v>
      </c>
      <c r="AA80" s="30" t="s">
        <v>89</v>
      </c>
      <c r="AB80" s="30" t="s">
        <v>57</v>
      </c>
      <c r="AC80" s="27"/>
      <c r="AD80" s="31" t="s">
        <v>56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4753</v>
      </c>
      <c r="C81" s="25" t="s">
        <v>4754</v>
      </c>
      <c r="D81" s="23" t="s">
        <v>4602</v>
      </c>
      <c r="E81" s="42">
        <v>46128</v>
      </c>
      <c r="F81" s="26" t="s">
        <v>55</v>
      </c>
      <c r="G81" s="44" t="s">
        <v>57</v>
      </c>
      <c r="H81" s="26" t="s">
        <v>57</v>
      </c>
      <c r="I81" s="44" t="s">
        <v>89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42">
        <v>46196</v>
      </c>
      <c r="O81" s="26" t="s">
        <v>55</v>
      </c>
      <c r="P81" s="44" t="s">
        <v>57</v>
      </c>
      <c r="Q81" s="26" t="s">
        <v>57</v>
      </c>
      <c r="R81" s="44" t="s">
        <v>89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70">
        <v>46248</v>
      </c>
      <c r="X81" s="30" t="s">
        <v>55</v>
      </c>
      <c r="Y81" s="30" t="s">
        <v>57</v>
      </c>
      <c r="Z81" s="30" t="s">
        <v>57</v>
      </c>
      <c r="AA81" s="30" t="s">
        <v>89</v>
      </c>
      <c r="AB81" s="30" t="s">
        <v>57</v>
      </c>
      <c r="AC81" s="27"/>
      <c r="AD81" s="31" t="s">
        <v>56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4755</v>
      </c>
      <c r="C82" s="41" t="s">
        <v>4756</v>
      </c>
      <c r="D82" s="39" t="s">
        <v>4602</v>
      </c>
      <c r="E82" s="42">
        <v>46128</v>
      </c>
      <c r="F82" s="26" t="s">
        <v>55</v>
      </c>
      <c r="G82" s="44" t="s">
        <v>57</v>
      </c>
      <c r="H82" s="26" t="s">
        <v>57</v>
      </c>
      <c r="I82" s="44" t="s">
        <v>89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42">
        <v>46196</v>
      </c>
      <c r="O82" s="26" t="s">
        <v>55</v>
      </c>
      <c r="P82" s="44" t="s">
        <v>57</v>
      </c>
      <c r="Q82" s="26" t="s">
        <v>57</v>
      </c>
      <c r="R82" s="44" t="s">
        <v>89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70">
        <v>46248</v>
      </c>
      <c r="X82" s="30" t="s">
        <v>55</v>
      </c>
      <c r="Y82" s="30" t="s">
        <v>57</v>
      </c>
      <c r="Z82" s="30" t="s">
        <v>57</v>
      </c>
      <c r="AA82" s="30" t="s">
        <v>89</v>
      </c>
      <c r="AB82" s="30" t="s">
        <v>57</v>
      </c>
      <c r="AC82" s="27"/>
      <c r="AD82" s="31" t="s">
        <v>56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4757</v>
      </c>
      <c r="C83" s="25" t="s">
        <v>4758</v>
      </c>
      <c r="D83" s="23" t="s">
        <v>4602</v>
      </c>
      <c r="E83" s="42">
        <v>46128</v>
      </c>
      <c r="F83" s="26" t="s">
        <v>55</v>
      </c>
      <c r="G83" s="44" t="s">
        <v>57</v>
      </c>
      <c r="H83" s="26" t="s">
        <v>57</v>
      </c>
      <c r="I83" s="44" t="s">
        <v>89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42">
        <v>46196</v>
      </c>
      <c r="O83" s="26" t="s">
        <v>55</v>
      </c>
      <c r="P83" s="44" t="s">
        <v>57</v>
      </c>
      <c r="Q83" s="26" t="s">
        <v>57</v>
      </c>
      <c r="R83" s="44" t="s">
        <v>89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70">
        <v>46248</v>
      </c>
      <c r="X83" s="30" t="s">
        <v>55</v>
      </c>
      <c r="Y83" s="30" t="s">
        <v>57</v>
      </c>
      <c r="Z83" s="30" t="s">
        <v>57</v>
      </c>
      <c r="AA83" s="30" t="s">
        <v>89</v>
      </c>
      <c r="AB83" s="30" t="s">
        <v>57</v>
      </c>
      <c r="AC83" s="27"/>
      <c r="AD83" s="31" t="s">
        <v>56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4759</v>
      </c>
      <c r="C84" s="41" t="s">
        <v>4760</v>
      </c>
      <c r="D84" s="39" t="s">
        <v>4602</v>
      </c>
      <c r="E84" s="42">
        <v>46128</v>
      </c>
      <c r="F84" s="26" t="s">
        <v>55</v>
      </c>
      <c r="G84" s="44" t="s">
        <v>57</v>
      </c>
      <c r="H84" s="26" t="s">
        <v>57</v>
      </c>
      <c r="I84" s="44" t="s">
        <v>89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42">
        <v>46196</v>
      </c>
      <c r="O84" s="26" t="s">
        <v>55</v>
      </c>
      <c r="P84" s="44" t="s">
        <v>57</v>
      </c>
      <c r="Q84" s="26" t="s">
        <v>57</v>
      </c>
      <c r="R84" s="44" t="s">
        <v>89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70">
        <v>46248</v>
      </c>
      <c r="X84" s="30" t="s">
        <v>55</v>
      </c>
      <c r="Y84" s="30" t="s">
        <v>57</v>
      </c>
      <c r="Z84" s="30" t="s">
        <v>57</v>
      </c>
      <c r="AA84" s="30" t="s">
        <v>89</v>
      </c>
      <c r="AB84" s="30" t="s">
        <v>57</v>
      </c>
      <c r="AC84" s="27"/>
      <c r="AD84" s="31" t="s">
        <v>56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4761</v>
      </c>
      <c r="C85" s="25" t="s">
        <v>4762</v>
      </c>
      <c r="D85" s="23" t="s">
        <v>4602</v>
      </c>
      <c r="E85" s="42">
        <v>46128</v>
      </c>
      <c r="F85" s="26" t="s">
        <v>55</v>
      </c>
      <c r="G85" s="44" t="s">
        <v>57</v>
      </c>
      <c r="H85" s="26" t="s">
        <v>57</v>
      </c>
      <c r="I85" s="44" t="s">
        <v>89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42">
        <v>46196</v>
      </c>
      <c r="O85" s="26" t="s">
        <v>55</v>
      </c>
      <c r="P85" s="44" t="s">
        <v>57</v>
      </c>
      <c r="Q85" s="26" t="s">
        <v>57</v>
      </c>
      <c r="R85" s="44" t="s">
        <v>89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70">
        <v>46248</v>
      </c>
      <c r="X85" s="30" t="s">
        <v>55</v>
      </c>
      <c r="Y85" s="30" t="s">
        <v>57</v>
      </c>
      <c r="Z85" s="30" t="s">
        <v>57</v>
      </c>
      <c r="AA85" s="30" t="s">
        <v>89</v>
      </c>
      <c r="AB85" s="30" t="s">
        <v>57</v>
      </c>
      <c r="AC85" s="27"/>
      <c r="AD85" s="31" t="s">
        <v>56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4763</v>
      </c>
      <c r="C86" s="41" t="s">
        <v>4764</v>
      </c>
      <c r="D86" s="39" t="s">
        <v>4602</v>
      </c>
      <c r="E86" s="42">
        <v>46128</v>
      </c>
      <c r="F86" s="26" t="s">
        <v>55</v>
      </c>
      <c r="G86" s="44" t="s">
        <v>57</v>
      </c>
      <c r="H86" s="26" t="s">
        <v>57</v>
      </c>
      <c r="I86" s="44" t="s">
        <v>89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42">
        <v>46196</v>
      </c>
      <c r="O86" s="26" t="s">
        <v>55</v>
      </c>
      <c r="P86" s="44" t="s">
        <v>57</v>
      </c>
      <c r="Q86" s="26" t="s">
        <v>57</v>
      </c>
      <c r="R86" s="44" t="s">
        <v>89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70">
        <v>46248</v>
      </c>
      <c r="X86" s="30" t="s">
        <v>55</v>
      </c>
      <c r="Y86" s="30" t="s">
        <v>57</v>
      </c>
      <c r="Z86" s="30" t="s">
        <v>57</v>
      </c>
      <c r="AA86" s="30" t="s">
        <v>89</v>
      </c>
      <c r="AB86" s="30" t="s">
        <v>57</v>
      </c>
      <c r="AC86" s="27"/>
      <c r="AD86" s="31" t="s">
        <v>56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4765</v>
      </c>
      <c r="C87" s="25" t="s">
        <v>4766</v>
      </c>
      <c r="D87" s="23" t="s">
        <v>4602</v>
      </c>
      <c r="E87" s="42">
        <v>46128</v>
      </c>
      <c r="F87" s="26" t="s">
        <v>55</v>
      </c>
      <c r="G87" s="44" t="s">
        <v>57</v>
      </c>
      <c r="H87" s="26" t="s">
        <v>57</v>
      </c>
      <c r="I87" s="44" t="s">
        <v>89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42">
        <v>46196</v>
      </c>
      <c r="O87" s="26" t="s">
        <v>55</v>
      </c>
      <c r="P87" s="44" t="s">
        <v>57</v>
      </c>
      <c r="Q87" s="26" t="s">
        <v>57</v>
      </c>
      <c r="R87" s="44" t="s">
        <v>89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70">
        <v>46248</v>
      </c>
      <c r="X87" s="30" t="s">
        <v>55</v>
      </c>
      <c r="Y87" s="30" t="s">
        <v>57</v>
      </c>
      <c r="Z87" s="30" t="s">
        <v>57</v>
      </c>
      <c r="AA87" s="30" t="s">
        <v>89</v>
      </c>
      <c r="AB87" s="30" t="s">
        <v>57</v>
      </c>
      <c r="AC87" s="27"/>
      <c r="AD87" s="31" t="s">
        <v>56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4767</v>
      </c>
      <c r="C88" s="41" t="s">
        <v>4768</v>
      </c>
      <c r="D88" s="39" t="s">
        <v>4602</v>
      </c>
      <c r="E88" s="42">
        <v>46128</v>
      </c>
      <c r="F88" s="26" t="s">
        <v>55</v>
      </c>
      <c r="G88" s="44" t="s">
        <v>57</v>
      </c>
      <c r="H88" s="26" t="s">
        <v>57</v>
      </c>
      <c r="I88" s="44" t="s">
        <v>89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42">
        <v>46196</v>
      </c>
      <c r="O88" s="26" t="s">
        <v>55</v>
      </c>
      <c r="P88" s="44" t="s">
        <v>57</v>
      </c>
      <c r="Q88" s="26" t="s">
        <v>57</v>
      </c>
      <c r="R88" s="44" t="s">
        <v>89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70">
        <v>46248</v>
      </c>
      <c r="X88" s="30" t="s">
        <v>55</v>
      </c>
      <c r="Y88" s="30" t="s">
        <v>57</v>
      </c>
      <c r="Z88" s="30" t="s">
        <v>57</v>
      </c>
      <c r="AA88" s="30" t="s">
        <v>89</v>
      </c>
      <c r="AB88" s="30" t="s">
        <v>57</v>
      </c>
      <c r="AC88" s="27"/>
      <c r="AD88" s="31" t="s">
        <v>56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4769</v>
      </c>
      <c r="C89" s="25" t="s">
        <v>4770</v>
      </c>
      <c r="D89" s="23" t="s">
        <v>4602</v>
      </c>
      <c r="E89" s="42">
        <v>46128</v>
      </c>
      <c r="F89" s="26" t="s">
        <v>55</v>
      </c>
      <c r="G89" s="44" t="s">
        <v>57</v>
      </c>
      <c r="H89" s="26" t="s">
        <v>57</v>
      </c>
      <c r="I89" s="44" t="s">
        <v>89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42">
        <v>46196</v>
      </c>
      <c r="O89" s="26" t="s">
        <v>55</v>
      </c>
      <c r="P89" s="44" t="s">
        <v>57</v>
      </c>
      <c r="Q89" s="26" t="s">
        <v>57</v>
      </c>
      <c r="R89" s="44" t="s">
        <v>89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70">
        <v>46248</v>
      </c>
      <c r="X89" s="30" t="s">
        <v>55</v>
      </c>
      <c r="Y89" s="30" t="s">
        <v>57</v>
      </c>
      <c r="Z89" s="30" t="s">
        <v>57</v>
      </c>
      <c r="AA89" s="30" t="s">
        <v>89</v>
      </c>
      <c r="AB89" s="30" t="s">
        <v>57</v>
      </c>
      <c r="AC89" s="27"/>
      <c r="AD89" s="31" t="s">
        <v>56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4771</v>
      </c>
      <c r="C90" s="41" t="s">
        <v>4772</v>
      </c>
      <c r="D90" s="39" t="s">
        <v>4602</v>
      </c>
      <c r="E90" s="42">
        <v>46128</v>
      </c>
      <c r="F90" s="26" t="s">
        <v>55</v>
      </c>
      <c r="G90" s="44" t="s">
        <v>832</v>
      </c>
      <c r="H90" s="26" t="s">
        <v>57</v>
      </c>
      <c r="I90" s="44" t="s">
        <v>832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2">
        <v>46196</v>
      </c>
      <c r="O90" s="26" t="s">
        <v>55</v>
      </c>
      <c r="P90" s="44" t="s">
        <v>832</v>
      </c>
      <c r="Q90" s="26" t="s">
        <v>57</v>
      </c>
      <c r="R90" s="44" t="s">
        <v>832</v>
      </c>
      <c r="S90" s="26" t="s">
        <v>56</v>
      </c>
      <c r="T90" s="27"/>
      <c r="U90" s="28" t="s">
        <v>57</v>
      </c>
      <c r="V90" s="29" t="str">
        <f t="shared" si="6"/>
        <v>✓ OK</v>
      </c>
      <c r="W90" s="70">
        <v>46248</v>
      </c>
      <c r="X90" s="30" t="s">
        <v>55</v>
      </c>
      <c r="Y90" s="30" t="s">
        <v>832</v>
      </c>
      <c r="Z90" s="30" t="s">
        <v>57</v>
      </c>
      <c r="AA90" s="30" t="s">
        <v>832</v>
      </c>
      <c r="AB90" s="30" t="s">
        <v>56</v>
      </c>
      <c r="AC90" s="27"/>
      <c r="AD90" s="31" t="s">
        <v>57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4773</v>
      </c>
      <c r="C91" s="25" t="s">
        <v>4774</v>
      </c>
      <c r="D91" s="23" t="s">
        <v>4602</v>
      </c>
      <c r="E91" s="42">
        <v>46128</v>
      </c>
      <c r="F91" s="26" t="s">
        <v>55</v>
      </c>
      <c r="G91" s="44" t="s">
        <v>832</v>
      </c>
      <c r="H91" s="26" t="s">
        <v>57</v>
      </c>
      <c r="I91" s="44" t="s">
        <v>832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46196</v>
      </c>
      <c r="O91" s="26" t="s">
        <v>55</v>
      </c>
      <c r="P91" s="44" t="s">
        <v>832</v>
      </c>
      <c r="Q91" s="26" t="s">
        <v>57</v>
      </c>
      <c r="R91" s="44" t="s">
        <v>832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832</v>
      </c>
      <c r="Z91" s="30" t="s">
        <v>57</v>
      </c>
      <c r="AA91" s="30" t="s">
        <v>832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4775</v>
      </c>
      <c r="C92" s="41" t="s">
        <v>4776</v>
      </c>
      <c r="D92" s="39" t="s">
        <v>4602</v>
      </c>
      <c r="E92" s="42">
        <v>46128</v>
      </c>
      <c r="F92" s="26" t="s">
        <v>55</v>
      </c>
      <c r="G92" s="44" t="s">
        <v>832</v>
      </c>
      <c r="H92" s="26" t="s">
        <v>57</v>
      </c>
      <c r="I92" s="44" t="s">
        <v>832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2">
        <v>46196</v>
      </c>
      <c r="O92" s="26" t="s">
        <v>55</v>
      </c>
      <c r="P92" s="44" t="s">
        <v>832</v>
      </c>
      <c r="Q92" s="26" t="s">
        <v>57</v>
      </c>
      <c r="R92" s="44" t="s">
        <v>832</v>
      </c>
      <c r="S92" s="26" t="s">
        <v>56</v>
      </c>
      <c r="T92" s="27"/>
      <c r="U92" s="28" t="s">
        <v>57</v>
      </c>
      <c r="V92" s="29" t="str">
        <f t="shared" si="6"/>
        <v>✓ OK</v>
      </c>
      <c r="W92" s="70">
        <v>46248</v>
      </c>
      <c r="X92" s="30" t="s">
        <v>55</v>
      </c>
      <c r="Y92" s="30" t="s">
        <v>832</v>
      </c>
      <c r="Z92" s="30" t="s">
        <v>57</v>
      </c>
      <c r="AA92" s="30" t="s">
        <v>832</v>
      </c>
      <c r="AB92" s="30" t="s">
        <v>56</v>
      </c>
      <c r="AC92" s="27"/>
      <c r="AD92" s="31" t="s">
        <v>57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4777</v>
      </c>
      <c r="C93" s="25" t="s">
        <v>4778</v>
      </c>
      <c r="D93" s="23" t="s">
        <v>4602</v>
      </c>
      <c r="E93" s="42">
        <v>46128</v>
      </c>
      <c r="F93" s="26" t="s">
        <v>55</v>
      </c>
      <c r="G93" s="44" t="s">
        <v>832</v>
      </c>
      <c r="H93" s="26" t="s">
        <v>57</v>
      </c>
      <c r="I93" s="44" t="s">
        <v>832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46196</v>
      </c>
      <c r="O93" s="26" t="s">
        <v>55</v>
      </c>
      <c r="P93" s="44" t="s">
        <v>832</v>
      </c>
      <c r="Q93" s="26" t="s">
        <v>57</v>
      </c>
      <c r="R93" s="44" t="s">
        <v>832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832</v>
      </c>
      <c r="Z93" s="30" t="s">
        <v>57</v>
      </c>
      <c r="AA93" s="30" t="s">
        <v>832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4779</v>
      </c>
      <c r="C94" s="41" t="s">
        <v>4780</v>
      </c>
      <c r="D94" s="39" t="s">
        <v>4602</v>
      </c>
      <c r="E94" s="42">
        <v>46128</v>
      </c>
      <c r="F94" s="26" t="s">
        <v>55</v>
      </c>
      <c r="G94" s="44" t="s">
        <v>832</v>
      </c>
      <c r="H94" s="26" t="s">
        <v>57</v>
      </c>
      <c r="I94" s="44" t="s">
        <v>832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46196</v>
      </c>
      <c r="O94" s="26" t="s">
        <v>55</v>
      </c>
      <c r="P94" s="44" t="s">
        <v>832</v>
      </c>
      <c r="Q94" s="26" t="s">
        <v>57</v>
      </c>
      <c r="R94" s="44" t="s">
        <v>832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832</v>
      </c>
      <c r="Z94" s="30" t="s">
        <v>57</v>
      </c>
      <c r="AA94" s="30" t="s">
        <v>832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4781</v>
      </c>
      <c r="C95" s="25" t="s">
        <v>4782</v>
      </c>
      <c r="D95" s="23" t="s">
        <v>4602</v>
      </c>
      <c r="E95" s="42">
        <v>46128</v>
      </c>
      <c r="F95" s="26" t="s">
        <v>55</v>
      </c>
      <c r="G95" s="44" t="s">
        <v>832</v>
      </c>
      <c r="H95" s="26" t="s">
        <v>57</v>
      </c>
      <c r="I95" s="44" t="s">
        <v>832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46196</v>
      </c>
      <c r="O95" s="26" t="s">
        <v>55</v>
      </c>
      <c r="P95" s="44" t="s">
        <v>832</v>
      </c>
      <c r="Q95" s="26" t="s">
        <v>57</v>
      </c>
      <c r="R95" s="44" t="s">
        <v>832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832</v>
      </c>
      <c r="Z95" s="30" t="s">
        <v>57</v>
      </c>
      <c r="AA95" s="30" t="s">
        <v>832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4783</v>
      </c>
      <c r="C96" s="41" t="s">
        <v>4784</v>
      </c>
      <c r="D96" s="39" t="s">
        <v>4602</v>
      </c>
      <c r="E96" s="42">
        <v>46128</v>
      </c>
      <c r="F96" s="26" t="s">
        <v>55</v>
      </c>
      <c r="G96" s="44" t="s">
        <v>832</v>
      </c>
      <c r="H96" s="26" t="s">
        <v>57</v>
      </c>
      <c r="I96" s="44" t="s">
        <v>832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2">
        <v>46196</v>
      </c>
      <c r="O96" s="26" t="s">
        <v>55</v>
      </c>
      <c r="P96" s="44" t="s">
        <v>832</v>
      </c>
      <c r="Q96" s="26" t="s">
        <v>57</v>
      </c>
      <c r="R96" s="44" t="s">
        <v>832</v>
      </c>
      <c r="S96" s="26" t="s">
        <v>56</v>
      </c>
      <c r="T96" s="27"/>
      <c r="U96" s="28" t="s">
        <v>57</v>
      </c>
      <c r="V96" s="29" t="str">
        <f t="shared" si="6"/>
        <v>✓ OK</v>
      </c>
      <c r="W96" s="70">
        <v>46248</v>
      </c>
      <c r="X96" s="30" t="s">
        <v>55</v>
      </c>
      <c r="Y96" s="30" t="s">
        <v>832</v>
      </c>
      <c r="Z96" s="30" t="s">
        <v>57</v>
      </c>
      <c r="AA96" s="30" t="s">
        <v>832</v>
      </c>
      <c r="AB96" s="30" t="s">
        <v>56</v>
      </c>
      <c r="AC96" s="27"/>
      <c r="AD96" s="31" t="s">
        <v>57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4785</v>
      </c>
      <c r="C97" s="25" t="s">
        <v>4786</v>
      </c>
      <c r="D97" s="23" t="s">
        <v>4602</v>
      </c>
      <c r="E97" s="42">
        <v>46128</v>
      </c>
      <c r="F97" s="26" t="s">
        <v>55</v>
      </c>
      <c r="G97" s="44" t="s">
        <v>832</v>
      </c>
      <c r="H97" s="26" t="s">
        <v>57</v>
      </c>
      <c r="I97" s="44" t="s">
        <v>832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2">
        <v>46196</v>
      </c>
      <c r="O97" s="26" t="s">
        <v>55</v>
      </c>
      <c r="P97" s="44" t="s">
        <v>832</v>
      </c>
      <c r="Q97" s="26" t="s">
        <v>57</v>
      </c>
      <c r="R97" s="44" t="s">
        <v>832</v>
      </c>
      <c r="S97" s="26" t="s">
        <v>56</v>
      </c>
      <c r="T97" s="27"/>
      <c r="U97" s="28" t="s">
        <v>57</v>
      </c>
      <c r="V97" s="29" t="str">
        <f t="shared" si="6"/>
        <v>✓ OK</v>
      </c>
      <c r="W97" s="70">
        <v>46248</v>
      </c>
      <c r="X97" s="30" t="s">
        <v>55</v>
      </c>
      <c r="Y97" s="30" t="s">
        <v>832</v>
      </c>
      <c r="Z97" s="30" t="s">
        <v>57</v>
      </c>
      <c r="AA97" s="30" t="s">
        <v>832</v>
      </c>
      <c r="AB97" s="30" t="s">
        <v>56</v>
      </c>
      <c r="AC97" s="27"/>
      <c r="AD97" s="31" t="s">
        <v>57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4787</v>
      </c>
      <c r="C98" s="41" t="s">
        <v>4788</v>
      </c>
      <c r="D98" s="39" t="s">
        <v>4602</v>
      </c>
      <c r="E98" s="42">
        <v>46128</v>
      </c>
      <c r="F98" s="26" t="s">
        <v>55</v>
      </c>
      <c r="G98" s="44" t="s">
        <v>56</v>
      </c>
      <c r="H98" s="26" t="s">
        <v>57</v>
      </c>
      <c r="I98" s="44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2">
        <v>46196</v>
      </c>
      <c r="O98" s="26" t="s">
        <v>55</v>
      </c>
      <c r="P98" s="44" t="s">
        <v>56</v>
      </c>
      <c r="Q98" s="26" t="s">
        <v>57</v>
      </c>
      <c r="R98" s="44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4789</v>
      </c>
      <c r="C99" s="25" t="s">
        <v>4790</v>
      </c>
      <c r="D99" s="23" t="s">
        <v>4602</v>
      </c>
      <c r="E99" s="42">
        <v>46128</v>
      </c>
      <c r="F99" s="26" t="s">
        <v>55</v>
      </c>
      <c r="G99" s="44" t="s">
        <v>832</v>
      </c>
      <c r="H99" s="26" t="s">
        <v>57</v>
      </c>
      <c r="I99" s="44" t="s">
        <v>832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2">
        <v>46196</v>
      </c>
      <c r="O99" s="26" t="s">
        <v>55</v>
      </c>
      <c r="P99" s="44" t="s">
        <v>832</v>
      </c>
      <c r="Q99" s="26" t="s">
        <v>57</v>
      </c>
      <c r="R99" s="44" t="s">
        <v>832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832</v>
      </c>
      <c r="Z99" s="30" t="s">
        <v>57</v>
      </c>
      <c r="AA99" s="30" t="s">
        <v>832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4791</v>
      </c>
      <c r="C100" s="41" t="s">
        <v>4792</v>
      </c>
      <c r="D100" s="39" t="s">
        <v>4602</v>
      </c>
      <c r="E100" s="42">
        <v>46128</v>
      </c>
      <c r="F100" s="26" t="s">
        <v>55</v>
      </c>
      <c r="G100" s="44" t="s">
        <v>56</v>
      </c>
      <c r="H100" s="26" t="s">
        <v>57</v>
      </c>
      <c r="I100" s="44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2">
        <v>46196</v>
      </c>
      <c r="O100" s="26" t="s">
        <v>55</v>
      </c>
      <c r="P100" s="44" t="s">
        <v>56</v>
      </c>
      <c r="Q100" s="26" t="s">
        <v>57</v>
      </c>
      <c r="R100" s="44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4793</v>
      </c>
      <c r="C101" s="25" t="s">
        <v>4794</v>
      </c>
      <c r="D101" s="23" t="s">
        <v>4602</v>
      </c>
      <c r="E101" s="42">
        <v>46128</v>
      </c>
      <c r="F101" s="26" t="s">
        <v>55</v>
      </c>
      <c r="G101" s="44" t="s">
        <v>832</v>
      </c>
      <c r="H101" s="26" t="s">
        <v>57</v>
      </c>
      <c r="I101" s="44" t="s">
        <v>832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2">
        <v>46196</v>
      </c>
      <c r="O101" s="26" t="s">
        <v>55</v>
      </c>
      <c r="P101" s="44" t="s">
        <v>832</v>
      </c>
      <c r="Q101" s="26" t="s">
        <v>57</v>
      </c>
      <c r="R101" s="44" t="s">
        <v>832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832</v>
      </c>
      <c r="Z101" s="30" t="s">
        <v>57</v>
      </c>
      <c r="AA101" s="30" t="s">
        <v>832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4795</v>
      </c>
      <c r="C102" s="41" t="s">
        <v>4796</v>
      </c>
      <c r="D102" s="39" t="s">
        <v>4602</v>
      </c>
      <c r="E102" s="42">
        <v>46128</v>
      </c>
      <c r="F102" s="26" t="s">
        <v>55</v>
      </c>
      <c r="G102" s="44" t="s">
        <v>832</v>
      </c>
      <c r="H102" s="26" t="s">
        <v>57</v>
      </c>
      <c r="I102" s="44" t="s">
        <v>832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2">
        <v>46196</v>
      </c>
      <c r="O102" s="26" t="s">
        <v>55</v>
      </c>
      <c r="P102" s="44" t="s">
        <v>832</v>
      </c>
      <c r="Q102" s="26" t="s">
        <v>57</v>
      </c>
      <c r="R102" s="44" t="s">
        <v>832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832</v>
      </c>
      <c r="Z102" s="30" t="s">
        <v>57</v>
      </c>
      <c r="AA102" s="30" t="s">
        <v>832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4797</v>
      </c>
      <c r="C103" s="25" t="s">
        <v>4798</v>
      </c>
      <c r="D103" s="23" t="s">
        <v>4602</v>
      </c>
      <c r="E103" s="42">
        <v>46128</v>
      </c>
      <c r="F103" s="26" t="s">
        <v>55</v>
      </c>
      <c r="G103" s="44" t="s">
        <v>832</v>
      </c>
      <c r="H103" s="26" t="s">
        <v>57</v>
      </c>
      <c r="I103" s="44" t="s">
        <v>832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2">
        <v>46196</v>
      </c>
      <c r="O103" s="26" t="s">
        <v>55</v>
      </c>
      <c r="P103" s="44" t="s">
        <v>832</v>
      </c>
      <c r="Q103" s="26" t="s">
        <v>57</v>
      </c>
      <c r="R103" s="44" t="s">
        <v>832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832</v>
      </c>
      <c r="Z103" s="30" t="s">
        <v>57</v>
      </c>
      <c r="AA103" s="30" t="s">
        <v>832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4799</v>
      </c>
      <c r="C104" s="41" t="s">
        <v>4800</v>
      </c>
      <c r="D104" s="39" t="s">
        <v>4602</v>
      </c>
      <c r="E104" s="42">
        <v>46128</v>
      </c>
      <c r="F104" s="26" t="s">
        <v>55</v>
      </c>
      <c r="G104" s="44" t="s">
        <v>832</v>
      </c>
      <c r="H104" s="26" t="s">
        <v>57</v>
      </c>
      <c r="I104" s="44" t="s">
        <v>832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2">
        <v>46196</v>
      </c>
      <c r="O104" s="26" t="s">
        <v>55</v>
      </c>
      <c r="P104" s="44" t="s">
        <v>832</v>
      </c>
      <c r="Q104" s="26" t="s">
        <v>57</v>
      </c>
      <c r="R104" s="44" t="s">
        <v>832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832</v>
      </c>
      <c r="Z104" s="30" t="s">
        <v>57</v>
      </c>
      <c r="AA104" s="30" t="s">
        <v>832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4801</v>
      </c>
      <c r="C105" s="25" t="s">
        <v>4802</v>
      </c>
      <c r="D105" s="23" t="s">
        <v>4602</v>
      </c>
      <c r="E105" s="42">
        <v>46128</v>
      </c>
      <c r="F105" s="26" t="s">
        <v>55</v>
      </c>
      <c r="G105" s="44" t="s">
        <v>832</v>
      </c>
      <c r="H105" s="26" t="s">
        <v>57</v>
      </c>
      <c r="I105" s="44" t="s">
        <v>832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46196</v>
      </c>
      <c r="O105" s="26" t="s">
        <v>55</v>
      </c>
      <c r="P105" s="44" t="s">
        <v>832</v>
      </c>
      <c r="Q105" s="26" t="s">
        <v>57</v>
      </c>
      <c r="R105" s="44" t="s">
        <v>832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832</v>
      </c>
      <c r="Z105" s="30" t="s">
        <v>57</v>
      </c>
      <c r="AA105" s="30" t="s">
        <v>832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4803</v>
      </c>
      <c r="C106" s="41" t="s">
        <v>4804</v>
      </c>
      <c r="D106" s="39" t="s">
        <v>4602</v>
      </c>
      <c r="E106" s="42">
        <v>46128</v>
      </c>
      <c r="F106" s="26" t="s">
        <v>55</v>
      </c>
      <c r="G106" s="44" t="s">
        <v>56</v>
      </c>
      <c r="H106" s="26" t="s">
        <v>57</v>
      </c>
      <c r="I106" s="44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46196</v>
      </c>
      <c r="O106" s="26" t="s">
        <v>55</v>
      </c>
      <c r="P106" s="44" t="s">
        <v>56</v>
      </c>
      <c r="Q106" s="26" t="s">
        <v>57</v>
      </c>
      <c r="R106" s="44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4805</v>
      </c>
      <c r="C107" s="25" t="s">
        <v>4806</v>
      </c>
      <c r="D107" s="23" t="s">
        <v>4602</v>
      </c>
      <c r="E107" s="42">
        <v>46128</v>
      </c>
      <c r="F107" s="26" t="s">
        <v>55</v>
      </c>
      <c r="G107" s="44" t="s">
        <v>832</v>
      </c>
      <c r="H107" s="26" t="s">
        <v>57</v>
      </c>
      <c r="I107" s="44" t="s">
        <v>832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46196</v>
      </c>
      <c r="O107" s="26" t="s">
        <v>55</v>
      </c>
      <c r="P107" s="44" t="s">
        <v>832</v>
      </c>
      <c r="Q107" s="26" t="s">
        <v>57</v>
      </c>
      <c r="R107" s="44" t="s">
        <v>832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832</v>
      </c>
      <c r="Z107" s="30" t="s">
        <v>57</v>
      </c>
      <c r="AA107" s="30" t="s">
        <v>832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4807</v>
      </c>
      <c r="C108" s="41" t="s">
        <v>4808</v>
      </c>
      <c r="D108" s="39" t="s">
        <v>4602</v>
      </c>
      <c r="E108" s="42">
        <v>46128</v>
      </c>
      <c r="F108" s="26" t="s">
        <v>55</v>
      </c>
      <c r="G108" s="44" t="s">
        <v>832</v>
      </c>
      <c r="H108" s="26" t="s">
        <v>57</v>
      </c>
      <c r="I108" s="44" t="s">
        <v>832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46196</v>
      </c>
      <c r="O108" s="26" t="s">
        <v>55</v>
      </c>
      <c r="P108" s="44" t="s">
        <v>832</v>
      </c>
      <c r="Q108" s="26" t="s">
        <v>57</v>
      </c>
      <c r="R108" s="44" t="s">
        <v>832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832</v>
      </c>
      <c r="Z108" s="30" t="s">
        <v>57</v>
      </c>
      <c r="AA108" s="30" t="s">
        <v>832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4809</v>
      </c>
      <c r="C109" s="25" t="s">
        <v>4810</v>
      </c>
      <c r="D109" s="23" t="s">
        <v>4602</v>
      </c>
      <c r="E109" s="42">
        <v>46128</v>
      </c>
      <c r="F109" s="26" t="s">
        <v>55</v>
      </c>
      <c r="G109" s="44" t="s">
        <v>56</v>
      </c>
      <c r="H109" s="26" t="s">
        <v>57</v>
      </c>
      <c r="I109" s="44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46196</v>
      </c>
      <c r="O109" s="26" t="s">
        <v>55</v>
      </c>
      <c r="P109" s="44" t="s">
        <v>56</v>
      </c>
      <c r="Q109" s="26" t="s">
        <v>57</v>
      </c>
      <c r="R109" s="44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4811</v>
      </c>
      <c r="C110" s="41" t="s">
        <v>4812</v>
      </c>
      <c r="D110" s="39" t="s">
        <v>4602</v>
      </c>
      <c r="E110" s="42">
        <v>46128</v>
      </c>
      <c r="F110" s="26" t="s">
        <v>55</v>
      </c>
      <c r="G110" s="44" t="s">
        <v>832</v>
      </c>
      <c r="H110" s="26" t="s">
        <v>57</v>
      </c>
      <c r="I110" s="44" t="s">
        <v>832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46196</v>
      </c>
      <c r="O110" s="26" t="s">
        <v>55</v>
      </c>
      <c r="P110" s="44" t="s">
        <v>832</v>
      </c>
      <c r="Q110" s="26" t="s">
        <v>57</v>
      </c>
      <c r="R110" s="44" t="s">
        <v>832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832</v>
      </c>
      <c r="Z110" s="30" t="s">
        <v>57</v>
      </c>
      <c r="AA110" s="30" t="s">
        <v>832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4813</v>
      </c>
      <c r="C111" s="25" t="s">
        <v>4814</v>
      </c>
      <c r="D111" s="23" t="s">
        <v>4602</v>
      </c>
      <c r="E111" s="42">
        <v>46128</v>
      </c>
      <c r="F111" s="26" t="s">
        <v>55</v>
      </c>
      <c r="G111" s="44" t="s">
        <v>832</v>
      </c>
      <c r="H111" s="26" t="s">
        <v>57</v>
      </c>
      <c r="I111" s="44" t="s">
        <v>832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2">
        <v>46196</v>
      </c>
      <c r="O111" s="26" t="s">
        <v>55</v>
      </c>
      <c r="P111" s="44" t="s">
        <v>832</v>
      </c>
      <c r="Q111" s="26" t="s">
        <v>57</v>
      </c>
      <c r="R111" s="44" t="s">
        <v>832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832</v>
      </c>
      <c r="Z111" s="30" t="s">
        <v>57</v>
      </c>
      <c r="AA111" s="30" t="s">
        <v>832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4815</v>
      </c>
      <c r="C112" s="41" t="s">
        <v>4816</v>
      </c>
      <c r="D112" s="39" t="s">
        <v>4602</v>
      </c>
      <c r="E112" s="42">
        <v>46128</v>
      </c>
      <c r="F112" s="26" t="s">
        <v>55</v>
      </c>
      <c r="G112" s="44" t="s">
        <v>56</v>
      </c>
      <c r="H112" s="26" t="s">
        <v>57</v>
      </c>
      <c r="I112" s="44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2">
        <v>46196</v>
      </c>
      <c r="O112" s="26" t="s">
        <v>55</v>
      </c>
      <c r="P112" s="44" t="s">
        <v>56</v>
      </c>
      <c r="Q112" s="26" t="s">
        <v>57</v>
      </c>
      <c r="R112" s="44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4817</v>
      </c>
      <c r="C113" s="25" t="s">
        <v>4818</v>
      </c>
      <c r="D113" s="23" t="s">
        <v>4602</v>
      </c>
      <c r="E113" s="42">
        <v>46128</v>
      </c>
      <c r="F113" s="26" t="s">
        <v>55</v>
      </c>
      <c r="G113" s="44" t="s">
        <v>832</v>
      </c>
      <c r="H113" s="26" t="s">
        <v>57</v>
      </c>
      <c r="I113" s="44" t="s">
        <v>832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46196</v>
      </c>
      <c r="O113" s="26" t="s">
        <v>55</v>
      </c>
      <c r="P113" s="44" t="s">
        <v>832</v>
      </c>
      <c r="Q113" s="26" t="s">
        <v>57</v>
      </c>
      <c r="R113" s="44" t="s">
        <v>832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832</v>
      </c>
      <c r="Z113" s="30" t="s">
        <v>57</v>
      </c>
      <c r="AA113" s="30" t="s">
        <v>832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4819</v>
      </c>
      <c r="C114" s="41" t="s">
        <v>4820</v>
      </c>
      <c r="D114" s="39" t="s">
        <v>4602</v>
      </c>
      <c r="E114" s="42">
        <v>46128</v>
      </c>
      <c r="F114" s="26" t="s">
        <v>55</v>
      </c>
      <c r="G114" s="44" t="s">
        <v>832</v>
      </c>
      <c r="H114" s="26" t="s">
        <v>57</v>
      </c>
      <c r="I114" s="44" t="s">
        <v>832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2">
        <v>46196</v>
      </c>
      <c r="O114" s="26" t="s">
        <v>55</v>
      </c>
      <c r="P114" s="44" t="s">
        <v>832</v>
      </c>
      <c r="Q114" s="26" t="s">
        <v>57</v>
      </c>
      <c r="R114" s="44" t="s">
        <v>832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832</v>
      </c>
      <c r="Z114" s="30" t="s">
        <v>57</v>
      </c>
      <c r="AA114" s="30" t="s">
        <v>832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4821</v>
      </c>
      <c r="C115" s="25" t="s">
        <v>4822</v>
      </c>
      <c r="D115" s="23" t="s">
        <v>4602</v>
      </c>
      <c r="E115" s="42">
        <v>46128</v>
      </c>
      <c r="F115" s="26" t="s">
        <v>55</v>
      </c>
      <c r="G115" s="44" t="s">
        <v>832</v>
      </c>
      <c r="H115" s="26" t="s">
        <v>57</v>
      </c>
      <c r="I115" s="44" t="s">
        <v>832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2">
        <v>46196</v>
      </c>
      <c r="O115" s="26" t="s">
        <v>55</v>
      </c>
      <c r="P115" s="44" t="s">
        <v>832</v>
      </c>
      <c r="Q115" s="26" t="s">
        <v>57</v>
      </c>
      <c r="R115" s="44" t="s">
        <v>832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832</v>
      </c>
      <c r="Z115" s="30" t="s">
        <v>57</v>
      </c>
      <c r="AA115" s="30" t="s">
        <v>832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4823</v>
      </c>
      <c r="C116" s="41" t="s">
        <v>4824</v>
      </c>
      <c r="D116" s="39" t="s">
        <v>4602</v>
      </c>
      <c r="E116" s="42">
        <v>46128</v>
      </c>
      <c r="F116" s="26" t="s">
        <v>55</v>
      </c>
      <c r="G116" s="44" t="s">
        <v>832</v>
      </c>
      <c r="H116" s="26" t="s">
        <v>57</v>
      </c>
      <c r="I116" s="44" t="s">
        <v>832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46196</v>
      </c>
      <c r="O116" s="26" t="s">
        <v>55</v>
      </c>
      <c r="P116" s="44" t="s">
        <v>832</v>
      </c>
      <c r="Q116" s="26" t="s">
        <v>57</v>
      </c>
      <c r="R116" s="44" t="s">
        <v>832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832</v>
      </c>
      <c r="Z116" s="30" t="s">
        <v>57</v>
      </c>
      <c r="AA116" s="30" t="s">
        <v>832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4825</v>
      </c>
      <c r="C117" s="25" t="s">
        <v>4826</v>
      </c>
      <c r="D117" s="23" t="s">
        <v>4602</v>
      </c>
      <c r="E117" s="42">
        <v>46128</v>
      </c>
      <c r="F117" s="26" t="s">
        <v>55</v>
      </c>
      <c r="G117" s="44" t="s">
        <v>832</v>
      </c>
      <c r="H117" s="26" t="s">
        <v>57</v>
      </c>
      <c r="I117" s="44" t="s">
        <v>832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46196</v>
      </c>
      <c r="O117" s="26" t="s">
        <v>55</v>
      </c>
      <c r="P117" s="44" t="s">
        <v>832</v>
      </c>
      <c r="Q117" s="26" t="s">
        <v>57</v>
      </c>
      <c r="R117" s="44" t="s">
        <v>832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832</v>
      </c>
      <c r="Z117" s="30" t="s">
        <v>57</v>
      </c>
      <c r="AA117" s="30" t="s">
        <v>832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4827</v>
      </c>
      <c r="C118" s="41" t="s">
        <v>4828</v>
      </c>
      <c r="D118" s="39" t="s">
        <v>4602</v>
      </c>
      <c r="E118" s="42">
        <v>46128</v>
      </c>
      <c r="F118" s="26" t="s">
        <v>55</v>
      </c>
      <c r="G118" s="44" t="s">
        <v>832</v>
      </c>
      <c r="H118" s="26" t="s">
        <v>57</v>
      </c>
      <c r="I118" s="44" t="s">
        <v>832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46196</v>
      </c>
      <c r="O118" s="26" t="s">
        <v>55</v>
      </c>
      <c r="P118" s="44" t="s">
        <v>832</v>
      </c>
      <c r="Q118" s="26" t="s">
        <v>57</v>
      </c>
      <c r="R118" s="44" t="s">
        <v>832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832</v>
      </c>
      <c r="Z118" s="30" t="s">
        <v>57</v>
      </c>
      <c r="AA118" s="30" t="s">
        <v>832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4829</v>
      </c>
      <c r="C119" s="25" t="s">
        <v>4830</v>
      </c>
      <c r="D119" s="23" t="s">
        <v>4602</v>
      </c>
      <c r="E119" s="42">
        <v>46128</v>
      </c>
      <c r="F119" s="26" t="s">
        <v>55</v>
      </c>
      <c r="G119" s="44" t="s">
        <v>832</v>
      </c>
      <c r="H119" s="26" t="s">
        <v>57</v>
      </c>
      <c r="I119" s="44" t="s">
        <v>832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46196</v>
      </c>
      <c r="O119" s="26" t="s">
        <v>55</v>
      </c>
      <c r="P119" s="44" t="s">
        <v>832</v>
      </c>
      <c r="Q119" s="26" t="s">
        <v>57</v>
      </c>
      <c r="R119" s="44" t="s">
        <v>832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832</v>
      </c>
      <c r="Z119" s="30" t="s">
        <v>57</v>
      </c>
      <c r="AA119" s="30" t="s">
        <v>832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4831</v>
      </c>
      <c r="C120" s="41" t="s">
        <v>4832</v>
      </c>
      <c r="D120" s="39" t="s">
        <v>4602</v>
      </c>
      <c r="E120" s="42">
        <v>46128</v>
      </c>
      <c r="F120" s="26" t="s">
        <v>55</v>
      </c>
      <c r="G120" s="44" t="s">
        <v>832</v>
      </c>
      <c r="H120" s="26" t="s">
        <v>57</v>
      </c>
      <c r="I120" s="44" t="s">
        <v>832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46196</v>
      </c>
      <c r="O120" s="26" t="s">
        <v>55</v>
      </c>
      <c r="P120" s="44" t="s">
        <v>832</v>
      </c>
      <c r="Q120" s="26" t="s">
        <v>57</v>
      </c>
      <c r="R120" s="44" t="s">
        <v>832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832</v>
      </c>
      <c r="Z120" s="30" t="s">
        <v>57</v>
      </c>
      <c r="AA120" s="30" t="s">
        <v>832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4833</v>
      </c>
      <c r="C121" s="25" t="s">
        <v>4834</v>
      </c>
      <c r="D121" s="23" t="s">
        <v>4602</v>
      </c>
      <c r="E121" s="42">
        <v>46128</v>
      </c>
      <c r="F121" s="26" t="s">
        <v>55</v>
      </c>
      <c r="G121" s="44" t="s">
        <v>832</v>
      </c>
      <c r="H121" s="26" t="s">
        <v>57</v>
      </c>
      <c r="I121" s="44" t="s">
        <v>832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2">
        <v>46196</v>
      </c>
      <c r="O121" s="26" t="s">
        <v>55</v>
      </c>
      <c r="P121" s="44" t="s">
        <v>832</v>
      </c>
      <c r="Q121" s="26" t="s">
        <v>57</v>
      </c>
      <c r="R121" s="44" t="s">
        <v>832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832</v>
      </c>
      <c r="Z121" s="30" t="s">
        <v>57</v>
      </c>
      <c r="AA121" s="30" t="s">
        <v>832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4835</v>
      </c>
      <c r="C122" s="41" t="s">
        <v>4836</v>
      </c>
      <c r="D122" s="39" t="s">
        <v>4602</v>
      </c>
      <c r="E122" s="42">
        <v>46128</v>
      </c>
      <c r="F122" s="26" t="s">
        <v>55</v>
      </c>
      <c r="G122" s="44" t="s">
        <v>832</v>
      </c>
      <c r="H122" s="26" t="s">
        <v>57</v>
      </c>
      <c r="I122" s="44" t="s">
        <v>832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2">
        <v>46196</v>
      </c>
      <c r="O122" s="26" t="s">
        <v>55</v>
      </c>
      <c r="P122" s="44" t="s">
        <v>832</v>
      </c>
      <c r="Q122" s="26" t="s">
        <v>57</v>
      </c>
      <c r="R122" s="44" t="s">
        <v>832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832</v>
      </c>
      <c r="Z122" s="30" t="s">
        <v>57</v>
      </c>
      <c r="AA122" s="30" t="s">
        <v>832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4837</v>
      </c>
      <c r="C123" s="25" t="s">
        <v>4838</v>
      </c>
      <c r="D123" s="23" t="s">
        <v>4602</v>
      </c>
      <c r="E123" s="42">
        <v>46128</v>
      </c>
      <c r="F123" s="26" t="s">
        <v>55</v>
      </c>
      <c r="G123" s="44" t="s">
        <v>832</v>
      </c>
      <c r="H123" s="26" t="s">
        <v>57</v>
      </c>
      <c r="I123" s="44" t="s">
        <v>832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46196</v>
      </c>
      <c r="O123" s="26" t="s">
        <v>55</v>
      </c>
      <c r="P123" s="44" t="s">
        <v>832</v>
      </c>
      <c r="Q123" s="26" t="s">
        <v>57</v>
      </c>
      <c r="R123" s="44" t="s">
        <v>832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832</v>
      </c>
      <c r="Z123" s="30" t="s">
        <v>57</v>
      </c>
      <c r="AA123" s="30" t="s">
        <v>832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4839</v>
      </c>
      <c r="C124" s="41" t="s">
        <v>4840</v>
      </c>
      <c r="D124" s="39" t="s">
        <v>4602</v>
      </c>
      <c r="E124" s="42">
        <v>46128</v>
      </c>
      <c r="F124" s="26" t="s">
        <v>55</v>
      </c>
      <c r="G124" s="44" t="s">
        <v>832</v>
      </c>
      <c r="H124" s="26" t="s">
        <v>57</v>
      </c>
      <c r="I124" s="44" t="s">
        <v>832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46196</v>
      </c>
      <c r="O124" s="26" t="s">
        <v>55</v>
      </c>
      <c r="P124" s="44" t="s">
        <v>832</v>
      </c>
      <c r="Q124" s="26" t="s">
        <v>57</v>
      </c>
      <c r="R124" s="44" t="s">
        <v>832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832</v>
      </c>
      <c r="Z124" s="30" t="s">
        <v>57</v>
      </c>
      <c r="AA124" s="30" t="s">
        <v>832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4841</v>
      </c>
      <c r="C125" s="25" t="s">
        <v>4842</v>
      </c>
      <c r="D125" s="23" t="s">
        <v>4602</v>
      </c>
      <c r="E125" s="42">
        <v>46128</v>
      </c>
      <c r="F125" s="26" t="s">
        <v>55</v>
      </c>
      <c r="G125" s="44" t="s">
        <v>832</v>
      </c>
      <c r="H125" s="26" t="s">
        <v>57</v>
      </c>
      <c r="I125" s="44" t="s">
        <v>832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46196</v>
      </c>
      <c r="O125" s="26" t="s">
        <v>55</v>
      </c>
      <c r="P125" s="44" t="s">
        <v>832</v>
      </c>
      <c r="Q125" s="26" t="s">
        <v>57</v>
      </c>
      <c r="R125" s="44" t="s">
        <v>832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832</v>
      </c>
      <c r="Z125" s="30" t="s">
        <v>57</v>
      </c>
      <c r="AA125" s="30" t="s">
        <v>832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4843</v>
      </c>
      <c r="C126" s="41" t="s">
        <v>4844</v>
      </c>
      <c r="D126" s="39" t="s">
        <v>4602</v>
      </c>
      <c r="E126" s="42">
        <v>46128</v>
      </c>
      <c r="F126" s="26" t="s">
        <v>55</v>
      </c>
      <c r="G126" s="44" t="s">
        <v>56</v>
      </c>
      <c r="H126" s="26" t="s">
        <v>57</v>
      </c>
      <c r="I126" s="44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2">
        <v>46196</v>
      </c>
      <c r="O126" s="26" t="s">
        <v>55</v>
      </c>
      <c r="P126" s="44" t="s">
        <v>56</v>
      </c>
      <c r="Q126" s="26" t="s">
        <v>57</v>
      </c>
      <c r="R126" s="44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4845</v>
      </c>
      <c r="C127" s="25" t="s">
        <v>4846</v>
      </c>
      <c r="D127" s="23" t="s">
        <v>4602</v>
      </c>
      <c r="E127" s="42">
        <v>46128</v>
      </c>
      <c r="F127" s="26" t="s">
        <v>55</v>
      </c>
      <c r="G127" s="44" t="s">
        <v>832</v>
      </c>
      <c r="H127" s="26" t="s">
        <v>57</v>
      </c>
      <c r="I127" s="44" t="s">
        <v>832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2">
        <v>46196</v>
      </c>
      <c r="O127" s="26" t="s">
        <v>55</v>
      </c>
      <c r="P127" s="44" t="s">
        <v>832</v>
      </c>
      <c r="Q127" s="26" t="s">
        <v>57</v>
      </c>
      <c r="R127" s="44" t="s">
        <v>832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832</v>
      </c>
      <c r="Z127" s="30" t="s">
        <v>57</v>
      </c>
      <c r="AA127" s="30" t="s">
        <v>832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4847</v>
      </c>
      <c r="C128" s="41" t="s">
        <v>4848</v>
      </c>
      <c r="D128" s="39" t="s">
        <v>4602</v>
      </c>
      <c r="E128" s="42">
        <v>46128</v>
      </c>
      <c r="F128" s="26" t="s">
        <v>55</v>
      </c>
      <c r="G128" s="44" t="s">
        <v>56</v>
      </c>
      <c r="H128" s="26" t="s">
        <v>57</v>
      </c>
      <c r="I128" s="44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46196</v>
      </c>
      <c r="O128" s="26" t="s">
        <v>55</v>
      </c>
      <c r="P128" s="44" t="s">
        <v>56</v>
      </c>
      <c r="Q128" s="26" t="s">
        <v>57</v>
      </c>
      <c r="R128" s="44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4849</v>
      </c>
      <c r="C129" s="25" t="s">
        <v>4850</v>
      </c>
      <c r="D129" s="23" t="s">
        <v>4602</v>
      </c>
      <c r="E129" s="42">
        <v>46128</v>
      </c>
      <c r="F129" s="26" t="s">
        <v>55</v>
      </c>
      <c r="G129" s="44" t="s">
        <v>832</v>
      </c>
      <c r="H129" s="26" t="s">
        <v>57</v>
      </c>
      <c r="I129" s="44" t="s">
        <v>832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2">
        <v>46196</v>
      </c>
      <c r="O129" s="26" t="s">
        <v>55</v>
      </c>
      <c r="P129" s="44" t="s">
        <v>832</v>
      </c>
      <c r="Q129" s="26" t="s">
        <v>57</v>
      </c>
      <c r="R129" s="44" t="s">
        <v>832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832</v>
      </c>
      <c r="Z129" s="30" t="s">
        <v>57</v>
      </c>
      <c r="AA129" s="30" t="s">
        <v>832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4851</v>
      </c>
      <c r="C130" s="41" t="s">
        <v>4852</v>
      </c>
      <c r="D130" s="39" t="s">
        <v>4602</v>
      </c>
      <c r="E130" s="42">
        <v>46128</v>
      </c>
      <c r="F130" s="26" t="s">
        <v>55</v>
      </c>
      <c r="G130" s="44" t="s">
        <v>56</v>
      </c>
      <c r="H130" s="26" t="s">
        <v>57</v>
      </c>
      <c r="I130" s="44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46196</v>
      </c>
      <c r="O130" s="26" t="s">
        <v>55</v>
      </c>
      <c r="P130" s="44" t="s">
        <v>56</v>
      </c>
      <c r="Q130" s="26" t="s">
        <v>57</v>
      </c>
      <c r="R130" s="44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4853</v>
      </c>
      <c r="C131" s="25" t="s">
        <v>4854</v>
      </c>
      <c r="D131" s="23" t="s">
        <v>4602</v>
      </c>
      <c r="E131" s="42">
        <v>46128</v>
      </c>
      <c r="F131" s="26" t="s">
        <v>55</v>
      </c>
      <c r="G131" s="44" t="s">
        <v>832</v>
      </c>
      <c r="H131" s="26" t="s">
        <v>57</v>
      </c>
      <c r="I131" s="44" t="s">
        <v>832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46196</v>
      </c>
      <c r="O131" s="26" t="s">
        <v>55</v>
      </c>
      <c r="P131" s="44" t="s">
        <v>832</v>
      </c>
      <c r="Q131" s="26" t="s">
        <v>57</v>
      </c>
      <c r="R131" s="44" t="s">
        <v>832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832</v>
      </c>
      <c r="Z131" s="30" t="s">
        <v>57</v>
      </c>
      <c r="AA131" s="30" t="s">
        <v>832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4855</v>
      </c>
      <c r="C132" s="41" t="s">
        <v>4856</v>
      </c>
      <c r="D132" s="39" t="s">
        <v>4602</v>
      </c>
      <c r="E132" s="42">
        <v>46128</v>
      </c>
      <c r="F132" s="26" t="s">
        <v>55</v>
      </c>
      <c r="G132" s="44" t="s">
        <v>832</v>
      </c>
      <c r="H132" s="26" t="s">
        <v>57</v>
      </c>
      <c r="I132" s="44" t="s">
        <v>832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46196</v>
      </c>
      <c r="O132" s="26" t="s">
        <v>55</v>
      </c>
      <c r="P132" s="44" t="s">
        <v>832</v>
      </c>
      <c r="Q132" s="26" t="s">
        <v>57</v>
      </c>
      <c r="R132" s="44" t="s">
        <v>832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832</v>
      </c>
      <c r="Z132" s="30" t="s">
        <v>57</v>
      </c>
      <c r="AA132" s="30" t="s">
        <v>832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4857</v>
      </c>
      <c r="C133" s="25" t="s">
        <v>4858</v>
      </c>
      <c r="D133" s="23" t="s">
        <v>4602</v>
      </c>
      <c r="E133" s="42">
        <v>46128</v>
      </c>
      <c r="F133" s="26" t="s">
        <v>55</v>
      </c>
      <c r="G133" s="44" t="s">
        <v>832</v>
      </c>
      <c r="H133" s="26" t="s">
        <v>57</v>
      </c>
      <c r="I133" s="44" t="s">
        <v>832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2">
        <v>46196</v>
      </c>
      <c r="O133" s="26" t="s">
        <v>55</v>
      </c>
      <c r="P133" s="44" t="s">
        <v>832</v>
      </c>
      <c r="Q133" s="26" t="s">
        <v>57</v>
      </c>
      <c r="R133" s="44" t="s">
        <v>832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832</v>
      </c>
      <c r="Z133" s="30" t="s">
        <v>57</v>
      </c>
      <c r="AA133" s="30" t="s">
        <v>832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4859</v>
      </c>
      <c r="C134" s="41" t="s">
        <v>4860</v>
      </c>
      <c r="D134" s="39" t="s">
        <v>4602</v>
      </c>
      <c r="E134" s="42">
        <v>46128</v>
      </c>
      <c r="F134" s="26" t="s">
        <v>55</v>
      </c>
      <c r="G134" s="44" t="s">
        <v>832</v>
      </c>
      <c r="H134" s="26" t="s">
        <v>57</v>
      </c>
      <c r="I134" s="44" t="s">
        <v>832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2">
        <v>46196</v>
      </c>
      <c r="O134" s="26" t="s">
        <v>55</v>
      </c>
      <c r="P134" s="44" t="s">
        <v>832</v>
      </c>
      <c r="Q134" s="26" t="s">
        <v>57</v>
      </c>
      <c r="R134" s="44" t="s">
        <v>832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832</v>
      </c>
      <c r="Z134" s="30" t="s">
        <v>57</v>
      </c>
      <c r="AA134" s="30" t="s">
        <v>832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4861</v>
      </c>
      <c r="C135" s="25" t="s">
        <v>4862</v>
      </c>
      <c r="D135" s="23" t="s">
        <v>4602</v>
      </c>
      <c r="E135" s="42">
        <v>46128</v>
      </c>
      <c r="F135" s="26" t="s">
        <v>55</v>
      </c>
      <c r="G135" s="44" t="s">
        <v>56</v>
      </c>
      <c r="H135" s="26" t="s">
        <v>57</v>
      </c>
      <c r="I135" s="44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46196</v>
      </c>
      <c r="O135" s="26" t="s">
        <v>55</v>
      </c>
      <c r="P135" s="44" t="s">
        <v>56</v>
      </c>
      <c r="Q135" s="26" t="s">
        <v>57</v>
      </c>
      <c r="R135" s="44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4863</v>
      </c>
      <c r="C136" s="41" t="s">
        <v>4864</v>
      </c>
      <c r="D136" s="39" t="s">
        <v>4602</v>
      </c>
      <c r="E136" s="42">
        <v>46128</v>
      </c>
      <c r="F136" s="26" t="s">
        <v>55</v>
      </c>
      <c r="G136" s="44" t="s">
        <v>832</v>
      </c>
      <c r="H136" s="26" t="s">
        <v>57</v>
      </c>
      <c r="I136" s="44" t="s">
        <v>832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2">
        <v>46196</v>
      </c>
      <c r="O136" s="26" t="s">
        <v>55</v>
      </c>
      <c r="P136" s="44" t="s">
        <v>832</v>
      </c>
      <c r="Q136" s="26" t="s">
        <v>57</v>
      </c>
      <c r="R136" s="44" t="s">
        <v>832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832</v>
      </c>
      <c r="Z136" s="30" t="s">
        <v>57</v>
      </c>
      <c r="AA136" s="30" t="s">
        <v>832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4865</v>
      </c>
      <c r="C137" s="25" t="s">
        <v>4866</v>
      </c>
      <c r="D137" s="23" t="s">
        <v>4602</v>
      </c>
      <c r="E137" s="42">
        <v>46128</v>
      </c>
      <c r="F137" s="26" t="s">
        <v>55</v>
      </c>
      <c r="G137" s="44" t="s">
        <v>832</v>
      </c>
      <c r="H137" s="26" t="s">
        <v>57</v>
      </c>
      <c r="I137" s="44" t="s">
        <v>832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2">
        <v>46196</v>
      </c>
      <c r="O137" s="26" t="s">
        <v>55</v>
      </c>
      <c r="P137" s="44" t="s">
        <v>832</v>
      </c>
      <c r="Q137" s="26" t="s">
        <v>57</v>
      </c>
      <c r="R137" s="44" t="s">
        <v>832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832</v>
      </c>
      <c r="Z137" s="30" t="s">
        <v>57</v>
      </c>
      <c r="AA137" s="30" t="s">
        <v>832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4867</v>
      </c>
      <c r="C138" s="41" t="s">
        <v>4868</v>
      </c>
      <c r="D138" s="39" t="s">
        <v>4602</v>
      </c>
      <c r="E138" s="42">
        <v>46128</v>
      </c>
      <c r="F138" s="26" t="s">
        <v>55</v>
      </c>
      <c r="G138" s="44" t="s">
        <v>832</v>
      </c>
      <c r="H138" s="26" t="s">
        <v>57</v>
      </c>
      <c r="I138" s="44" t="s">
        <v>832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2">
        <v>46196</v>
      </c>
      <c r="O138" s="26" t="s">
        <v>55</v>
      </c>
      <c r="P138" s="44" t="s">
        <v>832</v>
      </c>
      <c r="Q138" s="26" t="s">
        <v>57</v>
      </c>
      <c r="R138" s="44" t="s">
        <v>832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832</v>
      </c>
      <c r="Z138" s="30" t="s">
        <v>57</v>
      </c>
      <c r="AA138" s="30" t="s">
        <v>832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4869</v>
      </c>
      <c r="C139" s="25" t="s">
        <v>4870</v>
      </c>
      <c r="D139" s="23" t="s">
        <v>4602</v>
      </c>
      <c r="E139" s="42">
        <v>46128</v>
      </c>
      <c r="F139" s="26" t="s">
        <v>55</v>
      </c>
      <c r="G139" s="44" t="s">
        <v>832</v>
      </c>
      <c r="H139" s="26" t="s">
        <v>57</v>
      </c>
      <c r="I139" s="44" t="s">
        <v>832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2">
        <v>46196</v>
      </c>
      <c r="O139" s="26" t="s">
        <v>55</v>
      </c>
      <c r="P139" s="44" t="s">
        <v>832</v>
      </c>
      <c r="Q139" s="26" t="s">
        <v>57</v>
      </c>
      <c r="R139" s="44" t="s">
        <v>832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832</v>
      </c>
      <c r="Z139" s="30" t="s">
        <v>57</v>
      </c>
      <c r="AA139" s="30" t="s">
        <v>832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4871</v>
      </c>
      <c r="C140" s="41" t="s">
        <v>4872</v>
      </c>
      <c r="D140" s="39" t="s">
        <v>4602</v>
      </c>
      <c r="E140" s="42">
        <v>46128</v>
      </c>
      <c r="F140" s="26" t="s">
        <v>55</v>
      </c>
      <c r="G140" s="44" t="s">
        <v>832</v>
      </c>
      <c r="H140" s="26" t="s">
        <v>57</v>
      </c>
      <c r="I140" s="44" t="s">
        <v>832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2">
        <v>46196</v>
      </c>
      <c r="O140" s="26" t="s">
        <v>55</v>
      </c>
      <c r="P140" s="44" t="s">
        <v>832</v>
      </c>
      <c r="Q140" s="26" t="s">
        <v>57</v>
      </c>
      <c r="R140" s="44" t="s">
        <v>832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832</v>
      </c>
      <c r="Z140" s="30" t="s">
        <v>57</v>
      </c>
      <c r="AA140" s="30" t="s">
        <v>832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4873</v>
      </c>
      <c r="C141" s="25" t="s">
        <v>4874</v>
      </c>
      <c r="D141" s="23" t="s">
        <v>4602</v>
      </c>
      <c r="E141" s="42">
        <v>46128</v>
      </c>
      <c r="F141" s="26" t="s">
        <v>55</v>
      </c>
      <c r="G141" s="44" t="s">
        <v>832</v>
      </c>
      <c r="H141" s="26" t="s">
        <v>57</v>
      </c>
      <c r="I141" s="44" t="s">
        <v>832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2">
        <v>46196</v>
      </c>
      <c r="O141" s="26" t="s">
        <v>55</v>
      </c>
      <c r="P141" s="44" t="s">
        <v>832</v>
      </c>
      <c r="Q141" s="26" t="s">
        <v>57</v>
      </c>
      <c r="R141" s="44" t="s">
        <v>832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832</v>
      </c>
      <c r="Z141" s="30" t="s">
        <v>57</v>
      </c>
      <c r="AA141" s="30" t="s">
        <v>832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4875</v>
      </c>
      <c r="C142" s="41" t="s">
        <v>4876</v>
      </c>
      <c r="D142" s="39" t="s">
        <v>4602</v>
      </c>
      <c r="E142" s="42">
        <v>46128</v>
      </c>
      <c r="F142" s="26" t="s">
        <v>55</v>
      </c>
      <c r="G142" s="44" t="s">
        <v>832</v>
      </c>
      <c r="H142" s="26" t="s">
        <v>57</v>
      </c>
      <c r="I142" s="44" t="s">
        <v>832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2">
        <v>46196</v>
      </c>
      <c r="O142" s="26" t="s">
        <v>55</v>
      </c>
      <c r="P142" s="44" t="s">
        <v>832</v>
      </c>
      <c r="Q142" s="26" t="s">
        <v>57</v>
      </c>
      <c r="R142" s="44" t="s">
        <v>832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832</v>
      </c>
      <c r="Z142" s="30" t="s">
        <v>57</v>
      </c>
      <c r="AA142" s="30" t="s">
        <v>832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4877</v>
      </c>
      <c r="C143" s="25" t="s">
        <v>4878</v>
      </c>
      <c r="D143" s="23" t="s">
        <v>4602</v>
      </c>
      <c r="E143" s="42">
        <v>46128</v>
      </c>
      <c r="F143" s="26" t="s">
        <v>55</v>
      </c>
      <c r="G143" s="44" t="s">
        <v>832</v>
      </c>
      <c r="H143" s="26" t="s">
        <v>57</v>
      </c>
      <c r="I143" s="44" t="s">
        <v>832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2">
        <v>46196</v>
      </c>
      <c r="O143" s="26" t="s">
        <v>55</v>
      </c>
      <c r="P143" s="44" t="s">
        <v>832</v>
      </c>
      <c r="Q143" s="26" t="s">
        <v>57</v>
      </c>
      <c r="R143" s="44" t="s">
        <v>832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832</v>
      </c>
      <c r="Z143" s="30" t="s">
        <v>57</v>
      </c>
      <c r="AA143" s="30" t="s">
        <v>832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4879</v>
      </c>
      <c r="C144" s="41" t="s">
        <v>4880</v>
      </c>
      <c r="D144" s="39" t="s">
        <v>4602</v>
      </c>
      <c r="E144" s="42">
        <v>46128</v>
      </c>
      <c r="F144" s="26" t="s">
        <v>55</v>
      </c>
      <c r="G144" s="44" t="s">
        <v>832</v>
      </c>
      <c r="H144" s="26" t="s">
        <v>57</v>
      </c>
      <c r="I144" s="44" t="s">
        <v>832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2">
        <v>46196</v>
      </c>
      <c r="O144" s="26" t="s">
        <v>55</v>
      </c>
      <c r="P144" s="44" t="s">
        <v>832</v>
      </c>
      <c r="Q144" s="26" t="s">
        <v>57</v>
      </c>
      <c r="R144" s="44" t="s">
        <v>832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832</v>
      </c>
      <c r="Z144" s="30" t="s">
        <v>57</v>
      </c>
      <c r="AA144" s="30" t="s">
        <v>832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4881</v>
      </c>
      <c r="C145" s="25" t="s">
        <v>4882</v>
      </c>
      <c r="D145" s="23" t="s">
        <v>4602</v>
      </c>
      <c r="E145" s="42">
        <v>46128</v>
      </c>
      <c r="F145" s="26" t="s">
        <v>55</v>
      </c>
      <c r="G145" s="44" t="s">
        <v>832</v>
      </c>
      <c r="H145" s="26" t="s">
        <v>57</v>
      </c>
      <c r="I145" s="44" t="s">
        <v>832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2">
        <v>46196</v>
      </c>
      <c r="O145" s="26" t="s">
        <v>55</v>
      </c>
      <c r="P145" s="44" t="s">
        <v>832</v>
      </c>
      <c r="Q145" s="26" t="s">
        <v>57</v>
      </c>
      <c r="R145" s="44" t="s">
        <v>832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832</v>
      </c>
      <c r="Z145" s="30" t="s">
        <v>57</v>
      </c>
      <c r="AA145" s="30" t="s">
        <v>832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4883</v>
      </c>
      <c r="C146" s="41" t="s">
        <v>4884</v>
      </c>
      <c r="D146" s="39" t="s">
        <v>4602</v>
      </c>
      <c r="E146" s="42">
        <v>46128</v>
      </c>
      <c r="F146" s="26" t="s">
        <v>55</v>
      </c>
      <c r="G146" s="44" t="s">
        <v>56</v>
      </c>
      <c r="H146" s="26" t="s">
        <v>57</v>
      </c>
      <c r="I146" s="44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2">
        <v>46196</v>
      </c>
      <c r="O146" s="26" t="s">
        <v>55</v>
      </c>
      <c r="P146" s="44" t="s">
        <v>56</v>
      </c>
      <c r="Q146" s="26" t="s">
        <v>57</v>
      </c>
      <c r="R146" s="44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4885</v>
      </c>
      <c r="C147" s="25" t="s">
        <v>4886</v>
      </c>
      <c r="D147" s="23" t="s">
        <v>4602</v>
      </c>
      <c r="E147" s="42">
        <v>46128</v>
      </c>
      <c r="F147" s="26" t="s">
        <v>55</v>
      </c>
      <c r="G147" s="44" t="s">
        <v>832</v>
      </c>
      <c r="H147" s="26" t="s">
        <v>57</v>
      </c>
      <c r="I147" s="44" t="s">
        <v>832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2">
        <v>46196</v>
      </c>
      <c r="O147" s="26" t="s">
        <v>55</v>
      </c>
      <c r="P147" s="44" t="s">
        <v>832</v>
      </c>
      <c r="Q147" s="26" t="s">
        <v>57</v>
      </c>
      <c r="R147" s="44" t="s">
        <v>832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832</v>
      </c>
      <c r="Z147" s="30" t="s">
        <v>57</v>
      </c>
      <c r="AA147" s="30" t="s">
        <v>832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4887</v>
      </c>
      <c r="C148" s="41" t="s">
        <v>4888</v>
      </c>
      <c r="D148" s="39" t="s">
        <v>4602</v>
      </c>
      <c r="E148" s="42">
        <v>46128</v>
      </c>
      <c r="F148" s="26" t="s">
        <v>55</v>
      </c>
      <c r="G148" s="44" t="s">
        <v>832</v>
      </c>
      <c r="H148" s="26" t="s">
        <v>57</v>
      </c>
      <c r="I148" s="44" t="s">
        <v>832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2">
        <v>46196</v>
      </c>
      <c r="O148" s="26" t="s">
        <v>55</v>
      </c>
      <c r="P148" s="44" t="s">
        <v>832</v>
      </c>
      <c r="Q148" s="26" t="s">
        <v>57</v>
      </c>
      <c r="R148" s="44" t="s">
        <v>832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832</v>
      </c>
      <c r="Z148" s="30" t="s">
        <v>57</v>
      </c>
      <c r="AA148" s="30" t="s">
        <v>832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4889</v>
      </c>
      <c r="C149" s="25" t="s">
        <v>4890</v>
      </c>
      <c r="D149" s="23" t="s">
        <v>4602</v>
      </c>
      <c r="E149" s="42">
        <v>46128</v>
      </c>
      <c r="F149" s="26" t="s">
        <v>55</v>
      </c>
      <c r="G149" s="44" t="s">
        <v>832</v>
      </c>
      <c r="H149" s="26" t="s">
        <v>57</v>
      </c>
      <c r="I149" s="44" t="s">
        <v>832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2">
        <v>46196</v>
      </c>
      <c r="O149" s="26" t="s">
        <v>55</v>
      </c>
      <c r="P149" s="44" t="s">
        <v>832</v>
      </c>
      <c r="Q149" s="26" t="s">
        <v>57</v>
      </c>
      <c r="R149" s="44" t="s">
        <v>832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832</v>
      </c>
      <c r="Z149" s="30" t="s">
        <v>57</v>
      </c>
      <c r="AA149" s="30" t="s">
        <v>832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4891</v>
      </c>
      <c r="C150" s="41" t="s">
        <v>4892</v>
      </c>
      <c r="D150" s="39" t="s">
        <v>4602</v>
      </c>
      <c r="E150" s="42">
        <v>46128</v>
      </c>
      <c r="F150" s="26" t="s">
        <v>55</v>
      </c>
      <c r="G150" s="44" t="s">
        <v>832</v>
      </c>
      <c r="H150" s="26" t="s">
        <v>57</v>
      </c>
      <c r="I150" s="44" t="s">
        <v>832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2">
        <v>46196</v>
      </c>
      <c r="O150" s="26" t="s">
        <v>55</v>
      </c>
      <c r="P150" s="44" t="s">
        <v>832</v>
      </c>
      <c r="Q150" s="26" t="s">
        <v>57</v>
      </c>
      <c r="R150" s="44" t="s">
        <v>832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832</v>
      </c>
      <c r="Z150" s="30" t="s">
        <v>57</v>
      </c>
      <c r="AA150" s="30" t="s">
        <v>832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4893</v>
      </c>
      <c r="C151" s="25" t="s">
        <v>4894</v>
      </c>
      <c r="D151" s="23" t="s">
        <v>4602</v>
      </c>
      <c r="E151" s="42">
        <v>46128</v>
      </c>
      <c r="F151" s="26" t="s">
        <v>55</v>
      </c>
      <c r="G151" s="44" t="s">
        <v>832</v>
      </c>
      <c r="H151" s="26" t="s">
        <v>57</v>
      </c>
      <c r="I151" s="44" t="s">
        <v>832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2">
        <v>46196</v>
      </c>
      <c r="O151" s="26" t="s">
        <v>55</v>
      </c>
      <c r="P151" s="44" t="s">
        <v>832</v>
      </c>
      <c r="Q151" s="26" t="s">
        <v>57</v>
      </c>
      <c r="R151" s="44" t="s">
        <v>832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832</v>
      </c>
      <c r="Z151" s="30" t="s">
        <v>57</v>
      </c>
      <c r="AA151" s="30" t="s">
        <v>832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4895</v>
      </c>
      <c r="C152" s="41" t="s">
        <v>4896</v>
      </c>
      <c r="D152" s="39" t="s">
        <v>4602</v>
      </c>
      <c r="E152" s="42">
        <v>46128</v>
      </c>
      <c r="F152" s="26" t="s">
        <v>55</v>
      </c>
      <c r="G152" s="44" t="s">
        <v>56</v>
      </c>
      <c r="H152" s="26" t="s">
        <v>57</v>
      </c>
      <c r="I152" s="44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2">
        <v>46196</v>
      </c>
      <c r="O152" s="26" t="s">
        <v>55</v>
      </c>
      <c r="P152" s="44" t="s">
        <v>56</v>
      </c>
      <c r="Q152" s="26" t="s">
        <v>57</v>
      </c>
      <c r="R152" s="44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4897</v>
      </c>
      <c r="C153" s="25" t="s">
        <v>4898</v>
      </c>
      <c r="D153" s="23" t="s">
        <v>4602</v>
      </c>
      <c r="E153" s="42">
        <v>46128</v>
      </c>
      <c r="F153" s="26" t="s">
        <v>55</v>
      </c>
      <c r="G153" s="44" t="s">
        <v>832</v>
      </c>
      <c r="H153" s="26" t="s">
        <v>57</v>
      </c>
      <c r="I153" s="44" t="s">
        <v>832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46196</v>
      </c>
      <c r="O153" s="26" t="s">
        <v>55</v>
      </c>
      <c r="P153" s="44" t="s">
        <v>832</v>
      </c>
      <c r="Q153" s="26" t="s">
        <v>57</v>
      </c>
      <c r="R153" s="44" t="s">
        <v>832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832</v>
      </c>
      <c r="Z153" s="30" t="s">
        <v>57</v>
      </c>
      <c r="AA153" s="30" t="s">
        <v>832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4899</v>
      </c>
      <c r="C154" s="41" t="s">
        <v>4900</v>
      </c>
      <c r="D154" s="39" t="s">
        <v>4602</v>
      </c>
      <c r="E154" s="42">
        <v>46128</v>
      </c>
      <c r="F154" s="26" t="s">
        <v>55</v>
      </c>
      <c r="G154" s="44" t="s">
        <v>57</v>
      </c>
      <c r="H154" s="26" t="s">
        <v>57</v>
      </c>
      <c r="I154" s="44" t="s">
        <v>89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42">
        <v>46196</v>
      </c>
      <c r="O154" s="26" t="s">
        <v>55</v>
      </c>
      <c r="P154" s="44" t="s">
        <v>57</v>
      </c>
      <c r="Q154" s="26" t="s">
        <v>57</v>
      </c>
      <c r="R154" s="44" t="s">
        <v>89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70">
        <v>46248</v>
      </c>
      <c r="X154" s="30" t="s">
        <v>55</v>
      </c>
      <c r="Y154" s="30" t="s">
        <v>57</v>
      </c>
      <c r="Z154" s="30" t="s">
        <v>57</v>
      </c>
      <c r="AA154" s="30" t="s">
        <v>89</v>
      </c>
      <c r="AB154" s="30" t="s">
        <v>57</v>
      </c>
      <c r="AC154" s="27"/>
      <c r="AD154" s="31" t="s">
        <v>56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4901</v>
      </c>
      <c r="C155" s="25" t="s">
        <v>4902</v>
      </c>
      <c r="D155" s="23" t="s">
        <v>4602</v>
      </c>
      <c r="E155" s="42">
        <v>46128</v>
      </c>
      <c r="F155" s="26" t="s">
        <v>55</v>
      </c>
      <c r="G155" s="44" t="s">
        <v>57</v>
      </c>
      <c r="H155" s="26" t="s">
        <v>57</v>
      </c>
      <c r="I155" s="44" t="s">
        <v>89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42">
        <v>46196</v>
      </c>
      <c r="O155" s="26" t="s">
        <v>55</v>
      </c>
      <c r="P155" s="44" t="s">
        <v>57</v>
      </c>
      <c r="Q155" s="26" t="s">
        <v>57</v>
      </c>
      <c r="R155" s="44" t="s">
        <v>89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70">
        <v>46248</v>
      </c>
      <c r="X155" s="30" t="s">
        <v>55</v>
      </c>
      <c r="Y155" s="30" t="s">
        <v>57</v>
      </c>
      <c r="Z155" s="30" t="s">
        <v>57</v>
      </c>
      <c r="AA155" s="30" t="s">
        <v>89</v>
      </c>
      <c r="AB155" s="30" t="s">
        <v>57</v>
      </c>
      <c r="AC155" s="27"/>
      <c r="AD155" s="31" t="s">
        <v>56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4903</v>
      </c>
      <c r="C156" s="41" t="s">
        <v>4904</v>
      </c>
      <c r="D156" s="39" t="s">
        <v>4602</v>
      </c>
      <c r="E156" s="42">
        <v>46128</v>
      </c>
      <c r="F156" s="26" t="s">
        <v>55</v>
      </c>
      <c r="G156" s="44" t="s">
        <v>57</v>
      </c>
      <c r="H156" s="26" t="s">
        <v>57</v>
      </c>
      <c r="I156" s="44" t="s">
        <v>89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42">
        <v>46196</v>
      </c>
      <c r="O156" s="26" t="s">
        <v>55</v>
      </c>
      <c r="P156" s="44" t="s">
        <v>57</v>
      </c>
      <c r="Q156" s="26" t="s">
        <v>57</v>
      </c>
      <c r="R156" s="44" t="s">
        <v>89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70">
        <v>46248</v>
      </c>
      <c r="X156" s="30" t="s">
        <v>55</v>
      </c>
      <c r="Y156" s="30" t="s">
        <v>57</v>
      </c>
      <c r="Z156" s="30" t="s">
        <v>57</v>
      </c>
      <c r="AA156" s="30" t="s">
        <v>89</v>
      </c>
      <c r="AB156" s="30" t="s">
        <v>57</v>
      </c>
      <c r="AC156" s="27"/>
      <c r="AD156" s="31" t="s">
        <v>56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4905</v>
      </c>
      <c r="C157" s="25" t="s">
        <v>4906</v>
      </c>
      <c r="D157" s="23" t="s">
        <v>4602</v>
      </c>
      <c r="E157" s="42">
        <v>46128</v>
      </c>
      <c r="F157" s="26" t="s">
        <v>55</v>
      </c>
      <c r="G157" s="44" t="s">
        <v>57</v>
      </c>
      <c r="H157" s="26" t="s">
        <v>57</v>
      </c>
      <c r="I157" s="44" t="s">
        <v>89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42">
        <v>46196</v>
      </c>
      <c r="O157" s="26" t="s">
        <v>55</v>
      </c>
      <c r="P157" s="44" t="s">
        <v>57</v>
      </c>
      <c r="Q157" s="26" t="s">
        <v>57</v>
      </c>
      <c r="R157" s="44" t="s">
        <v>89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70">
        <v>46248</v>
      </c>
      <c r="X157" s="30" t="s">
        <v>55</v>
      </c>
      <c r="Y157" s="30" t="s">
        <v>57</v>
      </c>
      <c r="Z157" s="30" t="s">
        <v>57</v>
      </c>
      <c r="AA157" s="30" t="s">
        <v>89</v>
      </c>
      <c r="AB157" s="30" t="s">
        <v>57</v>
      </c>
      <c r="AC157" s="27"/>
      <c r="AD157" s="31" t="s">
        <v>56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4907</v>
      </c>
      <c r="C158" s="41" t="s">
        <v>4908</v>
      </c>
      <c r="D158" s="39" t="s">
        <v>4602</v>
      </c>
      <c r="E158" s="42">
        <v>46128</v>
      </c>
      <c r="F158" s="26" t="s">
        <v>55</v>
      </c>
      <c r="G158" s="44" t="s">
        <v>57</v>
      </c>
      <c r="H158" s="26" t="s">
        <v>57</v>
      </c>
      <c r="I158" s="44" t="s">
        <v>89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42">
        <v>46196</v>
      </c>
      <c r="O158" s="26" t="s">
        <v>55</v>
      </c>
      <c r="P158" s="44" t="s">
        <v>57</v>
      </c>
      <c r="Q158" s="26" t="s">
        <v>57</v>
      </c>
      <c r="R158" s="44" t="s">
        <v>89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70">
        <v>46248</v>
      </c>
      <c r="X158" s="30" t="s">
        <v>55</v>
      </c>
      <c r="Y158" s="30" t="s">
        <v>57</v>
      </c>
      <c r="Z158" s="30" t="s">
        <v>57</v>
      </c>
      <c r="AA158" s="30" t="s">
        <v>89</v>
      </c>
      <c r="AB158" s="30" t="s">
        <v>57</v>
      </c>
      <c r="AC158" s="27"/>
      <c r="AD158" s="31" t="s">
        <v>56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4909</v>
      </c>
      <c r="C159" s="25" t="s">
        <v>4910</v>
      </c>
      <c r="D159" s="23" t="s">
        <v>4602</v>
      </c>
      <c r="E159" s="42">
        <v>46128</v>
      </c>
      <c r="F159" s="26" t="s">
        <v>55</v>
      </c>
      <c r="G159" s="44" t="s">
        <v>57</v>
      </c>
      <c r="H159" s="26" t="s">
        <v>57</v>
      </c>
      <c r="I159" s="44" t="s">
        <v>89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42">
        <v>46196</v>
      </c>
      <c r="O159" s="26" t="s">
        <v>55</v>
      </c>
      <c r="P159" s="44" t="s">
        <v>57</v>
      </c>
      <c r="Q159" s="26" t="s">
        <v>57</v>
      </c>
      <c r="R159" s="44" t="s">
        <v>89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70">
        <v>46248</v>
      </c>
      <c r="X159" s="30" t="s">
        <v>55</v>
      </c>
      <c r="Y159" s="30" t="s">
        <v>57</v>
      </c>
      <c r="Z159" s="30" t="s">
        <v>57</v>
      </c>
      <c r="AA159" s="30" t="s">
        <v>89</v>
      </c>
      <c r="AB159" s="30" t="s">
        <v>57</v>
      </c>
      <c r="AC159" s="27"/>
      <c r="AD159" s="31" t="s">
        <v>56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4911</v>
      </c>
      <c r="C160" s="41" t="s">
        <v>4912</v>
      </c>
      <c r="D160" s="39" t="s">
        <v>4602</v>
      </c>
      <c r="E160" s="42">
        <v>46128</v>
      </c>
      <c r="F160" s="26" t="s">
        <v>55</v>
      </c>
      <c r="G160" s="44" t="s">
        <v>832</v>
      </c>
      <c r="H160" s="26" t="s">
        <v>57</v>
      </c>
      <c r="I160" s="44" t="s">
        <v>832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46196</v>
      </c>
      <c r="O160" s="26" t="s">
        <v>55</v>
      </c>
      <c r="P160" s="44" t="s">
        <v>832</v>
      </c>
      <c r="Q160" s="26" t="s">
        <v>57</v>
      </c>
      <c r="R160" s="44" t="s">
        <v>832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832</v>
      </c>
      <c r="Z160" s="30" t="s">
        <v>57</v>
      </c>
      <c r="AA160" s="30" t="s">
        <v>832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4913</v>
      </c>
      <c r="C161" s="25" t="s">
        <v>4914</v>
      </c>
      <c r="D161" s="23" t="s">
        <v>4602</v>
      </c>
      <c r="E161" s="42">
        <v>46128</v>
      </c>
      <c r="F161" s="26" t="s">
        <v>55</v>
      </c>
      <c r="G161" s="44" t="s">
        <v>832</v>
      </c>
      <c r="H161" s="26" t="s">
        <v>57</v>
      </c>
      <c r="I161" s="44" t="s">
        <v>832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46196</v>
      </c>
      <c r="O161" s="26" t="s">
        <v>55</v>
      </c>
      <c r="P161" s="44" t="s">
        <v>832</v>
      </c>
      <c r="Q161" s="26" t="s">
        <v>57</v>
      </c>
      <c r="R161" s="44" t="s">
        <v>832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832</v>
      </c>
      <c r="Z161" s="30" t="s">
        <v>57</v>
      </c>
      <c r="AA161" s="30" t="s">
        <v>832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4915</v>
      </c>
      <c r="C162" s="41" t="s">
        <v>4916</v>
      </c>
      <c r="D162" s="39" t="s">
        <v>4602</v>
      </c>
      <c r="E162" s="42">
        <v>46128</v>
      </c>
      <c r="F162" s="26" t="s">
        <v>55</v>
      </c>
      <c r="G162" s="44" t="s">
        <v>832</v>
      </c>
      <c r="H162" s="26" t="s">
        <v>57</v>
      </c>
      <c r="I162" s="44" t="s">
        <v>832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46196</v>
      </c>
      <c r="O162" s="26" t="s">
        <v>55</v>
      </c>
      <c r="P162" s="44" t="s">
        <v>832</v>
      </c>
      <c r="Q162" s="26" t="s">
        <v>57</v>
      </c>
      <c r="R162" s="44" t="s">
        <v>832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832</v>
      </c>
      <c r="Z162" s="30" t="s">
        <v>57</v>
      </c>
      <c r="AA162" s="30" t="s">
        <v>832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4917</v>
      </c>
      <c r="C163" s="25" t="s">
        <v>4918</v>
      </c>
      <c r="D163" s="23" t="s">
        <v>4602</v>
      </c>
      <c r="E163" s="42">
        <v>46128</v>
      </c>
      <c r="F163" s="26" t="s">
        <v>55</v>
      </c>
      <c r="G163" s="44" t="s">
        <v>56</v>
      </c>
      <c r="H163" s="26" t="s">
        <v>57</v>
      </c>
      <c r="I163" s="44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2">
        <v>46196</v>
      </c>
      <c r="O163" s="26" t="s">
        <v>55</v>
      </c>
      <c r="P163" s="44" t="s">
        <v>56</v>
      </c>
      <c r="Q163" s="26" t="s">
        <v>57</v>
      </c>
      <c r="R163" s="44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4919</v>
      </c>
      <c r="C164" s="41" t="s">
        <v>4920</v>
      </c>
      <c r="D164" s="39" t="s">
        <v>4602</v>
      </c>
      <c r="E164" s="42">
        <v>46128</v>
      </c>
      <c r="F164" s="26" t="s">
        <v>55</v>
      </c>
      <c r="G164" s="44" t="s">
        <v>832</v>
      </c>
      <c r="H164" s="26" t="s">
        <v>57</v>
      </c>
      <c r="I164" s="44" t="s">
        <v>832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46196</v>
      </c>
      <c r="O164" s="26" t="s">
        <v>55</v>
      </c>
      <c r="P164" s="44" t="s">
        <v>832</v>
      </c>
      <c r="Q164" s="26" t="s">
        <v>57</v>
      </c>
      <c r="R164" s="44" t="s">
        <v>832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832</v>
      </c>
      <c r="Z164" s="30" t="s">
        <v>57</v>
      </c>
      <c r="AA164" s="30" t="s">
        <v>832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4921</v>
      </c>
      <c r="C165" s="25" t="s">
        <v>4922</v>
      </c>
      <c r="D165" s="23" t="s">
        <v>4602</v>
      </c>
      <c r="E165" s="42">
        <v>46128</v>
      </c>
      <c r="F165" s="26" t="s">
        <v>55</v>
      </c>
      <c r="G165" s="44" t="s">
        <v>832</v>
      </c>
      <c r="H165" s="26" t="s">
        <v>57</v>
      </c>
      <c r="I165" s="44" t="s">
        <v>832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46196</v>
      </c>
      <c r="O165" s="26" t="s">
        <v>55</v>
      </c>
      <c r="P165" s="44" t="s">
        <v>832</v>
      </c>
      <c r="Q165" s="26" t="s">
        <v>57</v>
      </c>
      <c r="R165" s="44" t="s">
        <v>832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832</v>
      </c>
      <c r="Z165" s="30" t="s">
        <v>57</v>
      </c>
      <c r="AA165" s="30" t="s">
        <v>832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4923</v>
      </c>
      <c r="C166" s="41" t="s">
        <v>4924</v>
      </c>
      <c r="D166" s="39" t="s">
        <v>4602</v>
      </c>
      <c r="E166" s="42">
        <v>46128</v>
      </c>
      <c r="F166" s="26" t="s">
        <v>55</v>
      </c>
      <c r="G166" s="44" t="s">
        <v>832</v>
      </c>
      <c r="H166" s="26" t="s">
        <v>57</v>
      </c>
      <c r="I166" s="44" t="s">
        <v>832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2">
        <v>46196</v>
      </c>
      <c r="O166" s="26" t="s">
        <v>55</v>
      </c>
      <c r="P166" s="44" t="s">
        <v>832</v>
      </c>
      <c r="Q166" s="26" t="s">
        <v>57</v>
      </c>
      <c r="R166" s="44" t="s">
        <v>832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832</v>
      </c>
      <c r="Z166" s="30" t="s">
        <v>57</v>
      </c>
      <c r="AA166" s="30" t="s">
        <v>832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4925</v>
      </c>
      <c r="C167" s="25" t="s">
        <v>4926</v>
      </c>
      <c r="D167" s="23" t="s">
        <v>4602</v>
      </c>
      <c r="E167" s="42">
        <v>46128</v>
      </c>
      <c r="F167" s="26" t="s">
        <v>55</v>
      </c>
      <c r="G167" s="44" t="s">
        <v>832</v>
      </c>
      <c r="H167" s="26" t="s">
        <v>57</v>
      </c>
      <c r="I167" s="44" t="s">
        <v>832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46196</v>
      </c>
      <c r="O167" s="26" t="s">
        <v>55</v>
      </c>
      <c r="P167" s="44" t="s">
        <v>832</v>
      </c>
      <c r="Q167" s="26" t="s">
        <v>57</v>
      </c>
      <c r="R167" s="44" t="s">
        <v>832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832</v>
      </c>
      <c r="Z167" s="30" t="s">
        <v>57</v>
      </c>
      <c r="AA167" s="30" t="s">
        <v>832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4927</v>
      </c>
      <c r="C168" s="41" t="s">
        <v>4928</v>
      </c>
      <c r="D168" s="39" t="s">
        <v>4602</v>
      </c>
      <c r="E168" s="42">
        <v>46128</v>
      </c>
      <c r="F168" s="26" t="s">
        <v>55</v>
      </c>
      <c r="G168" s="44" t="s">
        <v>56</v>
      </c>
      <c r="H168" s="26" t="s">
        <v>57</v>
      </c>
      <c r="I168" s="44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46196</v>
      </c>
      <c r="O168" s="26" t="s">
        <v>55</v>
      </c>
      <c r="P168" s="44" t="s">
        <v>56</v>
      </c>
      <c r="Q168" s="26" t="s">
        <v>57</v>
      </c>
      <c r="R168" s="44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4929</v>
      </c>
      <c r="C169" s="25" t="s">
        <v>4930</v>
      </c>
      <c r="D169" s="23" t="s">
        <v>4602</v>
      </c>
      <c r="E169" s="42">
        <v>46128</v>
      </c>
      <c r="F169" s="26" t="s">
        <v>55</v>
      </c>
      <c r="G169" s="44" t="s">
        <v>832</v>
      </c>
      <c r="H169" s="26" t="s">
        <v>57</v>
      </c>
      <c r="I169" s="44" t="s">
        <v>832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46196</v>
      </c>
      <c r="O169" s="26" t="s">
        <v>55</v>
      </c>
      <c r="P169" s="44" t="s">
        <v>832</v>
      </c>
      <c r="Q169" s="26" t="s">
        <v>57</v>
      </c>
      <c r="R169" s="44" t="s">
        <v>832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832</v>
      </c>
      <c r="Z169" s="30" t="s">
        <v>57</v>
      </c>
      <c r="AA169" s="30" t="s">
        <v>832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4931</v>
      </c>
      <c r="C170" s="41" t="s">
        <v>4932</v>
      </c>
      <c r="D170" s="39" t="s">
        <v>4602</v>
      </c>
      <c r="E170" s="42">
        <v>46128</v>
      </c>
      <c r="F170" s="26" t="s">
        <v>55</v>
      </c>
      <c r="G170" s="44" t="s">
        <v>832</v>
      </c>
      <c r="H170" s="26" t="s">
        <v>57</v>
      </c>
      <c r="I170" s="44" t="s">
        <v>832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46196</v>
      </c>
      <c r="O170" s="26" t="s">
        <v>55</v>
      </c>
      <c r="P170" s="44" t="s">
        <v>832</v>
      </c>
      <c r="Q170" s="26" t="s">
        <v>57</v>
      </c>
      <c r="R170" s="44" t="s">
        <v>832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832</v>
      </c>
      <c r="Z170" s="30" t="s">
        <v>57</v>
      </c>
      <c r="AA170" s="30" t="s">
        <v>832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4933</v>
      </c>
      <c r="C171" s="25" t="s">
        <v>4934</v>
      </c>
      <c r="D171" s="23" t="s">
        <v>4602</v>
      </c>
      <c r="E171" s="42">
        <v>46128</v>
      </c>
      <c r="F171" s="26" t="s">
        <v>55</v>
      </c>
      <c r="G171" s="44" t="s">
        <v>832</v>
      </c>
      <c r="H171" s="26" t="s">
        <v>57</v>
      </c>
      <c r="I171" s="44" t="s">
        <v>832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46196</v>
      </c>
      <c r="O171" s="26" t="s">
        <v>55</v>
      </c>
      <c r="P171" s="44" t="s">
        <v>832</v>
      </c>
      <c r="Q171" s="26" t="s">
        <v>57</v>
      </c>
      <c r="R171" s="44" t="s">
        <v>832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832</v>
      </c>
      <c r="Z171" s="30" t="s">
        <v>57</v>
      </c>
      <c r="AA171" s="30" t="s">
        <v>832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4935</v>
      </c>
      <c r="C172" s="41" t="s">
        <v>4936</v>
      </c>
      <c r="D172" s="39" t="s">
        <v>4602</v>
      </c>
      <c r="E172" s="42">
        <v>46128</v>
      </c>
      <c r="F172" s="26" t="s">
        <v>55</v>
      </c>
      <c r="G172" s="44" t="s">
        <v>832</v>
      </c>
      <c r="H172" s="26" t="s">
        <v>57</v>
      </c>
      <c r="I172" s="44" t="s">
        <v>832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46196</v>
      </c>
      <c r="O172" s="26" t="s">
        <v>55</v>
      </c>
      <c r="P172" s="44" t="s">
        <v>832</v>
      </c>
      <c r="Q172" s="26" t="s">
        <v>57</v>
      </c>
      <c r="R172" s="44" t="s">
        <v>832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832</v>
      </c>
      <c r="Z172" s="30" t="s">
        <v>57</v>
      </c>
      <c r="AA172" s="30" t="s">
        <v>832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4937</v>
      </c>
      <c r="C173" s="25" t="s">
        <v>4938</v>
      </c>
      <c r="D173" s="23" t="s">
        <v>4602</v>
      </c>
      <c r="E173" s="42">
        <v>46128</v>
      </c>
      <c r="F173" s="26" t="s">
        <v>55</v>
      </c>
      <c r="G173" s="44" t="s">
        <v>832</v>
      </c>
      <c r="H173" s="26" t="s">
        <v>57</v>
      </c>
      <c r="I173" s="44" t="s">
        <v>832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2">
        <v>46196</v>
      </c>
      <c r="O173" s="26" t="s">
        <v>55</v>
      </c>
      <c r="P173" s="44" t="s">
        <v>832</v>
      </c>
      <c r="Q173" s="26" t="s">
        <v>57</v>
      </c>
      <c r="R173" s="44" t="s">
        <v>832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832</v>
      </c>
      <c r="Z173" s="30" t="s">
        <v>57</v>
      </c>
      <c r="AA173" s="30" t="s">
        <v>832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4939</v>
      </c>
      <c r="C174" s="41" t="s">
        <v>4940</v>
      </c>
      <c r="D174" s="39" t="s">
        <v>4602</v>
      </c>
      <c r="E174" s="42">
        <v>46128</v>
      </c>
      <c r="F174" s="26" t="s">
        <v>55</v>
      </c>
      <c r="G174" s="44" t="s">
        <v>832</v>
      </c>
      <c r="H174" s="26" t="s">
        <v>57</v>
      </c>
      <c r="I174" s="44" t="s">
        <v>832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46196</v>
      </c>
      <c r="O174" s="26" t="s">
        <v>55</v>
      </c>
      <c r="P174" s="44" t="s">
        <v>832</v>
      </c>
      <c r="Q174" s="26" t="s">
        <v>57</v>
      </c>
      <c r="R174" s="44" t="s">
        <v>832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832</v>
      </c>
      <c r="Z174" s="30" t="s">
        <v>57</v>
      </c>
      <c r="AA174" s="30" t="s">
        <v>832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4941</v>
      </c>
      <c r="C175" s="25" t="s">
        <v>4942</v>
      </c>
      <c r="D175" s="23" t="s">
        <v>4602</v>
      </c>
      <c r="E175" s="42">
        <v>46128</v>
      </c>
      <c r="F175" s="26" t="s">
        <v>55</v>
      </c>
      <c r="G175" s="44" t="s">
        <v>832</v>
      </c>
      <c r="H175" s="26" t="s">
        <v>57</v>
      </c>
      <c r="I175" s="44" t="s">
        <v>832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46196</v>
      </c>
      <c r="O175" s="26" t="s">
        <v>55</v>
      </c>
      <c r="P175" s="44" t="s">
        <v>832</v>
      </c>
      <c r="Q175" s="26" t="s">
        <v>57</v>
      </c>
      <c r="R175" s="44" t="s">
        <v>832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832</v>
      </c>
      <c r="Z175" s="30" t="s">
        <v>57</v>
      </c>
      <c r="AA175" s="30" t="s">
        <v>832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4943</v>
      </c>
      <c r="C176" s="41" t="s">
        <v>4944</v>
      </c>
      <c r="D176" s="39" t="s">
        <v>4602</v>
      </c>
      <c r="E176" s="42">
        <v>46128</v>
      </c>
      <c r="F176" s="26" t="s">
        <v>55</v>
      </c>
      <c r="G176" s="44" t="s">
        <v>56</v>
      </c>
      <c r="H176" s="26" t="s">
        <v>57</v>
      </c>
      <c r="I176" s="44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46196</v>
      </c>
      <c r="O176" s="26" t="s">
        <v>55</v>
      </c>
      <c r="P176" s="44" t="s">
        <v>56</v>
      </c>
      <c r="Q176" s="26" t="s">
        <v>57</v>
      </c>
      <c r="R176" s="44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4945</v>
      </c>
      <c r="C177" s="25" t="s">
        <v>4946</v>
      </c>
      <c r="D177" s="23" t="s">
        <v>4602</v>
      </c>
      <c r="E177" s="42">
        <v>46128</v>
      </c>
      <c r="F177" s="26" t="s">
        <v>55</v>
      </c>
      <c r="G177" s="44" t="s">
        <v>56</v>
      </c>
      <c r="H177" s="26" t="s">
        <v>57</v>
      </c>
      <c r="I177" s="44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46196</v>
      </c>
      <c r="O177" s="26" t="s">
        <v>55</v>
      </c>
      <c r="P177" s="44" t="s">
        <v>56</v>
      </c>
      <c r="Q177" s="26" t="s">
        <v>57</v>
      </c>
      <c r="R177" s="44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4947</v>
      </c>
      <c r="C178" s="41" t="s">
        <v>4948</v>
      </c>
      <c r="D178" s="39" t="s">
        <v>4602</v>
      </c>
      <c r="E178" s="42">
        <v>46128</v>
      </c>
      <c r="F178" s="26" t="s">
        <v>55</v>
      </c>
      <c r="G178" s="44" t="s">
        <v>832</v>
      </c>
      <c r="H178" s="26" t="s">
        <v>57</v>
      </c>
      <c r="I178" s="44" t="s">
        <v>832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2">
        <v>46196</v>
      </c>
      <c r="O178" s="26" t="s">
        <v>55</v>
      </c>
      <c r="P178" s="44" t="s">
        <v>832</v>
      </c>
      <c r="Q178" s="26" t="s">
        <v>57</v>
      </c>
      <c r="R178" s="44" t="s">
        <v>832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832</v>
      </c>
      <c r="Z178" s="30" t="s">
        <v>57</v>
      </c>
      <c r="AA178" s="30" t="s">
        <v>832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4949</v>
      </c>
      <c r="C179" s="25" t="s">
        <v>4950</v>
      </c>
      <c r="D179" s="23" t="s">
        <v>4602</v>
      </c>
      <c r="E179" s="42">
        <v>46128</v>
      </c>
      <c r="F179" s="26" t="s">
        <v>55</v>
      </c>
      <c r="G179" s="44" t="s">
        <v>832</v>
      </c>
      <c r="H179" s="26" t="s">
        <v>57</v>
      </c>
      <c r="I179" s="44" t="s">
        <v>832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2">
        <v>46196</v>
      </c>
      <c r="O179" s="26" t="s">
        <v>55</v>
      </c>
      <c r="P179" s="44" t="s">
        <v>832</v>
      </c>
      <c r="Q179" s="26" t="s">
        <v>57</v>
      </c>
      <c r="R179" s="44" t="s">
        <v>832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832</v>
      </c>
      <c r="Z179" s="30" t="s">
        <v>57</v>
      </c>
      <c r="AA179" s="30" t="s">
        <v>832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4951</v>
      </c>
      <c r="C180" s="41" t="s">
        <v>4952</v>
      </c>
      <c r="D180" s="39" t="s">
        <v>4602</v>
      </c>
      <c r="E180" s="42">
        <v>46128</v>
      </c>
      <c r="F180" s="26" t="s">
        <v>55</v>
      </c>
      <c r="G180" s="44" t="s">
        <v>832</v>
      </c>
      <c r="H180" s="26" t="s">
        <v>57</v>
      </c>
      <c r="I180" s="44" t="s">
        <v>832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2">
        <v>46196</v>
      </c>
      <c r="O180" s="26" t="s">
        <v>55</v>
      </c>
      <c r="P180" s="44" t="s">
        <v>832</v>
      </c>
      <c r="Q180" s="26" t="s">
        <v>57</v>
      </c>
      <c r="R180" s="44" t="s">
        <v>832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832</v>
      </c>
      <c r="Z180" s="30" t="s">
        <v>57</v>
      </c>
      <c r="AA180" s="30" t="s">
        <v>832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4953</v>
      </c>
      <c r="C181" s="25" t="s">
        <v>4954</v>
      </c>
      <c r="D181" s="23" t="s">
        <v>4602</v>
      </c>
      <c r="E181" s="42">
        <v>46128</v>
      </c>
      <c r="F181" s="26" t="s">
        <v>55</v>
      </c>
      <c r="G181" s="44" t="s">
        <v>832</v>
      </c>
      <c r="H181" s="26" t="s">
        <v>57</v>
      </c>
      <c r="I181" s="44" t="s">
        <v>832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2">
        <v>46196</v>
      </c>
      <c r="O181" s="26" t="s">
        <v>55</v>
      </c>
      <c r="P181" s="44" t="s">
        <v>832</v>
      </c>
      <c r="Q181" s="26" t="s">
        <v>57</v>
      </c>
      <c r="R181" s="44" t="s">
        <v>832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832</v>
      </c>
      <c r="Z181" s="30" t="s">
        <v>57</v>
      </c>
      <c r="AA181" s="30" t="s">
        <v>832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4955</v>
      </c>
      <c r="C182" s="41" t="s">
        <v>4956</v>
      </c>
      <c r="D182" s="39" t="s">
        <v>4602</v>
      </c>
      <c r="E182" s="42">
        <v>46128</v>
      </c>
      <c r="F182" s="26" t="s">
        <v>55</v>
      </c>
      <c r="G182" s="44" t="s">
        <v>832</v>
      </c>
      <c r="H182" s="26" t="s">
        <v>57</v>
      </c>
      <c r="I182" s="44" t="s">
        <v>832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2">
        <v>46196</v>
      </c>
      <c r="O182" s="26" t="s">
        <v>55</v>
      </c>
      <c r="P182" s="44" t="s">
        <v>832</v>
      </c>
      <c r="Q182" s="26" t="s">
        <v>57</v>
      </c>
      <c r="R182" s="44" t="s">
        <v>832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832</v>
      </c>
      <c r="Z182" s="30" t="s">
        <v>57</v>
      </c>
      <c r="AA182" s="30" t="s">
        <v>832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4957</v>
      </c>
      <c r="C183" s="25" t="s">
        <v>4958</v>
      </c>
      <c r="D183" s="23" t="s">
        <v>4602</v>
      </c>
      <c r="E183" s="42">
        <v>46128</v>
      </c>
      <c r="F183" s="26" t="s">
        <v>55</v>
      </c>
      <c r="G183" s="44" t="s">
        <v>832</v>
      </c>
      <c r="H183" s="26" t="s">
        <v>57</v>
      </c>
      <c r="I183" s="44" t="s">
        <v>832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2">
        <v>46196</v>
      </c>
      <c r="O183" s="26" t="s">
        <v>55</v>
      </c>
      <c r="P183" s="44" t="s">
        <v>832</v>
      </c>
      <c r="Q183" s="26" t="s">
        <v>57</v>
      </c>
      <c r="R183" s="44" t="s">
        <v>832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832</v>
      </c>
      <c r="Z183" s="30" t="s">
        <v>57</v>
      </c>
      <c r="AA183" s="30" t="s">
        <v>832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4959</v>
      </c>
      <c r="C184" s="41" t="s">
        <v>4960</v>
      </c>
      <c r="D184" s="39" t="s">
        <v>4602</v>
      </c>
      <c r="E184" s="42">
        <v>46128</v>
      </c>
      <c r="F184" s="26" t="s">
        <v>55</v>
      </c>
      <c r="G184" s="44" t="s">
        <v>832</v>
      </c>
      <c r="H184" s="26" t="s">
        <v>57</v>
      </c>
      <c r="I184" s="44" t="s">
        <v>832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2">
        <v>46196</v>
      </c>
      <c r="O184" s="26" t="s">
        <v>55</v>
      </c>
      <c r="P184" s="44" t="s">
        <v>832</v>
      </c>
      <c r="Q184" s="26" t="s">
        <v>57</v>
      </c>
      <c r="R184" s="44" t="s">
        <v>832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832</v>
      </c>
      <c r="Z184" s="30" t="s">
        <v>57</v>
      </c>
      <c r="AA184" s="30" t="s">
        <v>832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4961</v>
      </c>
      <c r="C185" s="25" t="s">
        <v>4962</v>
      </c>
      <c r="D185" s="23" t="s">
        <v>4602</v>
      </c>
      <c r="E185" s="42">
        <v>46128</v>
      </c>
      <c r="F185" s="26" t="s">
        <v>55</v>
      </c>
      <c r="G185" s="44" t="s">
        <v>832</v>
      </c>
      <c r="H185" s="26" t="s">
        <v>57</v>
      </c>
      <c r="I185" s="44" t="s">
        <v>832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2">
        <v>46196</v>
      </c>
      <c r="O185" s="26" t="s">
        <v>55</v>
      </c>
      <c r="P185" s="44" t="s">
        <v>832</v>
      </c>
      <c r="Q185" s="26" t="s">
        <v>57</v>
      </c>
      <c r="R185" s="44" t="s">
        <v>832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832</v>
      </c>
      <c r="Z185" s="30" t="s">
        <v>57</v>
      </c>
      <c r="AA185" s="30" t="s">
        <v>832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4963</v>
      </c>
      <c r="C186" s="41" t="s">
        <v>4964</v>
      </c>
      <c r="D186" s="39" t="s">
        <v>4602</v>
      </c>
      <c r="E186" s="42">
        <v>46128</v>
      </c>
      <c r="F186" s="26" t="s">
        <v>55</v>
      </c>
      <c r="G186" s="44" t="s">
        <v>832</v>
      </c>
      <c r="H186" s="26" t="s">
        <v>57</v>
      </c>
      <c r="I186" s="44" t="s">
        <v>832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46196</v>
      </c>
      <c r="O186" s="26" t="s">
        <v>55</v>
      </c>
      <c r="P186" s="44" t="s">
        <v>832</v>
      </c>
      <c r="Q186" s="26" t="s">
        <v>57</v>
      </c>
      <c r="R186" s="44" t="s">
        <v>832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832</v>
      </c>
      <c r="Z186" s="30" t="s">
        <v>57</v>
      </c>
      <c r="AA186" s="30" t="s">
        <v>832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4965</v>
      </c>
      <c r="C187" s="25" t="s">
        <v>4966</v>
      </c>
      <c r="D187" s="23" t="s">
        <v>4602</v>
      </c>
      <c r="E187" s="42">
        <v>46128</v>
      </c>
      <c r="F187" s="26" t="s">
        <v>55</v>
      </c>
      <c r="G187" s="44" t="s">
        <v>832</v>
      </c>
      <c r="H187" s="26" t="s">
        <v>57</v>
      </c>
      <c r="I187" s="44" t="s">
        <v>832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46196</v>
      </c>
      <c r="O187" s="26" t="s">
        <v>55</v>
      </c>
      <c r="P187" s="44" t="s">
        <v>832</v>
      </c>
      <c r="Q187" s="26" t="s">
        <v>57</v>
      </c>
      <c r="R187" s="44" t="s">
        <v>832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832</v>
      </c>
      <c r="Z187" s="30" t="s">
        <v>57</v>
      </c>
      <c r="AA187" s="30" t="s">
        <v>832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4967</v>
      </c>
      <c r="C188" s="41" t="s">
        <v>4968</v>
      </c>
      <c r="D188" s="39" t="s">
        <v>4602</v>
      </c>
      <c r="E188" s="42">
        <v>46128</v>
      </c>
      <c r="F188" s="26" t="s">
        <v>55</v>
      </c>
      <c r="G188" s="44" t="s">
        <v>832</v>
      </c>
      <c r="H188" s="26" t="s">
        <v>57</v>
      </c>
      <c r="I188" s="44" t="s">
        <v>832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46196</v>
      </c>
      <c r="O188" s="26" t="s">
        <v>55</v>
      </c>
      <c r="P188" s="44" t="s">
        <v>832</v>
      </c>
      <c r="Q188" s="26" t="s">
        <v>57</v>
      </c>
      <c r="R188" s="44" t="s">
        <v>832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832</v>
      </c>
      <c r="Z188" s="30" t="s">
        <v>57</v>
      </c>
      <c r="AA188" s="30" t="s">
        <v>832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4969</v>
      </c>
      <c r="C189" s="25" t="s">
        <v>4970</v>
      </c>
      <c r="D189" s="23" t="s">
        <v>4602</v>
      </c>
      <c r="E189" s="42">
        <v>46128</v>
      </c>
      <c r="F189" s="26" t="s">
        <v>55</v>
      </c>
      <c r="G189" s="44" t="s">
        <v>832</v>
      </c>
      <c r="H189" s="26" t="s">
        <v>57</v>
      </c>
      <c r="I189" s="44" t="s">
        <v>832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46196</v>
      </c>
      <c r="O189" s="26" t="s">
        <v>55</v>
      </c>
      <c r="P189" s="44" t="s">
        <v>832</v>
      </c>
      <c r="Q189" s="26" t="s">
        <v>57</v>
      </c>
      <c r="R189" s="44" t="s">
        <v>832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832</v>
      </c>
      <c r="Z189" s="30" t="s">
        <v>57</v>
      </c>
      <c r="AA189" s="30" t="s">
        <v>832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4971</v>
      </c>
      <c r="C190" s="41" t="s">
        <v>4972</v>
      </c>
      <c r="D190" s="39" t="s">
        <v>4602</v>
      </c>
      <c r="E190" s="42">
        <v>46128</v>
      </c>
      <c r="F190" s="26" t="s">
        <v>55</v>
      </c>
      <c r="G190" s="44" t="s">
        <v>832</v>
      </c>
      <c r="H190" s="26" t="s">
        <v>57</v>
      </c>
      <c r="I190" s="44" t="s">
        <v>832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46196</v>
      </c>
      <c r="O190" s="26" t="s">
        <v>55</v>
      </c>
      <c r="P190" s="44" t="s">
        <v>832</v>
      </c>
      <c r="Q190" s="26" t="s">
        <v>57</v>
      </c>
      <c r="R190" s="44" t="s">
        <v>832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832</v>
      </c>
      <c r="Z190" s="30" t="s">
        <v>57</v>
      </c>
      <c r="AA190" s="30" t="s">
        <v>832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4973</v>
      </c>
      <c r="C191" s="25" t="s">
        <v>4974</v>
      </c>
      <c r="D191" s="23" t="s">
        <v>4602</v>
      </c>
      <c r="E191" s="42">
        <v>46128</v>
      </c>
      <c r="F191" s="26" t="s">
        <v>55</v>
      </c>
      <c r="G191" s="44" t="s">
        <v>832</v>
      </c>
      <c r="H191" s="26" t="s">
        <v>57</v>
      </c>
      <c r="I191" s="44" t="s">
        <v>832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2">
        <v>46196</v>
      </c>
      <c r="O191" s="26" t="s">
        <v>55</v>
      </c>
      <c r="P191" s="44" t="s">
        <v>832</v>
      </c>
      <c r="Q191" s="26" t="s">
        <v>57</v>
      </c>
      <c r="R191" s="44" t="s">
        <v>832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832</v>
      </c>
      <c r="Z191" s="30" t="s">
        <v>57</v>
      </c>
      <c r="AA191" s="30" t="s">
        <v>832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4975</v>
      </c>
      <c r="C192" s="41" t="s">
        <v>4976</v>
      </c>
      <c r="D192" s="39" t="s">
        <v>4602</v>
      </c>
      <c r="E192" s="42">
        <v>46128</v>
      </c>
      <c r="F192" s="26" t="s">
        <v>55</v>
      </c>
      <c r="G192" s="44" t="s">
        <v>56</v>
      </c>
      <c r="H192" s="26" t="s">
        <v>57</v>
      </c>
      <c r="I192" s="44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46196</v>
      </c>
      <c r="O192" s="26" t="s">
        <v>55</v>
      </c>
      <c r="P192" s="44" t="s">
        <v>56</v>
      </c>
      <c r="Q192" s="26" t="s">
        <v>57</v>
      </c>
      <c r="R192" s="44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4977</v>
      </c>
      <c r="C193" s="25" t="s">
        <v>4978</v>
      </c>
      <c r="D193" s="23" t="s">
        <v>4602</v>
      </c>
      <c r="E193" s="42">
        <v>46128</v>
      </c>
      <c r="F193" s="26" t="s">
        <v>55</v>
      </c>
      <c r="G193" s="44" t="s">
        <v>832</v>
      </c>
      <c r="H193" s="26" t="s">
        <v>57</v>
      </c>
      <c r="I193" s="44" t="s">
        <v>832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2">
        <v>46196</v>
      </c>
      <c r="O193" s="26" t="s">
        <v>55</v>
      </c>
      <c r="P193" s="44" t="s">
        <v>832</v>
      </c>
      <c r="Q193" s="26" t="s">
        <v>57</v>
      </c>
      <c r="R193" s="44" t="s">
        <v>832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832</v>
      </c>
      <c r="Z193" s="30" t="s">
        <v>57</v>
      </c>
      <c r="AA193" s="30" t="s">
        <v>832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4979</v>
      </c>
      <c r="C194" s="41" t="s">
        <v>4980</v>
      </c>
      <c r="D194" s="39" t="s">
        <v>4602</v>
      </c>
      <c r="E194" s="42">
        <v>46128</v>
      </c>
      <c r="F194" s="26" t="s">
        <v>55</v>
      </c>
      <c r="G194" s="44" t="s">
        <v>832</v>
      </c>
      <c r="H194" s="26" t="s">
        <v>57</v>
      </c>
      <c r="I194" s="44" t="s">
        <v>832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2">
        <v>46196</v>
      </c>
      <c r="O194" s="26" t="s">
        <v>55</v>
      </c>
      <c r="P194" s="44" t="s">
        <v>832</v>
      </c>
      <c r="Q194" s="26" t="s">
        <v>57</v>
      </c>
      <c r="R194" s="44" t="s">
        <v>832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832</v>
      </c>
      <c r="Z194" s="30" t="s">
        <v>57</v>
      </c>
      <c r="AA194" s="30" t="s">
        <v>832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4981</v>
      </c>
      <c r="C195" s="25" t="s">
        <v>4982</v>
      </c>
      <c r="D195" s="23" t="s">
        <v>4602</v>
      </c>
      <c r="E195" s="42">
        <v>46128</v>
      </c>
      <c r="F195" s="26" t="s">
        <v>55</v>
      </c>
      <c r="G195" s="44" t="s">
        <v>832</v>
      </c>
      <c r="H195" s="26" t="s">
        <v>57</v>
      </c>
      <c r="I195" s="44" t="s">
        <v>832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46196</v>
      </c>
      <c r="O195" s="26" t="s">
        <v>55</v>
      </c>
      <c r="P195" s="44" t="s">
        <v>832</v>
      </c>
      <c r="Q195" s="26" t="s">
        <v>57</v>
      </c>
      <c r="R195" s="44" t="s">
        <v>832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832</v>
      </c>
      <c r="Z195" s="30" t="s">
        <v>57</v>
      </c>
      <c r="AA195" s="30" t="s">
        <v>832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4983</v>
      </c>
      <c r="C196" s="41" t="s">
        <v>4984</v>
      </c>
      <c r="D196" s="39" t="s">
        <v>4602</v>
      </c>
      <c r="E196" s="42">
        <v>46128</v>
      </c>
      <c r="F196" s="26" t="s">
        <v>55</v>
      </c>
      <c r="G196" s="44" t="s">
        <v>832</v>
      </c>
      <c r="H196" s="26" t="s">
        <v>57</v>
      </c>
      <c r="I196" s="44" t="s">
        <v>832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2">
        <v>46196</v>
      </c>
      <c r="O196" s="26" t="s">
        <v>55</v>
      </c>
      <c r="P196" s="44" t="s">
        <v>832</v>
      </c>
      <c r="Q196" s="26" t="s">
        <v>57</v>
      </c>
      <c r="R196" s="44" t="s">
        <v>832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832</v>
      </c>
      <c r="Z196" s="30" t="s">
        <v>57</v>
      </c>
      <c r="AA196" s="30" t="s">
        <v>832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4985</v>
      </c>
      <c r="C197" s="25" t="s">
        <v>4986</v>
      </c>
      <c r="D197" s="23" t="s">
        <v>4602</v>
      </c>
      <c r="E197" s="42">
        <v>46128</v>
      </c>
      <c r="F197" s="26" t="s">
        <v>55</v>
      </c>
      <c r="G197" s="44" t="s">
        <v>56</v>
      </c>
      <c r="H197" s="26" t="s">
        <v>57</v>
      </c>
      <c r="I197" s="44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2">
        <v>46196</v>
      </c>
      <c r="O197" s="26" t="s">
        <v>55</v>
      </c>
      <c r="P197" s="44" t="s">
        <v>56</v>
      </c>
      <c r="Q197" s="26" t="s">
        <v>57</v>
      </c>
      <c r="R197" s="44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4987</v>
      </c>
      <c r="C198" s="41" t="s">
        <v>4988</v>
      </c>
      <c r="D198" s="39" t="s">
        <v>4602</v>
      </c>
      <c r="E198" s="42">
        <v>46128</v>
      </c>
      <c r="F198" s="26" t="s">
        <v>55</v>
      </c>
      <c r="G198" s="44" t="s">
        <v>832</v>
      </c>
      <c r="H198" s="26" t="s">
        <v>57</v>
      </c>
      <c r="I198" s="44" t="s">
        <v>832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46196</v>
      </c>
      <c r="O198" s="26" t="s">
        <v>55</v>
      </c>
      <c r="P198" s="44" t="s">
        <v>832</v>
      </c>
      <c r="Q198" s="26" t="s">
        <v>57</v>
      </c>
      <c r="R198" s="44" t="s">
        <v>832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832</v>
      </c>
      <c r="Z198" s="30" t="s">
        <v>57</v>
      </c>
      <c r="AA198" s="30" t="s">
        <v>832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4989</v>
      </c>
      <c r="C199" s="25" t="s">
        <v>4990</v>
      </c>
      <c r="D199" s="23" t="s">
        <v>4602</v>
      </c>
      <c r="E199" s="42">
        <v>46128</v>
      </c>
      <c r="F199" s="26" t="s">
        <v>55</v>
      </c>
      <c r="G199" s="44" t="s">
        <v>832</v>
      </c>
      <c r="H199" s="26" t="s">
        <v>57</v>
      </c>
      <c r="I199" s="44" t="s">
        <v>832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46196</v>
      </c>
      <c r="O199" s="26" t="s">
        <v>55</v>
      </c>
      <c r="P199" s="44" t="s">
        <v>832</v>
      </c>
      <c r="Q199" s="26" t="s">
        <v>57</v>
      </c>
      <c r="R199" s="44" t="s">
        <v>832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832</v>
      </c>
      <c r="Z199" s="30" t="s">
        <v>57</v>
      </c>
      <c r="AA199" s="30" t="s">
        <v>832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4991</v>
      </c>
      <c r="C200" s="41" t="s">
        <v>4992</v>
      </c>
      <c r="D200" s="39" t="s">
        <v>4602</v>
      </c>
      <c r="E200" s="42">
        <v>46128</v>
      </c>
      <c r="F200" s="26" t="s">
        <v>55</v>
      </c>
      <c r="G200" s="44" t="s">
        <v>832</v>
      </c>
      <c r="H200" s="26" t="s">
        <v>57</v>
      </c>
      <c r="I200" s="44" t="s">
        <v>832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46196</v>
      </c>
      <c r="O200" s="26" t="s">
        <v>55</v>
      </c>
      <c r="P200" s="44" t="s">
        <v>832</v>
      </c>
      <c r="Q200" s="26" t="s">
        <v>57</v>
      </c>
      <c r="R200" s="44" t="s">
        <v>832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832</v>
      </c>
      <c r="Z200" s="30" t="s">
        <v>57</v>
      </c>
      <c r="AA200" s="30" t="s">
        <v>832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4993</v>
      </c>
      <c r="C201" s="25" t="s">
        <v>4994</v>
      </c>
      <c r="D201" s="23" t="s">
        <v>4602</v>
      </c>
      <c r="E201" s="42">
        <v>46128</v>
      </c>
      <c r="F201" s="26" t="s">
        <v>55</v>
      </c>
      <c r="G201" s="44" t="s">
        <v>56</v>
      </c>
      <c r="H201" s="26" t="s">
        <v>57</v>
      </c>
      <c r="I201" s="44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46196</v>
      </c>
      <c r="O201" s="26" t="s">
        <v>55</v>
      </c>
      <c r="P201" s="44" t="s">
        <v>56</v>
      </c>
      <c r="Q201" s="26" t="s">
        <v>57</v>
      </c>
      <c r="R201" s="44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4995</v>
      </c>
      <c r="C202" s="41" t="s">
        <v>4996</v>
      </c>
      <c r="D202" s="39" t="s">
        <v>4602</v>
      </c>
      <c r="E202" s="42">
        <v>46128</v>
      </c>
      <c r="F202" s="26" t="s">
        <v>55</v>
      </c>
      <c r="G202" s="44" t="s">
        <v>832</v>
      </c>
      <c r="H202" s="26" t="s">
        <v>57</v>
      </c>
      <c r="I202" s="44" t="s">
        <v>832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2">
        <v>46196</v>
      </c>
      <c r="O202" s="26" t="s">
        <v>55</v>
      </c>
      <c r="P202" s="44" t="s">
        <v>832</v>
      </c>
      <c r="Q202" s="26" t="s">
        <v>57</v>
      </c>
      <c r="R202" s="44" t="s">
        <v>832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832</v>
      </c>
      <c r="Z202" s="30" t="s">
        <v>57</v>
      </c>
      <c r="AA202" s="30" t="s">
        <v>832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4997</v>
      </c>
      <c r="C203" s="25" t="s">
        <v>4998</v>
      </c>
      <c r="D203" s="23" t="s">
        <v>4602</v>
      </c>
      <c r="E203" s="42">
        <v>46128</v>
      </c>
      <c r="F203" s="26" t="s">
        <v>55</v>
      </c>
      <c r="G203" s="44" t="s">
        <v>832</v>
      </c>
      <c r="H203" s="26" t="s">
        <v>57</v>
      </c>
      <c r="I203" s="44" t="s">
        <v>832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46196</v>
      </c>
      <c r="O203" s="26" t="s">
        <v>55</v>
      </c>
      <c r="P203" s="44" t="s">
        <v>832</v>
      </c>
      <c r="Q203" s="26" t="s">
        <v>57</v>
      </c>
      <c r="R203" s="44" t="s">
        <v>832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832</v>
      </c>
      <c r="Z203" s="30" t="s">
        <v>57</v>
      </c>
      <c r="AA203" s="30" t="s">
        <v>832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4999</v>
      </c>
      <c r="C204" s="41" t="s">
        <v>5000</v>
      </c>
      <c r="D204" s="39" t="s">
        <v>4602</v>
      </c>
      <c r="E204" s="42">
        <v>46128</v>
      </c>
      <c r="F204" s="26" t="s">
        <v>55</v>
      </c>
      <c r="G204" s="44" t="s">
        <v>56</v>
      </c>
      <c r="H204" s="26" t="s">
        <v>57</v>
      </c>
      <c r="I204" s="44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46196</v>
      </c>
      <c r="O204" s="26" t="s">
        <v>55</v>
      </c>
      <c r="P204" s="44" t="s">
        <v>56</v>
      </c>
      <c r="Q204" s="26" t="s">
        <v>57</v>
      </c>
      <c r="R204" s="44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5001</v>
      </c>
      <c r="C205" s="25" t="s">
        <v>5002</v>
      </c>
      <c r="D205" s="23" t="s">
        <v>4602</v>
      </c>
      <c r="E205" s="42">
        <v>46128</v>
      </c>
      <c r="F205" s="26" t="s">
        <v>55</v>
      </c>
      <c r="G205" s="44" t="s">
        <v>832</v>
      </c>
      <c r="H205" s="26" t="s">
        <v>57</v>
      </c>
      <c r="I205" s="44" t="s">
        <v>832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46196</v>
      </c>
      <c r="O205" s="26" t="s">
        <v>55</v>
      </c>
      <c r="P205" s="44" t="s">
        <v>832</v>
      </c>
      <c r="Q205" s="26" t="s">
        <v>57</v>
      </c>
      <c r="R205" s="44" t="s">
        <v>832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832</v>
      </c>
      <c r="Z205" s="30" t="s">
        <v>57</v>
      </c>
      <c r="AA205" s="30" t="s">
        <v>832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5003</v>
      </c>
      <c r="C206" s="41" t="s">
        <v>5004</v>
      </c>
      <c r="D206" s="39" t="s">
        <v>4602</v>
      </c>
      <c r="E206" s="42">
        <v>46128</v>
      </c>
      <c r="F206" s="26" t="s">
        <v>55</v>
      </c>
      <c r="G206" s="44" t="s">
        <v>832</v>
      </c>
      <c r="H206" s="26" t="s">
        <v>57</v>
      </c>
      <c r="I206" s="44" t="s">
        <v>832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46196</v>
      </c>
      <c r="O206" s="26" t="s">
        <v>55</v>
      </c>
      <c r="P206" s="44" t="s">
        <v>832</v>
      </c>
      <c r="Q206" s="26" t="s">
        <v>57</v>
      </c>
      <c r="R206" s="44" t="s">
        <v>832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832</v>
      </c>
      <c r="Z206" s="30" t="s">
        <v>57</v>
      </c>
      <c r="AA206" s="30" t="s">
        <v>832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5005</v>
      </c>
      <c r="C207" s="25" t="s">
        <v>5006</v>
      </c>
      <c r="D207" s="23" t="s">
        <v>4602</v>
      </c>
      <c r="E207" s="42">
        <v>46128</v>
      </c>
      <c r="F207" s="26" t="s">
        <v>55</v>
      </c>
      <c r="G207" s="44" t="s">
        <v>832</v>
      </c>
      <c r="H207" s="26" t="s">
        <v>57</v>
      </c>
      <c r="I207" s="44" t="s">
        <v>832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2">
        <v>46196</v>
      </c>
      <c r="O207" s="26" t="s">
        <v>55</v>
      </c>
      <c r="P207" s="44" t="s">
        <v>832</v>
      </c>
      <c r="Q207" s="26" t="s">
        <v>57</v>
      </c>
      <c r="R207" s="44" t="s">
        <v>832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832</v>
      </c>
      <c r="Z207" s="30" t="s">
        <v>57</v>
      </c>
      <c r="AA207" s="30" t="s">
        <v>832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5007</v>
      </c>
      <c r="C208" s="41" t="s">
        <v>5008</v>
      </c>
      <c r="D208" s="39" t="s">
        <v>4602</v>
      </c>
      <c r="E208" s="42">
        <v>46128</v>
      </c>
      <c r="F208" s="26" t="s">
        <v>55</v>
      </c>
      <c r="G208" s="44" t="s">
        <v>832</v>
      </c>
      <c r="H208" s="26" t="s">
        <v>57</v>
      </c>
      <c r="I208" s="44" t="s">
        <v>832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46196</v>
      </c>
      <c r="O208" s="26" t="s">
        <v>55</v>
      </c>
      <c r="P208" s="44" t="s">
        <v>832</v>
      </c>
      <c r="Q208" s="26" t="s">
        <v>57</v>
      </c>
      <c r="R208" s="44" t="s">
        <v>832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832</v>
      </c>
      <c r="Z208" s="30" t="s">
        <v>57</v>
      </c>
      <c r="AA208" s="30" t="s">
        <v>832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5009</v>
      </c>
      <c r="C209" s="25" t="s">
        <v>5010</v>
      </c>
      <c r="D209" s="23" t="s">
        <v>4602</v>
      </c>
      <c r="E209" s="42">
        <v>46128</v>
      </c>
      <c r="F209" s="26" t="s">
        <v>55</v>
      </c>
      <c r="G209" s="44" t="s">
        <v>832</v>
      </c>
      <c r="H209" s="26" t="s">
        <v>57</v>
      </c>
      <c r="I209" s="44" t="s">
        <v>832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46196</v>
      </c>
      <c r="O209" s="26" t="s">
        <v>55</v>
      </c>
      <c r="P209" s="44" t="s">
        <v>832</v>
      </c>
      <c r="Q209" s="26" t="s">
        <v>57</v>
      </c>
      <c r="R209" s="44" t="s">
        <v>832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832</v>
      </c>
      <c r="Z209" s="30" t="s">
        <v>57</v>
      </c>
      <c r="AA209" s="30" t="s">
        <v>832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5011</v>
      </c>
      <c r="C210" s="41" t="s">
        <v>5012</v>
      </c>
      <c r="D210" s="39" t="s">
        <v>4602</v>
      </c>
      <c r="E210" s="42">
        <v>46128</v>
      </c>
      <c r="F210" s="26" t="s">
        <v>55</v>
      </c>
      <c r="G210" s="44" t="s">
        <v>832</v>
      </c>
      <c r="H210" s="26" t="s">
        <v>57</v>
      </c>
      <c r="I210" s="44" t="s">
        <v>832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46196</v>
      </c>
      <c r="O210" s="26" t="s">
        <v>55</v>
      </c>
      <c r="P210" s="44" t="s">
        <v>832</v>
      </c>
      <c r="Q210" s="26" t="s">
        <v>57</v>
      </c>
      <c r="R210" s="44" t="s">
        <v>832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832</v>
      </c>
      <c r="Z210" s="30" t="s">
        <v>57</v>
      </c>
      <c r="AA210" s="30" t="s">
        <v>832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5013</v>
      </c>
      <c r="C211" s="25" t="s">
        <v>5014</v>
      </c>
      <c r="D211" s="23" t="s">
        <v>4602</v>
      </c>
      <c r="E211" s="42">
        <v>46128</v>
      </c>
      <c r="F211" s="26" t="s">
        <v>55</v>
      </c>
      <c r="G211" s="44" t="s">
        <v>56</v>
      </c>
      <c r="H211" s="26" t="s">
        <v>57</v>
      </c>
      <c r="I211" s="44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46196</v>
      </c>
      <c r="O211" s="26" t="s">
        <v>55</v>
      </c>
      <c r="P211" s="44" t="s">
        <v>56</v>
      </c>
      <c r="Q211" s="26" t="s">
        <v>57</v>
      </c>
      <c r="R211" s="44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5015</v>
      </c>
      <c r="C212" s="41" t="s">
        <v>5016</v>
      </c>
      <c r="D212" s="39" t="s">
        <v>4602</v>
      </c>
      <c r="E212" s="42">
        <v>46128</v>
      </c>
      <c r="F212" s="26" t="s">
        <v>55</v>
      </c>
      <c r="G212" s="44" t="s">
        <v>56</v>
      </c>
      <c r="H212" s="26" t="s">
        <v>57</v>
      </c>
      <c r="I212" s="44" t="s">
        <v>277</v>
      </c>
      <c r="J212" s="26" t="s">
        <v>57</v>
      </c>
      <c r="K212" s="27" t="s">
        <v>5017</v>
      </c>
      <c r="L212" s="28" t="s">
        <v>56</v>
      </c>
      <c r="M212" s="29" t="str">
        <f t="shared" si="15"/>
        <v>⚠ Check</v>
      </c>
      <c r="N212" s="42">
        <v>46196</v>
      </c>
      <c r="O212" s="26" t="s">
        <v>55</v>
      </c>
      <c r="P212" s="44" t="s">
        <v>56</v>
      </c>
      <c r="Q212" s="26" t="s">
        <v>57</v>
      </c>
      <c r="R212" s="44" t="s">
        <v>277</v>
      </c>
      <c r="S212" s="26" t="s">
        <v>57</v>
      </c>
      <c r="T212" s="27" t="s">
        <v>5017</v>
      </c>
      <c r="U212" s="28" t="s">
        <v>56</v>
      </c>
      <c r="V212" s="29" t="str">
        <f t="shared" si="16"/>
        <v>⚠ Check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277</v>
      </c>
      <c r="AB212" s="30" t="s">
        <v>57</v>
      </c>
      <c r="AC212" s="27" t="s">
        <v>5017</v>
      </c>
      <c r="AD212" s="31" t="s">
        <v>56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5018</v>
      </c>
      <c r="C213" s="25" t="s">
        <v>5019</v>
      </c>
      <c r="D213" s="23" t="s">
        <v>4602</v>
      </c>
      <c r="E213" s="42">
        <v>46128</v>
      </c>
      <c r="F213" s="26" t="s">
        <v>55</v>
      </c>
      <c r="G213" s="44" t="s">
        <v>832</v>
      </c>
      <c r="H213" s="26" t="s">
        <v>57</v>
      </c>
      <c r="I213" s="44" t="s">
        <v>832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2">
        <v>46196</v>
      </c>
      <c r="O213" s="26" t="s">
        <v>55</v>
      </c>
      <c r="P213" s="44" t="s">
        <v>832</v>
      </c>
      <c r="Q213" s="26" t="s">
        <v>57</v>
      </c>
      <c r="R213" s="44" t="s">
        <v>832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832</v>
      </c>
      <c r="Z213" s="30" t="s">
        <v>57</v>
      </c>
      <c r="AA213" s="30" t="s">
        <v>832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5020</v>
      </c>
      <c r="C214" s="41" t="s">
        <v>5021</v>
      </c>
      <c r="D214" s="39" t="s">
        <v>4602</v>
      </c>
      <c r="E214" s="42">
        <v>46128</v>
      </c>
      <c r="F214" s="26" t="s">
        <v>55</v>
      </c>
      <c r="G214" s="44" t="s">
        <v>832</v>
      </c>
      <c r="H214" s="26" t="s">
        <v>57</v>
      </c>
      <c r="I214" s="44" t="s">
        <v>832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46196</v>
      </c>
      <c r="O214" s="26" t="s">
        <v>55</v>
      </c>
      <c r="P214" s="44" t="s">
        <v>832</v>
      </c>
      <c r="Q214" s="26" t="s">
        <v>57</v>
      </c>
      <c r="R214" s="44" t="s">
        <v>832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832</v>
      </c>
      <c r="Z214" s="30" t="s">
        <v>57</v>
      </c>
      <c r="AA214" s="30" t="s">
        <v>832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5022</v>
      </c>
      <c r="C215" s="25" t="s">
        <v>5023</v>
      </c>
      <c r="D215" s="23" t="s">
        <v>4602</v>
      </c>
      <c r="E215" s="42">
        <v>46128</v>
      </c>
      <c r="F215" s="26" t="s">
        <v>55</v>
      </c>
      <c r="G215" s="44" t="s">
        <v>832</v>
      </c>
      <c r="H215" s="26" t="s">
        <v>57</v>
      </c>
      <c r="I215" s="44" t="s">
        <v>832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46196</v>
      </c>
      <c r="O215" s="26" t="s">
        <v>55</v>
      </c>
      <c r="P215" s="44" t="s">
        <v>832</v>
      </c>
      <c r="Q215" s="26" t="s">
        <v>57</v>
      </c>
      <c r="R215" s="44" t="s">
        <v>832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832</v>
      </c>
      <c r="Z215" s="30" t="s">
        <v>57</v>
      </c>
      <c r="AA215" s="30" t="s">
        <v>832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5024</v>
      </c>
      <c r="C216" s="41" t="s">
        <v>5025</v>
      </c>
      <c r="D216" s="39" t="s">
        <v>4602</v>
      </c>
      <c r="E216" s="42">
        <v>46128</v>
      </c>
      <c r="F216" s="26" t="s">
        <v>55</v>
      </c>
      <c r="G216" s="44" t="s">
        <v>56</v>
      </c>
      <c r="H216" s="26" t="s">
        <v>57</v>
      </c>
      <c r="I216" s="44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46196</v>
      </c>
      <c r="O216" s="26" t="s">
        <v>55</v>
      </c>
      <c r="P216" s="44" t="s">
        <v>56</v>
      </c>
      <c r="Q216" s="26" t="s">
        <v>57</v>
      </c>
      <c r="R216" s="44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5026</v>
      </c>
      <c r="C217" s="25" t="s">
        <v>5027</v>
      </c>
      <c r="D217" s="23" t="s">
        <v>4602</v>
      </c>
      <c r="E217" s="42">
        <v>46128</v>
      </c>
      <c r="F217" s="26" t="s">
        <v>55</v>
      </c>
      <c r="G217" s="44" t="s">
        <v>832</v>
      </c>
      <c r="H217" s="26" t="s">
        <v>57</v>
      </c>
      <c r="I217" s="44" t="s">
        <v>832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46196</v>
      </c>
      <c r="O217" s="26" t="s">
        <v>55</v>
      </c>
      <c r="P217" s="44" t="s">
        <v>832</v>
      </c>
      <c r="Q217" s="26" t="s">
        <v>57</v>
      </c>
      <c r="R217" s="44" t="s">
        <v>832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832</v>
      </c>
      <c r="Z217" s="30" t="s">
        <v>57</v>
      </c>
      <c r="AA217" s="30" t="s">
        <v>832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5028</v>
      </c>
      <c r="C218" s="41" t="s">
        <v>5029</v>
      </c>
      <c r="D218" s="39" t="s">
        <v>4602</v>
      </c>
      <c r="E218" s="42">
        <v>46128</v>
      </c>
      <c r="F218" s="26" t="s">
        <v>55</v>
      </c>
      <c r="G218" s="44" t="s">
        <v>832</v>
      </c>
      <c r="H218" s="26" t="s">
        <v>57</v>
      </c>
      <c r="I218" s="44" t="s">
        <v>832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2">
        <v>46196</v>
      </c>
      <c r="O218" s="26" t="s">
        <v>55</v>
      </c>
      <c r="P218" s="44" t="s">
        <v>832</v>
      </c>
      <c r="Q218" s="26" t="s">
        <v>57</v>
      </c>
      <c r="R218" s="44" t="s">
        <v>832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832</v>
      </c>
      <c r="Z218" s="30" t="s">
        <v>57</v>
      </c>
      <c r="AA218" s="30" t="s">
        <v>832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5030</v>
      </c>
      <c r="C219" s="25" t="s">
        <v>5031</v>
      </c>
      <c r="D219" s="23" t="s">
        <v>4602</v>
      </c>
      <c r="E219" s="42">
        <v>46128</v>
      </c>
      <c r="F219" s="26" t="s">
        <v>55</v>
      </c>
      <c r="G219" s="44" t="s">
        <v>832</v>
      </c>
      <c r="H219" s="26" t="s">
        <v>57</v>
      </c>
      <c r="I219" s="44" t="s">
        <v>832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46196</v>
      </c>
      <c r="O219" s="26" t="s">
        <v>55</v>
      </c>
      <c r="P219" s="44" t="s">
        <v>832</v>
      </c>
      <c r="Q219" s="26" t="s">
        <v>57</v>
      </c>
      <c r="R219" s="44" t="s">
        <v>832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832</v>
      </c>
      <c r="Z219" s="30" t="s">
        <v>57</v>
      </c>
      <c r="AA219" s="30" t="s">
        <v>832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5032</v>
      </c>
      <c r="C220" s="41" t="s">
        <v>5033</v>
      </c>
      <c r="D220" s="39" t="s">
        <v>4602</v>
      </c>
      <c r="E220" s="42">
        <v>46128</v>
      </c>
      <c r="F220" s="26" t="s">
        <v>55</v>
      </c>
      <c r="G220" s="44" t="s">
        <v>832</v>
      </c>
      <c r="H220" s="26" t="s">
        <v>57</v>
      </c>
      <c r="I220" s="44" t="s">
        <v>832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46196</v>
      </c>
      <c r="O220" s="26" t="s">
        <v>55</v>
      </c>
      <c r="P220" s="44" t="s">
        <v>832</v>
      </c>
      <c r="Q220" s="26" t="s">
        <v>57</v>
      </c>
      <c r="R220" s="44" t="s">
        <v>832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832</v>
      </c>
      <c r="Z220" s="30" t="s">
        <v>57</v>
      </c>
      <c r="AA220" s="30" t="s">
        <v>832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5034</v>
      </c>
      <c r="C221" s="25" t="s">
        <v>5035</v>
      </c>
      <c r="D221" s="23" t="s">
        <v>4602</v>
      </c>
      <c r="E221" s="42">
        <v>46128</v>
      </c>
      <c r="F221" s="26" t="s">
        <v>55</v>
      </c>
      <c r="G221" s="44" t="s">
        <v>832</v>
      </c>
      <c r="H221" s="26" t="s">
        <v>57</v>
      </c>
      <c r="I221" s="44" t="s">
        <v>832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2">
        <v>46196</v>
      </c>
      <c r="O221" s="26" t="s">
        <v>55</v>
      </c>
      <c r="P221" s="44" t="s">
        <v>832</v>
      </c>
      <c r="Q221" s="26" t="s">
        <v>57</v>
      </c>
      <c r="R221" s="44" t="s">
        <v>832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832</v>
      </c>
      <c r="Z221" s="30" t="s">
        <v>57</v>
      </c>
      <c r="AA221" s="30" t="s">
        <v>832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5036</v>
      </c>
      <c r="C222" s="41" t="s">
        <v>5037</v>
      </c>
      <c r="D222" s="39" t="s">
        <v>4602</v>
      </c>
      <c r="E222" s="42">
        <v>46128</v>
      </c>
      <c r="F222" s="26" t="s">
        <v>55</v>
      </c>
      <c r="G222" s="44" t="s">
        <v>832</v>
      </c>
      <c r="H222" s="26" t="s">
        <v>57</v>
      </c>
      <c r="I222" s="44" t="s">
        <v>832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46196</v>
      </c>
      <c r="O222" s="26" t="s">
        <v>55</v>
      </c>
      <c r="P222" s="44" t="s">
        <v>832</v>
      </c>
      <c r="Q222" s="26" t="s">
        <v>57</v>
      </c>
      <c r="R222" s="44" t="s">
        <v>832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832</v>
      </c>
      <c r="Z222" s="30" t="s">
        <v>57</v>
      </c>
      <c r="AA222" s="30" t="s">
        <v>832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5038</v>
      </c>
      <c r="C223" s="25" t="s">
        <v>5039</v>
      </c>
      <c r="D223" s="23" t="s">
        <v>4602</v>
      </c>
      <c r="E223" s="42">
        <v>46128</v>
      </c>
      <c r="F223" s="26" t="s">
        <v>55</v>
      </c>
      <c r="G223" s="44" t="s">
        <v>832</v>
      </c>
      <c r="H223" s="26" t="s">
        <v>57</v>
      </c>
      <c r="I223" s="44" t="s">
        <v>832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2">
        <v>46196</v>
      </c>
      <c r="O223" s="26" t="s">
        <v>55</v>
      </c>
      <c r="P223" s="44" t="s">
        <v>832</v>
      </c>
      <c r="Q223" s="26" t="s">
        <v>57</v>
      </c>
      <c r="R223" s="44" t="s">
        <v>832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832</v>
      </c>
      <c r="Z223" s="30" t="s">
        <v>57</v>
      </c>
      <c r="AA223" s="30" t="s">
        <v>832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5040</v>
      </c>
      <c r="C224" s="41" t="s">
        <v>5041</v>
      </c>
      <c r="D224" s="39" t="s">
        <v>4602</v>
      </c>
      <c r="E224" s="42">
        <v>46128</v>
      </c>
      <c r="F224" s="26" t="s">
        <v>55</v>
      </c>
      <c r="G224" s="44" t="s">
        <v>56</v>
      </c>
      <c r="H224" s="26" t="s">
        <v>57</v>
      </c>
      <c r="I224" s="44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46196</v>
      </c>
      <c r="O224" s="26" t="s">
        <v>55</v>
      </c>
      <c r="P224" s="44" t="s">
        <v>56</v>
      </c>
      <c r="Q224" s="26" t="s">
        <v>57</v>
      </c>
      <c r="R224" s="44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5042</v>
      </c>
      <c r="C225" s="25" t="s">
        <v>5043</v>
      </c>
      <c r="D225" s="23" t="s">
        <v>4602</v>
      </c>
      <c r="E225" s="42">
        <v>46128</v>
      </c>
      <c r="F225" s="26" t="s">
        <v>55</v>
      </c>
      <c r="G225" s="44" t="s">
        <v>832</v>
      </c>
      <c r="H225" s="26" t="s">
        <v>57</v>
      </c>
      <c r="I225" s="44" t="s">
        <v>832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46196</v>
      </c>
      <c r="O225" s="26" t="s">
        <v>55</v>
      </c>
      <c r="P225" s="44" t="s">
        <v>832</v>
      </c>
      <c r="Q225" s="26" t="s">
        <v>57</v>
      </c>
      <c r="R225" s="44" t="s">
        <v>832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832</v>
      </c>
      <c r="Z225" s="30" t="s">
        <v>57</v>
      </c>
      <c r="AA225" s="30" t="s">
        <v>832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5044</v>
      </c>
      <c r="C226" s="41" t="s">
        <v>5045</v>
      </c>
      <c r="D226" s="39" t="s">
        <v>4602</v>
      </c>
      <c r="E226" s="42">
        <v>46128</v>
      </c>
      <c r="F226" s="26" t="s">
        <v>55</v>
      </c>
      <c r="G226" s="44" t="s">
        <v>832</v>
      </c>
      <c r="H226" s="26" t="s">
        <v>57</v>
      </c>
      <c r="I226" s="44" t="s">
        <v>832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46196</v>
      </c>
      <c r="O226" s="26" t="s">
        <v>55</v>
      </c>
      <c r="P226" s="44" t="s">
        <v>832</v>
      </c>
      <c r="Q226" s="26" t="s">
        <v>57</v>
      </c>
      <c r="R226" s="44" t="s">
        <v>832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832</v>
      </c>
      <c r="Z226" s="30" t="s">
        <v>57</v>
      </c>
      <c r="AA226" s="30" t="s">
        <v>832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5046</v>
      </c>
      <c r="C227" s="25" t="s">
        <v>5047</v>
      </c>
      <c r="D227" s="23" t="s">
        <v>4602</v>
      </c>
      <c r="E227" s="42">
        <v>46128</v>
      </c>
      <c r="F227" s="26" t="s">
        <v>55</v>
      </c>
      <c r="G227" s="44" t="s">
        <v>832</v>
      </c>
      <c r="H227" s="26" t="s">
        <v>57</v>
      </c>
      <c r="I227" s="44" t="s">
        <v>832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46196</v>
      </c>
      <c r="O227" s="26" t="s">
        <v>55</v>
      </c>
      <c r="P227" s="44" t="s">
        <v>832</v>
      </c>
      <c r="Q227" s="26" t="s">
        <v>57</v>
      </c>
      <c r="R227" s="44" t="s">
        <v>832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832</v>
      </c>
      <c r="Z227" s="30" t="s">
        <v>57</v>
      </c>
      <c r="AA227" s="30" t="s">
        <v>832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5048</v>
      </c>
      <c r="C228" s="41" t="s">
        <v>5049</v>
      </c>
      <c r="D228" s="39" t="s">
        <v>4602</v>
      </c>
      <c r="E228" s="42">
        <v>46128</v>
      </c>
      <c r="F228" s="26" t="s">
        <v>55</v>
      </c>
      <c r="G228" s="44" t="s">
        <v>56</v>
      </c>
      <c r="H228" s="26" t="s">
        <v>57</v>
      </c>
      <c r="I228" s="44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2">
        <v>46196</v>
      </c>
      <c r="O228" s="26" t="s">
        <v>55</v>
      </c>
      <c r="P228" s="44" t="s">
        <v>56</v>
      </c>
      <c r="Q228" s="26" t="s">
        <v>57</v>
      </c>
      <c r="R228" s="44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5050</v>
      </c>
      <c r="C229" s="25" t="s">
        <v>5051</v>
      </c>
      <c r="D229" s="23" t="s">
        <v>4602</v>
      </c>
      <c r="E229" s="42">
        <v>46128</v>
      </c>
      <c r="F229" s="26" t="s">
        <v>55</v>
      </c>
      <c r="G229" s="44" t="s">
        <v>832</v>
      </c>
      <c r="H229" s="26" t="s">
        <v>57</v>
      </c>
      <c r="I229" s="44" t="s">
        <v>832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2">
        <v>46196</v>
      </c>
      <c r="O229" s="26" t="s">
        <v>55</v>
      </c>
      <c r="P229" s="44" t="s">
        <v>832</v>
      </c>
      <c r="Q229" s="26" t="s">
        <v>57</v>
      </c>
      <c r="R229" s="44" t="s">
        <v>832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832</v>
      </c>
      <c r="Z229" s="30" t="s">
        <v>57</v>
      </c>
      <c r="AA229" s="30" t="s">
        <v>832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5052</v>
      </c>
      <c r="C230" s="41" t="s">
        <v>5053</v>
      </c>
      <c r="D230" s="39" t="s">
        <v>4602</v>
      </c>
      <c r="E230" s="42">
        <v>46128</v>
      </c>
      <c r="F230" s="26" t="s">
        <v>55</v>
      </c>
      <c r="G230" s="44" t="s">
        <v>832</v>
      </c>
      <c r="H230" s="26" t="s">
        <v>57</v>
      </c>
      <c r="I230" s="44" t="s">
        <v>832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46196</v>
      </c>
      <c r="O230" s="26" t="s">
        <v>55</v>
      </c>
      <c r="P230" s="44" t="s">
        <v>832</v>
      </c>
      <c r="Q230" s="26" t="s">
        <v>57</v>
      </c>
      <c r="R230" s="44" t="s">
        <v>832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832</v>
      </c>
      <c r="Z230" s="30" t="s">
        <v>57</v>
      </c>
      <c r="AA230" s="30" t="s">
        <v>832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5054</v>
      </c>
      <c r="C231" s="25" t="s">
        <v>5055</v>
      </c>
      <c r="D231" s="23" t="s">
        <v>4602</v>
      </c>
      <c r="E231" s="42">
        <v>46128</v>
      </c>
      <c r="F231" s="26" t="s">
        <v>55</v>
      </c>
      <c r="G231" s="44" t="s">
        <v>832</v>
      </c>
      <c r="H231" s="26" t="s">
        <v>57</v>
      </c>
      <c r="I231" s="44" t="s">
        <v>832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46196</v>
      </c>
      <c r="O231" s="26" t="s">
        <v>55</v>
      </c>
      <c r="P231" s="44" t="s">
        <v>832</v>
      </c>
      <c r="Q231" s="26" t="s">
        <v>57</v>
      </c>
      <c r="R231" s="44" t="s">
        <v>832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832</v>
      </c>
      <c r="Z231" s="30" t="s">
        <v>57</v>
      </c>
      <c r="AA231" s="30" t="s">
        <v>832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5056</v>
      </c>
      <c r="C232" s="41" t="s">
        <v>5057</v>
      </c>
      <c r="D232" s="39" t="s">
        <v>4602</v>
      </c>
      <c r="E232" s="42">
        <v>46128</v>
      </c>
      <c r="F232" s="26" t="s">
        <v>55</v>
      </c>
      <c r="G232" s="44" t="s">
        <v>56</v>
      </c>
      <c r="H232" s="26" t="s">
        <v>57</v>
      </c>
      <c r="I232" s="44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46196</v>
      </c>
      <c r="O232" s="26" t="s">
        <v>55</v>
      </c>
      <c r="P232" s="44" t="s">
        <v>56</v>
      </c>
      <c r="Q232" s="26" t="s">
        <v>57</v>
      </c>
      <c r="R232" s="44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5058</v>
      </c>
      <c r="C233" s="25" t="s">
        <v>5059</v>
      </c>
      <c r="D233" s="23" t="s">
        <v>4602</v>
      </c>
      <c r="E233" s="42">
        <v>46128</v>
      </c>
      <c r="F233" s="26" t="s">
        <v>55</v>
      </c>
      <c r="G233" s="44" t="s">
        <v>832</v>
      </c>
      <c r="H233" s="26" t="s">
        <v>57</v>
      </c>
      <c r="I233" s="44" t="s">
        <v>832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46196</v>
      </c>
      <c r="O233" s="26" t="s">
        <v>55</v>
      </c>
      <c r="P233" s="44" t="s">
        <v>832</v>
      </c>
      <c r="Q233" s="26" t="s">
        <v>57</v>
      </c>
      <c r="R233" s="44" t="s">
        <v>832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832</v>
      </c>
      <c r="Z233" s="30" t="s">
        <v>57</v>
      </c>
      <c r="AA233" s="30" t="s">
        <v>832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5060</v>
      </c>
      <c r="C234" s="41" t="s">
        <v>5061</v>
      </c>
      <c r="D234" s="39" t="s">
        <v>4602</v>
      </c>
      <c r="E234" s="42">
        <v>46128</v>
      </c>
      <c r="F234" s="26" t="s">
        <v>55</v>
      </c>
      <c r="G234" s="44" t="s">
        <v>832</v>
      </c>
      <c r="H234" s="26" t="s">
        <v>57</v>
      </c>
      <c r="I234" s="44" t="s">
        <v>832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46196</v>
      </c>
      <c r="O234" s="26" t="s">
        <v>55</v>
      </c>
      <c r="P234" s="44" t="s">
        <v>832</v>
      </c>
      <c r="Q234" s="26" t="s">
        <v>57</v>
      </c>
      <c r="R234" s="44" t="s">
        <v>832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832</v>
      </c>
      <c r="Z234" s="30" t="s">
        <v>57</v>
      </c>
      <c r="AA234" s="30" t="s">
        <v>832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5062</v>
      </c>
      <c r="C235" s="25" t="s">
        <v>5063</v>
      </c>
      <c r="D235" s="23" t="s">
        <v>4602</v>
      </c>
      <c r="E235" s="42">
        <v>46128</v>
      </c>
      <c r="F235" s="26" t="s">
        <v>55</v>
      </c>
      <c r="G235" s="44" t="s">
        <v>832</v>
      </c>
      <c r="H235" s="26" t="s">
        <v>57</v>
      </c>
      <c r="I235" s="44" t="s">
        <v>832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46196</v>
      </c>
      <c r="O235" s="26" t="s">
        <v>55</v>
      </c>
      <c r="P235" s="44" t="s">
        <v>832</v>
      </c>
      <c r="Q235" s="26" t="s">
        <v>57</v>
      </c>
      <c r="R235" s="44" t="s">
        <v>832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832</v>
      </c>
      <c r="Z235" s="30" t="s">
        <v>57</v>
      </c>
      <c r="AA235" s="30" t="s">
        <v>832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5064</v>
      </c>
      <c r="C236" s="41" t="s">
        <v>5065</v>
      </c>
      <c r="D236" s="39" t="s">
        <v>4602</v>
      </c>
      <c r="E236" s="42">
        <v>46128</v>
      </c>
      <c r="F236" s="26" t="s">
        <v>55</v>
      </c>
      <c r="G236" s="44" t="s">
        <v>832</v>
      </c>
      <c r="H236" s="26" t="s">
        <v>57</v>
      </c>
      <c r="I236" s="44" t="s">
        <v>832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2">
        <v>46196</v>
      </c>
      <c r="O236" s="26" t="s">
        <v>55</v>
      </c>
      <c r="P236" s="44" t="s">
        <v>832</v>
      </c>
      <c r="Q236" s="26" t="s">
        <v>57</v>
      </c>
      <c r="R236" s="44" t="s">
        <v>832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832</v>
      </c>
      <c r="Z236" s="30" t="s">
        <v>57</v>
      </c>
      <c r="AA236" s="30" t="s">
        <v>832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5066</v>
      </c>
      <c r="C237" s="25" t="s">
        <v>5067</v>
      </c>
      <c r="D237" s="23" t="s">
        <v>4602</v>
      </c>
      <c r="E237" s="42">
        <v>46128</v>
      </c>
      <c r="F237" s="26" t="s">
        <v>55</v>
      </c>
      <c r="G237" s="44" t="s">
        <v>832</v>
      </c>
      <c r="H237" s="26" t="s">
        <v>57</v>
      </c>
      <c r="I237" s="44" t="s">
        <v>832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46196</v>
      </c>
      <c r="O237" s="26" t="s">
        <v>55</v>
      </c>
      <c r="P237" s="44" t="s">
        <v>832</v>
      </c>
      <c r="Q237" s="26" t="s">
        <v>57</v>
      </c>
      <c r="R237" s="44" t="s">
        <v>832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832</v>
      </c>
      <c r="Z237" s="30" t="s">
        <v>57</v>
      </c>
      <c r="AA237" s="30" t="s">
        <v>832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5068</v>
      </c>
      <c r="C238" s="41" t="s">
        <v>5069</v>
      </c>
      <c r="D238" s="39" t="s">
        <v>4602</v>
      </c>
      <c r="E238" s="42">
        <v>46128</v>
      </c>
      <c r="F238" s="26" t="s">
        <v>55</v>
      </c>
      <c r="G238" s="44" t="s">
        <v>832</v>
      </c>
      <c r="H238" s="26" t="s">
        <v>57</v>
      </c>
      <c r="I238" s="44" t="s">
        <v>832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46196</v>
      </c>
      <c r="O238" s="26" t="s">
        <v>55</v>
      </c>
      <c r="P238" s="44" t="s">
        <v>832</v>
      </c>
      <c r="Q238" s="26" t="s">
        <v>57</v>
      </c>
      <c r="R238" s="44" t="s">
        <v>832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832</v>
      </c>
      <c r="Z238" s="30" t="s">
        <v>57</v>
      </c>
      <c r="AA238" s="30" t="s">
        <v>832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5070</v>
      </c>
      <c r="C239" s="25" t="s">
        <v>5071</v>
      </c>
      <c r="D239" s="23" t="s">
        <v>4602</v>
      </c>
      <c r="E239" s="42">
        <v>46128</v>
      </c>
      <c r="F239" s="26" t="s">
        <v>55</v>
      </c>
      <c r="G239" s="44" t="s">
        <v>832</v>
      </c>
      <c r="H239" s="26" t="s">
        <v>57</v>
      </c>
      <c r="I239" s="44" t="s">
        <v>832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2">
        <v>46196</v>
      </c>
      <c r="O239" s="26" t="s">
        <v>55</v>
      </c>
      <c r="P239" s="44" t="s">
        <v>832</v>
      </c>
      <c r="Q239" s="26" t="s">
        <v>57</v>
      </c>
      <c r="R239" s="44" t="s">
        <v>832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832</v>
      </c>
      <c r="Z239" s="30" t="s">
        <v>57</v>
      </c>
      <c r="AA239" s="30" t="s">
        <v>832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5072</v>
      </c>
      <c r="C240" s="41" t="s">
        <v>5073</v>
      </c>
      <c r="D240" s="39" t="s">
        <v>4602</v>
      </c>
      <c r="E240" s="42">
        <v>46128</v>
      </c>
      <c r="F240" s="26" t="s">
        <v>55</v>
      </c>
      <c r="G240" s="44" t="s">
        <v>832</v>
      </c>
      <c r="H240" s="26" t="s">
        <v>57</v>
      </c>
      <c r="I240" s="44" t="s">
        <v>832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2">
        <v>46196</v>
      </c>
      <c r="O240" s="26" t="s">
        <v>55</v>
      </c>
      <c r="P240" s="44" t="s">
        <v>832</v>
      </c>
      <c r="Q240" s="26" t="s">
        <v>57</v>
      </c>
      <c r="R240" s="44" t="s">
        <v>832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832</v>
      </c>
      <c r="Z240" s="30" t="s">
        <v>57</v>
      </c>
      <c r="AA240" s="30" t="s">
        <v>832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5074</v>
      </c>
      <c r="C241" s="25" t="s">
        <v>5075</v>
      </c>
      <c r="D241" s="23" t="s">
        <v>4602</v>
      </c>
      <c r="E241" s="42">
        <v>46128</v>
      </c>
      <c r="F241" s="26" t="s">
        <v>55</v>
      </c>
      <c r="G241" s="44" t="s">
        <v>832</v>
      </c>
      <c r="H241" s="26" t="s">
        <v>57</v>
      </c>
      <c r="I241" s="44" t="s">
        <v>832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46196</v>
      </c>
      <c r="O241" s="26" t="s">
        <v>55</v>
      </c>
      <c r="P241" s="44" t="s">
        <v>832</v>
      </c>
      <c r="Q241" s="26" t="s">
        <v>57</v>
      </c>
      <c r="R241" s="44" t="s">
        <v>832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832</v>
      </c>
      <c r="Z241" s="30" t="s">
        <v>57</v>
      </c>
      <c r="AA241" s="30" t="s">
        <v>832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5076</v>
      </c>
      <c r="C242" s="41" t="s">
        <v>5077</v>
      </c>
      <c r="D242" s="39" t="s">
        <v>4602</v>
      </c>
      <c r="E242" s="42">
        <v>46128</v>
      </c>
      <c r="F242" s="26" t="s">
        <v>55</v>
      </c>
      <c r="G242" s="44" t="s">
        <v>832</v>
      </c>
      <c r="H242" s="26" t="s">
        <v>57</v>
      </c>
      <c r="I242" s="44" t="s">
        <v>832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46196</v>
      </c>
      <c r="O242" s="26" t="s">
        <v>55</v>
      </c>
      <c r="P242" s="44" t="s">
        <v>832</v>
      </c>
      <c r="Q242" s="26" t="s">
        <v>57</v>
      </c>
      <c r="R242" s="44" t="s">
        <v>832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832</v>
      </c>
      <c r="Z242" s="30" t="s">
        <v>57</v>
      </c>
      <c r="AA242" s="30" t="s">
        <v>832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5078</v>
      </c>
      <c r="C243" s="25" t="s">
        <v>5079</v>
      </c>
      <c r="D243" s="23" t="s">
        <v>4602</v>
      </c>
      <c r="E243" s="42">
        <v>46128</v>
      </c>
      <c r="F243" s="26" t="s">
        <v>55</v>
      </c>
      <c r="G243" s="44" t="s">
        <v>832</v>
      </c>
      <c r="H243" s="26" t="s">
        <v>57</v>
      </c>
      <c r="I243" s="44" t="s">
        <v>832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46196</v>
      </c>
      <c r="O243" s="26" t="s">
        <v>55</v>
      </c>
      <c r="P243" s="44" t="s">
        <v>832</v>
      </c>
      <c r="Q243" s="26" t="s">
        <v>57</v>
      </c>
      <c r="R243" s="44" t="s">
        <v>832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832</v>
      </c>
      <c r="Z243" s="30" t="s">
        <v>57</v>
      </c>
      <c r="AA243" s="30" t="s">
        <v>832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5080</v>
      </c>
      <c r="C244" s="41" t="s">
        <v>5081</v>
      </c>
      <c r="D244" s="39" t="s">
        <v>4602</v>
      </c>
      <c r="E244" s="42">
        <v>46128</v>
      </c>
      <c r="F244" s="26" t="s">
        <v>55</v>
      </c>
      <c r="G244" s="44" t="s">
        <v>56</v>
      </c>
      <c r="H244" s="26" t="s">
        <v>57</v>
      </c>
      <c r="I244" s="44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46196</v>
      </c>
      <c r="O244" s="26" t="s">
        <v>55</v>
      </c>
      <c r="P244" s="44" t="s">
        <v>56</v>
      </c>
      <c r="Q244" s="26" t="s">
        <v>57</v>
      </c>
      <c r="R244" s="44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5082</v>
      </c>
      <c r="C245" s="25" t="s">
        <v>5083</v>
      </c>
      <c r="D245" s="23" t="s">
        <v>4602</v>
      </c>
      <c r="E245" s="42">
        <v>46128</v>
      </c>
      <c r="F245" s="26" t="s">
        <v>55</v>
      </c>
      <c r="G245" s="44" t="s">
        <v>832</v>
      </c>
      <c r="H245" s="26" t="s">
        <v>57</v>
      </c>
      <c r="I245" s="44" t="s">
        <v>832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46196</v>
      </c>
      <c r="O245" s="26" t="s">
        <v>55</v>
      </c>
      <c r="P245" s="44" t="s">
        <v>832</v>
      </c>
      <c r="Q245" s="26" t="s">
        <v>57</v>
      </c>
      <c r="R245" s="44" t="s">
        <v>832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832</v>
      </c>
      <c r="Z245" s="30" t="s">
        <v>57</v>
      </c>
      <c r="AA245" s="30" t="s">
        <v>832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5084</v>
      </c>
      <c r="C246" s="41" t="s">
        <v>5085</v>
      </c>
      <c r="D246" s="39" t="s">
        <v>4602</v>
      </c>
      <c r="E246" s="42">
        <v>46128</v>
      </c>
      <c r="F246" s="26" t="s">
        <v>55</v>
      </c>
      <c r="G246" s="44" t="s">
        <v>832</v>
      </c>
      <c r="H246" s="26" t="s">
        <v>57</v>
      </c>
      <c r="I246" s="44" t="s">
        <v>832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2">
        <v>46196</v>
      </c>
      <c r="O246" s="26" t="s">
        <v>55</v>
      </c>
      <c r="P246" s="44" t="s">
        <v>832</v>
      </c>
      <c r="Q246" s="26" t="s">
        <v>57</v>
      </c>
      <c r="R246" s="44" t="s">
        <v>832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832</v>
      </c>
      <c r="Z246" s="30" t="s">
        <v>57</v>
      </c>
      <c r="AA246" s="30" t="s">
        <v>832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5086</v>
      </c>
      <c r="C247" s="25" t="s">
        <v>5087</v>
      </c>
      <c r="D247" s="23" t="s">
        <v>4602</v>
      </c>
      <c r="E247" s="42">
        <v>46128</v>
      </c>
      <c r="F247" s="26" t="s">
        <v>55</v>
      </c>
      <c r="G247" s="44" t="s">
        <v>832</v>
      </c>
      <c r="H247" s="26" t="s">
        <v>57</v>
      </c>
      <c r="I247" s="44" t="s">
        <v>832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46196</v>
      </c>
      <c r="O247" s="26" t="s">
        <v>55</v>
      </c>
      <c r="P247" s="44" t="s">
        <v>832</v>
      </c>
      <c r="Q247" s="26" t="s">
        <v>57</v>
      </c>
      <c r="R247" s="44" t="s">
        <v>832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832</v>
      </c>
      <c r="Z247" s="30" t="s">
        <v>57</v>
      </c>
      <c r="AA247" s="30" t="s">
        <v>832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5088</v>
      </c>
      <c r="C248" s="41" t="s">
        <v>5089</v>
      </c>
      <c r="D248" s="39" t="s">
        <v>4602</v>
      </c>
      <c r="E248" s="42">
        <v>46128</v>
      </c>
      <c r="F248" s="26" t="s">
        <v>55</v>
      </c>
      <c r="G248" s="44" t="s">
        <v>832</v>
      </c>
      <c r="H248" s="26" t="s">
        <v>57</v>
      </c>
      <c r="I248" s="44" t="s">
        <v>832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46196</v>
      </c>
      <c r="O248" s="26" t="s">
        <v>55</v>
      </c>
      <c r="P248" s="44" t="s">
        <v>832</v>
      </c>
      <c r="Q248" s="26" t="s">
        <v>57</v>
      </c>
      <c r="R248" s="44" t="s">
        <v>832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832</v>
      </c>
      <c r="Z248" s="30" t="s">
        <v>57</v>
      </c>
      <c r="AA248" s="30" t="s">
        <v>832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5090</v>
      </c>
      <c r="C249" s="25" t="s">
        <v>5091</v>
      </c>
      <c r="D249" s="23" t="s">
        <v>4602</v>
      </c>
      <c r="E249" s="42">
        <v>46128</v>
      </c>
      <c r="F249" s="26" t="s">
        <v>55</v>
      </c>
      <c r="G249" s="44" t="s">
        <v>832</v>
      </c>
      <c r="H249" s="26" t="s">
        <v>57</v>
      </c>
      <c r="I249" s="44" t="s">
        <v>832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46196</v>
      </c>
      <c r="O249" s="26" t="s">
        <v>55</v>
      </c>
      <c r="P249" s="44" t="s">
        <v>832</v>
      </c>
      <c r="Q249" s="26" t="s">
        <v>57</v>
      </c>
      <c r="R249" s="44" t="s">
        <v>832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832</v>
      </c>
      <c r="Z249" s="30" t="s">
        <v>57</v>
      </c>
      <c r="AA249" s="30" t="s">
        <v>832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5092</v>
      </c>
      <c r="C250" s="41" t="s">
        <v>5093</v>
      </c>
      <c r="D250" s="39" t="s">
        <v>4602</v>
      </c>
      <c r="E250" s="42">
        <v>46128</v>
      </c>
      <c r="F250" s="26" t="s">
        <v>55</v>
      </c>
      <c r="G250" s="44" t="s">
        <v>832</v>
      </c>
      <c r="H250" s="26" t="s">
        <v>57</v>
      </c>
      <c r="I250" s="44" t="s">
        <v>832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46196</v>
      </c>
      <c r="O250" s="26" t="s">
        <v>55</v>
      </c>
      <c r="P250" s="44" t="s">
        <v>832</v>
      </c>
      <c r="Q250" s="26" t="s">
        <v>57</v>
      </c>
      <c r="R250" s="44" t="s">
        <v>832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832</v>
      </c>
      <c r="Z250" s="30" t="s">
        <v>57</v>
      </c>
      <c r="AA250" s="30" t="s">
        <v>832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5094</v>
      </c>
      <c r="C251" s="25" t="s">
        <v>5095</v>
      </c>
      <c r="D251" s="23" t="s">
        <v>4602</v>
      </c>
      <c r="E251" s="42">
        <v>46128</v>
      </c>
      <c r="F251" s="26" t="s">
        <v>55</v>
      </c>
      <c r="G251" s="44" t="s">
        <v>56</v>
      </c>
      <c r="H251" s="26" t="s">
        <v>57</v>
      </c>
      <c r="I251" s="44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2">
        <v>46196</v>
      </c>
      <c r="O251" s="26" t="s">
        <v>55</v>
      </c>
      <c r="P251" s="44" t="s">
        <v>56</v>
      </c>
      <c r="Q251" s="26" t="s">
        <v>57</v>
      </c>
      <c r="R251" s="44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5096</v>
      </c>
      <c r="C252" s="41" t="s">
        <v>5097</v>
      </c>
      <c r="D252" s="39" t="s">
        <v>4602</v>
      </c>
      <c r="E252" s="42">
        <v>46128</v>
      </c>
      <c r="F252" s="26" t="s">
        <v>55</v>
      </c>
      <c r="G252" s="44" t="s">
        <v>832</v>
      </c>
      <c r="H252" s="26" t="s">
        <v>57</v>
      </c>
      <c r="I252" s="44" t="s">
        <v>832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46196</v>
      </c>
      <c r="O252" s="26" t="s">
        <v>55</v>
      </c>
      <c r="P252" s="44" t="s">
        <v>832</v>
      </c>
      <c r="Q252" s="26" t="s">
        <v>57</v>
      </c>
      <c r="R252" s="44" t="s">
        <v>832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832</v>
      </c>
      <c r="Z252" s="30" t="s">
        <v>57</v>
      </c>
      <c r="AA252" s="30" t="s">
        <v>832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5098</v>
      </c>
      <c r="C253" s="25" t="s">
        <v>5099</v>
      </c>
      <c r="D253" s="23" t="s">
        <v>4602</v>
      </c>
      <c r="E253" s="42">
        <v>46128</v>
      </c>
      <c r="F253" s="26" t="s">
        <v>55</v>
      </c>
      <c r="G253" s="44" t="s">
        <v>832</v>
      </c>
      <c r="H253" s="26" t="s">
        <v>57</v>
      </c>
      <c r="I253" s="44" t="s">
        <v>832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46196</v>
      </c>
      <c r="O253" s="26" t="s">
        <v>55</v>
      </c>
      <c r="P253" s="44" t="s">
        <v>832</v>
      </c>
      <c r="Q253" s="26" t="s">
        <v>57</v>
      </c>
      <c r="R253" s="44" t="s">
        <v>832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832</v>
      </c>
      <c r="Z253" s="30" t="s">
        <v>57</v>
      </c>
      <c r="AA253" s="30" t="s">
        <v>832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5100</v>
      </c>
      <c r="C254" s="41" t="s">
        <v>5101</v>
      </c>
      <c r="D254" s="39" t="s">
        <v>4602</v>
      </c>
      <c r="E254" s="42">
        <v>46128</v>
      </c>
      <c r="F254" s="26" t="s">
        <v>55</v>
      </c>
      <c r="G254" s="44" t="s">
        <v>832</v>
      </c>
      <c r="H254" s="26" t="s">
        <v>57</v>
      </c>
      <c r="I254" s="44" t="s">
        <v>832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2">
        <v>46196</v>
      </c>
      <c r="O254" s="26" t="s">
        <v>55</v>
      </c>
      <c r="P254" s="44" t="s">
        <v>832</v>
      </c>
      <c r="Q254" s="26" t="s">
        <v>57</v>
      </c>
      <c r="R254" s="44" t="s">
        <v>832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832</v>
      </c>
      <c r="Z254" s="30" t="s">
        <v>57</v>
      </c>
      <c r="AA254" s="30" t="s">
        <v>832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5102</v>
      </c>
      <c r="C255" s="25" t="s">
        <v>5103</v>
      </c>
      <c r="D255" s="23" t="s">
        <v>4602</v>
      </c>
      <c r="E255" s="42">
        <v>46128</v>
      </c>
      <c r="F255" s="26" t="s">
        <v>55</v>
      </c>
      <c r="G255" s="44" t="s">
        <v>832</v>
      </c>
      <c r="H255" s="26" t="s">
        <v>57</v>
      </c>
      <c r="I255" s="44" t="s">
        <v>832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46196</v>
      </c>
      <c r="O255" s="26" t="s">
        <v>55</v>
      </c>
      <c r="P255" s="44" t="s">
        <v>832</v>
      </c>
      <c r="Q255" s="26" t="s">
        <v>57</v>
      </c>
      <c r="R255" s="44" t="s">
        <v>832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832</v>
      </c>
      <c r="Z255" s="30" t="s">
        <v>57</v>
      </c>
      <c r="AA255" s="30" t="s">
        <v>832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5104</v>
      </c>
      <c r="C256" s="41" t="s">
        <v>5105</v>
      </c>
      <c r="D256" s="39" t="s">
        <v>4602</v>
      </c>
      <c r="E256" s="42">
        <v>46128</v>
      </c>
      <c r="F256" s="26" t="s">
        <v>55</v>
      </c>
      <c r="G256" s="44" t="s">
        <v>832</v>
      </c>
      <c r="H256" s="26" t="s">
        <v>57</v>
      </c>
      <c r="I256" s="44" t="s">
        <v>832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46196</v>
      </c>
      <c r="O256" s="26" t="s">
        <v>55</v>
      </c>
      <c r="P256" s="44" t="s">
        <v>832</v>
      </c>
      <c r="Q256" s="26" t="s">
        <v>57</v>
      </c>
      <c r="R256" s="44" t="s">
        <v>832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832</v>
      </c>
      <c r="Z256" s="30" t="s">
        <v>57</v>
      </c>
      <c r="AA256" s="30" t="s">
        <v>832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5106</v>
      </c>
      <c r="C257" s="25" t="s">
        <v>5107</v>
      </c>
      <c r="D257" s="23" t="s">
        <v>4602</v>
      </c>
      <c r="E257" s="42">
        <v>46128</v>
      </c>
      <c r="F257" s="26" t="s">
        <v>55</v>
      </c>
      <c r="G257" s="44" t="s">
        <v>832</v>
      </c>
      <c r="H257" s="26" t="s">
        <v>57</v>
      </c>
      <c r="I257" s="44" t="s">
        <v>832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46196</v>
      </c>
      <c r="O257" s="26" t="s">
        <v>55</v>
      </c>
      <c r="P257" s="44" t="s">
        <v>832</v>
      </c>
      <c r="Q257" s="26" t="s">
        <v>57</v>
      </c>
      <c r="R257" s="44" t="s">
        <v>832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832</v>
      </c>
      <c r="Z257" s="30" t="s">
        <v>57</v>
      </c>
      <c r="AA257" s="30" t="s">
        <v>832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5108</v>
      </c>
      <c r="C258" s="41" t="s">
        <v>5109</v>
      </c>
      <c r="D258" s="39" t="s">
        <v>4602</v>
      </c>
      <c r="E258" s="42">
        <v>46128</v>
      </c>
      <c r="F258" s="26" t="s">
        <v>55</v>
      </c>
      <c r="G258" s="44" t="s">
        <v>832</v>
      </c>
      <c r="H258" s="26" t="s">
        <v>57</v>
      </c>
      <c r="I258" s="44" t="s">
        <v>832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46196</v>
      </c>
      <c r="O258" s="26" t="s">
        <v>55</v>
      </c>
      <c r="P258" s="44" t="s">
        <v>832</v>
      </c>
      <c r="Q258" s="26" t="s">
        <v>57</v>
      </c>
      <c r="R258" s="44" t="s">
        <v>832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832</v>
      </c>
      <c r="Z258" s="30" t="s">
        <v>57</v>
      </c>
      <c r="AA258" s="30" t="s">
        <v>832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5110</v>
      </c>
      <c r="C259" s="25" t="s">
        <v>5111</v>
      </c>
      <c r="D259" s="23" t="s">
        <v>4602</v>
      </c>
      <c r="E259" s="42">
        <v>46128</v>
      </c>
      <c r="F259" s="26" t="s">
        <v>55</v>
      </c>
      <c r="G259" s="44" t="s">
        <v>832</v>
      </c>
      <c r="H259" s="26" t="s">
        <v>57</v>
      </c>
      <c r="I259" s="44" t="s">
        <v>832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2">
        <v>46196</v>
      </c>
      <c r="O259" s="26" t="s">
        <v>55</v>
      </c>
      <c r="P259" s="44" t="s">
        <v>832</v>
      </c>
      <c r="Q259" s="26" t="s">
        <v>57</v>
      </c>
      <c r="R259" s="44" t="s">
        <v>832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832</v>
      </c>
      <c r="Z259" s="30" t="s">
        <v>57</v>
      </c>
      <c r="AA259" s="30" t="s">
        <v>832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5112</v>
      </c>
      <c r="C260" s="41" t="s">
        <v>5113</v>
      </c>
      <c r="D260" s="39" t="s">
        <v>4602</v>
      </c>
      <c r="E260" s="42">
        <v>46128</v>
      </c>
      <c r="F260" s="26" t="s">
        <v>55</v>
      </c>
      <c r="G260" s="44" t="s">
        <v>832</v>
      </c>
      <c r="H260" s="26" t="s">
        <v>57</v>
      </c>
      <c r="I260" s="44" t="s">
        <v>832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2">
        <v>46196</v>
      </c>
      <c r="O260" s="26" t="s">
        <v>55</v>
      </c>
      <c r="P260" s="44" t="s">
        <v>832</v>
      </c>
      <c r="Q260" s="26" t="s">
        <v>57</v>
      </c>
      <c r="R260" s="44" t="s">
        <v>832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832</v>
      </c>
      <c r="Z260" s="30" t="s">
        <v>57</v>
      </c>
      <c r="AA260" s="30" t="s">
        <v>832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5114</v>
      </c>
      <c r="C261" s="25" t="s">
        <v>5115</v>
      </c>
      <c r="D261" s="23" t="s">
        <v>4602</v>
      </c>
      <c r="E261" s="42">
        <v>46128</v>
      </c>
      <c r="F261" s="26" t="s">
        <v>55</v>
      </c>
      <c r="G261" s="44" t="s">
        <v>832</v>
      </c>
      <c r="H261" s="26" t="s">
        <v>57</v>
      </c>
      <c r="I261" s="44" t="s">
        <v>832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42">
        <v>46196</v>
      </c>
      <c r="O261" s="26" t="s">
        <v>55</v>
      </c>
      <c r="P261" s="44" t="s">
        <v>832</v>
      </c>
      <c r="Q261" s="26" t="s">
        <v>57</v>
      </c>
      <c r="R261" s="44" t="s">
        <v>832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832</v>
      </c>
      <c r="Z261" s="30" t="s">
        <v>57</v>
      </c>
      <c r="AA261" s="30" t="s">
        <v>832</v>
      </c>
      <c r="AB261" s="30" t="s">
        <v>56</v>
      </c>
      <c r="AC261" s="27"/>
      <c r="AD261" s="31" t="s">
        <v>57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5116</v>
      </c>
      <c r="C262" s="41" t="s">
        <v>5117</v>
      </c>
      <c r="D262" s="39" t="s">
        <v>4602</v>
      </c>
      <c r="E262" s="42">
        <v>46128</v>
      </c>
      <c r="F262" s="26" t="s">
        <v>55</v>
      </c>
      <c r="G262" s="44" t="s">
        <v>832</v>
      </c>
      <c r="H262" s="26" t="s">
        <v>57</v>
      </c>
      <c r="I262" s="44" t="s">
        <v>832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2">
        <v>46196</v>
      </c>
      <c r="O262" s="26" t="s">
        <v>55</v>
      </c>
      <c r="P262" s="44" t="s">
        <v>832</v>
      </c>
      <c r="Q262" s="26" t="s">
        <v>57</v>
      </c>
      <c r="R262" s="44" t="s">
        <v>832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832</v>
      </c>
      <c r="Z262" s="30" t="s">
        <v>57</v>
      </c>
      <c r="AA262" s="30" t="s">
        <v>832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5118</v>
      </c>
      <c r="C263" s="25" t="s">
        <v>5119</v>
      </c>
      <c r="D263" s="23" t="s">
        <v>4602</v>
      </c>
      <c r="E263" s="42">
        <v>46128</v>
      </c>
      <c r="F263" s="26" t="s">
        <v>55</v>
      </c>
      <c r="G263" s="44" t="s">
        <v>832</v>
      </c>
      <c r="H263" s="26" t="s">
        <v>57</v>
      </c>
      <c r="I263" s="44" t="s">
        <v>832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2">
        <v>46196</v>
      </c>
      <c r="O263" s="26" t="s">
        <v>55</v>
      </c>
      <c r="P263" s="44" t="s">
        <v>832</v>
      </c>
      <c r="Q263" s="26" t="s">
        <v>57</v>
      </c>
      <c r="R263" s="44" t="s">
        <v>832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832</v>
      </c>
      <c r="Z263" s="30" t="s">
        <v>57</v>
      </c>
      <c r="AA263" s="30" t="s">
        <v>832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5120</v>
      </c>
      <c r="C264" s="41" t="s">
        <v>5121</v>
      </c>
      <c r="D264" s="39" t="s">
        <v>4602</v>
      </c>
      <c r="E264" s="42">
        <v>46128</v>
      </c>
      <c r="F264" s="26" t="s">
        <v>55</v>
      </c>
      <c r="G264" s="44" t="s">
        <v>832</v>
      </c>
      <c r="H264" s="26" t="s">
        <v>57</v>
      </c>
      <c r="I264" s="44" t="s">
        <v>832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2">
        <v>46196</v>
      </c>
      <c r="O264" s="26" t="s">
        <v>55</v>
      </c>
      <c r="P264" s="44" t="s">
        <v>832</v>
      </c>
      <c r="Q264" s="26" t="s">
        <v>57</v>
      </c>
      <c r="R264" s="44" t="s">
        <v>832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832</v>
      </c>
      <c r="Z264" s="30" t="s">
        <v>57</v>
      </c>
      <c r="AA264" s="30" t="s">
        <v>832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5122</v>
      </c>
      <c r="C265" s="25" t="s">
        <v>5123</v>
      </c>
      <c r="D265" s="23" t="s">
        <v>4602</v>
      </c>
      <c r="E265" s="42">
        <v>46128</v>
      </c>
      <c r="F265" s="26" t="s">
        <v>55</v>
      </c>
      <c r="G265" s="44" t="s">
        <v>832</v>
      </c>
      <c r="H265" s="26" t="s">
        <v>57</v>
      </c>
      <c r="I265" s="44" t="s">
        <v>832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46196</v>
      </c>
      <c r="O265" s="26" t="s">
        <v>55</v>
      </c>
      <c r="P265" s="44" t="s">
        <v>832</v>
      </c>
      <c r="Q265" s="26" t="s">
        <v>57</v>
      </c>
      <c r="R265" s="44" t="s">
        <v>832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832</v>
      </c>
      <c r="Z265" s="30" t="s">
        <v>57</v>
      </c>
      <c r="AA265" s="30" t="s">
        <v>832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5124</v>
      </c>
      <c r="C266" s="41" t="s">
        <v>5125</v>
      </c>
      <c r="D266" s="39" t="s">
        <v>4602</v>
      </c>
      <c r="E266" s="42">
        <v>46128</v>
      </c>
      <c r="F266" s="26" t="s">
        <v>55</v>
      </c>
      <c r="G266" s="44" t="s">
        <v>832</v>
      </c>
      <c r="H266" s="26" t="s">
        <v>57</v>
      </c>
      <c r="I266" s="44" t="s">
        <v>832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46196</v>
      </c>
      <c r="O266" s="26" t="s">
        <v>55</v>
      </c>
      <c r="P266" s="44" t="s">
        <v>832</v>
      </c>
      <c r="Q266" s="26" t="s">
        <v>57</v>
      </c>
      <c r="R266" s="44" t="s">
        <v>832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832</v>
      </c>
      <c r="Z266" s="30" t="s">
        <v>57</v>
      </c>
      <c r="AA266" s="30" t="s">
        <v>832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5126</v>
      </c>
      <c r="C267" s="25" t="s">
        <v>5127</v>
      </c>
      <c r="D267" s="23" t="s">
        <v>4602</v>
      </c>
      <c r="E267" s="42">
        <v>46128</v>
      </c>
      <c r="F267" s="26" t="s">
        <v>55</v>
      </c>
      <c r="G267" s="44" t="s">
        <v>832</v>
      </c>
      <c r="H267" s="26" t="s">
        <v>57</v>
      </c>
      <c r="I267" s="44" t="s">
        <v>832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46196</v>
      </c>
      <c r="O267" s="26" t="s">
        <v>55</v>
      </c>
      <c r="P267" s="44" t="s">
        <v>832</v>
      </c>
      <c r="Q267" s="26" t="s">
        <v>57</v>
      </c>
      <c r="R267" s="44" t="s">
        <v>832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832</v>
      </c>
      <c r="Z267" s="30" t="s">
        <v>57</v>
      </c>
      <c r="AA267" s="30" t="s">
        <v>832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5128</v>
      </c>
      <c r="C268" s="41" t="s">
        <v>5129</v>
      </c>
      <c r="D268" s="39" t="s">
        <v>4602</v>
      </c>
      <c r="E268" s="42">
        <v>46128</v>
      </c>
      <c r="F268" s="26" t="s">
        <v>55</v>
      </c>
      <c r="G268" s="44" t="s">
        <v>56</v>
      </c>
      <c r="H268" s="26" t="s">
        <v>57</v>
      </c>
      <c r="I268" s="44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46196</v>
      </c>
      <c r="O268" s="26" t="s">
        <v>55</v>
      </c>
      <c r="P268" s="44" t="s">
        <v>56</v>
      </c>
      <c r="Q268" s="26" t="s">
        <v>57</v>
      </c>
      <c r="R268" s="44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5130</v>
      </c>
      <c r="C269" s="25" t="s">
        <v>5131</v>
      </c>
      <c r="D269" s="23" t="s">
        <v>4602</v>
      </c>
      <c r="E269" s="42">
        <v>46128</v>
      </c>
      <c r="F269" s="26" t="s">
        <v>55</v>
      </c>
      <c r="G269" s="44" t="s">
        <v>832</v>
      </c>
      <c r="H269" s="26" t="s">
        <v>57</v>
      </c>
      <c r="I269" s="44" t="s">
        <v>832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46196</v>
      </c>
      <c r="O269" s="26" t="s">
        <v>55</v>
      </c>
      <c r="P269" s="44" t="s">
        <v>832</v>
      </c>
      <c r="Q269" s="26" t="s">
        <v>57</v>
      </c>
      <c r="R269" s="44" t="s">
        <v>832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832</v>
      </c>
      <c r="Z269" s="30" t="s">
        <v>57</v>
      </c>
      <c r="AA269" s="30" t="s">
        <v>832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5132</v>
      </c>
      <c r="C270" s="41" t="s">
        <v>5133</v>
      </c>
      <c r="D270" s="39" t="s">
        <v>4602</v>
      </c>
      <c r="E270" s="42">
        <v>46128</v>
      </c>
      <c r="F270" s="26" t="s">
        <v>55</v>
      </c>
      <c r="G270" s="44" t="s">
        <v>832</v>
      </c>
      <c r="H270" s="26" t="s">
        <v>57</v>
      </c>
      <c r="I270" s="44" t="s">
        <v>832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46196</v>
      </c>
      <c r="O270" s="26" t="s">
        <v>55</v>
      </c>
      <c r="P270" s="44" t="s">
        <v>832</v>
      </c>
      <c r="Q270" s="26" t="s">
        <v>57</v>
      </c>
      <c r="R270" s="44" t="s">
        <v>832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832</v>
      </c>
      <c r="Z270" s="30" t="s">
        <v>57</v>
      </c>
      <c r="AA270" s="30" t="s">
        <v>832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5134</v>
      </c>
      <c r="C271" s="25" t="s">
        <v>5135</v>
      </c>
      <c r="D271" s="23" t="s">
        <v>4602</v>
      </c>
      <c r="E271" s="42">
        <v>46128</v>
      </c>
      <c r="F271" s="26" t="s">
        <v>55</v>
      </c>
      <c r="G271" s="44" t="s">
        <v>832</v>
      </c>
      <c r="H271" s="26" t="s">
        <v>57</v>
      </c>
      <c r="I271" s="44" t="s">
        <v>832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46196</v>
      </c>
      <c r="O271" s="26" t="s">
        <v>55</v>
      </c>
      <c r="P271" s="44" t="s">
        <v>832</v>
      </c>
      <c r="Q271" s="26" t="s">
        <v>57</v>
      </c>
      <c r="R271" s="44" t="s">
        <v>832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832</v>
      </c>
      <c r="Z271" s="30" t="s">
        <v>57</v>
      </c>
      <c r="AA271" s="30" t="s">
        <v>832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5136</v>
      </c>
      <c r="C272" s="41" t="s">
        <v>5137</v>
      </c>
      <c r="D272" s="39" t="s">
        <v>4602</v>
      </c>
      <c r="E272" s="42">
        <v>46128</v>
      </c>
      <c r="F272" s="26" t="s">
        <v>55</v>
      </c>
      <c r="G272" s="44" t="s">
        <v>832</v>
      </c>
      <c r="H272" s="26" t="s">
        <v>57</v>
      </c>
      <c r="I272" s="44" t="s">
        <v>832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46196</v>
      </c>
      <c r="O272" s="26" t="s">
        <v>55</v>
      </c>
      <c r="P272" s="44" t="s">
        <v>832</v>
      </c>
      <c r="Q272" s="26" t="s">
        <v>57</v>
      </c>
      <c r="R272" s="44" t="s">
        <v>832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832</v>
      </c>
      <c r="Z272" s="30" t="s">
        <v>57</v>
      </c>
      <c r="AA272" s="30" t="s">
        <v>832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5138</v>
      </c>
      <c r="C273" s="25" t="s">
        <v>5139</v>
      </c>
      <c r="D273" s="23" t="s">
        <v>4602</v>
      </c>
      <c r="E273" s="42">
        <v>46128</v>
      </c>
      <c r="F273" s="26" t="s">
        <v>55</v>
      </c>
      <c r="G273" s="44" t="s">
        <v>832</v>
      </c>
      <c r="H273" s="26" t="s">
        <v>57</v>
      </c>
      <c r="I273" s="44" t="s">
        <v>832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46196</v>
      </c>
      <c r="O273" s="26" t="s">
        <v>55</v>
      </c>
      <c r="P273" s="44" t="s">
        <v>832</v>
      </c>
      <c r="Q273" s="26" t="s">
        <v>57</v>
      </c>
      <c r="R273" s="44" t="s">
        <v>832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832</v>
      </c>
      <c r="Z273" s="30" t="s">
        <v>57</v>
      </c>
      <c r="AA273" s="30" t="s">
        <v>832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5140</v>
      </c>
      <c r="C274" s="41" t="s">
        <v>5141</v>
      </c>
      <c r="D274" s="39" t="s">
        <v>4602</v>
      </c>
      <c r="E274" s="42">
        <v>46128</v>
      </c>
      <c r="F274" s="26" t="s">
        <v>55</v>
      </c>
      <c r="G274" s="44" t="s">
        <v>832</v>
      </c>
      <c r="H274" s="26" t="s">
        <v>57</v>
      </c>
      <c r="I274" s="44" t="s">
        <v>832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46196</v>
      </c>
      <c r="O274" s="26" t="s">
        <v>55</v>
      </c>
      <c r="P274" s="44" t="s">
        <v>832</v>
      </c>
      <c r="Q274" s="26" t="s">
        <v>57</v>
      </c>
      <c r="R274" s="44" t="s">
        <v>832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832</v>
      </c>
      <c r="Z274" s="30" t="s">
        <v>57</v>
      </c>
      <c r="AA274" s="30" t="s">
        <v>832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5142</v>
      </c>
      <c r="C275" s="25" t="s">
        <v>5143</v>
      </c>
      <c r="D275" s="23" t="s">
        <v>4602</v>
      </c>
      <c r="E275" s="42">
        <v>46128</v>
      </c>
      <c r="F275" s="26" t="s">
        <v>55</v>
      </c>
      <c r="G275" s="44" t="s">
        <v>832</v>
      </c>
      <c r="H275" s="26" t="s">
        <v>57</v>
      </c>
      <c r="I275" s="44" t="s">
        <v>832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2">
        <v>46196</v>
      </c>
      <c r="O275" s="26" t="s">
        <v>55</v>
      </c>
      <c r="P275" s="44" t="s">
        <v>832</v>
      </c>
      <c r="Q275" s="26" t="s">
        <v>57</v>
      </c>
      <c r="R275" s="44" t="s">
        <v>832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832</v>
      </c>
      <c r="Z275" s="30" t="s">
        <v>57</v>
      </c>
      <c r="AA275" s="30" t="s">
        <v>832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5144</v>
      </c>
      <c r="C276" s="41" t="s">
        <v>5145</v>
      </c>
      <c r="D276" s="39" t="s">
        <v>4602</v>
      </c>
      <c r="E276" s="42">
        <v>46128</v>
      </c>
      <c r="F276" s="26" t="s">
        <v>55</v>
      </c>
      <c r="G276" s="44" t="s">
        <v>56</v>
      </c>
      <c r="H276" s="26" t="s">
        <v>57</v>
      </c>
      <c r="I276" s="44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2">
        <v>46196</v>
      </c>
      <c r="O276" s="26" t="s">
        <v>55</v>
      </c>
      <c r="P276" s="44" t="s">
        <v>56</v>
      </c>
      <c r="Q276" s="26" t="s">
        <v>57</v>
      </c>
      <c r="R276" s="44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5146</v>
      </c>
      <c r="C277" s="25" t="s">
        <v>5147</v>
      </c>
      <c r="D277" s="23" t="s">
        <v>4602</v>
      </c>
      <c r="E277" s="42">
        <v>46128</v>
      </c>
      <c r="F277" s="26" t="s">
        <v>55</v>
      </c>
      <c r="G277" s="44" t="s">
        <v>832</v>
      </c>
      <c r="H277" s="26" t="s">
        <v>57</v>
      </c>
      <c r="I277" s="44" t="s">
        <v>832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46196</v>
      </c>
      <c r="O277" s="26" t="s">
        <v>55</v>
      </c>
      <c r="P277" s="44" t="s">
        <v>832</v>
      </c>
      <c r="Q277" s="26" t="s">
        <v>57</v>
      </c>
      <c r="R277" s="44" t="s">
        <v>832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832</v>
      </c>
      <c r="Z277" s="30" t="s">
        <v>57</v>
      </c>
      <c r="AA277" s="30" t="s">
        <v>832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5148</v>
      </c>
      <c r="C278" s="41" t="s">
        <v>5149</v>
      </c>
      <c r="D278" s="39" t="s">
        <v>4602</v>
      </c>
      <c r="E278" s="42">
        <v>46128</v>
      </c>
      <c r="F278" s="26" t="s">
        <v>55</v>
      </c>
      <c r="G278" s="44" t="s">
        <v>832</v>
      </c>
      <c r="H278" s="26" t="s">
        <v>57</v>
      </c>
      <c r="I278" s="44" t="s">
        <v>832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46196</v>
      </c>
      <c r="O278" s="26" t="s">
        <v>55</v>
      </c>
      <c r="P278" s="44" t="s">
        <v>832</v>
      </c>
      <c r="Q278" s="26" t="s">
        <v>57</v>
      </c>
      <c r="R278" s="44" t="s">
        <v>832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832</v>
      </c>
      <c r="Z278" s="30" t="s">
        <v>57</v>
      </c>
      <c r="AA278" s="30" t="s">
        <v>832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5150</v>
      </c>
      <c r="C279" s="25" t="s">
        <v>5151</v>
      </c>
      <c r="D279" s="23" t="s">
        <v>4602</v>
      </c>
      <c r="E279" s="42">
        <v>46128</v>
      </c>
      <c r="F279" s="26" t="s">
        <v>55</v>
      </c>
      <c r="G279" s="44" t="s">
        <v>832</v>
      </c>
      <c r="H279" s="26" t="s">
        <v>57</v>
      </c>
      <c r="I279" s="44" t="s">
        <v>832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46196</v>
      </c>
      <c r="O279" s="26" t="s">
        <v>55</v>
      </c>
      <c r="P279" s="44" t="s">
        <v>832</v>
      </c>
      <c r="Q279" s="26" t="s">
        <v>57</v>
      </c>
      <c r="R279" s="44" t="s">
        <v>832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832</v>
      </c>
      <c r="Z279" s="30" t="s">
        <v>57</v>
      </c>
      <c r="AA279" s="30" t="s">
        <v>832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5152</v>
      </c>
      <c r="C280" s="41" t="s">
        <v>5153</v>
      </c>
      <c r="D280" s="39" t="s">
        <v>4602</v>
      </c>
      <c r="E280" s="42">
        <v>46128</v>
      </c>
      <c r="F280" s="26" t="s">
        <v>55</v>
      </c>
      <c r="G280" s="44" t="s">
        <v>56</v>
      </c>
      <c r="H280" s="26" t="s">
        <v>57</v>
      </c>
      <c r="I280" s="44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46196</v>
      </c>
      <c r="O280" s="26" t="s">
        <v>55</v>
      </c>
      <c r="P280" s="44" t="s">
        <v>56</v>
      </c>
      <c r="Q280" s="26" t="s">
        <v>57</v>
      </c>
      <c r="R280" s="44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5154</v>
      </c>
      <c r="C281" s="25" t="s">
        <v>5155</v>
      </c>
      <c r="D281" s="23" t="s">
        <v>4602</v>
      </c>
      <c r="E281" s="42">
        <v>46128</v>
      </c>
      <c r="F281" s="26" t="s">
        <v>55</v>
      </c>
      <c r="G281" s="44" t="s">
        <v>832</v>
      </c>
      <c r="H281" s="26" t="s">
        <v>57</v>
      </c>
      <c r="I281" s="44" t="s">
        <v>832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46196</v>
      </c>
      <c r="O281" s="26" t="s">
        <v>55</v>
      </c>
      <c r="P281" s="44" t="s">
        <v>832</v>
      </c>
      <c r="Q281" s="26" t="s">
        <v>57</v>
      </c>
      <c r="R281" s="44" t="s">
        <v>832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832</v>
      </c>
      <c r="Z281" s="30" t="s">
        <v>57</v>
      </c>
      <c r="AA281" s="30" t="s">
        <v>832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5156</v>
      </c>
      <c r="C282" s="41" t="s">
        <v>5157</v>
      </c>
      <c r="D282" s="39" t="s">
        <v>4602</v>
      </c>
      <c r="E282" s="42">
        <v>46128</v>
      </c>
      <c r="F282" s="26" t="s">
        <v>55</v>
      </c>
      <c r="G282" s="44" t="s">
        <v>832</v>
      </c>
      <c r="H282" s="26" t="s">
        <v>57</v>
      </c>
      <c r="I282" s="44" t="s">
        <v>832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46196</v>
      </c>
      <c r="O282" s="26" t="s">
        <v>55</v>
      </c>
      <c r="P282" s="44" t="s">
        <v>832</v>
      </c>
      <c r="Q282" s="26" t="s">
        <v>57</v>
      </c>
      <c r="R282" s="44" t="s">
        <v>832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832</v>
      </c>
      <c r="Z282" s="30" t="s">
        <v>57</v>
      </c>
      <c r="AA282" s="30" t="s">
        <v>832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5158</v>
      </c>
      <c r="C283" s="25" t="s">
        <v>5159</v>
      </c>
      <c r="D283" s="23" t="s">
        <v>4602</v>
      </c>
      <c r="E283" s="42">
        <v>46128</v>
      </c>
      <c r="F283" s="26" t="s">
        <v>55</v>
      </c>
      <c r="G283" s="44" t="s">
        <v>832</v>
      </c>
      <c r="H283" s="26" t="s">
        <v>57</v>
      </c>
      <c r="I283" s="44" t="s">
        <v>832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2">
        <v>46196</v>
      </c>
      <c r="O283" s="26" t="s">
        <v>55</v>
      </c>
      <c r="P283" s="44" t="s">
        <v>832</v>
      </c>
      <c r="Q283" s="26" t="s">
        <v>57</v>
      </c>
      <c r="R283" s="44" t="s">
        <v>832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832</v>
      </c>
      <c r="Z283" s="30" t="s">
        <v>57</v>
      </c>
      <c r="AA283" s="30" t="s">
        <v>832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5160</v>
      </c>
      <c r="C284" s="41" t="s">
        <v>5161</v>
      </c>
      <c r="D284" s="39" t="s">
        <v>4602</v>
      </c>
      <c r="E284" s="42">
        <v>46128</v>
      </c>
      <c r="F284" s="26" t="s">
        <v>55</v>
      </c>
      <c r="G284" s="44" t="s">
        <v>832</v>
      </c>
      <c r="H284" s="26" t="s">
        <v>57</v>
      </c>
      <c r="I284" s="44" t="s">
        <v>832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46196</v>
      </c>
      <c r="O284" s="26" t="s">
        <v>55</v>
      </c>
      <c r="P284" s="44" t="s">
        <v>832</v>
      </c>
      <c r="Q284" s="26" t="s">
        <v>57</v>
      </c>
      <c r="R284" s="44" t="s">
        <v>832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832</v>
      </c>
      <c r="Z284" s="30" t="s">
        <v>57</v>
      </c>
      <c r="AA284" s="30" t="s">
        <v>832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5162</v>
      </c>
      <c r="C285" s="25" t="s">
        <v>5163</v>
      </c>
      <c r="D285" s="23" t="s">
        <v>4602</v>
      </c>
      <c r="E285" s="42">
        <v>46128</v>
      </c>
      <c r="F285" s="26" t="s">
        <v>55</v>
      </c>
      <c r="G285" s="44" t="s">
        <v>832</v>
      </c>
      <c r="H285" s="26" t="s">
        <v>57</v>
      </c>
      <c r="I285" s="44" t="s">
        <v>832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2">
        <v>46196</v>
      </c>
      <c r="O285" s="26" t="s">
        <v>55</v>
      </c>
      <c r="P285" s="44" t="s">
        <v>832</v>
      </c>
      <c r="Q285" s="26" t="s">
        <v>57</v>
      </c>
      <c r="R285" s="44" t="s">
        <v>832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832</v>
      </c>
      <c r="Z285" s="30" t="s">
        <v>57</v>
      </c>
      <c r="AA285" s="30" t="s">
        <v>832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5164</v>
      </c>
      <c r="C286" s="41" t="s">
        <v>5165</v>
      </c>
      <c r="D286" s="39" t="s">
        <v>4602</v>
      </c>
      <c r="E286" s="42">
        <v>46128</v>
      </c>
      <c r="F286" s="26" t="s">
        <v>55</v>
      </c>
      <c r="G286" s="44" t="s">
        <v>56</v>
      </c>
      <c r="H286" s="26" t="s">
        <v>57</v>
      </c>
      <c r="I286" s="44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2">
        <v>46196</v>
      </c>
      <c r="O286" s="26" t="s">
        <v>55</v>
      </c>
      <c r="P286" s="44" t="s">
        <v>56</v>
      </c>
      <c r="Q286" s="26" t="s">
        <v>57</v>
      </c>
      <c r="R286" s="44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5166</v>
      </c>
      <c r="C287" s="25" t="s">
        <v>5167</v>
      </c>
      <c r="D287" s="23" t="s">
        <v>4602</v>
      </c>
      <c r="E287" s="42">
        <v>46128</v>
      </c>
      <c r="F287" s="26" t="s">
        <v>55</v>
      </c>
      <c r="G287" s="44" t="s">
        <v>832</v>
      </c>
      <c r="H287" s="26" t="s">
        <v>57</v>
      </c>
      <c r="I287" s="44" t="s">
        <v>832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2">
        <v>46196</v>
      </c>
      <c r="O287" s="26" t="s">
        <v>55</v>
      </c>
      <c r="P287" s="44" t="s">
        <v>832</v>
      </c>
      <c r="Q287" s="26" t="s">
        <v>57</v>
      </c>
      <c r="R287" s="44" t="s">
        <v>832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832</v>
      </c>
      <c r="Z287" s="30" t="s">
        <v>57</v>
      </c>
      <c r="AA287" s="30" t="s">
        <v>832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5168</v>
      </c>
      <c r="C288" s="41" t="s">
        <v>5169</v>
      </c>
      <c r="D288" s="39" t="s">
        <v>4602</v>
      </c>
      <c r="E288" s="42">
        <v>46128</v>
      </c>
      <c r="F288" s="26" t="s">
        <v>55</v>
      </c>
      <c r="G288" s="44" t="s">
        <v>832</v>
      </c>
      <c r="H288" s="26" t="s">
        <v>57</v>
      </c>
      <c r="I288" s="44" t="s">
        <v>832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2">
        <v>46196</v>
      </c>
      <c r="O288" s="26" t="s">
        <v>55</v>
      </c>
      <c r="P288" s="44" t="s">
        <v>832</v>
      </c>
      <c r="Q288" s="26" t="s">
        <v>57</v>
      </c>
      <c r="R288" s="44" t="s">
        <v>832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832</v>
      </c>
      <c r="Z288" s="30" t="s">
        <v>57</v>
      </c>
      <c r="AA288" s="30" t="s">
        <v>832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5170</v>
      </c>
      <c r="C289" s="25" t="s">
        <v>5171</v>
      </c>
      <c r="D289" s="23" t="s">
        <v>4602</v>
      </c>
      <c r="E289" s="42">
        <v>46128</v>
      </c>
      <c r="F289" s="26" t="s">
        <v>55</v>
      </c>
      <c r="G289" s="44" t="s">
        <v>56</v>
      </c>
      <c r="H289" s="26" t="s">
        <v>57</v>
      </c>
      <c r="I289" s="44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46196</v>
      </c>
      <c r="O289" s="26" t="s">
        <v>55</v>
      </c>
      <c r="P289" s="44" t="s">
        <v>56</v>
      </c>
      <c r="Q289" s="26" t="s">
        <v>57</v>
      </c>
      <c r="R289" s="44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5172</v>
      </c>
      <c r="C290" s="41" t="s">
        <v>5173</v>
      </c>
      <c r="D290" s="39" t="s">
        <v>4602</v>
      </c>
      <c r="E290" s="42">
        <v>46128</v>
      </c>
      <c r="F290" s="26" t="s">
        <v>55</v>
      </c>
      <c r="G290" s="44" t="s">
        <v>832</v>
      </c>
      <c r="H290" s="26" t="s">
        <v>57</v>
      </c>
      <c r="I290" s="44" t="s">
        <v>832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2">
        <v>46196</v>
      </c>
      <c r="O290" s="26" t="s">
        <v>55</v>
      </c>
      <c r="P290" s="44" t="s">
        <v>832</v>
      </c>
      <c r="Q290" s="26" t="s">
        <v>57</v>
      </c>
      <c r="R290" s="44" t="s">
        <v>832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832</v>
      </c>
      <c r="Z290" s="30" t="s">
        <v>57</v>
      </c>
      <c r="AA290" s="30" t="s">
        <v>832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5174</v>
      </c>
      <c r="C291" s="25" t="s">
        <v>5175</v>
      </c>
      <c r="D291" s="23" t="s">
        <v>4602</v>
      </c>
      <c r="E291" s="42">
        <v>46128</v>
      </c>
      <c r="F291" s="26" t="s">
        <v>55</v>
      </c>
      <c r="G291" s="44" t="s">
        <v>832</v>
      </c>
      <c r="H291" s="26" t="s">
        <v>57</v>
      </c>
      <c r="I291" s="44" t="s">
        <v>832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2">
        <v>46196</v>
      </c>
      <c r="O291" s="26" t="s">
        <v>55</v>
      </c>
      <c r="P291" s="44" t="s">
        <v>832</v>
      </c>
      <c r="Q291" s="26" t="s">
        <v>57</v>
      </c>
      <c r="R291" s="44" t="s">
        <v>832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832</v>
      </c>
      <c r="Z291" s="30" t="s">
        <v>57</v>
      </c>
      <c r="AA291" s="30" t="s">
        <v>832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5176</v>
      </c>
      <c r="C292" s="41" t="s">
        <v>5177</v>
      </c>
      <c r="D292" s="39" t="s">
        <v>4602</v>
      </c>
      <c r="E292" s="42">
        <v>46128</v>
      </c>
      <c r="F292" s="26" t="s">
        <v>55</v>
      </c>
      <c r="G292" s="44" t="s">
        <v>832</v>
      </c>
      <c r="H292" s="26" t="s">
        <v>57</v>
      </c>
      <c r="I292" s="44" t="s">
        <v>832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2">
        <v>46196</v>
      </c>
      <c r="O292" s="26" t="s">
        <v>55</v>
      </c>
      <c r="P292" s="44" t="s">
        <v>832</v>
      </c>
      <c r="Q292" s="26" t="s">
        <v>57</v>
      </c>
      <c r="R292" s="44" t="s">
        <v>832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832</v>
      </c>
      <c r="Z292" s="30" t="s">
        <v>57</v>
      </c>
      <c r="AA292" s="30" t="s">
        <v>832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5178</v>
      </c>
      <c r="C293" s="25" t="s">
        <v>5179</v>
      </c>
      <c r="D293" s="23" t="s">
        <v>4602</v>
      </c>
      <c r="E293" s="42">
        <v>46128</v>
      </c>
      <c r="F293" s="26" t="s">
        <v>55</v>
      </c>
      <c r="G293" s="44" t="s">
        <v>832</v>
      </c>
      <c r="H293" s="26" t="s">
        <v>57</v>
      </c>
      <c r="I293" s="44" t="s">
        <v>832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42">
        <v>46196</v>
      </c>
      <c r="O293" s="26" t="s">
        <v>55</v>
      </c>
      <c r="P293" s="44" t="s">
        <v>832</v>
      </c>
      <c r="Q293" s="26" t="s">
        <v>57</v>
      </c>
      <c r="R293" s="44" t="s">
        <v>832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70">
        <v>46248</v>
      </c>
      <c r="X293" s="30" t="s">
        <v>55</v>
      </c>
      <c r="Y293" s="30" t="s">
        <v>832</v>
      </c>
      <c r="Z293" s="30" t="s">
        <v>57</v>
      </c>
      <c r="AA293" s="30" t="s">
        <v>832</v>
      </c>
      <c r="AB293" s="30" t="s">
        <v>56</v>
      </c>
      <c r="AC293" s="27"/>
      <c r="AD293" s="31" t="s">
        <v>57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5180</v>
      </c>
      <c r="C294" s="41" t="s">
        <v>5181</v>
      </c>
      <c r="D294" s="39" t="s">
        <v>4602</v>
      </c>
      <c r="E294" s="42">
        <v>46128</v>
      </c>
      <c r="F294" s="26" t="s">
        <v>55</v>
      </c>
      <c r="G294" s="44" t="s">
        <v>56</v>
      </c>
      <c r="H294" s="26" t="s">
        <v>57</v>
      </c>
      <c r="I294" s="44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46196</v>
      </c>
      <c r="O294" s="26" t="s">
        <v>55</v>
      </c>
      <c r="P294" s="44" t="s">
        <v>56</v>
      </c>
      <c r="Q294" s="26" t="s">
        <v>57</v>
      </c>
      <c r="R294" s="44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5182</v>
      </c>
      <c r="C295" s="25" t="s">
        <v>5183</v>
      </c>
      <c r="D295" s="23" t="s">
        <v>4602</v>
      </c>
      <c r="E295" s="42">
        <v>46128</v>
      </c>
      <c r="F295" s="26" t="s">
        <v>55</v>
      </c>
      <c r="G295" s="44" t="s">
        <v>832</v>
      </c>
      <c r="H295" s="26" t="s">
        <v>57</v>
      </c>
      <c r="I295" s="44" t="s">
        <v>832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42">
        <v>46196</v>
      </c>
      <c r="O295" s="26" t="s">
        <v>55</v>
      </c>
      <c r="P295" s="44" t="s">
        <v>832</v>
      </c>
      <c r="Q295" s="26" t="s">
        <v>57</v>
      </c>
      <c r="R295" s="44" t="s">
        <v>832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832</v>
      </c>
      <c r="Z295" s="30" t="s">
        <v>57</v>
      </c>
      <c r="AA295" s="30" t="s">
        <v>832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5184</v>
      </c>
      <c r="C296" s="41" t="s">
        <v>5185</v>
      </c>
      <c r="D296" s="39" t="s">
        <v>4602</v>
      </c>
      <c r="E296" s="42">
        <v>46128</v>
      </c>
      <c r="F296" s="26" t="s">
        <v>55</v>
      </c>
      <c r="G296" s="44" t="s">
        <v>832</v>
      </c>
      <c r="H296" s="26" t="s">
        <v>57</v>
      </c>
      <c r="I296" s="44" t="s">
        <v>832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42">
        <v>46196</v>
      </c>
      <c r="O296" s="26" t="s">
        <v>55</v>
      </c>
      <c r="P296" s="44" t="s">
        <v>832</v>
      </c>
      <c r="Q296" s="26" t="s">
        <v>57</v>
      </c>
      <c r="R296" s="44" t="s">
        <v>832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70">
        <v>46248</v>
      </c>
      <c r="X296" s="30" t="s">
        <v>55</v>
      </c>
      <c r="Y296" s="30" t="s">
        <v>832</v>
      </c>
      <c r="Z296" s="30" t="s">
        <v>57</v>
      </c>
      <c r="AA296" s="30" t="s">
        <v>832</v>
      </c>
      <c r="AB296" s="30" t="s">
        <v>56</v>
      </c>
      <c r="AC296" s="27"/>
      <c r="AD296" s="31" t="s">
        <v>57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5186</v>
      </c>
      <c r="C297" s="25" t="s">
        <v>5187</v>
      </c>
      <c r="D297" s="23" t="s">
        <v>4602</v>
      </c>
      <c r="E297" s="42">
        <v>46128</v>
      </c>
      <c r="F297" s="26" t="s">
        <v>55</v>
      </c>
      <c r="G297" s="44" t="s">
        <v>832</v>
      </c>
      <c r="H297" s="26" t="s">
        <v>57</v>
      </c>
      <c r="I297" s="44" t="s">
        <v>832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42">
        <v>46196</v>
      </c>
      <c r="O297" s="26" t="s">
        <v>55</v>
      </c>
      <c r="P297" s="44" t="s">
        <v>832</v>
      </c>
      <c r="Q297" s="26" t="s">
        <v>57</v>
      </c>
      <c r="R297" s="44" t="s">
        <v>832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70">
        <v>46248</v>
      </c>
      <c r="X297" s="30" t="s">
        <v>55</v>
      </c>
      <c r="Y297" s="30" t="s">
        <v>832</v>
      </c>
      <c r="Z297" s="30" t="s">
        <v>57</v>
      </c>
      <c r="AA297" s="30" t="s">
        <v>832</v>
      </c>
      <c r="AB297" s="30" t="s">
        <v>56</v>
      </c>
      <c r="AC297" s="27"/>
      <c r="AD297" s="31" t="s">
        <v>57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5188</v>
      </c>
      <c r="C298" s="41" t="s">
        <v>5189</v>
      </c>
      <c r="D298" s="39" t="s">
        <v>4602</v>
      </c>
      <c r="E298" s="42">
        <v>46128</v>
      </c>
      <c r="F298" s="26" t="s">
        <v>55</v>
      </c>
      <c r="G298" s="44" t="s">
        <v>832</v>
      </c>
      <c r="H298" s="26" t="s">
        <v>57</v>
      </c>
      <c r="I298" s="44" t="s">
        <v>832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42">
        <v>46196</v>
      </c>
      <c r="O298" s="26" t="s">
        <v>55</v>
      </c>
      <c r="P298" s="44" t="s">
        <v>832</v>
      </c>
      <c r="Q298" s="26" t="s">
        <v>57</v>
      </c>
      <c r="R298" s="44" t="s">
        <v>832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70">
        <v>46248</v>
      </c>
      <c r="X298" s="30" t="s">
        <v>55</v>
      </c>
      <c r="Y298" s="30" t="s">
        <v>832</v>
      </c>
      <c r="Z298" s="30" t="s">
        <v>57</v>
      </c>
      <c r="AA298" s="30" t="s">
        <v>832</v>
      </c>
      <c r="AB298" s="30" t="s">
        <v>56</v>
      </c>
      <c r="AC298" s="27"/>
      <c r="AD298" s="31" t="s">
        <v>57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5190</v>
      </c>
      <c r="C299" s="25" t="s">
        <v>5191</v>
      </c>
      <c r="D299" s="23" t="s">
        <v>4602</v>
      </c>
      <c r="E299" s="42">
        <v>46128</v>
      </c>
      <c r="F299" s="26" t="s">
        <v>55</v>
      </c>
      <c r="G299" s="44" t="s">
        <v>832</v>
      </c>
      <c r="H299" s="26" t="s">
        <v>57</v>
      </c>
      <c r="I299" s="44" t="s">
        <v>832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42">
        <v>46196</v>
      </c>
      <c r="O299" s="26" t="s">
        <v>55</v>
      </c>
      <c r="P299" s="44" t="s">
        <v>832</v>
      </c>
      <c r="Q299" s="26" t="s">
        <v>57</v>
      </c>
      <c r="R299" s="44" t="s">
        <v>832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70">
        <v>46248</v>
      </c>
      <c r="X299" s="30" t="s">
        <v>55</v>
      </c>
      <c r="Y299" s="30" t="s">
        <v>832</v>
      </c>
      <c r="Z299" s="30" t="s">
        <v>57</v>
      </c>
      <c r="AA299" s="30" t="s">
        <v>832</v>
      </c>
      <c r="AB299" s="30" t="s">
        <v>56</v>
      </c>
      <c r="AC299" s="27"/>
      <c r="AD299" s="31" t="s">
        <v>57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5192</v>
      </c>
      <c r="C300" s="41" t="s">
        <v>5193</v>
      </c>
      <c r="D300" s="39" t="s">
        <v>4602</v>
      </c>
      <c r="E300" s="42">
        <v>46128</v>
      </c>
      <c r="F300" s="26" t="s">
        <v>55</v>
      </c>
      <c r="G300" s="44" t="s">
        <v>832</v>
      </c>
      <c r="H300" s="26" t="s">
        <v>57</v>
      </c>
      <c r="I300" s="44" t="s">
        <v>832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42">
        <v>46196</v>
      </c>
      <c r="O300" s="26" t="s">
        <v>55</v>
      </c>
      <c r="P300" s="44" t="s">
        <v>832</v>
      </c>
      <c r="Q300" s="26" t="s">
        <v>57</v>
      </c>
      <c r="R300" s="44" t="s">
        <v>832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70">
        <v>46248</v>
      </c>
      <c r="X300" s="30" t="s">
        <v>55</v>
      </c>
      <c r="Y300" s="30" t="s">
        <v>832</v>
      </c>
      <c r="Z300" s="30" t="s">
        <v>57</v>
      </c>
      <c r="AA300" s="30" t="s">
        <v>832</v>
      </c>
      <c r="AB300" s="30" t="s">
        <v>56</v>
      </c>
      <c r="AC300" s="27"/>
      <c r="AD300" s="31" t="s">
        <v>57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5194</v>
      </c>
      <c r="C301" s="25" t="s">
        <v>5195</v>
      </c>
      <c r="D301" s="23" t="s">
        <v>4602</v>
      </c>
      <c r="E301" s="42">
        <v>46128</v>
      </c>
      <c r="F301" s="26" t="s">
        <v>55</v>
      </c>
      <c r="G301" s="44" t="s">
        <v>56</v>
      </c>
      <c r="H301" s="26" t="s">
        <v>57</v>
      </c>
      <c r="I301" s="44" t="s">
        <v>277</v>
      </c>
      <c r="J301" s="26" t="s">
        <v>57</v>
      </c>
      <c r="K301" s="27" t="s">
        <v>5017</v>
      </c>
      <c r="L301" s="28" t="s">
        <v>56</v>
      </c>
      <c r="M301" s="29" t="str">
        <f t="shared" si="20"/>
        <v>⚠ Check</v>
      </c>
      <c r="N301" s="42">
        <v>46196</v>
      </c>
      <c r="O301" s="26" t="s">
        <v>55</v>
      </c>
      <c r="P301" s="44" t="s">
        <v>56</v>
      </c>
      <c r="Q301" s="26" t="s">
        <v>57</v>
      </c>
      <c r="R301" s="44" t="s">
        <v>277</v>
      </c>
      <c r="S301" s="26" t="s">
        <v>57</v>
      </c>
      <c r="T301" s="27" t="s">
        <v>5017</v>
      </c>
      <c r="U301" s="28" t="s">
        <v>56</v>
      </c>
      <c r="V301" s="29" t="str">
        <f t="shared" si="21"/>
        <v>⚠ Check</v>
      </c>
      <c r="W301" s="70">
        <v>46248</v>
      </c>
      <c r="X301" s="30" t="s">
        <v>55</v>
      </c>
      <c r="Y301" s="30" t="s">
        <v>56</v>
      </c>
      <c r="Z301" s="30" t="s">
        <v>57</v>
      </c>
      <c r="AA301" s="30" t="s">
        <v>277</v>
      </c>
      <c r="AB301" s="30" t="s">
        <v>57</v>
      </c>
      <c r="AC301" s="27" t="s">
        <v>5017</v>
      </c>
      <c r="AD301" s="31" t="s">
        <v>56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5196</v>
      </c>
      <c r="C302" s="41" t="s">
        <v>5197</v>
      </c>
      <c r="D302" s="39" t="s">
        <v>4602</v>
      </c>
      <c r="E302" s="42">
        <v>46128</v>
      </c>
      <c r="F302" s="26" t="s">
        <v>55</v>
      </c>
      <c r="G302" s="44" t="s">
        <v>832</v>
      </c>
      <c r="H302" s="26" t="s">
        <v>57</v>
      </c>
      <c r="I302" s="44" t="s">
        <v>832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42">
        <v>46196</v>
      </c>
      <c r="O302" s="26" t="s">
        <v>55</v>
      </c>
      <c r="P302" s="44" t="s">
        <v>832</v>
      </c>
      <c r="Q302" s="26" t="s">
        <v>57</v>
      </c>
      <c r="R302" s="44" t="s">
        <v>832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70">
        <v>46248</v>
      </c>
      <c r="X302" s="30" t="s">
        <v>55</v>
      </c>
      <c r="Y302" s="30" t="s">
        <v>832</v>
      </c>
      <c r="Z302" s="30" t="s">
        <v>57</v>
      </c>
      <c r="AA302" s="30" t="s">
        <v>832</v>
      </c>
      <c r="AB302" s="30" t="s">
        <v>56</v>
      </c>
      <c r="AC302" s="27"/>
      <c r="AD302" s="31" t="s">
        <v>57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5198</v>
      </c>
      <c r="C303" s="25" t="s">
        <v>5199</v>
      </c>
      <c r="D303" s="23" t="s">
        <v>4602</v>
      </c>
      <c r="E303" s="42">
        <v>46128</v>
      </c>
      <c r="F303" s="26" t="s">
        <v>55</v>
      </c>
      <c r="G303" s="44" t="s">
        <v>832</v>
      </c>
      <c r="H303" s="26" t="s">
        <v>57</v>
      </c>
      <c r="I303" s="44" t="s">
        <v>832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42">
        <v>46196</v>
      </c>
      <c r="O303" s="26" t="s">
        <v>55</v>
      </c>
      <c r="P303" s="44" t="s">
        <v>832</v>
      </c>
      <c r="Q303" s="26" t="s">
        <v>57</v>
      </c>
      <c r="R303" s="44" t="s">
        <v>832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70">
        <v>46248</v>
      </c>
      <c r="X303" s="30" t="s">
        <v>55</v>
      </c>
      <c r="Y303" s="30" t="s">
        <v>832</v>
      </c>
      <c r="Z303" s="30" t="s">
        <v>57</v>
      </c>
      <c r="AA303" s="30" t="s">
        <v>832</v>
      </c>
      <c r="AB303" s="30" t="s">
        <v>56</v>
      </c>
      <c r="AC303" s="27"/>
      <c r="AD303" s="31" t="s">
        <v>57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5200</v>
      </c>
      <c r="C304" s="41" t="s">
        <v>5201</v>
      </c>
      <c r="D304" s="39" t="s">
        <v>4602</v>
      </c>
      <c r="E304" s="42">
        <v>46128</v>
      </c>
      <c r="F304" s="26" t="s">
        <v>55</v>
      </c>
      <c r="G304" s="44" t="s">
        <v>832</v>
      </c>
      <c r="H304" s="26" t="s">
        <v>57</v>
      </c>
      <c r="I304" s="44" t="s">
        <v>832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42">
        <v>46196</v>
      </c>
      <c r="O304" s="26" t="s">
        <v>55</v>
      </c>
      <c r="P304" s="44" t="s">
        <v>832</v>
      </c>
      <c r="Q304" s="26" t="s">
        <v>57</v>
      </c>
      <c r="R304" s="44" t="s">
        <v>832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70">
        <v>46248</v>
      </c>
      <c r="X304" s="30" t="s">
        <v>55</v>
      </c>
      <c r="Y304" s="30" t="s">
        <v>832</v>
      </c>
      <c r="Z304" s="30" t="s">
        <v>57</v>
      </c>
      <c r="AA304" s="30" t="s">
        <v>832</v>
      </c>
      <c r="AB304" s="30" t="s">
        <v>56</v>
      </c>
      <c r="AC304" s="27"/>
      <c r="AD304" s="31" t="s">
        <v>57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5202</v>
      </c>
      <c r="C305" s="25" t="s">
        <v>5203</v>
      </c>
      <c r="D305" s="23" t="s">
        <v>4602</v>
      </c>
      <c r="E305" s="42">
        <v>46128</v>
      </c>
      <c r="F305" s="26" t="s">
        <v>55</v>
      </c>
      <c r="G305" s="44" t="s">
        <v>56</v>
      </c>
      <c r="H305" s="26" t="s">
        <v>57</v>
      </c>
      <c r="I305" s="44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42">
        <v>46196</v>
      </c>
      <c r="O305" s="26" t="s">
        <v>55</v>
      </c>
      <c r="P305" s="44" t="s">
        <v>56</v>
      </c>
      <c r="Q305" s="26" t="s">
        <v>57</v>
      </c>
      <c r="R305" s="44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70">
        <v>46248</v>
      </c>
      <c r="X305" s="30" t="s">
        <v>55</v>
      </c>
      <c r="Y305" s="30" t="s">
        <v>56</v>
      </c>
      <c r="Z305" s="30" t="s">
        <v>57</v>
      </c>
      <c r="AA305" s="30" t="s">
        <v>58</v>
      </c>
      <c r="AB305" s="30" t="s">
        <v>56</v>
      </c>
      <c r="AC305" s="27"/>
      <c r="AD305" s="31" t="s">
        <v>57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5204</v>
      </c>
      <c r="C306" s="41" t="s">
        <v>5205</v>
      </c>
      <c r="D306" s="39" t="s">
        <v>4602</v>
      </c>
      <c r="E306" s="42">
        <v>46128</v>
      </c>
      <c r="F306" s="26" t="s">
        <v>55</v>
      </c>
      <c r="G306" s="44" t="s">
        <v>56</v>
      </c>
      <c r="H306" s="26" t="s">
        <v>57</v>
      </c>
      <c r="I306" s="44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42">
        <v>46196</v>
      </c>
      <c r="O306" s="26" t="s">
        <v>55</v>
      </c>
      <c r="P306" s="44" t="s">
        <v>56</v>
      </c>
      <c r="Q306" s="26" t="s">
        <v>57</v>
      </c>
      <c r="R306" s="44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70">
        <v>46248</v>
      </c>
      <c r="X306" s="30" t="s">
        <v>55</v>
      </c>
      <c r="Y306" s="30" t="s">
        <v>56</v>
      </c>
      <c r="Z306" s="30" t="s">
        <v>57</v>
      </c>
      <c r="AA306" s="30" t="s">
        <v>58</v>
      </c>
      <c r="AB306" s="30" t="s">
        <v>56</v>
      </c>
      <c r="AC306" s="27"/>
      <c r="AD306" s="31" t="s">
        <v>57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5206</v>
      </c>
      <c r="C307" s="25" t="s">
        <v>5207</v>
      </c>
      <c r="D307" s="23" t="s">
        <v>4602</v>
      </c>
      <c r="E307" s="42">
        <v>46128</v>
      </c>
      <c r="F307" s="26" t="s">
        <v>55</v>
      </c>
      <c r="G307" s="44" t="s">
        <v>832</v>
      </c>
      <c r="H307" s="26" t="s">
        <v>57</v>
      </c>
      <c r="I307" s="44" t="s">
        <v>832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42">
        <v>46196</v>
      </c>
      <c r="O307" s="26" t="s">
        <v>55</v>
      </c>
      <c r="P307" s="44" t="s">
        <v>832</v>
      </c>
      <c r="Q307" s="26" t="s">
        <v>57</v>
      </c>
      <c r="R307" s="44" t="s">
        <v>832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70">
        <v>46248</v>
      </c>
      <c r="X307" s="30" t="s">
        <v>55</v>
      </c>
      <c r="Y307" s="30" t="s">
        <v>832</v>
      </c>
      <c r="Z307" s="30" t="s">
        <v>57</v>
      </c>
      <c r="AA307" s="30" t="s">
        <v>832</v>
      </c>
      <c r="AB307" s="30" t="s">
        <v>56</v>
      </c>
      <c r="AC307" s="27"/>
      <c r="AD307" s="31" t="s">
        <v>57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5208</v>
      </c>
      <c r="C308" s="41" t="s">
        <v>5209</v>
      </c>
      <c r="D308" s="39" t="s">
        <v>4602</v>
      </c>
      <c r="E308" s="42">
        <v>46128</v>
      </c>
      <c r="F308" s="26" t="s">
        <v>55</v>
      </c>
      <c r="G308" s="44" t="s">
        <v>832</v>
      </c>
      <c r="H308" s="26" t="s">
        <v>57</v>
      </c>
      <c r="I308" s="44" t="s">
        <v>832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42">
        <v>46196</v>
      </c>
      <c r="O308" s="26" t="s">
        <v>55</v>
      </c>
      <c r="P308" s="44" t="s">
        <v>832</v>
      </c>
      <c r="Q308" s="26" t="s">
        <v>57</v>
      </c>
      <c r="R308" s="44" t="s">
        <v>832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70">
        <v>46248</v>
      </c>
      <c r="X308" s="30" t="s">
        <v>55</v>
      </c>
      <c r="Y308" s="30" t="s">
        <v>832</v>
      </c>
      <c r="Z308" s="30" t="s">
        <v>57</v>
      </c>
      <c r="AA308" s="30" t="s">
        <v>832</v>
      </c>
      <c r="AB308" s="30" t="s">
        <v>56</v>
      </c>
      <c r="AC308" s="27"/>
      <c r="AD308" s="31" t="s">
        <v>57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5210</v>
      </c>
      <c r="C309" s="25" t="s">
        <v>5211</v>
      </c>
      <c r="D309" s="23" t="s">
        <v>4602</v>
      </c>
      <c r="E309" s="42">
        <v>46128</v>
      </c>
      <c r="F309" s="26" t="s">
        <v>55</v>
      </c>
      <c r="G309" s="44" t="s">
        <v>832</v>
      </c>
      <c r="H309" s="26" t="s">
        <v>57</v>
      </c>
      <c r="I309" s="44" t="s">
        <v>832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42">
        <v>46196</v>
      </c>
      <c r="O309" s="26" t="s">
        <v>55</v>
      </c>
      <c r="P309" s="44" t="s">
        <v>832</v>
      </c>
      <c r="Q309" s="26" t="s">
        <v>57</v>
      </c>
      <c r="R309" s="44" t="s">
        <v>832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70">
        <v>46248</v>
      </c>
      <c r="X309" s="30" t="s">
        <v>55</v>
      </c>
      <c r="Y309" s="30" t="s">
        <v>832</v>
      </c>
      <c r="Z309" s="30" t="s">
        <v>57</v>
      </c>
      <c r="AA309" s="30" t="s">
        <v>832</v>
      </c>
      <c r="AB309" s="30" t="s">
        <v>56</v>
      </c>
      <c r="AC309" s="27"/>
      <c r="AD309" s="31" t="s">
        <v>57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5212</v>
      </c>
      <c r="C310" s="41" t="s">
        <v>5213</v>
      </c>
      <c r="D310" s="39" t="s">
        <v>4602</v>
      </c>
      <c r="E310" s="42">
        <v>46128</v>
      </c>
      <c r="F310" s="26" t="s">
        <v>55</v>
      </c>
      <c r="G310" s="44" t="s">
        <v>56</v>
      </c>
      <c r="H310" s="26" t="s">
        <v>57</v>
      </c>
      <c r="I310" s="44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42">
        <v>46196</v>
      </c>
      <c r="O310" s="26" t="s">
        <v>55</v>
      </c>
      <c r="P310" s="44" t="s">
        <v>56</v>
      </c>
      <c r="Q310" s="26" t="s">
        <v>57</v>
      </c>
      <c r="R310" s="44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70">
        <v>46248</v>
      </c>
      <c r="X310" s="30" t="s">
        <v>55</v>
      </c>
      <c r="Y310" s="30" t="s">
        <v>56</v>
      </c>
      <c r="Z310" s="30" t="s">
        <v>57</v>
      </c>
      <c r="AA310" s="30" t="s">
        <v>58</v>
      </c>
      <c r="AB310" s="30" t="s">
        <v>56</v>
      </c>
      <c r="AC310" s="27"/>
      <c r="AD310" s="31" t="s">
        <v>57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5214</v>
      </c>
      <c r="C311" s="25" t="s">
        <v>5215</v>
      </c>
      <c r="D311" s="23" t="s">
        <v>4602</v>
      </c>
      <c r="E311" s="42">
        <v>46128</v>
      </c>
      <c r="F311" s="26" t="s">
        <v>55</v>
      </c>
      <c r="G311" s="44" t="s">
        <v>832</v>
      </c>
      <c r="H311" s="26" t="s">
        <v>57</v>
      </c>
      <c r="I311" s="44" t="s">
        <v>832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42">
        <v>46196</v>
      </c>
      <c r="O311" s="26" t="s">
        <v>55</v>
      </c>
      <c r="P311" s="44" t="s">
        <v>832</v>
      </c>
      <c r="Q311" s="26" t="s">
        <v>57</v>
      </c>
      <c r="R311" s="44" t="s">
        <v>832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70">
        <v>46248</v>
      </c>
      <c r="X311" s="30" t="s">
        <v>55</v>
      </c>
      <c r="Y311" s="30" t="s">
        <v>832</v>
      </c>
      <c r="Z311" s="30" t="s">
        <v>57</v>
      </c>
      <c r="AA311" s="30" t="s">
        <v>832</v>
      </c>
      <c r="AB311" s="30" t="s">
        <v>56</v>
      </c>
      <c r="AC311" s="27"/>
      <c r="AD311" s="31" t="s">
        <v>57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5216</v>
      </c>
      <c r="C312" s="41" t="s">
        <v>5217</v>
      </c>
      <c r="D312" s="39" t="s">
        <v>4602</v>
      </c>
      <c r="E312" s="42">
        <v>46128</v>
      </c>
      <c r="F312" s="26" t="s">
        <v>55</v>
      </c>
      <c r="G312" s="44" t="s">
        <v>832</v>
      </c>
      <c r="H312" s="26" t="s">
        <v>57</v>
      </c>
      <c r="I312" s="44" t="s">
        <v>832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42">
        <v>46196</v>
      </c>
      <c r="O312" s="26" t="s">
        <v>55</v>
      </c>
      <c r="P312" s="44" t="s">
        <v>832</v>
      </c>
      <c r="Q312" s="26" t="s">
        <v>57</v>
      </c>
      <c r="R312" s="44" t="s">
        <v>832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70">
        <v>46248</v>
      </c>
      <c r="X312" s="30" t="s">
        <v>55</v>
      </c>
      <c r="Y312" s="30" t="s">
        <v>832</v>
      </c>
      <c r="Z312" s="30" t="s">
        <v>57</v>
      </c>
      <c r="AA312" s="30" t="s">
        <v>832</v>
      </c>
      <c r="AB312" s="30" t="s">
        <v>56</v>
      </c>
      <c r="AC312" s="27"/>
      <c r="AD312" s="31" t="s">
        <v>57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5218</v>
      </c>
      <c r="C313" s="25" t="s">
        <v>5219</v>
      </c>
      <c r="D313" s="23" t="s">
        <v>4602</v>
      </c>
      <c r="E313" s="42">
        <v>46128</v>
      </c>
      <c r="F313" s="26" t="s">
        <v>55</v>
      </c>
      <c r="G313" s="44" t="s">
        <v>56</v>
      </c>
      <c r="H313" s="26" t="s">
        <v>57</v>
      </c>
      <c r="I313" s="44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42">
        <v>46196</v>
      </c>
      <c r="O313" s="26" t="s">
        <v>55</v>
      </c>
      <c r="P313" s="44" t="s">
        <v>56</v>
      </c>
      <c r="Q313" s="26" t="s">
        <v>57</v>
      </c>
      <c r="R313" s="44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70">
        <v>46248</v>
      </c>
      <c r="X313" s="30" t="s">
        <v>55</v>
      </c>
      <c r="Y313" s="30" t="s">
        <v>56</v>
      </c>
      <c r="Z313" s="30" t="s">
        <v>57</v>
      </c>
      <c r="AA313" s="30" t="s">
        <v>58</v>
      </c>
      <c r="AB313" s="30" t="s">
        <v>56</v>
      </c>
      <c r="AC313" s="27"/>
      <c r="AD313" s="31" t="s">
        <v>57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5220</v>
      </c>
      <c r="C314" s="41" t="s">
        <v>5221</v>
      </c>
      <c r="D314" s="39" t="s">
        <v>4602</v>
      </c>
      <c r="E314" s="42">
        <v>46128</v>
      </c>
      <c r="F314" s="26" t="s">
        <v>55</v>
      </c>
      <c r="G314" s="44" t="s">
        <v>832</v>
      </c>
      <c r="H314" s="26" t="s">
        <v>57</v>
      </c>
      <c r="I314" s="44" t="s">
        <v>832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42">
        <v>46196</v>
      </c>
      <c r="O314" s="26" t="s">
        <v>55</v>
      </c>
      <c r="P314" s="44" t="s">
        <v>832</v>
      </c>
      <c r="Q314" s="26" t="s">
        <v>57</v>
      </c>
      <c r="R314" s="44" t="s">
        <v>832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70">
        <v>46248</v>
      </c>
      <c r="X314" s="30" t="s">
        <v>55</v>
      </c>
      <c r="Y314" s="30" t="s">
        <v>832</v>
      </c>
      <c r="Z314" s="30" t="s">
        <v>57</v>
      </c>
      <c r="AA314" s="30" t="s">
        <v>832</v>
      </c>
      <c r="AB314" s="30" t="s">
        <v>56</v>
      </c>
      <c r="AC314" s="27"/>
      <c r="AD314" s="31" t="s">
        <v>57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5222</v>
      </c>
      <c r="C315" s="25" t="s">
        <v>5223</v>
      </c>
      <c r="D315" s="23" t="s">
        <v>4602</v>
      </c>
      <c r="E315" s="42">
        <v>46128</v>
      </c>
      <c r="F315" s="26" t="s">
        <v>55</v>
      </c>
      <c r="G315" s="44" t="s">
        <v>57</v>
      </c>
      <c r="H315" s="26" t="s">
        <v>57</v>
      </c>
      <c r="I315" s="44" t="s">
        <v>89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42">
        <v>46196</v>
      </c>
      <c r="O315" s="26" t="s">
        <v>55</v>
      </c>
      <c r="P315" s="44" t="s">
        <v>57</v>
      </c>
      <c r="Q315" s="26" t="s">
        <v>57</v>
      </c>
      <c r="R315" s="44" t="s">
        <v>89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70">
        <v>46248</v>
      </c>
      <c r="X315" s="30" t="s">
        <v>55</v>
      </c>
      <c r="Y315" s="30" t="s">
        <v>57</v>
      </c>
      <c r="Z315" s="30" t="s">
        <v>57</v>
      </c>
      <c r="AA315" s="30" t="s">
        <v>89</v>
      </c>
      <c r="AB315" s="30" t="s">
        <v>57</v>
      </c>
      <c r="AC315" s="27"/>
      <c r="AD315" s="31" t="s">
        <v>56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5224</v>
      </c>
      <c r="C316" s="41" t="s">
        <v>5225</v>
      </c>
      <c r="D316" s="39" t="s">
        <v>4602</v>
      </c>
      <c r="E316" s="42">
        <v>46128</v>
      </c>
      <c r="F316" s="26" t="s">
        <v>55</v>
      </c>
      <c r="G316" s="44" t="s">
        <v>57</v>
      </c>
      <c r="H316" s="26" t="s">
        <v>57</v>
      </c>
      <c r="I316" s="44" t="s">
        <v>89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42">
        <v>46196</v>
      </c>
      <c r="O316" s="26" t="s">
        <v>55</v>
      </c>
      <c r="P316" s="44" t="s">
        <v>57</v>
      </c>
      <c r="Q316" s="26" t="s">
        <v>57</v>
      </c>
      <c r="R316" s="44" t="s">
        <v>89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70">
        <v>46248</v>
      </c>
      <c r="X316" s="30" t="s">
        <v>55</v>
      </c>
      <c r="Y316" s="30" t="s">
        <v>57</v>
      </c>
      <c r="Z316" s="30" t="s">
        <v>57</v>
      </c>
      <c r="AA316" s="30" t="s">
        <v>89</v>
      </c>
      <c r="AB316" s="30" t="s">
        <v>57</v>
      </c>
      <c r="AC316" s="27"/>
      <c r="AD316" s="31" t="s">
        <v>56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5226</v>
      </c>
      <c r="C317" s="25" t="s">
        <v>5227</v>
      </c>
      <c r="D317" s="23" t="s">
        <v>4602</v>
      </c>
      <c r="E317" s="42">
        <v>46128</v>
      </c>
      <c r="F317" s="26" t="s">
        <v>55</v>
      </c>
      <c r="G317" s="44" t="s">
        <v>57</v>
      </c>
      <c r="H317" s="26" t="s">
        <v>57</v>
      </c>
      <c r="I317" s="44" t="s">
        <v>89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42">
        <v>46196</v>
      </c>
      <c r="O317" s="26" t="s">
        <v>55</v>
      </c>
      <c r="P317" s="44" t="s">
        <v>57</v>
      </c>
      <c r="Q317" s="26" t="s">
        <v>57</v>
      </c>
      <c r="R317" s="44" t="s">
        <v>89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70">
        <v>46248</v>
      </c>
      <c r="X317" s="30" t="s">
        <v>55</v>
      </c>
      <c r="Y317" s="30" t="s">
        <v>57</v>
      </c>
      <c r="Z317" s="30" t="s">
        <v>57</v>
      </c>
      <c r="AA317" s="30" t="s">
        <v>89</v>
      </c>
      <c r="AB317" s="30" t="s">
        <v>57</v>
      </c>
      <c r="AC317" s="27"/>
      <c r="AD317" s="31" t="s">
        <v>56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5228</v>
      </c>
      <c r="C318" s="41" t="s">
        <v>5229</v>
      </c>
      <c r="D318" s="39" t="s">
        <v>4602</v>
      </c>
      <c r="E318" s="42">
        <v>46128</v>
      </c>
      <c r="F318" s="26" t="s">
        <v>55</v>
      </c>
      <c r="G318" s="44" t="s">
        <v>56</v>
      </c>
      <c r="H318" s="26" t="s">
        <v>57</v>
      </c>
      <c r="I318" s="44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42">
        <v>46196</v>
      </c>
      <c r="O318" s="26" t="s">
        <v>55</v>
      </c>
      <c r="P318" s="44" t="s">
        <v>56</v>
      </c>
      <c r="Q318" s="26" t="s">
        <v>57</v>
      </c>
      <c r="R318" s="44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70">
        <v>46248</v>
      </c>
      <c r="X318" s="30" t="s">
        <v>55</v>
      </c>
      <c r="Y318" s="30" t="s">
        <v>56</v>
      </c>
      <c r="Z318" s="30" t="s">
        <v>57</v>
      </c>
      <c r="AA318" s="30" t="s">
        <v>58</v>
      </c>
      <c r="AB318" s="30" t="s">
        <v>56</v>
      </c>
      <c r="AC318" s="27"/>
      <c r="AD318" s="31" t="s">
        <v>57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5230</v>
      </c>
      <c r="C319" s="25" t="s">
        <v>5231</v>
      </c>
      <c r="D319" s="23" t="s">
        <v>4602</v>
      </c>
      <c r="E319" s="42">
        <v>46128</v>
      </c>
      <c r="F319" s="26" t="s">
        <v>55</v>
      </c>
      <c r="G319" s="44" t="s">
        <v>832</v>
      </c>
      <c r="H319" s="26" t="s">
        <v>57</v>
      </c>
      <c r="I319" s="44" t="s">
        <v>832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42">
        <v>46196</v>
      </c>
      <c r="O319" s="26" t="s">
        <v>55</v>
      </c>
      <c r="P319" s="44" t="s">
        <v>832</v>
      </c>
      <c r="Q319" s="26" t="s">
        <v>57</v>
      </c>
      <c r="R319" s="44" t="s">
        <v>832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70">
        <v>46248</v>
      </c>
      <c r="X319" s="30" t="s">
        <v>55</v>
      </c>
      <c r="Y319" s="30" t="s">
        <v>832</v>
      </c>
      <c r="Z319" s="30" t="s">
        <v>57</v>
      </c>
      <c r="AA319" s="30" t="s">
        <v>832</v>
      </c>
      <c r="AB319" s="30" t="s">
        <v>56</v>
      </c>
      <c r="AC319" s="27"/>
      <c r="AD319" s="31" t="s">
        <v>57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5232</v>
      </c>
      <c r="C320" s="41" t="s">
        <v>5233</v>
      </c>
      <c r="D320" s="39" t="s">
        <v>4602</v>
      </c>
      <c r="E320" s="42">
        <v>46128</v>
      </c>
      <c r="F320" s="26" t="s">
        <v>55</v>
      </c>
      <c r="G320" s="44" t="s">
        <v>832</v>
      </c>
      <c r="H320" s="26" t="s">
        <v>57</v>
      </c>
      <c r="I320" s="44" t="s">
        <v>832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42">
        <v>46196</v>
      </c>
      <c r="O320" s="26" t="s">
        <v>55</v>
      </c>
      <c r="P320" s="44" t="s">
        <v>832</v>
      </c>
      <c r="Q320" s="26" t="s">
        <v>57</v>
      </c>
      <c r="R320" s="44" t="s">
        <v>832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70">
        <v>46248</v>
      </c>
      <c r="X320" s="30" t="s">
        <v>55</v>
      </c>
      <c r="Y320" s="30" t="s">
        <v>832</v>
      </c>
      <c r="Z320" s="30" t="s">
        <v>57</v>
      </c>
      <c r="AA320" s="30" t="s">
        <v>832</v>
      </c>
      <c r="AB320" s="30" t="s">
        <v>56</v>
      </c>
      <c r="AC320" s="27"/>
      <c r="AD320" s="31" t="s">
        <v>57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5234</v>
      </c>
      <c r="C321" s="25" t="s">
        <v>5235</v>
      </c>
      <c r="D321" s="23" t="s">
        <v>4602</v>
      </c>
      <c r="E321" s="42">
        <v>46128</v>
      </c>
      <c r="F321" s="26" t="s">
        <v>55</v>
      </c>
      <c r="G321" s="44" t="s">
        <v>832</v>
      </c>
      <c r="H321" s="26" t="s">
        <v>57</v>
      </c>
      <c r="I321" s="44" t="s">
        <v>832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42">
        <v>46196</v>
      </c>
      <c r="O321" s="26" t="s">
        <v>55</v>
      </c>
      <c r="P321" s="44" t="s">
        <v>832</v>
      </c>
      <c r="Q321" s="26" t="s">
        <v>57</v>
      </c>
      <c r="R321" s="44" t="s">
        <v>832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70">
        <v>46248</v>
      </c>
      <c r="X321" s="30" t="s">
        <v>55</v>
      </c>
      <c r="Y321" s="30" t="s">
        <v>832</v>
      </c>
      <c r="Z321" s="30" t="s">
        <v>57</v>
      </c>
      <c r="AA321" s="30" t="s">
        <v>832</v>
      </c>
      <c r="AB321" s="30" t="s">
        <v>56</v>
      </c>
      <c r="AC321" s="27"/>
      <c r="AD321" s="31" t="s">
        <v>57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5236</v>
      </c>
      <c r="C322" s="41" t="s">
        <v>5237</v>
      </c>
      <c r="D322" s="39" t="s">
        <v>4602</v>
      </c>
      <c r="E322" s="42">
        <v>46128</v>
      </c>
      <c r="F322" s="26" t="s">
        <v>55</v>
      </c>
      <c r="G322" s="44" t="s">
        <v>832</v>
      </c>
      <c r="H322" s="26" t="s">
        <v>57</v>
      </c>
      <c r="I322" s="44" t="s">
        <v>832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42">
        <v>46196</v>
      </c>
      <c r="O322" s="26" t="s">
        <v>55</v>
      </c>
      <c r="P322" s="44" t="s">
        <v>832</v>
      </c>
      <c r="Q322" s="26" t="s">
        <v>57</v>
      </c>
      <c r="R322" s="44" t="s">
        <v>832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70">
        <v>46248</v>
      </c>
      <c r="X322" s="30" t="s">
        <v>55</v>
      </c>
      <c r="Y322" s="30" t="s">
        <v>832</v>
      </c>
      <c r="Z322" s="30" t="s">
        <v>57</v>
      </c>
      <c r="AA322" s="30" t="s">
        <v>832</v>
      </c>
      <c r="AB322" s="30" t="s">
        <v>56</v>
      </c>
      <c r="AC322" s="27"/>
      <c r="AD322" s="31" t="s">
        <v>57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5238</v>
      </c>
      <c r="C323" s="25" t="s">
        <v>5239</v>
      </c>
      <c r="D323" s="23" t="s">
        <v>4602</v>
      </c>
      <c r="E323" s="42">
        <v>46128</v>
      </c>
      <c r="F323" s="26" t="s">
        <v>55</v>
      </c>
      <c r="G323" s="44" t="s">
        <v>832</v>
      </c>
      <c r="H323" s="26" t="s">
        <v>57</v>
      </c>
      <c r="I323" s="44" t="s">
        <v>832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42">
        <v>46196</v>
      </c>
      <c r="O323" s="26" t="s">
        <v>55</v>
      </c>
      <c r="P323" s="44" t="s">
        <v>832</v>
      </c>
      <c r="Q323" s="26" t="s">
        <v>57</v>
      </c>
      <c r="R323" s="44" t="s">
        <v>832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70">
        <v>46248</v>
      </c>
      <c r="X323" s="30" t="s">
        <v>55</v>
      </c>
      <c r="Y323" s="30" t="s">
        <v>832</v>
      </c>
      <c r="Z323" s="30" t="s">
        <v>57</v>
      </c>
      <c r="AA323" s="30" t="s">
        <v>832</v>
      </c>
      <c r="AB323" s="30" t="s">
        <v>56</v>
      </c>
      <c r="AC323" s="27"/>
      <c r="AD323" s="31" t="s">
        <v>57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5240</v>
      </c>
      <c r="C324" s="41" t="s">
        <v>5241</v>
      </c>
      <c r="D324" s="39" t="s">
        <v>4602</v>
      </c>
      <c r="E324" s="42">
        <v>46128</v>
      </c>
      <c r="F324" s="26" t="s">
        <v>55</v>
      </c>
      <c r="G324" s="44" t="s">
        <v>56</v>
      </c>
      <c r="H324" s="26" t="s">
        <v>57</v>
      </c>
      <c r="I324" s="44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42">
        <v>46196</v>
      </c>
      <c r="O324" s="26" t="s">
        <v>55</v>
      </c>
      <c r="P324" s="44" t="s">
        <v>56</v>
      </c>
      <c r="Q324" s="26" t="s">
        <v>57</v>
      </c>
      <c r="R324" s="44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70">
        <v>46248</v>
      </c>
      <c r="X324" s="30" t="s">
        <v>55</v>
      </c>
      <c r="Y324" s="30" t="s">
        <v>56</v>
      </c>
      <c r="Z324" s="30" t="s">
        <v>57</v>
      </c>
      <c r="AA324" s="30" t="s">
        <v>58</v>
      </c>
      <c r="AB324" s="30" t="s">
        <v>56</v>
      </c>
      <c r="AC324" s="27"/>
      <c r="AD324" s="31" t="s">
        <v>57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5242</v>
      </c>
      <c r="C325" s="25" t="s">
        <v>5243</v>
      </c>
      <c r="D325" s="23" t="s">
        <v>4602</v>
      </c>
      <c r="E325" s="42">
        <v>46128</v>
      </c>
      <c r="F325" s="26" t="s">
        <v>55</v>
      </c>
      <c r="G325" s="44" t="s">
        <v>832</v>
      </c>
      <c r="H325" s="26" t="s">
        <v>57</v>
      </c>
      <c r="I325" s="44" t="s">
        <v>832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42">
        <v>46196</v>
      </c>
      <c r="O325" s="26" t="s">
        <v>55</v>
      </c>
      <c r="P325" s="44" t="s">
        <v>832</v>
      </c>
      <c r="Q325" s="26" t="s">
        <v>57</v>
      </c>
      <c r="R325" s="44" t="s">
        <v>832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832</v>
      </c>
      <c r="Z325" s="30" t="s">
        <v>57</v>
      </c>
      <c r="AA325" s="30" t="s">
        <v>832</v>
      </c>
      <c r="AB325" s="30" t="s">
        <v>56</v>
      </c>
      <c r="AC325" s="27"/>
      <c r="AD325" s="31" t="s">
        <v>57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5244</v>
      </c>
      <c r="C326" s="41" t="s">
        <v>5245</v>
      </c>
      <c r="D326" s="39" t="s">
        <v>4602</v>
      </c>
      <c r="E326" s="42">
        <v>46128</v>
      </c>
      <c r="F326" s="26" t="s">
        <v>55</v>
      </c>
      <c r="G326" s="44" t="s">
        <v>832</v>
      </c>
      <c r="H326" s="26" t="s">
        <v>57</v>
      </c>
      <c r="I326" s="44" t="s">
        <v>832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42">
        <v>46196</v>
      </c>
      <c r="O326" s="26" t="s">
        <v>55</v>
      </c>
      <c r="P326" s="44" t="s">
        <v>832</v>
      </c>
      <c r="Q326" s="26" t="s">
        <v>57</v>
      </c>
      <c r="R326" s="44" t="s">
        <v>832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70">
        <v>46248</v>
      </c>
      <c r="X326" s="30" t="s">
        <v>55</v>
      </c>
      <c r="Y326" s="30" t="s">
        <v>832</v>
      </c>
      <c r="Z326" s="30" t="s">
        <v>57</v>
      </c>
      <c r="AA326" s="30" t="s">
        <v>832</v>
      </c>
      <c r="AB326" s="30" t="s">
        <v>56</v>
      </c>
      <c r="AC326" s="27"/>
      <c r="AD326" s="31" t="s">
        <v>57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5246</v>
      </c>
      <c r="C327" s="25" t="s">
        <v>5247</v>
      </c>
      <c r="D327" s="23" t="s">
        <v>4602</v>
      </c>
      <c r="E327" s="42">
        <v>46128</v>
      </c>
      <c r="F327" s="26" t="s">
        <v>55</v>
      </c>
      <c r="G327" s="44" t="s">
        <v>832</v>
      </c>
      <c r="H327" s="26" t="s">
        <v>57</v>
      </c>
      <c r="I327" s="44" t="s">
        <v>832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42">
        <v>46196</v>
      </c>
      <c r="O327" s="26" t="s">
        <v>55</v>
      </c>
      <c r="P327" s="44" t="s">
        <v>832</v>
      </c>
      <c r="Q327" s="26" t="s">
        <v>57</v>
      </c>
      <c r="R327" s="44" t="s">
        <v>832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70">
        <v>46248</v>
      </c>
      <c r="X327" s="30" t="s">
        <v>55</v>
      </c>
      <c r="Y327" s="30" t="s">
        <v>832</v>
      </c>
      <c r="Z327" s="30" t="s">
        <v>57</v>
      </c>
      <c r="AA327" s="30" t="s">
        <v>832</v>
      </c>
      <c r="AB327" s="30" t="s">
        <v>56</v>
      </c>
      <c r="AC327" s="27"/>
      <c r="AD327" s="31" t="s">
        <v>57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5248</v>
      </c>
      <c r="C328" s="41" t="s">
        <v>5249</v>
      </c>
      <c r="D328" s="39" t="s">
        <v>4602</v>
      </c>
      <c r="E328" s="42">
        <v>46128</v>
      </c>
      <c r="F328" s="26" t="s">
        <v>55</v>
      </c>
      <c r="G328" s="44" t="s">
        <v>832</v>
      </c>
      <c r="H328" s="26" t="s">
        <v>57</v>
      </c>
      <c r="I328" s="44" t="s">
        <v>832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42">
        <v>46196</v>
      </c>
      <c r="O328" s="26" t="s">
        <v>55</v>
      </c>
      <c r="P328" s="44" t="s">
        <v>832</v>
      </c>
      <c r="Q328" s="26" t="s">
        <v>57</v>
      </c>
      <c r="R328" s="44" t="s">
        <v>832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70">
        <v>46248</v>
      </c>
      <c r="X328" s="30" t="s">
        <v>55</v>
      </c>
      <c r="Y328" s="30" t="s">
        <v>832</v>
      </c>
      <c r="Z328" s="30" t="s">
        <v>57</v>
      </c>
      <c r="AA328" s="30" t="s">
        <v>832</v>
      </c>
      <c r="AB328" s="30" t="s">
        <v>56</v>
      </c>
      <c r="AC328" s="27"/>
      <c r="AD328" s="31" t="s">
        <v>57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5250</v>
      </c>
      <c r="C329" s="25" t="s">
        <v>5251</v>
      </c>
      <c r="D329" s="23" t="s">
        <v>4602</v>
      </c>
      <c r="E329" s="42">
        <v>46128</v>
      </c>
      <c r="F329" s="26" t="s">
        <v>55</v>
      </c>
      <c r="G329" s="44" t="s">
        <v>56</v>
      </c>
      <c r="H329" s="26" t="s">
        <v>57</v>
      </c>
      <c r="I329" s="44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42">
        <v>46196</v>
      </c>
      <c r="O329" s="26" t="s">
        <v>55</v>
      </c>
      <c r="P329" s="44" t="s">
        <v>56</v>
      </c>
      <c r="Q329" s="26" t="s">
        <v>57</v>
      </c>
      <c r="R329" s="44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70">
        <v>46248</v>
      </c>
      <c r="X329" s="30" t="s">
        <v>55</v>
      </c>
      <c r="Y329" s="30" t="s">
        <v>56</v>
      </c>
      <c r="Z329" s="30" t="s">
        <v>57</v>
      </c>
      <c r="AA329" s="30" t="s">
        <v>58</v>
      </c>
      <c r="AB329" s="30" t="s">
        <v>56</v>
      </c>
      <c r="AC329" s="27"/>
      <c r="AD329" s="31" t="s">
        <v>57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5252</v>
      </c>
      <c r="C330" s="41" t="s">
        <v>5253</v>
      </c>
      <c r="D330" s="39" t="s">
        <v>4602</v>
      </c>
      <c r="E330" s="42">
        <v>46128</v>
      </c>
      <c r="F330" s="26" t="s">
        <v>55</v>
      </c>
      <c r="G330" s="44" t="s">
        <v>832</v>
      </c>
      <c r="H330" s="26" t="s">
        <v>57</v>
      </c>
      <c r="I330" s="44" t="s">
        <v>832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42">
        <v>46196</v>
      </c>
      <c r="O330" s="26" t="s">
        <v>55</v>
      </c>
      <c r="P330" s="44" t="s">
        <v>832</v>
      </c>
      <c r="Q330" s="26" t="s">
        <v>57</v>
      </c>
      <c r="R330" s="44" t="s">
        <v>832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70">
        <v>46248</v>
      </c>
      <c r="X330" s="30" t="s">
        <v>55</v>
      </c>
      <c r="Y330" s="30" t="s">
        <v>832</v>
      </c>
      <c r="Z330" s="30" t="s">
        <v>57</v>
      </c>
      <c r="AA330" s="30" t="s">
        <v>832</v>
      </c>
      <c r="AB330" s="30" t="s">
        <v>56</v>
      </c>
      <c r="AC330" s="27"/>
      <c r="AD330" s="31" t="s">
        <v>57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5254</v>
      </c>
      <c r="C331" s="25" t="s">
        <v>5255</v>
      </c>
      <c r="D331" s="23" t="s">
        <v>4602</v>
      </c>
      <c r="E331" s="42">
        <v>46128</v>
      </c>
      <c r="F331" s="26" t="s">
        <v>55</v>
      </c>
      <c r="G331" s="44" t="s">
        <v>832</v>
      </c>
      <c r="H331" s="26" t="s">
        <v>57</v>
      </c>
      <c r="I331" s="44" t="s">
        <v>832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42">
        <v>46196</v>
      </c>
      <c r="O331" s="26" t="s">
        <v>55</v>
      </c>
      <c r="P331" s="44" t="s">
        <v>832</v>
      </c>
      <c r="Q331" s="26" t="s">
        <v>57</v>
      </c>
      <c r="R331" s="44" t="s">
        <v>832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70">
        <v>46248</v>
      </c>
      <c r="X331" s="30" t="s">
        <v>55</v>
      </c>
      <c r="Y331" s="30" t="s">
        <v>832</v>
      </c>
      <c r="Z331" s="30" t="s">
        <v>57</v>
      </c>
      <c r="AA331" s="30" t="s">
        <v>832</v>
      </c>
      <c r="AB331" s="30" t="s">
        <v>56</v>
      </c>
      <c r="AC331" s="27"/>
      <c r="AD331" s="31" t="s">
        <v>57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5256</v>
      </c>
      <c r="C332" s="41" t="s">
        <v>5257</v>
      </c>
      <c r="D332" s="39" t="s">
        <v>4602</v>
      </c>
      <c r="E332" s="42">
        <v>46128</v>
      </c>
      <c r="F332" s="26" t="s">
        <v>55</v>
      </c>
      <c r="G332" s="44" t="s">
        <v>56</v>
      </c>
      <c r="H332" s="26" t="s">
        <v>57</v>
      </c>
      <c r="I332" s="44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42">
        <v>46196</v>
      </c>
      <c r="O332" s="26" t="s">
        <v>55</v>
      </c>
      <c r="P332" s="44" t="s">
        <v>56</v>
      </c>
      <c r="Q332" s="26" t="s">
        <v>57</v>
      </c>
      <c r="R332" s="44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70">
        <v>46248</v>
      </c>
      <c r="X332" s="30" t="s">
        <v>55</v>
      </c>
      <c r="Y332" s="30" t="s">
        <v>56</v>
      </c>
      <c r="Z332" s="30" t="s">
        <v>57</v>
      </c>
      <c r="AA332" s="30" t="s">
        <v>58</v>
      </c>
      <c r="AB332" s="30" t="s">
        <v>56</v>
      </c>
      <c r="AC332" s="27"/>
      <c r="AD332" s="31" t="s">
        <v>57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5258</v>
      </c>
      <c r="C333" s="25" t="s">
        <v>5259</v>
      </c>
      <c r="D333" s="23" t="s">
        <v>4602</v>
      </c>
      <c r="E333" s="42">
        <v>46128</v>
      </c>
      <c r="F333" s="26" t="s">
        <v>55</v>
      </c>
      <c r="G333" s="44" t="s">
        <v>832</v>
      </c>
      <c r="H333" s="26" t="s">
        <v>57</v>
      </c>
      <c r="I333" s="44" t="s">
        <v>832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42">
        <v>46196</v>
      </c>
      <c r="O333" s="26" t="s">
        <v>55</v>
      </c>
      <c r="P333" s="44" t="s">
        <v>832</v>
      </c>
      <c r="Q333" s="26" t="s">
        <v>57</v>
      </c>
      <c r="R333" s="44" t="s">
        <v>832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70">
        <v>46248</v>
      </c>
      <c r="X333" s="30" t="s">
        <v>55</v>
      </c>
      <c r="Y333" s="30" t="s">
        <v>832</v>
      </c>
      <c r="Z333" s="30" t="s">
        <v>57</v>
      </c>
      <c r="AA333" s="30" t="s">
        <v>832</v>
      </c>
      <c r="AB333" s="30" t="s">
        <v>56</v>
      </c>
      <c r="AC333" s="27"/>
      <c r="AD333" s="31" t="s">
        <v>57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5260</v>
      </c>
      <c r="C334" s="41" t="s">
        <v>5261</v>
      </c>
      <c r="D334" s="39" t="s">
        <v>4602</v>
      </c>
      <c r="E334" s="42">
        <v>46128</v>
      </c>
      <c r="F334" s="26" t="s">
        <v>55</v>
      </c>
      <c r="G334" s="44" t="s">
        <v>832</v>
      </c>
      <c r="H334" s="26" t="s">
        <v>57</v>
      </c>
      <c r="I334" s="44" t="s">
        <v>832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42">
        <v>46196</v>
      </c>
      <c r="O334" s="26" t="s">
        <v>55</v>
      </c>
      <c r="P334" s="44" t="s">
        <v>832</v>
      </c>
      <c r="Q334" s="26" t="s">
        <v>57</v>
      </c>
      <c r="R334" s="44" t="s">
        <v>832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70">
        <v>46248</v>
      </c>
      <c r="X334" s="30" t="s">
        <v>55</v>
      </c>
      <c r="Y334" s="30" t="s">
        <v>832</v>
      </c>
      <c r="Z334" s="30" t="s">
        <v>57</v>
      </c>
      <c r="AA334" s="30" t="s">
        <v>832</v>
      </c>
      <c r="AB334" s="30" t="s">
        <v>56</v>
      </c>
      <c r="AC334" s="27"/>
      <c r="AD334" s="31" t="s">
        <v>57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5262</v>
      </c>
      <c r="C335" s="25" t="s">
        <v>5263</v>
      </c>
      <c r="D335" s="23" t="s">
        <v>4602</v>
      </c>
      <c r="E335" s="42">
        <v>46128</v>
      </c>
      <c r="F335" s="26" t="s">
        <v>55</v>
      </c>
      <c r="G335" s="44" t="s">
        <v>832</v>
      </c>
      <c r="H335" s="26" t="s">
        <v>57</v>
      </c>
      <c r="I335" s="44" t="s">
        <v>832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42">
        <v>46196</v>
      </c>
      <c r="O335" s="26" t="s">
        <v>55</v>
      </c>
      <c r="P335" s="44" t="s">
        <v>832</v>
      </c>
      <c r="Q335" s="26" t="s">
        <v>57</v>
      </c>
      <c r="R335" s="44" t="s">
        <v>832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70">
        <v>46248</v>
      </c>
      <c r="X335" s="30" t="s">
        <v>55</v>
      </c>
      <c r="Y335" s="30" t="s">
        <v>832</v>
      </c>
      <c r="Z335" s="30" t="s">
        <v>57</v>
      </c>
      <c r="AA335" s="30" t="s">
        <v>832</v>
      </c>
      <c r="AB335" s="30" t="s">
        <v>56</v>
      </c>
      <c r="AC335" s="27"/>
      <c r="AD335" s="31" t="s">
        <v>57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5264</v>
      </c>
      <c r="C336" s="41" t="s">
        <v>5265</v>
      </c>
      <c r="D336" s="39" t="s">
        <v>4602</v>
      </c>
      <c r="E336" s="42">
        <v>46128</v>
      </c>
      <c r="F336" s="26" t="s">
        <v>55</v>
      </c>
      <c r="G336" s="44" t="s">
        <v>832</v>
      </c>
      <c r="H336" s="26" t="s">
        <v>57</v>
      </c>
      <c r="I336" s="44" t="s">
        <v>832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42">
        <v>46196</v>
      </c>
      <c r="O336" s="26" t="s">
        <v>55</v>
      </c>
      <c r="P336" s="44" t="s">
        <v>832</v>
      </c>
      <c r="Q336" s="26" t="s">
        <v>57</v>
      </c>
      <c r="R336" s="44" t="s">
        <v>832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70">
        <v>46248</v>
      </c>
      <c r="X336" s="30" t="s">
        <v>55</v>
      </c>
      <c r="Y336" s="30" t="s">
        <v>832</v>
      </c>
      <c r="Z336" s="30" t="s">
        <v>57</v>
      </c>
      <c r="AA336" s="30" t="s">
        <v>832</v>
      </c>
      <c r="AB336" s="30" t="s">
        <v>56</v>
      </c>
      <c r="AC336" s="27"/>
      <c r="AD336" s="31" t="s">
        <v>57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5266</v>
      </c>
      <c r="C337" s="25" t="s">
        <v>5267</v>
      </c>
      <c r="D337" s="23" t="s">
        <v>4602</v>
      </c>
      <c r="E337" s="42">
        <v>46128</v>
      </c>
      <c r="F337" s="26" t="s">
        <v>55</v>
      </c>
      <c r="G337" s="44" t="s">
        <v>56</v>
      </c>
      <c r="H337" s="26" t="s">
        <v>57</v>
      </c>
      <c r="I337" s="44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42">
        <v>46196</v>
      </c>
      <c r="O337" s="26" t="s">
        <v>55</v>
      </c>
      <c r="P337" s="44" t="s">
        <v>56</v>
      </c>
      <c r="Q337" s="26" t="s">
        <v>57</v>
      </c>
      <c r="R337" s="44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70">
        <v>46248</v>
      </c>
      <c r="X337" s="30" t="s">
        <v>55</v>
      </c>
      <c r="Y337" s="30" t="s">
        <v>56</v>
      </c>
      <c r="Z337" s="30" t="s">
        <v>57</v>
      </c>
      <c r="AA337" s="30" t="s">
        <v>58</v>
      </c>
      <c r="AB337" s="30" t="s">
        <v>56</v>
      </c>
      <c r="AC337" s="27"/>
      <c r="AD337" s="31" t="s">
        <v>57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5268</v>
      </c>
      <c r="C338" s="41" t="s">
        <v>5269</v>
      </c>
      <c r="D338" s="39" t="s">
        <v>4602</v>
      </c>
      <c r="E338" s="42">
        <v>46128</v>
      </c>
      <c r="F338" s="26" t="s">
        <v>55</v>
      </c>
      <c r="G338" s="44" t="s">
        <v>832</v>
      </c>
      <c r="H338" s="26" t="s">
        <v>57</v>
      </c>
      <c r="I338" s="44" t="s">
        <v>832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42">
        <v>46196</v>
      </c>
      <c r="O338" s="26" t="s">
        <v>55</v>
      </c>
      <c r="P338" s="44" t="s">
        <v>832</v>
      </c>
      <c r="Q338" s="26" t="s">
        <v>57</v>
      </c>
      <c r="R338" s="44" t="s">
        <v>832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70">
        <v>46248</v>
      </c>
      <c r="X338" s="30" t="s">
        <v>55</v>
      </c>
      <c r="Y338" s="30" t="s">
        <v>832</v>
      </c>
      <c r="Z338" s="30" t="s">
        <v>57</v>
      </c>
      <c r="AA338" s="30" t="s">
        <v>832</v>
      </c>
      <c r="AB338" s="30" t="s">
        <v>56</v>
      </c>
      <c r="AC338" s="27"/>
      <c r="AD338" s="31" t="s">
        <v>57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5270</v>
      </c>
      <c r="C339" s="25" t="s">
        <v>5271</v>
      </c>
      <c r="D339" s="23" t="s">
        <v>4602</v>
      </c>
      <c r="E339" s="42">
        <v>46128</v>
      </c>
      <c r="F339" s="26" t="s">
        <v>55</v>
      </c>
      <c r="G339" s="44" t="s">
        <v>832</v>
      </c>
      <c r="H339" s="26" t="s">
        <v>57</v>
      </c>
      <c r="I339" s="44" t="s">
        <v>832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42">
        <v>46196</v>
      </c>
      <c r="O339" s="26" t="s">
        <v>55</v>
      </c>
      <c r="P339" s="44" t="s">
        <v>832</v>
      </c>
      <c r="Q339" s="26" t="s">
        <v>57</v>
      </c>
      <c r="R339" s="44" t="s">
        <v>832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70">
        <v>46248</v>
      </c>
      <c r="X339" s="30" t="s">
        <v>55</v>
      </c>
      <c r="Y339" s="30" t="s">
        <v>832</v>
      </c>
      <c r="Z339" s="30" t="s">
        <v>57</v>
      </c>
      <c r="AA339" s="30" t="s">
        <v>832</v>
      </c>
      <c r="AB339" s="30" t="s">
        <v>56</v>
      </c>
      <c r="AC339" s="27"/>
      <c r="AD339" s="31" t="s">
        <v>57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5272</v>
      </c>
      <c r="C340" s="41" t="s">
        <v>5273</v>
      </c>
      <c r="D340" s="39" t="s">
        <v>4602</v>
      </c>
      <c r="E340" s="42">
        <v>46128</v>
      </c>
      <c r="F340" s="26" t="s">
        <v>55</v>
      </c>
      <c r="G340" s="44" t="s">
        <v>832</v>
      </c>
      <c r="H340" s="26" t="s">
        <v>57</v>
      </c>
      <c r="I340" s="44" t="s">
        <v>832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42">
        <v>46196</v>
      </c>
      <c r="O340" s="26" t="s">
        <v>55</v>
      </c>
      <c r="P340" s="44" t="s">
        <v>832</v>
      </c>
      <c r="Q340" s="26" t="s">
        <v>57</v>
      </c>
      <c r="R340" s="44" t="s">
        <v>832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70">
        <v>46248</v>
      </c>
      <c r="X340" s="30" t="s">
        <v>55</v>
      </c>
      <c r="Y340" s="30" t="s">
        <v>832</v>
      </c>
      <c r="Z340" s="30" t="s">
        <v>57</v>
      </c>
      <c r="AA340" s="30" t="s">
        <v>832</v>
      </c>
      <c r="AB340" s="30" t="s">
        <v>56</v>
      </c>
      <c r="AC340" s="27"/>
      <c r="AD340" s="31" t="s">
        <v>57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5274</v>
      </c>
      <c r="C341" s="25" t="s">
        <v>5275</v>
      </c>
      <c r="D341" s="23" t="s">
        <v>4602</v>
      </c>
      <c r="E341" s="42">
        <v>46128</v>
      </c>
      <c r="F341" s="26" t="s">
        <v>55</v>
      </c>
      <c r="G341" s="44" t="s">
        <v>832</v>
      </c>
      <c r="H341" s="26" t="s">
        <v>57</v>
      </c>
      <c r="I341" s="44" t="s">
        <v>832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42">
        <v>46196</v>
      </c>
      <c r="O341" s="26" t="s">
        <v>55</v>
      </c>
      <c r="P341" s="44" t="s">
        <v>832</v>
      </c>
      <c r="Q341" s="26" t="s">
        <v>57</v>
      </c>
      <c r="R341" s="44" t="s">
        <v>832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70">
        <v>46248</v>
      </c>
      <c r="X341" s="30" t="s">
        <v>55</v>
      </c>
      <c r="Y341" s="30" t="s">
        <v>832</v>
      </c>
      <c r="Z341" s="30" t="s">
        <v>57</v>
      </c>
      <c r="AA341" s="30" t="s">
        <v>832</v>
      </c>
      <c r="AB341" s="30" t="s">
        <v>56</v>
      </c>
      <c r="AC341" s="27"/>
      <c r="AD341" s="31" t="s">
        <v>57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5276</v>
      </c>
      <c r="C342" s="41" t="s">
        <v>5277</v>
      </c>
      <c r="D342" s="39" t="s">
        <v>4602</v>
      </c>
      <c r="E342" s="42">
        <v>46128</v>
      </c>
      <c r="F342" s="26" t="s">
        <v>55</v>
      </c>
      <c r="G342" s="44" t="s">
        <v>832</v>
      </c>
      <c r="H342" s="26" t="s">
        <v>57</v>
      </c>
      <c r="I342" s="44" t="s">
        <v>832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42">
        <v>46196</v>
      </c>
      <c r="O342" s="26" t="s">
        <v>55</v>
      </c>
      <c r="P342" s="44" t="s">
        <v>832</v>
      </c>
      <c r="Q342" s="26" t="s">
        <v>57</v>
      </c>
      <c r="R342" s="44" t="s">
        <v>832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70">
        <v>46248</v>
      </c>
      <c r="X342" s="30" t="s">
        <v>55</v>
      </c>
      <c r="Y342" s="30" t="s">
        <v>832</v>
      </c>
      <c r="Z342" s="30" t="s">
        <v>57</v>
      </c>
      <c r="AA342" s="30" t="s">
        <v>832</v>
      </c>
      <c r="AB342" s="30" t="s">
        <v>56</v>
      </c>
      <c r="AC342" s="27"/>
      <c r="AD342" s="31" t="s">
        <v>57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5278</v>
      </c>
      <c r="C343" s="25" t="s">
        <v>5279</v>
      </c>
      <c r="D343" s="23" t="s">
        <v>4602</v>
      </c>
      <c r="E343" s="42">
        <v>46128</v>
      </c>
      <c r="F343" s="26" t="s">
        <v>55</v>
      </c>
      <c r="G343" s="44" t="s">
        <v>832</v>
      </c>
      <c r="H343" s="26" t="s">
        <v>57</v>
      </c>
      <c r="I343" s="44" t="s">
        <v>832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42">
        <v>46196</v>
      </c>
      <c r="O343" s="26" t="s">
        <v>55</v>
      </c>
      <c r="P343" s="44" t="s">
        <v>832</v>
      </c>
      <c r="Q343" s="26" t="s">
        <v>57</v>
      </c>
      <c r="R343" s="44" t="s">
        <v>832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70">
        <v>46248</v>
      </c>
      <c r="X343" s="30" t="s">
        <v>55</v>
      </c>
      <c r="Y343" s="30" t="s">
        <v>832</v>
      </c>
      <c r="Z343" s="30" t="s">
        <v>57</v>
      </c>
      <c r="AA343" s="30" t="s">
        <v>832</v>
      </c>
      <c r="AB343" s="30" t="s">
        <v>56</v>
      </c>
      <c r="AC343" s="27"/>
      <c r="AD343" s="31" t="s">
        <v>57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5280</v>
      </c>
      <c r="C344" s="41" t="s">
        <v>5281</v>
      </c>
      <c r="D344" s="39" t="s">
        <v>4602</v>
      </c>
      <c r="E344" s="42">
        <v>46128</v>
      </c>
      <c r="F344" s="26" t="s">
        <v>55</v>
      </c>
      <c r="G344" s="44" t="s">
        <v>832</v>
      </c>
      <c r="H344" s="26" t="s">
        <v>57</v>
      </c>
      <c r="I344" s="44" t="s">
        <v>832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42">
        <v>46196</v>
      </c>
      <c r="O344" s="26" t="s">
        <v>55</v>
      </c>
      <c r="P344" s="44" t="s">
        <v>832</v>
      </c>
      <c r="Q344" s="26" t="s">
        <v>57</v>
      </c>
      <c r="R344" s="44" t="s">
        <v>832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70">
        <v>46248</v>
      </c>
      <c r="X344" s="30" t="s">
        <v>55</v>
      </c>
      <c r="Y344" s="30" t="s">
        <v>832</v>
      </c>
      <c r="Z344" s="30" t="s">
        <v>57</v>
      </c>
      <c r="AA344" s="30" t="s">
        <v>832</v>
      </c>
      <c r="AB344" s="30" t="s">
        <v>56</v>
      </c>
      <c r="AC344" s="27"/>
      <c r="AD344" s="31" t="s">
        <v>57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5282</v>
      </c>
      <c r="C345" s="25" t="s">
        <v>5283</v>
      </c>
      <c r="D345" s="23" t="s">
        <v>4602</v>
      </c>
      <c r="E345" s="42">
        <v>46128</v>
      </c>
      <c r="F345" s="26" t="s">
        <v>55</v>
      </c>
      <c r="G345" s="44" t="s">
        <v>832</v>
      </c>
      <c r="H345" s="26" t="s">
        <v>57</v>
      </c>
      <c r="I345" s="44" t="s">
        <v>832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42">
        <v>46196</v>
      </c>
      <c r="O345" s="26" t="s">
        <v>55</v>
      </c>
      <c r="P345" s="44" t="s">
        <v>832</v>
      </c>
      <c r="Q345" s="26" t="s">
        <v>57</v>
      </c>
      <c r="R345" s="44" t="s">
        <v>832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70">
        <v>46248</v>
      </c>
      <c r="X345" s="30" t="s">
        <v>55</v>
      </c>
      <c r="Y345" s="30" t="s">
        <v>832</v>
      </c>
      <c r="Z345" s="30" t="s">
        <v>57</v>
      </c>
      <c r="AA345" s="30" t="s">
        <v>832</v>
      </c>
      <c r="AB345" s="30" t="s">
        <v>56</v>
      </c>
      <c r="AC345" s="27"/>
      <c r="AD345" s="31" t="s">
        <v>57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5284</v>
      </c>
      <c r="C346" s="41" t="s">
        <v>5285</v>
      </c>
      <c r="D346" s="39" t="s">
        <v>4602</v>
      </c>
      <c r="E346" s="42">
        <v>46128</v>
      </c>
      <c r="F346" s="26" t="s">
        <v>55</v>
      </c>
      <c r="G346" s="44" t="s">
        <v>832</v>
      </c>
      <c r="H346" s="26" t="s">
        <v>57</v>
      </c>
      <c r="I346" s="44" t="s">
        <v>832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42">
        <v>46196</v>
      </c>
      <c r="O346" s="26" t="s">
        <v>55</v>
      </c>
      <c r="P346" s="44" t="s">
        <v>832</v>
      </c>
      <c r="Q346" s="26" t="s">
        <v>57</v>
      </c>
      <c r="R346" s="44" t="s">
        <v>832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70">
        <v>46248</v>
      </c>
      <c r="X346" s="30" t="s">
        <v>55</v>
      </c>
      <c r="Y346" s="30" t="s">
        <v>832</v>
      </c>
      <c r="Z346" s="30" t="s">
        <v>57</v>
      </c>
      <c r="AA346" s="30" t="s">
        <v>832</v>
      </c>
      <c r="AB346" s="30" t="s">
        <v>56</v>
      </c>
      <c r="AC346" s="27"/>
      <c r="AD346" s="31" t="s">
        <v>57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5286</v>
      </c>
      <c r="C347" s="25" t="s">
        <v>5287</v>
      </c>
      <c r="D347" s="23" t="s">
        <v>4602</v>
      </c>
      <c r="E347" s="42">
        <v>46128</v>
      </c>
      <c r="F347" s="26" t="s">
        <v>55</v>
      </c>
      <c r="G347" s="44" t="s">
        <v>832</v>
      </c>
      <c r="H347" s="26" t="s">
        <v>57</v>
      </c>
      <c r="I347" s="44" t="s">
        <v>832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42">
        <v>46196</v>
      </c>
      <c r="O347" s="26" t="s">
        <v>55</v>
      </c>
      <c r="P347" s="44" t="s">
        <v>832</v>
      </c>
      <c r="Q347" s="26" t="s">
        <v>57</v>
      </c>
      <c r="R347" s="44" t="s">
        <v>832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70">
        <v>46248</v>
      </c>
      <c r="X347" s="30" t="s">
        <v>55</v>
      </c>
      <c r="Y347" s="30" t="s">
        <v>832</v>
      </c>
      <c r="Z347" s="30" t="s">
        <v>57</v>
      </c>
      <c r="AA347" s="30" t="s">
        <v>832</v>
      </c>
      <c r="AB347" s="30" t="s">
        <v>56</v>
      </c>
      <c r="AC347" s="27"/>
      <c r="AD347" s="31" t="s">
        <v>57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5288</v>
      </c>
      <c r="C348" s="41" t="s">
        <v>5289</v>
      </c>
      <c r="D348" s="39" t="s">
        <v>4602</v>
      </c>
      <c r="E348" s="42">
        <v>46128</v>
      </c>
      <c r="F348" s="26" t="s">
        <v>55</v>
      </c>
      <c r="G348" s="44" t="s">
        <v>56</v>
      </c>
      <c r="H348" s="26" t="s">
        <v>57</v>
      </c>
      <c r="I348" s="44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42">
        <v>46196</v>
      </c>
      <c r="O348" s="26" t="s">
        <v>55</v>
      </c>
      <c r="P348" s="44" t="s">
        <v>56</v>
      </c>
      <c r="Q348" s="26" t="s">
        <v>57</v>
      </c>
      <c r="R348" s="44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70">
        <v>46248</v>
      </c>
      <c r="X348" s="30" t="s">
        <v>55</v>
      </c>
      <c r="Y348" s="30" t="s">
        <v>56</v>
      </c>
      <c r="Z348" s="30" t="s">
        <v>57</v>
      </c>
      <c r="AA348" s="30" t="s">
        <v>58</v>
      </c>
      <c r="AB348" s="30" t="s">
        <v>56</v>
      </c>
      <c r="AC348" s="27"/>
      <c r="AD348" s="31" t="s">
        <v>57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5290</v>
      </c>
      <c r="C349" s="25" t="s">
        <v>5291</v>
      </c>
      <c r="D349" s="23" t="s">
        <v>4602</v>
      </c>
      <c r="E349" s="42">
        <v>46128</v>
      </c>
      <c r="F349" s="26" t="s">
        <v>55</v>
      </c>
      <c r="G349" s="44" t="s">
        <v>832</v>
      </c>
      <c r="H349" s="26" t="s">
        <v>57</v>
      </c>
      <c r="I349" s="44" t="s">
        <v>832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42">
        <v>46196</v>
      </c>
      <c r="O349" s="26" t="s">
        <v>55</v>
      </c>
      <c r="P349" s="44" t="s">
        <v>832</v>
      </c>
      <c r="Q349" s="26" t="s">
        <v>57</v>
      </c>
      <c r="R349" s="44" t="s">
        <v>832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70">
        <v>46248</v>
      </c>
      <c r="X349" s="30" t="s">
        <v>55</v>
      </c>
      <c r="Y349" s="30" t="s">
        <v>832</v>
      </c>
      <c r="Z349" s="30" t="s">
        <v>57</v>
      </c>
      <c r="AA349" s="30" t="s">
        <v>832</v>
      </c>
      <c r="AB349" s="30" t="s">
        <v>56</v>
      </c>
      <c r="AC349" s="27"/>
      <c r="AD349" s="31" t="s">
        <v>57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5292</v>
      </c>
      <c r="C350" s="41" t="s">
        <v>5293</v>
      </c>
      <c r="D350" s="39" t="s">
        <v>4602</v>
      </c>
      <c r="E350" s="42">
        <v>46128</v>
      </c>
      <c r="F350" s="26" t="s">
        <v>55</v>
      </c>
      <c r="G350" s="44" t="s">
        <v>832</v>
      </c>
      <c r="H350" s="26" t="s">
        <v>57</v>
      </c>
      <c r="I350" s="44" t="s">
        <v>832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42">
        <v>46196</v>
      </c>
      <c r="O350" s="26" t="s">
        <v>55</v>
      </c>
      <c r="P350" s="44" t="s">
        <v>832</v>
      </c>
      <c r="Q350" s="26" t="s">
        <v>57</v>
      </c>
      <c r="R350" s="44" t="s">
        <v>832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70">
        <v>46248</v>
      </c>
      <c r="X350" s="30" t="s">
        <v>55</v>
      </c>
      <c r="Y350" s="30" t="s">
        <v>832</v>
      </c>
      <c r="Z350" s="30" t="s">
        <v>57</v>
      </c>
      <c r="AA350" s="30" t="s">
        <v>832</v>
      </c>
      <c r="AB350" s="30" t="s">
        <v>56</v>
      </c>
      <c r="AC350" s="27"/>
      <c r="AD350" s="31" t="s">
        <v>57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5294</v>
      </c>
      <c r="C351" s="25" t="s">
        <v>5295</v>
      </c>
      <c r="D351" s="23" t="s">
        <v>4602</v>
      </c>
      <c r="E351" s="42">
        <v>46128</v>
      </c>
      <c r="F351" s="26" t="s">
        <v>55</v>
      </c>
      <c r="G351" s="44" t="s">
        <v>832</v>
      </c>
      <c r="H351" s="26" t="s">
        <v>57</v>
      </c>
      <c r="I351" s="44" t="s">
        <v>832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42">
        <v>46196</v>
      </c>
      <c r="O351" s="26" t="s">
        <v>55</v>
      </c>
      <c r="P351" s="44" t="s">
        <v>832</v>
      </c>
      <c r="Q351" s="26" t="s">
        <v>57</v>
      </c>
      <c r="R351" s="44" t="s">
        <v>832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70">
        <v>46248</v>
      </c>
      <c r="X351" s="30" t="s">
        <v>55</v>
      </c>
      <c r="Y351" s="30" t="s">
        <v>832</v>
      </c>
      <c r="Z351" s="30" t="s">
        <v>57</v>
      </c>
      <c r="AA351" s="30" t="s">
        <v>832</v>
      </c>
      <c r="AB351" s="30" t="s">
        <v>56</v>
      </c>
      <c r="AC351" s="27"/>
      <c r="AD351" s="31" t="s">
        <v>57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5296</v>
      </c>
      <c r="C352" s="41" t="s">
        <v>5297</v>
      </c>
      <c r="D352" s="39" t="s">
        <v>4602</v>
      </c>
      <c r="E352" s="42">
        <v>46128</v>
      </c>
      <c r="F352" s="26" t="s">
        <v>55</v>
      </c>
      <c r="G352" s="44" t="s">
        <v>832</v>
      </c>
      <c r="H352" s="26" t="s">
        <v>57</v>
      </c>
      <c r="I352" s="44" t="s">
        <v>832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42">
        <v>46196</v>
      </c>
      <c r="O352" s="26" t="s">
        <v>55</v>
      </c>
      <c r="P352" s="44" t="s">
        <v>832</v>
      </c>
      <c r="Q352" s="26" t="s">
        <v>57</v>
      </c>
      <c r="R352" s="44" t="s">
        <v>832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70">
        <v>46248</v>
      </c>
      <c r="X352" s="30" t="s">
        <v>55</v>
      </c>
      <c r="Y352" s="30" t="s">
        <v>832</v>
      </c>
      <c r="Z352" s="30" t="s">
        <v>57</v>
      </c>
      <c r="AA352" s="30" t="s">
        <v>832</v>
      </c>
      <c r="AB352" s="30" t="s">
        <v>56</v>
      </c>
      <c r="AC352" s="27"/>
      <c r="AD352" s="31" t="s">
        <v>57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5298</v>
      </c>
      <c r="C353" s="25" t="s">
        <v>5299</v>
      </c>
      <c r="D353" s="23" t="s">
        <v>4602</v>
      </c>
      <c r="E353" s="42">
        <v>46128</v>
      </c>
      <c r="F353" s="26" t="s">
        <v>55</v>
      </c>
      <c r="G353" s="44" t="s">
        <v>832</v>
      </c>
      <c r="H353" s="26" t="s">
        <v>57</v>
      </c>
      <c r="I353" s="44" t="s">
        <v>832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42">
        <v>46196</v>
      </c>
      <c r="O353" s="26" t="s">
        <v>55</v>
      </c>
      <c r="P353" s="44" t="s">
        <v>832</v>
      </c>
      <c r="Q353" s="26" t="s">
        <v>57</v>
      </c>
      <c r="R353" s="44" t="s">
        <v>832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70">
        <v>46248</v>
      </c>
      <c r="X353" s="30" t="s">
        <v>55</v>
      </c>
      <c r="Y353" s="30" t="s">
        <v>832</v>
      </c>
      <c r="Z353" s="30" t="s">
        <v>57</v>
      </c>
      <c r="AA353" s="30" t="s">
        <v>832</v>
      </c>
      <c r="AB353" s="30" t="s">
        <v>56</v>
      </c>
      <c r="AC353" s="27"/>
      <c r="AD353" s="31" t="s">
        <v>57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5300</v>
      </c>
      <c r="C354" s="41" t="s">
        <v>5301</v>
      </c>
      <c r="D354" s="39" t="s">
        <v>4602</v>
      </c>
      <c r="E354" s="42">
        <v>46128</v>
      </c>
      <c r="F354" s="26" t="s">
        <v>55</v>
      </c>
      <c r="G354" s="44" t="s">
        <v>832</v>
      </c>
      <c r="H354" s="26" t="s">
        <v>57</v>
      </c>
      <c r="I354" s="44" t="s">
        <v>832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42">
        <v>46196</v>
      </c>
      <c r="O354" s="26" t="s">
        <v>55</v>
      </c>
      <c r="P354" s="44" t="s">
        <v>832</v>
      </c>
      <c r="Q354" s="26" t="s">
        <v>57</v>
      </c>
      <c r="R354" s="44" t="s">
        <v>832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70">
        <v>46248</v>
      </c>
      <c r="X354" s="30" t="s">
        <v>55</v>
      </c>
      <c r="Y354" s="30" t="s">
        <v>832</v>
      </c>
      <c r="Z354" s="30" t="s">
        <v>57</v>
      </c>
      <c r="AA354" s="30" t="s">
        <v>832</v>
      </c>
      <c r="AB354" s="30" t="s">
        <v>56</v>
      </c>
      <c r="AC354" s="27"/>
      <c r="AD354" s="31" t="s">
        <v>57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5302</v>
      </c>
      <c r="C355" s="25" t="s">
        <v>5303</v>
      </c>
      <c r="D355" s="23" t="s">
        <v>4602</v>
      </c>
      <c r="E355" s="42">
        <v>46128</v>
      </c>
      <c r="F355" s="26" t="s">
        <v>55</v>
      </c>
      <c r="G355" s="44" t="s">
        <v>832</v>
      </c>
      <c r="H355" s="26" t="s">
        <v>57</v>
      </c>
      <c r="I355" s="44" t="s">
        <v>832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42">
        <v>46196</v>
      </c>
      <c r="O355" s="26" t="s">
        <v>55</v>
      </c>
      <c r="P355" s="44" t="s">
        <v>832</v>
      </c>
      <c r="Q355" s="26" t="s">
        <v>57</v>
      </c>
      <c r="R355" s="44" t="s">
        <v>832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70">
        <v>46248</v>
      </c>
      <c r="X355" s="30" t="s">
        <v>55</v>
      </c>
      <c r="Y355" s="30" t="s">
        <v>832</v>
      </c>
      <c r="Z355" s="30" t="s">
        <v>57</v>
      </c>
      <c r="AA355" s="30" t="s">
        <v>832</v>
      </c>
      <c r="AB355" s="30" t="s">
        <v>56</v>
      </c>
      <c r="AC355" s="27"/>
      <c r="AD355" s="31" t="s">
        <v>57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5304</v>
      </c>
      <c r="C356" s="41" t="s">
        <v>5305</v>
      </c>
      <c r="D356" s="39" t="s">
        <v>4602</v>
      </c>
      <c r="E356" s="42">
        <v>46128</v>
      </c>
      <c r="F356" s="26" t="s">
        <v>55</v>
      </c>
      <c r="G356" s="44" t="s">
        <v>832</v>
      </c>
      <c r="H356" s="26" t="s">
        <v>57</v>
      </c>
      <c r="I356" s="44" t="s">
        <v>832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42">
        <v>46196</v>
      </c>
      <c r="O356" s="26" t="s">
        <v>55</v>
      </c>
      <c r="P356" s="44" t="s">
        <v>832</v>
      </c>
      <c r="Q356" s="26" t="s">
        <v>57</v>
      </c>
      <c r="R356" s="44" t="s">
        <v>832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70">
        <v>46248</v>
      </c>
      <c r="X356" s="30" t="s">
        <v>55</v>
      </c>
      <c r="Y356" s="30" t="s">
        <v>832</v>
      </c>
      <c r="Z356" s="30" t="s">
        <v>57</v>
      </c>
      <c r="AA356" s="30" t="s">
        <v>832</v>
      </c>
      <c r="AB356" s="30" t="s">
        <v>56</v>
      </c>
      <c r="AC356" s="27"/>
      <c r="AD356" s="31" t="s">
        <v>57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5306</v>
      </c>
      <c r="C357" s="25" t="s">
        <v>5307</v>
      </c>
      <c r="D357" s="23" t="s">
        <v>4602</v>
      </c>
      <c r="E357" s="42">
        <v>46128</v>
      </c>
      <c r="F357" s="26" t="s">
        <v>55</v>
      </c>
      <c r="G357" s="44" t="s">
        <v>832</v>
      </c>
      <c r="H357" s="26" t="s">
        <v>57</v>
      </c>
      <c r="I357" s="44" t="s">
        <v>832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42">
        <v>46196</v>
      </c>
      <c r="O357" s="26" t="s">
        <v>55</v>
      </c>
      <c r="P357" s="44" t="s">
        <v>832</v>
      </c>
      <c r="Q357" s="26" t="s">
        <v>57</v>
      </c>
      <c r="R357" s="44" t="s">
        <v>832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70">
        <v>46248</v>
      </c>
      <c r="X357" s="30" t="s">
        <v>55</v>
      </c>
      <c r="Y357" s="30" t="s">
        <v>832</v>
      </c>
      <c r="Z357" s="30" t="s">
        <v>57</v>
      </c>
      <c r="AA357" s="30" t="s">
        <v>832</v>
      </c>
      <c r="AB357" s="30" t="s">
        <v>56</v>
      </c>
      <c r="AC357" s="27"/>
      <c r="AD357" s="31" t="s">
        <v>57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5308</v>
      </c>
      <c r="C358" s="41" t="s">
        <v>5309</v>
      </c>
      <c r="D358" s="39" t="s">
        <v>4602</v>
      </c>
      <c r="E358" s="42">
        <v>46128</v>
      </c>
      <c r="F358" s="26" t="s">
        <v>55</v>
      </c>
      <c r="G358" s="44" t="s">
        <v>832</v>
      </c>
      <c r="H358" s="26" t="s">
        <v>57</v>
      </c>
      <c r="I358" s="44" t="s">
        <v>832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42">
        <v>46196</v>
      </c>
      <c r="O358" s="26" t="s">
        <v>55</v>
      </c>
      <c r="P358" s="44" t="s">
        <v>832</v>
      </c>
      <c r="Q358" s="26" t="s">
        <v>57</v>
      </c>
      <c r="R358" s="44" t="s">
        <v>832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70">
        <v>46248</v>
      </c>
      <c r="X358" s="30" t="s">
        <v>55</v>
      </c>
      <c r="Y358" s="30" t="s">
        <v>832</v>
      </c>
      <c r="Z358" s="30" t="s">
        <v>57</v>
      </c>
      <c r="AA358" s="30" t="s">
        <v>832</v>
      </c>
      <c r="AB358" s="30" t="s">
        <v>56</v>
      </c>
      <c r="AC358" s="27"/>
      <c r="AD358" s="31" t="s">
        <v>57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5310</v>
      </c>
      <c r="C359" s="25" t="s">
        <v>5311</v>
      </c>
      <c r="D359" s="23" t="s">
        <v>4602</v>
      </c>
      <c r="E359" s="42">
        <v>46128</v>
      </c>
      <c r="F359" s="26" t="s">
        <v>55</v>
      </c>
      <c r="G359" s="44" t="s">
        <v>832</v>
      </c>
      <c r="H359" s="26" t="s">
        <v>57</v>
      </c>
      <c r="I359" s="44" t="s">
        <v>832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42">
        <v>46196</v>
      </c>
      <c r="O359" s="26" t="s">
        <v>55</v>
      </c>
      <c r="P359" s="44" t="s">
        <v>832</v>
      </c>
      <c r="Q359" s="26" t="s">
        <v>57</v>
      </c>
      <c r="R359" s="44" t="s">
        <v>832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70">
        <v>46248</v>
      </c>
      <c r="X359" s="30" t="s">
        <v>55</v>
      </c>
      <c r="Y359" s="30" t="s">
        <v>832</v>
      </c>
      <c r="Z359" s="30" t="s">
        <v>57</v>
      </c>
      <c r="AA359" s="30" t="s">
        <v>832</v>
      </c>
      <c r="AB359" s="30" t="s">
        <v>56</v>
      </c>
      <c r="AC359" s="27"/>
      <c r="AD359" s="31" t="s">
        <v>57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5312</v>
      </c>
      <c r="C360" s="41" t="s">
        <v>5313</v>
      </c>
      <c r="D360" s="39" t="s">
        <v>4602</v>
      </c>
      <c r="E360" s="42">
        <v>46128</v>
      </c>
      <c r="F360" s="26" t="s">
        <v>55</v>
      </c>
      <c r="G360" s="44" t="s">
        <v>832</v>
      </c>
      <c r="H360" s="26" t="s">
        <v>57</v>
      </c>
      <c r="I360" s="44" t="s">
        <v>832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42">
        <v>46196</v>
      </c>
      <c r="O360" s="26" t="s">
        <v>55</v>
      </c>
      <c r="P360" s="44" t="s">
        <v>832</v>
      </c>
      <c r="Q360" s="26" t="s">
        <v>57</v>
      </c>
      <c r="R360" s="44" t="s">
        <v>832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70">
        <v>46248</v>
      </c>
      <c r="X360" s="30" t="s">
        <v>55</v>
      </c>
      <c r="Y360" s="30" t="s">
        <v>832</v>
      </c>
      <c r="Z360" s="30" t="s">
        <v>57</v>
      </c>
      <c r="AA360" s="30" t="s">
        <v>832</v>
      </c>
      <c r="AB360" s="30" t="s">
        <v>56</v>
      </c>
      <c r="AC360" s="27"/>
      <c r="AD360" s="31" t="s">
        <v>57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5314</v>
      </c>
      <c r="C361" s="25" t="s">
        <v>5315</v>
      </c>
      <c r="D361" s="23" t="s">
        <v>4602</v>
      </c>
      <c r="E361" s="42">
        <v>46128</v>
      </c>
      <c r="F361" s="26" t="s">
        <v>55</v>
      </c>
      <c r="G361" s="44" t="s">
        <v>832</v>
      </c>
      <c r="H361" s="26" t="s">
        <v>57</v>
      </c>
      <c r="I361" s="44" t="s">
        <v>832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42">
        <v>46196</v>
      </c>
      <c r="O361" s="26" t="s">
        <v>55</v>
      </c>
      <c r="P361" s="44" t="s">
        <v>832</v>
      </c>
      <c r="Q361" s="26" t="s">
        <v>57</v>
      </c>
      <c r="R361" s="44" t="s">
        <v>832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70">
        <v>46248</v>
      </c>
      <c r="X361" s="30" t="s">
        <v>55</v>
      </c>
      <c r="Y361" s="30" t="s">
        <v>832</v>
      </c>
      <c r="Z361" s="30" t="s">
        <v>57</v>
      </c>
      <c r="AA361" s="30" t="s">
        <v>832</v>
      </c>
      <c r="AB361" s="30" t="s">
        <v>56</v>
      </c>
      <c r="AC361" s="27"/>
      <c r="AD361" s="31" t="s">
        <v>57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5316</v>
      </c>
      <c r="C362" s="41" t="s">
        <v>5317</v>
      </c>
      <c r="D362" s="39" t="s">
        <v>4602</v>
      </c>
      <c r="E362" s="42">
        <v>46128</v>
      </c>
      <c r="F362" s="26" t="s">
        <v>55</v>
      </c>
      <c r="G362" s="44" t="s">
        <v>56</v>
      </c>
      <c r="H362" s="26" t="s">
        <v>57</v>
      </c>
      <c r="I362" s="44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42">
        <v>46196</v>
      </c>
      <c r="O362" s="26" t="s">
        <v>55</v>
      </c>
      <c r="P362" s="44" t="s">
        <v>56</v>
      </c>
      <c r="Q362" s="26" t="s">
        <v>57</v>
      </c>
      <c r="R362" s="44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70">
        <v>46248</v>
      </c>
      <c r="X362" s="30" t="s">
        <v>55</v>
      </c>
      <c r="Y362" s="30" t="s">
        <v>56</v>
      </c>
      <c r="Z362" s="30" t="s">
        <v>57</v>
      </c>
      <c r="AA362" s="30" t="s">
        <v>58</v>
      </c>
      <c r="AB362" s="30" t="s">
        <v>56</v>
      </c>
      <c r="AC362" s="27"/>
      <c r="AD362" s="31" t="s">
        <v>57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5318</v>
      </c>
      <c r="C363" s="25" t="s">
        <v>5319</v>
      </c>
      <c r="D363" s="23" t="s">
        <v>5320</v>
      </c>
      <c r="E363" s="42">
        <v>46128</v>
      </c>
      <c r="F363" s="26" t="s">
        <v>55</v>
      </c>
      <c r="G363" s="44" t="s">
        <v>57</v>
      </c>
      <c r="H363" s="26" t="s">
        <v>57</v>
      </c>
      <c r="I363" s="44" t="s">
        <v>89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42">
        <v>46196</v>
      </c>
      <c r="O363" s="26" t="s">
        <v>55</v>
      </c>
      <c r="P363" s="44" t="s">
        <v>57</v>
      </c>
      <c r="Q363" s="26" t="s">
        <v>57</v>
      </c>
      <c r="R363" s="44" t="s">
        <v>89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70">
        <v>46248</v>
      </c>
      <c r="X363" s="30" t="s">
        <v>55</v>
      </c>
      <c r="Y363" s="30" t="s">
        <v>57</v>
      </c>
      <c r="Z363" s="30" t="s">
        <v>57</v>
      </c>
      <c r="AA363" s="30" t="s">
        <v>89</v>
      </c>
      <c r="AB363" s="30" t="s">
        <v>57</v>
      </c>
      <c r="AC363" s="27"/>
      <c r="AD363" s="31" t="s">
        <v>56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5321</v>
      </c>
      <c r="C364" s="41" t="s">
        <v>5322</v>
      </c>
      <c r="D364" s="39" t="s">
        <v>5320</v>
      </c>
      <c r="E364" s="42">
        <v>46128</v>
      </c>
      <c r="F364" s="26" t="s">
        <v>55</v>
      </c>
      <c r="G364" s="44" t="s">
        <v>57</v>
      </c>
      <c r="H364" s="26" t="s">
        <v>57</v>
      </c>
      <c r="I364" s="44" t="s">
        <v>89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42">
        <v>46196</v>
      </c>
      <c r="O364" s="26" t="s">
        <v>55</v>
      </c>
      <c r="P364" s="44" t="s">
        <v>57</v>
      </c>
      <c r="Q364" s="26" t="s">
        <v>57</v>
      </c>
      <c r="R364" s="44" t="s">
        <v>89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70">
        <v>46248</v>
      </c>
      <c r="X364" s="30" t="s">
        <v>55</v>
      </c>
      <c r="Y364" s="30" t="s">
        <v>57</v>
      </c>
      <c r="Z364" s="30" t="s">
        <v>57</v>
      </c>
      <c r="AA364" s="30" t="s">
        <v>89</v>
      </c>
      <c r="AB364" s="30" t="s">
        <v>57</v>
      </c>
      <c r="AC364" s="27"/>
      <c r="AD364" s="31" t="s">
        <v>56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5323</v>
      </c>
      <c r="C365" s="25" t="s">
        <v>5324</v>
      </c>
      <c r="D365" s="23" t="s">
        <v>5320</v>
      </c>
      <c r="E365" s="42">
        <v>46128</v>
      </c>
      <c r="F365" s="26" t="s">
        <v>55</v>
      </c>
      <c r="G365" s="44" t="s">
        <v>57</v>
      </c>
      <c r="H365" s="26" t="s">
        <v>57</v>
      </c>
      <c r="I365" s="44" t="s">
        <v>89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42">
        <v>46196</v>
      </c>
      <c r="O365" s="26" t="s">
        <v>55</v>
      </c>
      <c r="P365" s="44" t="s">
        <v>57</v>
      </c>
      <c r="Q365" s="26" t="s">
        <v>57</v>
      </c>
      <c r="R365" s="44" t="s">
        <v>89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70">
        <v>46248</v>
      </c>
      <c r="X365" s="30" t="s">
        <v>55</v>
      </c>
      <c r="Y365" s="30" t="s">
        <v>57</v>
      </c>
      <c r="Z365" s="30" t="s">
        <v>57</v>
      </c>
      <c r="AA365" s="30" t="s">
        <v>89</v>
      </c>
      <c r="AB365" s="30" t="s">
        <v>57</v>
      </c>
      <c r="AC365" s="27"/>
      <c r="AD365" s="31" t="s">
        <v>56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5325</v>
      </c>
      <c r="C366" s="41" t="s">
        <v>5326</v>
      </c>
      <c r="D366" s="39" t="s">
        <v>5320</v>
      </c>
      <c r="E366" s="42">
        <v>46128</v>
      </c>
      <c r="F366" s="26" t="s">
        <v>55</v>
      </c>
      <c r="G366" s="44" t="s">
        <v>57</v>
      </c>
      <c r="H366" s="26" t="s">
        <v>57</v>
      </c>
      <c r="I366" s="44" t="s">
        <v>89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42">
        <v>46196</v>
      </c>
      <c r="O366" s="26" t="s">
        <v>55</v>
      </c>
      <c r="P366" s="44" t="s">
        <v>57</v>
      </c>
      <c r="Q366" s="26" t="s">
        <v>57</v>
      </c>
      <c r="R366" s="44" t="s">
        <v>89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70">
        <v>46248</v>
      </c>
      <c r="X366" s="30" t="s">
        <v>55</v>
      </c>
      <c r="Y366" s="30" t="s">
        <v>57</v>
      </c>
      <c r="Z366" s="30" t="s">
        <v>57</v>
      </c>
      <c r="AA366" s="30" t="s">
        <v>89</v>
      </c>
      <c r="AB366" s="30" t="s">
        <v>57</v>
      </c>
      <c r="AC366" s="27"/>
      <c r="AD366" s="31" t="s">
        <v>56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5327</v>
      </c>
      <c r="C367" s="25" t="s">
        <v>5328</v>
      </c>
      <c r="D367" s="23" t="s">
        <v>5320</v>
      </c>
      <c r="E367" s="42">
        <v>46128</v>
      </c>
      <c r="F367" s="26" t="s">
        <v>55</v>
      </c>
      <c r="G367" s="44" t="s">
        <v>57</v>
      </c>
      <c r="H367" s="26" t="s">
        <v>57</v>
      </c>
      <c r="I367" s="44" t="s">
        <v>89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42">
        <v>46196</v>
      </c>
      <c r="O367" s="26" t="s">
        <v>55</v>
      </c>
      <c r="P367" s="44" t="s">
        <v>57</v>
      </c>
      <c r="Q367" s="26" t="s">
        <v>57</v>
      </c>
      <c r="R367" s="44" t="s">
        <v>89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70">
        <v>46248</v>
      </c>
      <c r="X367" s="30" t="s">
        <v>55</v>
      </c>
      <c r="Y367" s="30" t="s">
        <v>57</v>
      </c>
      <c r="Z367" s="30" t="s">
        <v>57</v>
      </c>
      <c r="AA367" s="30" t="s">
        <v>89</v>
      </c>
      <c r="AB367" s="30" t="s">
        <v>57</v>
      </c>
      <c r="AC367" s="27"/>
      <c r="AD367" s="31" t="s">
        <v>56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5329</v>
      </c>
      <c r="C368" s="41" t="s">
        <v>5330</v>
      </c>
      <c r="D368" s="39" t="s">
        <v>5320</v>
      </c>
      <c r="E368" s="42">
        <v>46128</v>
      </c>
      <c r="F368" s="26" t="s">
        <v>55</v>
      </c>
      <c r="G368" s="44" t="s">
        <v>57</v>
      </c>
      <c r="H368" s="26" t="s">
        <v>57</v>
      </c>
      <c r="I368" s="44" t="s">
        <v>89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42">
        <v>46196</v>
      </c>
      <c r="O368" s="26" t="s">
        <v>55</v>
      </c>
      <c r="P368" s="44" t="s">
        <v>57</v>
      </c>
      <c r="Q368" s="26" t="s">
        <v>57</v>
      </c>
      <c r="R368" s="44" t="s">
        <v>89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70">
        <v>46248</v>
      </c>
      <c r="X368" s="30" t="s">
        <v>55</v>
      </c>
      <c r="Y368" s="30" t="s">
        <v>57</v>
      </c>
      <c r="Z368" s="30" t="s">
        <v>57</v>
      </c>
      <c r="AA368" s="30" t="s">
        <v>89</v>
      </c>
      <c r="AB368" s="30" t="s">
        <v>57</v>
      </c>
      <c r="AC368" s="27"/>
      <c r="AD368" s="31" t="s">
        <v>56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5331</v>
      </c>
      <c r="C369" s="25" t="s">
        <v>5332</v>
      </c>
      <c r="D369" s="23" t="s">
        <v>5320</v>
      </c>
      <c r="E369" s="42">
        <v>46128</v>
      </c>
      <c r="F369" s="26" t="s">
        <v>55</v>
      </c>
      <c r="G369" s="44" t="s">
        <v>57</v>
      </c>
      <c r="H369" s="26" t="s">
        <v>57</v>
      </c>
      <c r="I369" s="44" t="s">
        <v>89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42">
        <v>46196</v>
      </c>
      <c r="O369" s="26" t="s">
        <v>55</v>
      </c>
      <c r="P369" s="44" t="s">
        <v>57</v>
      </c>
      <c r="Q369" s="26" t="s">
        <v>57</v>
      </c>
      <c r="R369" s="44" t="s">
        <v>89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70">
        <v>46248</v>
      </c>
      <c r="X369" s="30" t="s">
        <v>55</v>
      </c>
      <c r="Y369" s="30" t="s">
        <v>57</v>
      </c>
      <c r="Z369" s="30" t="s">
        <v>57</v>
      </c>
      <c r="AA369" s="30" t="s">
        <v>89</v>
      </c>
      <c r="AB369" s="30" t="s">
        <v>57</v>
      </c>
      <c r="AC369" s="27"/>
      <c r="AD369" s="31" t="s">
        <v>56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5333</v>
      </c>
      <c r="C370" s="41" t="s">
        <v>5334</v>
      </c>
      <c r="D370" s="39" t="s">
        <v>5320</v>
      </c>
      <c r="E370" s="42">
        <v>46128</v>
      </c>
      <c r="F370" s="26" t="s">
        <v>55</v>
      </c>
      <c r="G370" s="44" t="s">
        <v>57</v>
      </c>
      <c r="H370" s="26" t="s">
        <v>57</v>
      </c>
      <c r="I370" s="44" t="s">
        <v>89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42">
        <v>46196</v>
      </c>
      <c r="O370" s="26" t="s">
        <v>55</v>
      </c>
      <c r="P370" s="44" t="s">
        <v>57</v>
      </c>
      <c r="Q370" s="26" t="s">
        <v>57</v>
      </c>
      <c r="R370" s="44" t="s">
        <v>89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70">
        <v>46248</v>
      </c>
      <c r="X370" s="30" t="s">
        <v>55</v>
      </c>
      <c r="Y370" s="30" t="s">
        <v>57</v>
      </c>
      <c r="Z370" s="30" t="s">
        <v>57</v>
      </c>
      <c r="AA370" s="30" t="s">
        <v>89</v>
      </c>
      <c r="AB370" s="30" t="s">
        <v>57</v>
      </c>
      <c r="AC370" s="27"/>
      <c r="AD370" s="31" t="s">
        <v>56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5335</v>
      </c>
      <c r="C371" s="25" t="s">
        <v>5336</v>
      </c>
      <c r="D371" s="23" t="s">
        <v>5320</v>
      </c>
      <c r="E371" s="42">
        <v>46128</v>
      </c>
      <c r="F371" s="26" t="s">
        <v>55</v>
      </c>
      <c r="G371" s="44" t="s">
        <v>57</v>
      </c>
      <c r="H371" s="26" t="s">
        <v>57</v>
      </c>
      <c r="I371" s="44" t="s">
        <v>89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42">
        <v>46196</v>
      </c>
      <c r="O371" s="26" t="s">
        <v>55</v>
      </c>
      <c r="P371" s="44" t="s">
        <v>57</v>
      </c>
      <c r="Q371" s="26" t="s">
        <v>57</v>
      </c>
      <c r="R371" s="44" t="s">
        <v>89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70">
        <v>46248</v>
      </c>
      <c r="X371" s="30" t="s">
        <v>55</v>
      </c>
      <c r="Y371" s="30" t="s">
        <v>57</v>
      </c>
      <c r="Z371" s="30" t="s">
        <v>57</v>
      </c>
      <c r="AA371" s="30" t="s">
        <v>89</v>
      </c>
      <c r="AB371" s="30" t="s">
        <v>57</v>
      </c>
      <c r="AC371" s="27"/>
      <c r="AD371" s="31" t="s">
        <v>56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5337</v>
      </c>
      <c r="C372" s="41" t="s">
        <v>5338</v>
      </c>
      <c r="D372" s="39" t="s">
        <v>5320</v>
      </c>
      <c r="E372" s="42">
        <v>46128</v>
      </c>
      <c r="F372" s="26" t="s">
        <v>55</v>
      </c>
      <c r="G372" s="44" t="s">
        <v>57</v>
      </c>
      <c r="H372" s="26" t="s">
        <v>57</v>
      </c>
      <c r="I372" s="44" t="s">
        <v>89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42">
        <v>46196</v>
      </c>
      <c r="O372" s="26" t="s">
        <v>55</v>
      </c>
      <c r="P372" s="44" t="s">
        <v>57</v>
      </c>
      <c r="Q372" s="26" t="s">
        <v>57</v>
      </c>
      <c r="R372" s="44" t="s">
        <v>89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70">
        <v>46248</v>
      </c>
      <c r="X372" s="30" t="s">
        <v>55</v>
      </c>
      <c r="Y372" s="30" t="s">
        <v>57</v>
      </c>
      <c r="Z372" s="30" t="s">
        <v>57</v>
      </c>
      <c r="AA372" s="30" t="s">
        <v>89</v>
      </c>
      <c r="AB372" s="30" t="s">
        <v>57</v>
      </c>
      <c r="AC372" s="27"/>
      <c r="AD372" s="31" t="s">
        <v>56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5339</v>
      </c>
      <c r="C373" s="25" t="s">
        <v>5340</v>
      </c>
      <c r="D373" s="23" t="s">
        <v>5320</v>
      </c>
      <c r="E373" s="42">
        <v>46128</v>
      </c>
      <c r="F373" s="26" t="s">
        <v>55</v>
      </c>
      <c r="G373" s="44" t="s">
        <v>57</v>
      </c>
      <c r="H373" s="26" t="s">
        <v>57</v>
      </c>
      <c r="I373" s="44" t="s">
        <v>89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42">
        <v>46196</v>
      </c>
      <c r="O373" s="26" t="s">
        <v>55</v>
      </c>
      <c r="P373" s="44" t="s">
        <v>57</v>
      </c>
      <c r="Q373" s="26" t="s">
        <v>57</v>
      </c>
      <c r="R373" s="44" t="s">
        <v>89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70">
        <v>46248</v>
      </c>
      <c r="X373" s="30" t="s">
        <v>55</v>
      </c>
      <c r="Y373" s="30" t="s">
        <v>57</v>
      </c>
      <c r="Z373" s="30" t="s">
        <v>57</v>
      </c>
      <c r="AA373" s="30" t="s">
        <v>89</v>
      </c>
      <c r="AB373" s="30" t="s">
        <v>57</v>
      </c>
      <c r="AC373" s="27"/>
      <c r="AD373" s="31" t="s">
        <v>56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5341</v>
      </c>
      <c r="C374" s="41" t="s">
        <v>5342</v>
      </c>
      <c r="D374" s="39" t="s">
        <v>5320</v>
      </c>
      <c r="E374" s="42">
        <v>46128</v>
      </c>
      <c r="F374" s="26" t="s">
        <v>55</v>
      </c>
      <c r="G374" s="44" t="s">
        <v>57</v>
      </c>
      <c r="H374" s="26" t="s">
        <v>57</v>
      </c>
      <c r="I374" s="44" t="s">
        <v>89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42">
        <v>46196</v>
      </c>
      <c r="O374" s="26" t="s">
        <v>55</v>
      </c>
      <c r="P374" s="44" t="s">
        <v>57</v>
      </c>
      <c r="Q374" s="26" t="s">
        <v>57</v>
      </c>
      <c r="R374" s="44" t="s">
        <v>89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70">
        <v>46248</v>
      </c>
      <c r="X374" s="30" t="s">
        <v>55</v>
      </c>
      <c r="Y374" s="30" t="s">
        <v>57</v>
      </c>
      <c r="Z374" s="30" t="s">
        <v>57</v>
      </c>
      <c r="AA374" s="30" t="s">
        <v>89</v>
      </c>
      <c r="AB374" s="30" t="s">
        <v>57</v>
      </c>
      <c r="AC374" s="27"/>
      <c r="AD374" s="31" t="s">
        <v>56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5343</v>
      </c>
      <c r="C375" s="25" t="s">
        <v>5344</v>
      </c>
      <c r="D375" s="23" t="s">
        <v>5320</v>
      </c>
      <c r="E375" s="42">
        <v>46128</v>
      </c>
      <c r="F375" s="26" t="s">
        <v>55</v>
      </c>
      <c r="G375" s="44" t="s">
        <v>57</v>
      </c>
      <c r="H375" s="26" t="s">
        <v>57</v>
      </c>
      <c r="I375" s="44" t="s">
        <v>89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42">
        <v>46196</v>
      </c>
      <c r="O375" s="26" t="s">
        <v>55</v>
      </c>
      <c r="P375" s="44" t="s">
        <v>57</v>
      </c>
      <c r="Q375" s="26" t="s">
        <v>57</v>
      </c>
      <c r="R375" s="44" t="s">
        <v>89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70">
        <v>46248</v>
      </c>
      <c r="X375" s="30" t="s">
        <v>55</v>
      </c>
      <c r="Y375" s="30" t="s">
        <v>57</v>
      </c>
      <c r="Z375" s="30" t="s">
        <v>57</v>
      </c>
      <c r="AA375" s="30" t="s">
        <v>89</v>
      </c>
      <c r="AB375" s="30" t="s">
        <v>57</v>
      </c>
      <c r="AC375" s="27"/>
      <c r="AD375" s="31" t="s">
        <v>56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5345</v>
      </c>
      <c r="C376" s="41" t="s">
        <v>5346</v>
      </c>
      <c r="D376" s="39" t="s">
        <v>5320</v>
      </c>
      <c r="E376" s="42">
        <v>46128</v>
      </c>
      <c r="F376" s="26" t="s">
        <v>55</v>
      </c>
      <c r="G376" s="44" t="s">
        <v>57</v>
      </c>
      <c r="H376" s="26" t="s">
        <v>57</v>
      </c>
      <c r="I376" s="44" t="s">
        <v>89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42">
        <v>46196</v>
      </c>
      <c r="O376" s="26" t="s">
        <v>55</v>
      </c>
      <c r="P376" s="44" t="s">
        <v>57</v>
      </c>
      <c r="Q376" s="26" t="s">
        <v>57</v>
      </c>
      <c r="R376" s="44" t="s">
        <v>89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70">
        <v>46248</v>
      </c>
      <c r="X376" s="30" t="s">
        <v>55</v>
      </c>
      <c r="Y376" s="30" t="s">
        <v>57</v>
      </c>
      <c r="Z376" s="30" t="s">
        <v>57</v>
      </c>
      <c r="AA376" s="30" t="s">
        <v>89</v>
      </c>
      <c r="AB376" s="30" t="s">
        <v>57</v>
      </c>
      <c r="AC376" s="27"/>
      <c r="AD376" s="31" t="s">
        <v>56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5347</v>
      </c>
      <c r="C377" s="25" t="s">
        <v>5348</v>
      </c>
      <c r="D377" s="23" t="s">
        <v>5320</v>
      </c>
      <c r="E377" s="42">
        <v>46128</v>
      </c>
      <c r="F377" s="26" t="s">
        <v>55</v>
      </c>
      <c r="G377" s="44" t="s">
        <v>57</v>
      </c>
      <c r="H377" s="26" t="s">
        <v>57</v>
      </c>
      <c r="I377" s="44" t="s">
        <v>89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42">
        <v>46196</v>
      </c>
      <c r="O377" s="26" t="s">
        <v>55</v>
      </c>
      <c r="P377" s="44" t="s">
        <v>57</v>
      </c>
      <c r="Q377" s="26" t="s">
        <v>57</v>
      </c>
      <c r="R377" s="44" t="s">
        <v>89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70">
        <v>46248</v>
      </c>
      <c r="X377" s="30" t="s">
        <v>55</v>
      </c>
      <c r="Y377" s="30" t="s">
        <v>57</v>
      </c>
      <c r="Z377" s="30" t="s">
        <v>57</v>
      </c>
      <c r="AA377" s="30" t="s">
        <v>89</v>
      </c>
      <c r="AB377" s="30" t="s">
        <v>57</v>
      </c>
      <c r="AC377" s="27"/>
      <c r="AD377" s="31" t="s">
        <v>56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5349</v>
      </c>
      <c r="C378" s="41" t="s">
        <v>5350</v>
      </c>
      <c r="D378" s="39" t="s">
        <v>5320</v>
      </c>
      <c r="E378" s="42">
        <v>46128</v>
      </c>
      <c r="F378" s="26" t="s">
        <v>55</v>
      </c>
      <c r="G378" s="44" t="s">
        <v>57</v>
      </c>
      <c r="H378" s="26" t="s">
        <v>57</v>
      </c>
      <c r="I378" s="44" t="s">
        <v>89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42">
        <v>46196</v>
      </c>
      <c r="O378" s="26" t="s">
        <v>55</v>
      </c>
      <c r="P378" s="44" t="s">
        <v>57</v>
      </c>
      <c r="Q378" s="26" t="s">
        <v>57</v>
      </c>
      <c r="R378" s="44" t="s">
        <v>89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70">
        <v>46248</v>
      </c>
      <c r="X378" s="30" t="s">
        <v>55</v>
      </c>
      <c r="Y378" s="30" t="s">
        <v>57</v>
      </c>
      <c r="Z378" s="30" t="s">
        <v>57</v>
      </c>
      <c r="AA378" s="30" t="s">
        <v>89</v>
      </c>
      <c r="AB378" s="30" t="s">
        <v>57</v>
      </c>
      <c r="AC378" s="27"/>
      <c r="AD378" s="31" t="s">
        <v>56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5351</v>
      </c>
      <c r="C379" s="25" t="s">
        <v>5352</v>
      </c>
      <c r="D379" s="23" t="s">
        <v>5320</v>
      </c>
      <c r="E379" s="42">
        <v>46128</v>
      </c>
      <c r="F379" s="26" t="s">
        <v>55</v>
      </c>
      <c r="G379" s="44" t="s">
        <v>57</v>
      </c>
      <c r="H379" s="26" t="s">
        <v>57</v>
      </c>
      <c r="I379" s="44" t="s">
        <v>89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42">
        <v>46196</v>
      </c>
      <c r="O379" s="26" t="s">
        <v>55</v>
      </c>
      <c r="P379" s="44" t="s">
        <v>57</v>
      </c>
      <c r="Q379" s="26" t="s">
        <v>57</v>
      </c>
      <c r="R379" s="44" t="s">
        <v>89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70">
        <v>46248</v>
      </c>
      <c r="X379" s="30" t="s">
        <v>55</v>
      </c>
      <c r="Y379" s="30" t="s">
        <v>57</v>
      </c>
      <c r="Z379" s="30" t="s">
        <v>57</v>
      </c>
      <c r="AA379" s="30" t="s">
        <v>89</v>
      </c>
      <c r="AB379" s="30" t="s">
        <v>57</v>
      </c>
      <c r="AC379" s="27"/>
      <c r="AD379" s="31" t="s">
        <v>56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5353</v>
      </c>
      <c r="C380" s="41" t="s">
        <v>5354</v>
      </c>
      <c r="D380" s="39" t="s">
        <v>4265</v>
      </c>
      <c r="E380" s="42">
        <v>46128</v>
      </c>
      <c r="F380" s="26" t="s">
        <v>55</v>
      </c>
      <c r="G380" s="44" t="s">
        <v>56</v>
      </c>
      <c r="H380" s="26" t="s">
        <v>57</v>
      </c>
      <c r="I380" s="44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42">
        <v>46196</v>
      </c>
      <c r="O380" s="26" t="s">
        <v>55</v>
      </c>
      <c r="P380" s="44" t="s">
        <v>56</v>
      </c>
      <c r="Q380" s="26" t="s">
        <v>57</v>
      </c>
      <c r="R380" s="44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70">
        <v>46248</v>
      </c>
      <c r="X380" s="30" t="s">
        <v>55</v>
      </c>
      <c r="Y380" s="30" t="s">
        <v>56</v>
      </c>
      <c r="Z380" s="30" t="s">
        <v>57</v>
      </c>
      <c r="AA380" s="30" t="s">
        <v>58</v>
      </c>
      <c r="AB380" s="30" t="s">
        <v>56</v>
      </c>
      <c r="AC380" s="27"/>
      <c r="AD380" s="31" t="s">
        <v>57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5355</v>
      </c>
      <c r="C381" s="25" t="s">
        <v>5356</v>
      </c>
      <c r="D381" s="23" t="s">
        <v>4265</v>
      </c>
      <c r="E381" s="42">
        <v>46128</v>
      </c>
      <c r="F381" s="26" t="s">
        <v>55</v>
      </c>
      <c r="G381" s="44" t="s">
        <v>56</v>
      </c>
      <c r="H381" s="26" t="s">
        <v>57</v>
      </c>
      <c r="I381" s="44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42">
        <v>46196</v>
      </c>
      <c r="O381" s="26" t="s">
        <v>55</v>
      </c>
      <c r="P381" s="44" t="s">
        <v>56</v>
      </c>
      <c r="Q381" s="26" t="s">
        <v>57</v>
      </c>
      <c r="R381" s="44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70">
        <v>46248</v>
      </c>
      <c r="X381" s="30" t="s">
        <v>55</v>
      </c>
      <c r="Y381" s="30" t="s">
        <v>56</v>
      </c>
      <c r="Z381" s="30" t="s">
        <v>57</v>
      </c>
      <c r="AA381" s="30" t="s">
        <v>58</v>
      </c>
      <c r="AB381" s="30" t="s">
        <v>56</v>
      </c>
      <c r="AC381" s="27"/>
      <c r="AD381" s="31" t="s">
        <v>57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5357</v>
      </c>
      <c r="C382" s="41" t="s">
        <v>5358</v>
      </c>
      <c r="D382" s="39" t="s">
        <v>4265</v>
      </c>
      <c r="E382" s="42">
        <v>46128</v>
      </c>
      <c r="F382" s="26" t="s">
        <v>55</v>
      </c>
      <c r="G382" s="44" t="s">
        <v>56</v>
      </c>
      <c r="H382" s="26" t="s">
        <v>57</v>
      </c>
      <c r="I382" s="44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42">
        <v>46196</v>
      </c>
      <c r="O382" s="26" t="s">
        <v>55</v>
      </c>
      <c r="P382" s="44" t="s">
        <v>56</v>
      </c>
      <c r="Q382" s="26" t="s">
        <v>57</v>
      </c>
      <c r="R382" s="44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70">
        <v>46248</v>
      </c>
      <c r="X382" s="30" t="s">
        <v>55</v>
      </c>
      <c r="Y382" s="30" t="s">
        <v>56</v>
      </c>
      <c r="Z382" s="30" t="s">
        <v>57</v>
      </c>
      <c r="AA382" s="30" t="s">
        <v>58</v>
      </c>
      <c r="AB382" s="30" t="s">
        <v>56</v>
      </c>
      <c r="AC382" s="27"/>
      <c r="AD382" s="31" t="s">
        <v>57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5359</v>
      </c>
      <c r="C383" s="25" t="s">
        <v>5360</v>
      </c>
      <c r="D383" s="23" t="s">
        <v>4265</v>
      </c>
      <c r="E383" s="42">
        <v>46128</v>
      </c>
      <c r="F383" s="26" t="s">
        <v>55</v>
      </c>
      <c r="G383" s="44" t="s">
        <v>56</v>
      </c>
      <c r="H383" s="26" t="s">
        <v>57</v>
      </c>
      <c r="I383" s="44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42">
        <v>46196</v>
      </c>
      <c r="O383" s="26" t="s">
        <v>55</v>
      </c>
      <c r="P383" s="44" t="s">
        <v>56</v>
      </c>
      <c r="Q383" s="26" t="s">
        <v>57</v>
      </c>
      <c r="R383" s="44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70">
        <v>46248</v>
      </c>
      <c r="X383" s="30" t="s">
        <v>55</v>
      </c>
      <c r="Y383" s="30" t="s">
        <v>56</v>
      </c>
      <c r="Z383" s="30" t="s">
        <v>57</v>
      </c>
      <c r="AA383" s="30" t="s">
        <v>58</v>
      </c>
      <c r="AB383" s="30" t="s">
        <v>56</v>
      </c>
      <c r="AC383" s="27"/>
      <c r="AD383" s="31" t="s">
        <v>57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5361</v>
      </c>
      <c r="C384" s="41" t="s">
        <v>5362</v>
      </c>
      <c r="D384" s="39" t="s">
        <v>4265</v>
      </c>
      <c r="E384" s="42">
        <v>46128</v>
      </c>
      <c r="F384" s="26" t="s">
        <v>55</v>
      </c>
      <c r="G384" s="44" t="s">
        <v>56</v>
      </c>
      <c r="H384" s="26" t="s">
        <v>57</v>
      </c>
      <c r="I384" s="44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42">
        <v>46196</v>
      </c>
      <c r="O384" s="26" t="s">
        <v>55</v>
      </c>
      <c r="P384" s="44" t="s">
        <v>56</v>
      </c>
      <c r="Q384" s="26" t="s">
        <v>57</v>
      </c>
      <c r="R384" s="44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70">
        <v>46248</v>
      </c>
      <c r="X384" s="30" t="s">
        <v>55</v>
      </c>
      <c r="Y384" s="30" t="s">
        <v>56</v>
      </c>
      <c r="Z384" s="30" t="s">
        <v>57</v>
      </c>
      <c r="AA384" s="30" t="s">
        <v>58</v>
      </c>
      <c r="AB384" s="30" t="s">
        <v>56</v>
      </c>
      <c r="AC384" s="27"/>
      <c r="AD384" s="31" t="s">
        <v>57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5363</v>
      </c>
      <c r="C385" s="25" t="s">
        <v>5364</v>
      </c>
      <c r="D385" s="23" t="s">
        <v>4265</v>
      </c>
      <c r="E385" s="42">
        <v>46128</v>
      </c>
      <c r="F385" s="26" t="s">
        <v>55</v>
      </c>
      <c r="G385" s="44" t="s">
        <v>56</v>
      </c>
      <c r="H385" s="26" t="s">
        <v>57</v>
      </c>
      <c r="I385" s="44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42">
        <v>46196</v>
      </c>
      <c r="O385" s="26" t="s">
        <v>55</v>
      </c>
      <c r="P385" s="44" t="s">
        <v>56</v>
      </c>
      <c r="Q385" s="26" t="s">
        <v>57</v>
      </c>
      <c r="R385" s="44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70">
        <v>46248</v>
      </c>
      <c r="X385" s="30" t="s">
        <v>55</v>
      </c>
      <c r="Y385" s="30" t="s">
        <v>56</v>
      </c>
      <c r="Z385" s="30" t="s">
        <v>57</v>
      </c>
      <c r="AA385" s="30" t="s">
        <v>58</v>
      </c>
      <c r="AB385" s="30" t="s">
        <v>56</v>
      </c>
      <c r="AC385" s="27"/>
      <c r="AD385" s="31" t="s">
        <v>57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5365</v>
      </c>
      <c r="C386" s="41" t="s">
        <v>5366</v>
      </c>
      <c r="D386" s="39" t="s">
        <v>4265</v>
      </c>
      <c r="E386" s="42">
        <v>46128</v>
      </c>
      <c r="F386" s="26" t="s">
        <v>55</v>
      </c>
      <c r="G386" s="44" t="s">
        <v>56</v>
      </c>
      <c r="H386" s="26" t="s">
        <v>57</v>
      </c>
      <c r="I386" s="44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42">
        <v>46196</v>
      </c>
      <c r="O386" s="26" t="s">
        <v>55</v>
      </c>
      <c r="P386" s="44" t="s">
        <v>56</v>
      </c>
      <c r="Q386" s="26" t="s">
        <v>57</v>
      </c>
      <c r="R386" s="44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70">
        <v>46248</v>
      </c>
      <c r="X386" s="30" t="s">
        <v>55</v>
      </c>
      <c r="Y386" s="30" t="s">
        <v>56</v>
      </c>
      <c r="Z386" s="30" t="s">
        <v>57</v>
      </c>
      <c r="AA386" s="30" t="s">
        <v>58</v>
      </c>
      <c r="AB386" s="30" t="s">
        <v>56</v>
      </c>
      <c r="AC386" s="27"/>
      <c r="AD386" s="31" t="s">
        <v>57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5367</v>
      </c>
      <c r="C387" s="25" t="s">
        <v>5368</v>
      </c>
      <c r="D387" s="23" t="s">
        <v>4265</v>
      </c>
      <c r="E387" s="42">
        <v>46128</v>
      </c>
      <c r="F387" s="26" t="s">
        <v>55</v>
      </c>
      <c r="G387" s="44" t="s">
        <v>56</v>
      </c>
      <c r="H387" s="26" t="s">
        <v>57</v>
      </c>
      <c r="I387" s="44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42">
        <v>46196</v>
      </c>
      <c r="O387" s="26" t="s">
        <v>55</v>
      </c>
      <c r="P387" s="44" t="s">
        <v>56</v>
      </c>
      <c r="Q387" s="26" t="s">
        <v>57</v>
      </c>
      <c r="R387" s="44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70">
        <v>46248</v>
      </c>
      <c r="X387" s="30" t="s">
        <v>55</v>
      </c>
      <c r="Y387" s="30" t="s">
        <v>56</v>
      </c>
      <c r="Z387" s="30" t="s">
        <v>57</v>
      </c>
      <c r="AA387" s="30" t="s">
        <v>58</v>
      </c>
      <c r="AB387" s="30" t="s">
        <v>56</v>
      </c>
      <c r="AC387" s="27"/>
      <c r="AD387" s="31" t="s">
        <v>57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5369</v>
      </c>
      <c r="C388" s="41" t="s">
        <v>5370</v>
      </c>
      <c r="D388" s="39" t="s">
        <v>4265</v>
      </c>
      <c r="E388" s="42">
        <v>46128</v>
      </c>
      <c r="F388" s="26" t="s">
        <v>55</v>
      </c>
      <c r="G388" s="44" t="s">
        <v>56</v>
      </c>
      <c r="H388" s="26" t="s">
        <v>57</v>
      </c>
      <c r="I388" s="44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42">
        <v>46196</v>
      </c>
      <c r="O388" s="26" t="s">
        <v>55</v>
      </c>
      <c r="P388" s="44" t="s">
        <v>56</v>
      </c>
      <c r="Q388" s="26" t="s">
        <v>57</v>
      </c>
      <c r="R388" s="44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70">
        <v>46248</v>
      </c>
      <c r="X388" s="30" t="s">
        <v>55</v>
      </c>
      <c r="Y388" s="30" t="s">
        <v>56</v>
      </c>
      <c r="Z388" s="30" t="s">
        <v>57</v>
      </c>
      <c r="AA388" s="30" t="s">
        <v>58</v>
      </c>
      <c r="AB388" s="30" t="s">
        <v>56</v>
      </c>
      <c r="AC388" s="27"/>
      <c r="AD388" s="31" t="s">
        <v>57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5371</v>
      </c>
      <c r="C389" s="25" t="s">
        <v>5372</v>
      </c>
      <c r="D389" s="23" t="s">
        <v>4265</v>
      </c>
      <c r="E389" s="42">
        <v>46128</v>
      </c>
      <c r="F389" s="26" t="s">
        <v>55</v>
      </c>
      <c r="G389" s="44" t="s">
        <v>56</v>
      </c>
      <c r="H389" s="26" t="s">
        <v>57</v>
      </c>
      <c r="I389" s="44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42">
        <v>46196</v>
      </c>
      <c r="O389" s="26" t="s">
        <v>55</v>
      </c>
      <c r="P389" s="44" t="s">
        <v>56</v>
      </c>
      <c r="Q389" s="26" t="s">
        <v>57</v>
      </c>
      <c r="R389" s="44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 t="s">
        <v>57</v>
      </c>
      <c r="AA389" s="30" t="s">
        <v>58</v>
      </c>
      <c r="AB389" s="30" t="s">
        <v>56</v>
      </c>
      <c r="AC389" s="27"/>
      <c r="AD389" s="31" t="s">
        <v>57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5373</v>
      </c>
      <c r="C390" s="41" t="s">
        <v>5374</v>
      </c>
      <c r="D390" s="39" t="s">
        <v>5375</v>
      </c>
      <c r="E390" s="42">
        <v>46128</v>
      </c>
      <c r="F390" s="26" t="s">
        <v>55</v>
      </c>
      <c r="G390" s="44" t="s">
        <v>57</v>
      </c>
      <c r="H390" s="26" t="s">
        <v>57</v>
      </c>
      <c r="I390" s="44" t="s">
        <v>89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42">
        <v>46196</v>
      </c>
      <c r="O390" s="26" t="s">
        <v>55</v>
      </c>
      <c r="P390" s="44" t="s">
        <v>57</v>
      </c>
      <c r="Q390" s="26" t="s">
        <v>57</v>
      </c>
      <c r="R390" s="44" t="s">
        <v>89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70">
        <v>46248</v>
      </c>
      <c r="X390" s="30" t="s">
        <v>55</v>
      </c>
      <c r="Y390" s="30" t="s">
        <v>57</v>
      </c>
      <c r="Z390" s="30" t="s">
        <v>57</v>
      </c>
      <c r="AA390" s="30" t="s">
        <v>89</v>
      </c>
      <c r="AB390" s="30" t="s">
        <v>57</v>
      </c>
      <c r="AC390" s="27"/>
      <c r="AD390" s="31" t="s">
        <v>56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5376</v>
      </c>
      <c r="C391" s="25" t="s">
        <v>5377</v>
      </c>
      <c r="D391" s="23" t="s">
        <v>5375</v>
      </c>
      <c r="E391" s="42">
        <v>46128</v>
      </c>
      <c r="F391" s="26" t="s">
        <v>55</v>
      </c>
      <c r="G391" s="44" t="s">
        <v>57</v>
      </c>
      <c r="H391" s="26" t="s">
        <v>57</v>
      </c>
      <c r="I391" s="44" t="s">
        <v>89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42">
        <v>46196</v>
      </c>
      <c r="O391" s="26" t="s">
        <v>55</v>
      </c>
      <c r="P391" s="44" t="s">
        <v>57</v>
      </c>
      <c r="Q391" s="26" t="s">
        <v>57</v>
      </c>
      <c r="R391" s="44" t="s">
        <v>89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70">
        <v>46248</v>
      </c>
      <c r="X391" s="30" t="s">
        <v>55</v>
      </c>
      <c r="Y391" s="30" t="s">
        <v>57</v>
      </c>
      <c r="Z391" s="30" t="s">
        <v>57</v>
      </c>
      <c r="AA391" s="30" t="s">
        <v>89</v>
      </c>
      <c r="AB391" s="30" t="s">
        <v>57</v>
      </c>
      <c r="AC391" s="27"/>
      <c r="AD391" s="31" t="s">
        <v>56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5378</v>
      </c>
      <c r="C392" s="41" t="s">
        <v>5379</v>
      </c>
      <c r="D392" s="39" t="s">
        <v>5375</v>
      </c>
      <c r="E392" s="42">
        <v>46128</v>
      </c>
      <c r="F392" s="26" t="s">
        <v>55</v>
      </c>
      <c r="G392" s="44" t="s">
        <v>57</v>
      </c>
      <c r="H392" s="26" t="s">
        <v>57</v>
      </c>
      <c r="I392" s="44" t="s">
        <v>89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42">
        <v>46196</v>
      </c>
      <c r="O392" s="26" t="s">
        <v>55</v>
      </c>
      <c r="P392" s="44" t="s">
        <v>57</v>
      </c>
      <c r="Q392" s="26" t="s">
        <v>57</v>
      </c>
      <c r="R392" s="44" t="s">
        <v>89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70">
        <v>46248</v>
      </c>
      <c r="X392" s="30" t="s">
        <v>55</v>
      </c>
      <c r="Y392" s="30" t="s">
        <v>57</v>
      </c>
      <c r="Z392" s="30" t="s">
        <v>57</v>
      </c>
      <c r="AA392" s="30" t="s">
        <v>89</v>
      </c>
      <c r="AB392" s="30" t="s">
        <v>57</v>
      </c>
      <c r="AC392" s="27"/>
      <c r="AD392" s="31" t="s">
        <v>56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5380</v>
      </c>
      <c r="C393" s="25" t="s">
        <v>5381</v>
      </c>
      <c r="D393" s="23" t="s">
        <v>5375</v>
      </c>
      <c r="E393" s="42">
        <v>46128</v>
      </c>
      <c r="F393" s="26" t="s">
        <v>55</v>
      </c>
      <c r="G393" s="44" t="s">
        <v>57</v>
      </c>
      <c r="H393" s="26" t="s">
        <v>57</v>
      </c>
      <c r="I393" s="44" t="s">
        <v>89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42">
        <v>46196</v>
      </c>
      <c r="O393" s="26" t="s">
        <v>55</v>
      </c>
      <c r="P393" s="44" t="s">
        <v>57</v>
      </c>
      <c r="Q393" s="26" t="s">
        <v>57</v>
      </c>
      <c r="R393" s="44" t="s">
        <v>89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70">
        <v>46248</v>
      </c>
      <c r="X393" s="30" t="s">
        <v>55</v>
      </c>
      <c r="Y393" s="30" t="s">
        <v>57</v>
      </c>
      <c r="Z393" s="30" t="s">
        <v>57</v>
      </c>
      <c r="AA393" s="30" t="s">
        <v>89</v>
      </c>
      <c r="AB393" s="30" t="s">
        <v>57</v>
      </c>
      <c r="AC393" s="27"/>
      <c r="AD393" s="31" t="s">
        <v>56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5382</v>
      </c>
      <c r="C394" s="41" t="s">
        <v>5383</v>
      </c>
      <c r="D394" s="39" t="s">
        <v>5375</v>
      </c>
      <c r="E394" s="42">
        <v>46128</v>
      </c>
      <c r="F394" s="26" t="s">
        <v>55</v>
      </c>
      <c r="G394" s="44" t="s">
        <v>57</v>
      </c>
      <c r="H394" s="26" t="s">
        <v>57</v>
      </c>
      <c r="I394" s="44" t="s">
        <v>89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42">
        <v>46196</v>
      </c>
      <c r="O394" s="26" t="s">
        <v>55</v>
      </c>
      <c r="P394" s="44" t="s">
        <v>57</v>
      </c>
      <c r="Q394" s="26" t="s">
        <v>57</v>
      </c>
      <c r="R394" s="44" t="s">
        <v>89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70">
        <v>46248</v>
      </c>
      <c r="X394" s="30" t="s">
        <v>55</v>
      </c>
      <c r="Y394" s="30" t="s">
        <v>57</v>
      </c>
      <c r="Z394" s="30" t="s">
        <v>57</v>
      </c>
      <c r="AA394" s="30" t="s">
        <v>89</v>
      </c>
      <c r="AB394" s="30" t="s">
        <v>57</v>
      </c>
      <c r="AC394" s="27"/>
      <c r="AD394" s="31" t="s">
        <v>56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5384</v>
      </c>
      <c r="C395" s="25" t="s">
        <v>5385</v>
      </c>
      <c r="D395" s="23" t="s">
        <v>5375</v>
      </c>
      <c r="E395" s="42">
        <v>46128</v>
      </c>
      <c r="F395" s="26" t="s">
        <v>55</v>
      </c>
      <c r="G395" s="44" t="s">
        <v>57</v>
      </c>
      <c r="H395" s="26" t="s">
        <v>57</v>
      </c>
      <c r="I395" s="44" t="s">
        <v>89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42">
        <v>46196</v>
      </c>
      <c r="O395" s="26" t="s">
        <v>55</v>
      </c>
      <c r="P395" s="44" t="s">
        <v>57</v>
      </c>
      <c r="Q395" s="26" t="s">
        <v>57</v>
      </c>
      <c r="R395" s="44" t="s">
        <v>89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70">
        <v>46248</v>
      </c>
      <c r="X395" s="30" t="s">
        <v>55</v>
      </c>
      <c r="Y395" s="30" t="s">
        <v>57</v>
      </c>
      <c r="Z395" s="30" t="s">
        <v>57</v>
      </c>
      <c r="AA395" s="30" t="s">
        <v>89</v>
      </c>
      <c r="AB395" s="30" t="s">
        <v>57</v>
      </c>
      <c r="AC395" s="27"/>
      <c r="AD395" s="31" t="s">
        <v>56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5386</v>
      </c>
      <c r="C396" s="41" t="s">
        <v>5387</v>
      </c>
      <c r="D396" s="39" t="s">
        <v>5375</v>
      </c>
      <c r="E396" s="42">
        <v>46128</v>
      </c>
      <c r="F396" s="26" t="s">
        <v>55</v>
      </c>
      <c r="G396" s="44" t="s">
        <v>57</v>
      </c>
      <c r="H396" s="26" t="s">
        <v>57</v>
      </c>
      <c r="I396" s="44" t="s">
        <v>89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42">
        <v>46196</v>
      </c>
      <c r="O396" s="26" t="s">
        <v>55</v>
      </c>
      <c r="P396" s="44" t="s">
        <v>57</v>
      </c>
      <c r="Q396" s="26" t="s">
        <v>57</v>
      </c>
      <c r="R396" s="44" t="s">
        <v>89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70">
        <v>46248</v>
      </c>
      <c r="X396" s="30" t="s">
        <v>55</v>
      </c>
      <c r="Y396" s="30" t="s">
        <v>57</v>
      </c>
      <c r="Z396" s="30" t="s">
        <v>57</v>
      </c>
      <c r="AA396" s="30" t="s">
        <v>89</v>
      </c>
      <c r="AB396" s="30" t="s">
        <v>57</v>
      </c>
      <c r="AC396" s="27"/>
      <c r="AD396" s="31" t="s">
        <v>56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5388</v>
      </c>
      <c r="C397" s="25" t="s">
        <v>5389</v>
      </c>
      <c r="D397" s="23" t="s">
        <v>5375</v>
      </c>
      <c r="E397" s="42">
        <v>46128</v>
      </c>
      <c r="F397" s="26" t="s">
        <v>55</v>
      </c>
      <c r="G397" s="44" t="s">
        <v>57</v>
      </c>
      <c r="H397" s="26" t="s">
        <v>57</v>
      </c>
      <c r="I397" s="44" t="s">
        <v>89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42">
        <v>46196</v>
      </c>
      <c r="O397" s="26" t="s">
        <v>55</v>
      </c>
      <c r="P397" s="44" t="s">
        <v>57</v>
      </c>
      <c r="Q397" s="26" t="s">
        <v>57</v>
      </c>
      <c r="R397" s="44" t="s">
        <v>89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70">
        <v>46248</v>
      </c>
      <c r="X397" s="30" t="s">
        <v>55</v>
      </c>
      <c r="Y397" s="30" t="s">
        <v>57</v>
      </c>
      <c r="Z397" s="30" t="s">
        <v>57</v>
      </c>
      <c r="AA397" s="30" t="s">
        <v>89</v>
      </c>
      <c r="AB397" s="30" t="s">
        <v>57</v>
      </c>
      <c r="AC397" s="27"/>
      <c r="AD397" s="31" t="s">
        <v>56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5390</v>
      </c>
      <c r="C398" s="41" t="s">
        <v>5391</v>
      </c>
      <c r="D398" s="39" t="s">
        <v>5375</v>
      </c>
      <c r="E398" s="42">
        <v>46128</v>
      </c>
      <c r="F398" s="26" t="s">
        <v>55</v>
      </c>
      <c r="G398" s="44" t="s">
        <v>57</v>
      </c>
      <c r="H398" s="26" t="s">
        <v>57</v>
      </c>
      <c r="I398" s="44" t="s">
        <v>89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42">
        <v>46196</v>
      </c>
      <c r="O398" s="26" t="s">
        <v>55</v>
      </c>
      <c r="P398" s="44" t="s">
        <v>57</v>
      </c>
      <c r="Q398" s="26" t="s">
        <v>57</v>
      </c>
      <c r="R398" s="44" t="s">
        <v>89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70">
        <v>46248</v>
      </c>
      <c r="X398" s="30" t="s">
        <v>55</v>
      </c>
      <c r="Y398" s="30" t="s">
        <v>57</v>
      </c>
      <c r="Z398" s="30" t="s">
        <v>57</v>
      </c>
      <c r="AA398" s="30" t="s">
        <v>89</v>
      </c>
      <c r="AB398" s="30" t="s">
        <v>57</v>
      </c>
      <c r="AC398" s="27"/>
      <c r="AD398" s="31" t="s">
        <v>56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5392</v>
      </c>
      <c r="C399" s="25" t="s">
        <v>5393</v>
      </c>
      <c r="D399" s="23" t="s">
        <v>5375</v>
      </c>
      <c r="E399" s="42">
        <v>46128</v>
      </c>
      <c r="F399" s="26" t="s">
        <v>55</v>
      </c>
      <c r="G399" s="44" t="s">
        <v>57</v>
      </c>
      <c r="H399" s="26" t="s">
        <v>57</v>
      </c>
      <c r="I399" s="44" t="s">
        <v>89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42">
        <v>46196</v>
      </c>
      <c r="O399" s="26" t="s">
        <v>55</v>
      </c>
      <c r="P399" s="44" t="s">
        <v>57</v>
      </c>
      <c r="Q399" s="26" t="s">
        <v>57</v>
      </c>
      <c r="R399" s="44" t="s">
        <v>89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70">
        <v>46248</v>
      </c>
      <c r="X399" s="30" t="s">
        <v>55</v>
      </c>
      <c r="Y399" s="30" t="s">
        <v>57</v>
      </c>
      <c r="Z399" s="30" t="s">
        <v>57</v>
      </c>
      <c r="AA399" s="30" t="s">
        <v>89</v>
      </c>
      <c r="AB399" s="30" t="s">
        <v>57</v>
      </c>
      <c r="AC399" s="27"/>
      <c r="AD399" s="31" t="s">
        <v>56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5394</v>
      </c>
      <c r="C400" s="41" t="s">
        <v>5395</v>
      </c>
      <c r="D400" s="39" t="s">
        <v>5375</v>
      </c>
      <c r="E400" s="42">
        <v>46128</v>
      </c>
      <c r="F400" s="26" t="s">
        <v>55</v>
      </c>
      <c r="G400" s="44" t="s">
        <v>57</v>
      </c>
      <c r="H400" s="26" t="s">
        <v>57</v>
      </c>
      <c r="I400" s="44" t="s">
        <v>89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42">
        <v>46196</v>
      </c>
      <c r="O400" s="26" t="s">
        <v>55</v>
      </c>
      <c r="P400" s="44" t="s">
        <v>57</v>
      </c>
      <c r="Q400" s="26" t="s">
        <v>57</v>
      </c>
      <c r="R400" s="44" t="s">
        <v>89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70">
        <v>46248</v>
      </c>
      <c r="X400" s="30" t="s">
        <v>55</v>
      </c>
      <c r="Y400" s="30" t="s">
        <v>57</v>
      </c>
      <c r="Z400" s="30" t="s">
        <v>57</v>
      </c>
      <c r="AA400" s="30" t="s">
        <v>89</v>
      </c>
      <c r="AB400" s="30" t="s">
        <v>57</v>
      </c>
      <c r="AC400" s="27"/>
      <c r="AD400" s="31" t="s">
        <v>56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5396</v>
      </c>
      <c r="C401" s="25" t="s">
        <v>5397</v>
      </c>
      <c r="D401" s="23" t="s">
        <v>5375</v>
      </c>
      <c r="E401" s="42">
        <v>46128</v>
      </c>
      <c r="F401" s="26" t="s">
        <v>55</v>
      </c>
      <c r="G401" s="44" t="s">
        <v>57</v>
      </c>
      <c r="H401" s="26" t="s">
        <v>57</v>
      </c>
      <c r="I401" s="44" t="s">
        <v>89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42">
        <v>46196</v>
      </c>
      <c r="O401" s="26" t="s">
        <v>55</v>
      </c>
      <c r="P401" s="44" t="s">
        <v>57</v>
      </c>
      <c r="Q401" s="26" t="s">
        <v>57</v>
      </c>
      <c r="R401" s="44" t="s">
        <v>89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70">
        <v>46248</v>
      </c>
      <c r="X401" s="30" t="s">
        <v>55</v>
      </c>
      <c r="Y401" s="30" t="s">
        <v>57</v>
      </c>
      <c r="Z401" s="30" t="s">
        <v>57</v>
      </c>
      <c r="AA401" s="30" t="s">
        <v>89</v>
      </c>
      <c r="AB401" s="30" t="s">
        <v>57</v>
      </c>
      <c r="AC401" s="27"/>
      <c r="AD401" s="31" t="s">
        <v>56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5398</v>
      </c>
      <c r="C402" s="41" t="s">
        <v>5399</v>
      </c>
      <c r="D402" s="39" t="s">
        <v>5375</v>
      </c>
      <c r="E402" s="42">
        <v>46128</v>
      </c>
      <c r="F402" s="26" t="s">
        <v>55</v>
      </c>
      <c r="G402" s="44" t="s">
        <v>57</v>
      </c>
      <c r="H402" s="26" t="s">
        <v>57</v>
      </c>
      <c r="I402" s="44" t="s">
        <v>89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42">
        <v>46196</v>
      </c>
      <c r="O402" s="26" t="s">
        <v>55</v>
      </c>
      <c r="P402" s="44" t="s">
        <v>57</v>
      </c>
      <c r="Q402" s="26" t="s">
        <v>57</v>
      </c>
      <c r="R402" s="44" t="s">
        <v>89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70">
        <v>46248</v>
      </c>
      <c r="X402" s="30" t="s">
        <v>55</v>
      </c>
      <c r="Y402" s="30" t="s">
        <v>57</v>
      </c>
      <c r="Z402" s="30" t="s">
        <v>57</v>
      </c>
      <c r="AA402" s="30" t="s">
        <v>89</v>
      </c>
      <c r="AB402" s="30" t="s">
        <v>57</v>
      </c>
      <c r="AC402" s="27"/>
      <c r="AD402" s="31" t="s">
        <v>56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5400</v>
      </c>
      <c r="C403" s="25" t="s">
        <v>5401</v>
      </c>
      <c r="D403" s="23" t="s">
        <v>5375</v>
      </c>
      <c r="E403" s="42">
        <v>46128</v>
      </c>
      <c r="F403" s="26" t="s">
        <v>55</v>
      </c>
      <c r="G403" s="44" t="s">
        <v>57</v>
      </c>
      <c r="H403" s="26" t="s">
        <v>57</v>
      </c>
      <c r="I403" s="44" t="s">
        <v>89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42">
        <v>46196</v>
      </c>
      <c r="O403" s="26" t="s">
        <v>55</v>
      </c>
      <c r="P403" s="44" t="s">
        <v>57</v>
      </c>
      <c r="Q403" s="26" t="s">
        <v>57</v>
      </c>
      <c r="R403" s="44" t="s">
        <v>89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70">
        <v>46248</v>
      </c>
      <c r="X403" s="30" t="s">
        <v>55</v>
      </c>
      <c r="Y403" s="30" t="s">
        <v>57</v>
      </c>
      <c r="Z403" s="30" t="s">
        <v>57</v>
      </c>
      <c r="AA403" s="30" t="s">
        <v>89</v>
      </c>
      <c r="AB403" s="30" t="s">
        <v>57</v>
      </c>
      <c r="AC403" s="27"/>
      <c r="AD403" s="31" t="s">
        <v>56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5402</v>
      </c>
      <c r="C404" s="41" t="s">
        <v>5403</v>
      </c>
      <c r="D404" s="39" t="s">
        <v>5375</v>
      </c>
      <c r="E404" s="42">
        <v>46128</v>
      </c>
      <c r="F404" s="26" t="s">
        <v>55</v>
      </c>
      <c r="G404" s="44" t="s">
        <v>57</v>
      </c>
      <c r="H404" s="26" t="s">
        <v>57</v>
      </c>
      <c r="I404" s="44" t="s">
        <v>89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42">
        <v>46196</v>
      </c>
      <c r="O404" s="26" t="s">
        <v>55</v>
      </c>
      <c r="P404" s="44" t="s">
        <v>57</v>
      </c>
      <c r="Q404" s="26" t="s">
        <v>57</v>
      </c>
      <c r="R404" s="44" t="s">
        <v>89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70">
        <v>46248</v>
      </c>
      <c r="X404" s="30" t="s">
        <v>55</v>
      </c>
      <c r="Y404" s="30" t="s">
        <v>57</v>
      </c>
      <c r="Z404" s="30" t="s">
        <v>57</v>
      </c>
      <c r="AA404" s="30" t="s">
        <v>89</v>
      </c>
      <c r="AB404" s="30" t="s">
        <v>57</v>
      </c>
      <c r="AC404" s="27"/>
      <c r="AD404" s="31" t="s">
        <v>56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5404</v>
      </c>
      <c r="C405" s="25" t="s">
        <v>5405</v>
      </c>
      <c r="D405" s="23" t="s">
        <v>5375</v>
      </c>
      <c r="E405" s="42">
        <v>46128</v>
      </c>
      <c r="F405" s="26" t="s">
        <v>55</v>
      </c>
      <c r="G405" s="44" t="s">
        <v>57</v>
      </c>
      <c r="H405" s="26" t="s">
        <v>57</v>
      </c>
      <c r="I405" s="44" t="s">
        <v>89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42">
        <v>46196</v>
      </c>
      <c r="O405" s="26" t="s">
        <v>55</v>
      </c>
      <c r="P405" s="44" t="s">
        <v>57</v>
      </c>
      <c r="Q405" s="26" t="s">
        <v>57</v>
      </c>
      <c r="R405" s="44" t="s">
        <v>89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70">
        <v>46248</v>
      </c>
      <c r="X405" s="30" t="s">
        <v>55</v>
      </c>
      <c r="Y405" s="30" t="s">
        <v>57</v>
      </c>
      <c r="Z405" s="30" t="s">
        <v>57</v>
      </c>
      <c r="AA405" s="30" t="s">
        <v>89</v>
      </c>
      <c r="AB405" s="30" t="s">
        <v>57</v>
      </c>
      <c r="AC405" s="27"/>
      <c r="AD405" s="31" t="s">
        <v>56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5406</v>
      </c>
      <c r="C406" s="41" t="s">
        <v>5407</v>
      </c>
      <c r="D406" s="39" t="s">
        <v>5375</v>
      </c>
      <c r="E406" s="42">
        <v>46128</v>
      </c>
      <c r="F406" s="26" t="s">
        <v>55</v>
      </c>
      <c r="G406" s="44" t="s">
        <v>57</v>
      </c>
      <c r="H406" s="26" t="s">
        <v>57</v>
      </c>
      <c r="I406" s="44" t="s">
        <v>89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42">
        <v>46196</v>
      </c>
      <c r="O406" s="26" t="s">
        <v>55</v>
      </c>
      <c r="P406" s="44" t="s">
        <v>57</v>
      </c>
      <c r="Q406" s="26" t="s">
        <v>57</v>
      </c>
      <c r="R406" s="44" t="s">
        <v>89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70">
        <v>46248</v>
      </c>
      <c r="X406" s="30" t="s">
        <v>55</v>
      </c>
      <c r="Y406" s="30" t="s">
        <v>57</v>
      </c>
      <c r="Z406" s="30" t="s">
        <v>57</v>
      </c>
      <c r="AA406" s="30" t="s">
        <v>89</v>
      </c>
      <c r="AB406" s="30" t="s">
        <v>57</v>
      </c>
      <c r="AC406" s="27"/>
      <c r="AD406" s="31" t="s">
        <v>56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5408</v>
      </c>
      <c r="C407" s="25" t="s">
        <v>5409</v>
      </c>
      <c r="D407" s="23" t="s">
        <v>5375</v>
      </c>
      <c r="E407" s="42">
        <v>46128</v>
      </c>
      <c r="F407" s="26" t="s">
        <v>55</v>
      </c>
      <c r="G407" s="44" t="s">
        <v>57</v>
      </c>
      <c r="H407" s="26" t="s">
        <v>57</v>
      </c>
      <c r="I407" s="44" t="s">
        <v>89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42">
        <v>46196</v>
      </c>
      <c r="O407" s="26" t="s">
        <v>55</v>
      </c>
      <c r="P407" s="44" t="s">
        <v>57</v>
      </c>
      <c r="Q407" s="26" t="s">
        <v>57</v>
      </c>
      <c r="R407" s="44" t="s">
        <v>89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70">
        <v>46248</v>
      </c>
      <c r="X407" s="30" t="s">
        <v>55</v>
      </c>
      <c r="Y407" s="30" t="s">
        <v>57</v>
      </c>
      <c r="Z407" s="30" t="s">
        <v>57</v>
      </c>
      <c r="AA407" s="30" t="s">
        <v>89</v>
      </c>
      <c r="AB407" s="30" t="s">
        <v>57</v>
      </c>
      <c r="AC407" s="27"/>
      <c r="AD407" s="31" t="s">
        <v>56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5410</v>
      </c>
      <c r="C408" s="41" t="s">
        <v>5411</v>
      </c>
      <c r="D408" s="39" t="s">
        <v>5375</v>
      </c>
      <c r="E408" s="42">
        <v>46128</v>
      </c>
      <c r="F408" s="26" t="s">
        <v>55</v>
      </c>
      <c r="G408" s="44" t="s">
        <v>57</v>
      </c>
      <c r="H408" s="26" t="s">
        <v>57</v>
      </c>
      <c r="I408" s="44" t="s">
        <v>89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42">
        <v>46196</v>
      </c>
      <c r="O408" s="26" t="s">
        <v>55</v>
      </c>
      <c r="P408" s="44" t="s">
        <v>57</v>
      </c>
      <c r="Q408" s="26" t="s">
        <v>57</v>
      </c>
      <c r="R408" s="44" t="s">
        <v>89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70">
        <v>46248</v>
      </c>
      <c r="X408" s="30" t="s">
        <v>55</v>
      </c>
      <c r="Y408" s="30" t="s">
        <v>57</v>
      </c>
      <c r="Z408" s="30" t="s">
        <v>57</v>
      </c>
      <c r="AA408" s="30" t="s">
        <v>89</v>
      </c>
      <c r="AB408" s="30" t="s">
        <v>57</v>
      </c>
      <c r="AC408" s="27"/>
      <c r="AD408" s="31" t="s">
        <v>56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5412</v>
      </c>
      <c r="C409" s="25" t="s">
        <v>5413</v>
      </c>
      <c r="D409" s="23" t="s">
        <v>5375</v>
      </c>
      <c r="E409" s="42">
        <v>46128</v>
      </c>
      <c r="F409" s="26" t="s">
        <v>55</v>
      </c>
      <c r="G409" s="44" t="s">
        <v>57</v>
      </c>
      <c r="H409" s="26" t="s">
        <v>57</v>
      </c>
      <c r="I409" s="44" t="s">
        <v>89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42">
        <v>46196</v>
      </c>
      <c r="O409" s="26" t="s">
        <v>55</v>
      </c>
      <c r="P409" s="44" t="s">
        <v>57</v>
      </c>
      <c r="Q409" s="26" t="s">
        <v>57</v>
      </c>
      <c r="R409" s="44" t="s">
        <v>89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70">
        <v>46248</v>
      </c>
      <c r="X409" s="30" t="s">
        <v>55</v>
      </c>
      <c r="Y409" s="30" t="s">
        <v>57</v>
      </c>
      <c r="Z409" s="30" t="s">
        <v>57</v>
      </c>
      <c r="AA409" s="30" t="s">
        <v>89</v>
      </c>
      <c r="AB409" s="30" t="s">
        <v>57</v>
      </c>
      <c r="AC409" s="27"/>
      <c r="AD409" s="31" t="s">
        <v>56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5414</v>
      </c>
      <c r="C410" s="41" t="s">
        <v>5415</v>
      </c>
      <c r="D410" s="39" t="s">
        <v>5375</v>
      </c>
      <c r="E410" s="42">
        <v>46128</v>
      </c>
      <c r="F410" s="26" t="s">
        <v>55</v>
      </c>
      <c r="G410" s="44" t="s">
        <v>57</v>
      </c>
      <c r="H410" s="26" t="s">
        <v>57</v>
      </c>
      <c r="I410" s="44" t="s">
        <v>89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42">
        <v>46196</v>
      </c>
      <c r="O410" s="26" t="s">
        <v>55</v>
      </c>
      <c r="P410" s="44" t="s">
        <v>57</v>
      </c>
      <c r="Q410" s="26" t="s">
        <v>57</v>
      </c>
      <c r="R410" s="44" t="s">
        <v>89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70">
        <v>46248</v>
      </c>
      <c r="X410" s="30" t="s">
        <v>55</v>
      </c>
      <c r="Y410" s="30" t="s">
        <v>57</v>
      </c>
      <c r="Z410" s="30" t="s">
        <v>57</v>
      </c>
      <c r="AA410" s="30" t="s">
        <v>89</v>
      </c>
      <c r="AB410" s="30" t="s">
        <v>57</v>
      </c>
      <c r="AC410" s="27"/>
      <c r="AD410" s="31" t="s">
        <v>56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5416</v>
      </c>
      <c r="C411" s="25" t="s">
        <v>5417</v>
      </c>
      <c r="D411" s="23" t="s">
        <v>5375</v>
      </c>
      <c r="E411" s="42">
        <v>46128</v>
      </c>
      <c r="F411" s="26" t="s">
        <v>55</v>
      </c>
      <c r="G411" s="44" t="s">
        <v>57</v>
      </c>
      <c r="H411" s="26" t="s">
        <v>57</v>
      </c>
      <c r="I411" s="44" t="s">
        <v>89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42">
        <v>46196</v>
      </c>
      <c r="O411" s="26" t="s">
        <v>55</v>
      </c>
      <c r="P411" s="44" t="s">
        <v>57</v>
      </c>
      <c r="Q411" s="26" t="s">
        <v>57</v>
      </c>
      <c r="R411" s="44" t="s">
        <v>89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70">
        <v>46248</v>
      </c>
      <c r="X411" s="30" t="s">
        <v>55</v>
      </c>
      <c r="Y411" s="30" t="s">
        <v>57</v>
      </c>
      <c r="Z411" s="30" t="s">
        <v>57</v>
      </c>
      <c r="AA411" s="30" t="s">
        <v>89</v>
      </c>
      <c r="AB411" s="30" t="s">
        <v>57</v>
      </c>
      <c r="AC411" s="27"/>
      <c r="AD411" s="31" t="s">
        <v>56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5418</v>
      </c>
      <c r="C412" s="41" t="s">
        <v>5419</v>
      </c>
      <c r="D412" s="39" t="s">
        <v>5375</v>
      </c>
      <c r="E412" s="42">
        <v>46128</v>
      </c>
      <c r="F412" s="26" t="s">
        <v>55</v>
      </c>
      <c r="G412" s="44" t="s">
        <v>57</v>
      </c>
      <c r="H412" s="26" t="s">
        <v>57</v>
      </c>
      <c r="I412" s="44" t="s">
        <v>89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42">
        <v>46196</v>
      </c>
      <c r="O412" s="26" t="s">
        <v>55</v>
      </c>
      <c r="P412" s="44" t="s">
        <v>57</v>
      </c>
      <c r="Q412" s="26" t="s">
        <v>57</v>
      </c>
      <c r="R412" s="44" t="s">
        <v>89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70">
        <v>46248</v>
      </c>
      <c r="X412" s="30" t="s">
        <v>55</v>
      </c>
      <c r="Y412" s="30" t="s">
        <v>57</v>
      </c>
      <c r="Z412" s="30" t="s">
        <v>57</v>
      </c>
      <c r="AA412" s="30" t="s">
        <v>89</v>
      </c>
      <c r="AB412" s="30" t="s">
        <v>57</v>
      </c>
      <c r="AC412" s="27"/>
      <c r="AD412" s="31" t="s">
        <v>56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5420</v>
      </c>
      <c r="C413" s="25" t="s">
        <v>5421</v>
      </c>
      <c r="D413" s="23" t="s">
        <v>5375</v>
      </c>
      <c r="E413" s="42">
        <v>46128</v>
      </c>
      <c r="F413" s="26" t="s">
        <v>55</v>
      </c>
      <c r="G413" s="44" t="s">
        <v>57</v>
      </c>
      <c r="H413" s="26" t="s">
        <v>57</v>
      </c>
      <c r="I413" s="44" t="s">
        <v>89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42">
        <v>46196</v>
      </c>
      <c r="O413" s="26" t="s">
        <v>55</v>
      </c>
      <c r="P413" s="44" t="s">
        <v>57</v>
      </c>
      <c r="Q413" s="26" t="s">
        <v>57</v>
      </c>
      <c r="R413" s="44" t="s">
        <v>89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70">
        <v>46248</v>
      </c>
      <c r="X413" s="30" t="s">
        <v>55</v>
      </c>
      <c r="Y413" s="30" t="s">
        <v>57</v>
      </c>
      <c r="Z413" s="30" t="s">
        <v>57</v>
      </c>
      <c r="AA413" s="30" t="s">
        <v>89</v>
      </c>
      <c r="AB413" s="30" t="s">
        <v>57</v>
      </c>
      <c r="AC413" s="27"/>
      <c r="AD413" s="31" t="s">
        <v>56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5422</v>
      </c>
      <c r="C414" s="41" t="s">
        <v>5423</v>
      </c>
      <c r="D414" s="39" t="s">
        <v>5375</v>
      </c>
      <c r="E414" s="42">
        <v>46128</v>
      </c>
      <c r="F414" s="26" t="s">
        <v>55</v>
      </c>
      <c r="G414" s="44" t="s">
        <v>57</v>
      </c>
      <c r="H414" s="26" t="s">
        <v>57</v>
      </c>
      <c r="I414" s="44" t="s">
        <v>89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42">
        <v>46196</v>
      </c>
      <c r="O414" s="26" t="s">
        <v>55</v>
      </c>
      <c r="P414" s="44" t="s">
        <v>57</v>
      </c>
      <c r="Q414" s="26" t="s">
        <v>57</v>
      </c>
      <c r="R414" s="44" t="s">
        <v>89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70">
        <v>46248</v>
      </c>
      <c r="X414" s="30" t="s">
        <v>55</v>
      </c>
      <c r="Y414" s="30" t="s">
        <v>57</v>
      </c>
      <c r="Z414" s="30" t="s">
        <v>57</v>
      </c>
      <c r="AA414" s="30" t="s">
        <v>89</v>
      </c>
      <c r="AB414" s="30" t="s">
        <v>57</v>
      </c>
      <c r="AC414" s="27"/>
      <c r="AD414" s="31" t="s">
        <v>56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5424</v>
      </c>
      <c r="C415" s="25" t="s">
        <v>5425</v>
      </c>
      <c r="D415" s="23" t="s">
        <v>5375</v>
      </c>
      <c r="E415" s="42">
        <v>46128</v>
      </c>
      <c r="F415" s="26" t="s">
        <v>55</v>
      </c>
      <c r="G415" s="44" t="s">
        <v>57</v>
      </c>
      <c r="H415" s="26" t="s">
        <v>57</v>
      </c>
      <c r="I415" s="44" t="s">
        <v>89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42">
        <v>46196</v>
      </c>
      <c r="O415" s="26" t="s">
        <v>55</v>
      </c>
      <c r="P415" s="44" t="s">
        <v>57</v>
      </c>
      <c r="Q415" s="26" t="s">
        <v>57</v>
      </c>
      <c r="R415" s="44" t="s">
        <v>89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70">
        <v>46248</v>
      </c>
      <c r="X415" s="30" t="s">
        <v>55</v>
      </c>
      <c r="Y415" s="30" t="s">
        <v>57</v>
      </c>
      <c r="Z415" s="30" t="s">
        <v>57</v>
      </c>
      <c r="AA415" s="30" t="s">
        <v>89</v>
      </c>
      <c r="AB415" s="30" t="s">
        <v>57</v>
      </c>
      <c r="AC415" s="27"/>
      <c r="AD415" s="31" t="s">
        <v>56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5426</v>
      </c>
      <c r="C416" s="41" t="s">
        <v>5427</v>
      </c>
      <c r="D416" s="39" t="s">
        <v>5375</v>
      </c>
      <c r="E416" s="42">
        <v>46128</v>
      </c>
      <c r="F416" s="26" t="s">
        <v>55</v>
      </c>
      <c r="G416" s="44" t="s">
        <v>57</v>
      </c>
      <c r="H416" s="26" t="s">
        <v>57</v>
      </c>
      <c r="I416" s="44" t="s">
        <v>89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42">
        <v>46196</v>
      </c>
      <c r="O416" s="26" t="s">
        <v>55</v>
      </c>
      <c r="P416" s="44" t="s">
        <v>57</v>
      </c>
      <c r="Q416" s="26" t="s">
        <v>57</v>
      </c>
      <c r="R416" s="44" t="s">
        <v>89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70">
        <v>46248</v>
      </c>
      <c r="X416" s="30" t="s">
        <v>55</v>
      </c>
      <c r="Y416" s="30" t="s">
        <v>57</v>
      </c>
      <c r="Z416" s="30" t="s">
        <v>57</v>
      </c>
      <c r="AA416" s="30" t="s">
        <v>89</v>
      </c>
      <c r="AB416" s="30" t="s">
        <v>57</v>
      </c>
      <c r="AC416" s="27"/>
      <c r="AD416" s="31" t="s">
        <v>56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5428</v>
      </c>
      <c r="C417" s="25" t="s">
        <v>5429</v>
      </c>
      <c r="D417" s="23" t="s">
        <v>5375</v>
      </c>
      <c r="E417" s="42">
        <v>46128</v>
      </c>
      <c r="F417" s="26" t="s">
        <v>55</v>
      </c>
      <c r="G417" s="44" t="s">
        <v>57</v>
      </c>
      <c r="H417" s="26" t="s">
        <v>57</v>
      </c>
      <c r="I417" s="44" t="s">
        <v>89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42">
        <v>46196</v>
      </c>
      <c r="O417" s="26" t="s">
        <v>55</v>
      </c>
      <c r="P417" s="44" t="s">
        <v>57</v>
      </c>
      <c r="Q417" s="26" t="s">
        <v>57</v>
      </c>
      <c r="R417" s="44" t="s">
        <v>89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70">
        <v>46248</v>
      </c>
      <c r="X417" s="30" t="s">
        <v>55</v>
      </c>
      <c r="Y417" s="30" t="s">
        <v>57</v>
      </c>
      <c r="Z417" s="30" t="s">
        <v>57</v>
      </c>
      <c r="AA417" s="30" t="s">
        <v>89</v>
      </c>
      <c r="AB417" s="30" t="s">
        <v>57</v>
      </c>
      <c r="AC417" s="27"/>
      <c r="AD417" s="31" t="s">
        <v>56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5430</v>
      </c>
      <c r="C418" s="41" t="s">
        <v>5431</v>
      </c>
      <c r="D418" s="39" t="s">
        <v>5375</v>
      </c>
      <c r="E418" s="42">
        <v>46128</v>
      </c>
      <c r="F418" s="26" t="s">
        <v>55</v>
      </c>
      <c r="G418" s="44" t="s">
        <v>57</v>
      </c>
      <c r="H418" s="26" t="s">
        <v>57</v>
      </c>
      <c r="I418" s="44" t="s">
        <v>89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42">
        <v>46196</v>
      </c>
      <c r="O418" s="26" t="s">
        <v>55</v>
      </c>
      <c r="P418" s="44" t="s">
        <v>57</v>
      </c>
      <c r="Q418" s="26" t="s">
        <v>57</v>
      </c>
      <c r="R418" s="44" t="s">
        <v>89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70">
        <v>46248</v>
      </c>
      <c r="X418" s="30" t="s">
        <v>55</v>
      </c>
      <c r="Y418" s="30" t="s">
        <v>57</v>
      </c>
      <c r="Z418" s="30" t="s">
        <v>57</v>
      </c>
      <c r="AA418" s="30" t="s">
        <v>89</v>
      </c>
      <c r="AB418" s="30" t="s">
        <v>57</v>
      </c>
      <c r="AC418" s="27"/>
      <c r="AD418" s="31" t="s">
        <v>56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5432</v>
      </c>
      <c r="C419" s="25" t="s">
        <v>5433</v>
      </c>
      <c r="D419" s="23" t="s">
        <v>5375</v>
      </c>
      <c r="E419" s="42">
        <v>46128</v>
      </c>
      <c r="F419" s="26" t="s">
        <v>55</v>
      </c>
      <c r="G419" s="44" t="s">
        <v>57</v>
      </c>
      <c r="H419" s="26" t="s">
        <v>57</v>
      </c>
      <c r="I419" s="44" t="s">
        <v>89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42">
        <v>46196</v>
      </c>
      <c r="O419" s="26" t="s">
        <v>55</v>
      </c>
      <c r="P419" s="44" t="s">
        <v>57</v>
      </c>
      <c r="Q419" s="26" t="s">
        <v>57</v>
      </c>
      <c r="R419" s="44" t="s">
        <v>89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70">
        <v>46248</v>
      </c>
      <c r="X419" s="30" t="s">
        <v>55</v>
      </c>
      <c r="Y419" s="30" t="s">
        <v>57</v>
      </c>
      <c r="Z419" s="30" t="s">
        <v>57</v>
      </c>
      <c r="AA419" s="30" t="s">
        <v>89</v>
      </c>
      <c r="AB419" s="30" t="s">
        <v>57</v>
      </c>
      <c r="AC419" s="27"/>
      <c r="AD419" s="31" t="s">
        <v>56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5434</v>
      </c>
      <c r="C420" s="41" t="s">
        <v>5435</v>
      </c>
      <c r="D420" s="39" t="s">
        <v>5375</v>
      </c>
      <c r="E420" s="42">
        <v>46128</v>
      </c>
      <c r="F420" s="26" t="s">
        <v>55</v>
      </c>
      <c r="G420" s="44" t="s">
        <v>57</v>
      </c>
      <c r="H420" s="26" t="s">
        <v>57</v>
      </c>
      <c r="I420" s="44" t="s">
        <v>89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42">
        <v>46196</v>
      </c>
      <c r="O420" s="26" t="s">
        <v>55</v>
      </c>
      <c r="P420" s="44" t="s">
        <v>57</v>
      </c>
      <c r="Q420" s="26" t="s">
        <v>57</v>
      </c>
      <c r="R420" s="44" t="s">
        <v>89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70">
        <v>46248</v>
      </c>
      <c r="X420" s="30" t="s">
        <v>55</v>
      </c>
      <c r="Y420" s="30" t="s">
        <v>57</v>
      </c>
      <c r="Z420" s="30" t="s">
        <v>57</v>
      </c>
      <c r="AA420" s="30" t="s">
        <v>89</v>
      </c>
      <c r="AB420" s="30" t="s">
        <v>57</v>
      </c>
      <c r="AC420" s="27"/>
      <c r="AD420" s="31" t="s">
        <v>56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5436</v>
      </c>
      <c r="C421" s="25" t="s">
        <v>5437</v>
      </c>
      <c r="D421" s="23" t="s">
        <v>747</v>
      </c>
      <c r="E421" s="42">
        <v>46128</v>
      </c>
      <c r="F421" s="26" t="s">
        <v>55</v>
      </c>
      <c r="G421" s="44" t="s">
        <v>56</v>
      </c>
      <c r="H421" s="26" t="s">
        <v>57</v>
      </c>
      <c r="I421" s="44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42">
        <v>46196</v>
      </c>
      <c r="O421" s="26" t="s">
        <v>55</v>
      </c>
      <c r="P421" s="44" t="s">
        <v>56</v>
      </c>
      <c r="Q421" s="26" t="s">
        <v>57</v>
      </c>
      <c r="R421" s="44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70">
        <v>46248</v>
      </c>
      <c r="X421" s="30" t="s">
        <v>55</v>
      </c>
      <c r="Y421" s="30" t="s">
        <v>56</v>
      </c>
      <c r="Z421" s="30" t="s">
        <v>57</v>
      </c>
      <c r="AA421" s="30" t="s">
        <v>58</v>
      </c>
      <c r="AB421" s="30" t="s">
        <v>56</v>
      </c>
      <c r="AC421" s="27"/>
      <c r="AD421" s="31" t="s">
        <v>57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5438</v>
      </c>
      <c r="C422" s="41" t="s">
        <v>5439</v>
      </c>
      <c r="D422" s="39" t="s">
        <v>747</v>
      </c>
      <c r="E422" s="42">
        <v>46128</v>
      </c>
      <c r="F422" s="26" t="s">
        <v>55</v>
      </c>
      <c r="G422" s="44" t="s">
        <v>56</v>
      </c>
      <c r="H422" s="26" t="s">
        <v>57</v>
      </c>
      <c r="I422" s="44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42">
        <v>46196</v>
      </c>
      <c r="O422" s="26" t="s">
        <v>55</v>
      </c>
      <c r="P422" s="44" t="s">
        <v>56</v>
      </c>
      <c r="Q422" s="26" t="s">
        <v>57</v>
      </c>
      <c r="R422" s="44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70">
        <v>46248</v>
      </c>
      <c r="X422" s="30" t="s">
        <v>60</v>
      </c>
      <c r="Y422" s="30" t="s">
        <v>57</v>
      </c>
      <c r="Z422" s="30" t="s">
        <v>56</v>
      </c>
      <c r="AA422" s="30" t="s">
        <v>61</v>
      </c>
      <c r="AB422" s="30" t="s">
        <v>57</v>
      </c>
      <c r="AC422" s="27"/>
      <c r="AD422" s="31" t="s">
        <v>57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5440</v>
      </c>
      <c r="C423" s="25" t="s">
        <v>5441</v>
      </c>
      <c r="D423" s="23" t="s">
        <v>747</v>
      </c>
      <c r="E423" s="42">
        <v>46128</v>
      </c>
      <c r="F423" s="26" t="s">
        <v>55</v>
      </c>
      <c r="G423" s="44" t="s">
        <v>56</v>
      </c>
      <c r="H423" s="26" t="s">
        <v>57</v>
      </c>
      <c r="I423" s="44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42">
        <v>46196</v>
      </c>
      <c r="O423" s="26" t="s">
        <v>55</v>
      </c>
      <c r="P423" s="44" t="s">
        <v>56</v>
      </c>
      <c r="Q423" s="26" t="s">
        <v>57</v>
      </c>
      <c r="R423" s="44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70">
        <v>46248</v>
      </c>
      <c r="X423" s="30" t="s">
        <v>55</v>
      </c>
      <c r="Y423" s="30" t="s">
        <v>56</v>
      </c>
      <c r="Z423" s="30" t="s">
        <v>57</v>
      </c>
      <c r="AA423" s="30" t="s">
        <v>58</v>
      </c>
      <c r="AB423" s="30" t="s">
        <v>56</v>
      </c>
      <c r="AC423" s="27"/>
      <c r="AD423" s="31" t="s">
        <v>57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5442</v>
      </c>
      <c r="C424" s="41" t="s">
        <v>5443</v>
      </c>
      <c r="D424" s="39" t="s">
        <v>747</v>
      </c>
      <c r="E424" s="42">
        <v>46128</v>
      </c>
      <c r="F424" s="26" t="s">
        <v>55</v>
      </c>
      <c r="G424" s="44" t="s">
        <v>56</v>
      </c>
      <c r="H424" s="26" t="s">
        <v>57</v>
      </c>
      <c r="I424" s="44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42">
        <v>46196</v>
      </c>
      <c r="O424" s="26" t="s">
        <v>55</v>
      </c>
      <c r="P424" s="44" t="s">
        <v>56</v>
      </c>
      <c r="Q424" s="26" t="s">
        <v>57</v>
      </c>
      <c r="R424" s="44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70">
        <v>46248</v>
      </c>
      <c r="X424" s="30" t="s">
        <v>55</v>
      </c>
      <c r="Y424" s="30" t="s">
        <v>56</v>
      </c>
      <c r="Z424" s="30" t="s">
        <v>57</v>
      </c>
      <c r="AA424" s="30" t="s">
        <v>58</v>
      </c>
      <c r="AB424" s="30" t="s">
        <v>56</v>
      </c>
      <c r="AC424" s="27"/>
      <c r="AD424" s="31" t="s">
        <v>57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5444</v>
      </c>
      <c r="C425" s="25" t="s">
        <v>5445</v>
      </c>
      <c r="D425" s="23" t="s">
        <v>747</v>
      </c>
      <c r="E425" s="42">
        <v>46128</v>
      </c>
      <c r="F425" s="26" t="s">
        <v>55</v>
      </c>
      <c r="G425" s="44" t="s">
        <v>832</v>
      </c>
      <c r="H425" s="26" t="s">
        <v>57</v>
      </c>
      <c r="I425" s="44" t="s">
        <v>832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42">
        <v>46196</v>
      </c>
      <c r="O425" s="26" t="s">
        <v>55</v>
      </c>
      <c r="P425" s="44" t="s">
        <v>832</v>
      </c>
      <c r="Q425" s="26" t="s">
        <v>57</v>
      </c>
      <c r="R425" s="44" t="s">
        <v>832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70">
        <v>46248</v>
      </c>
      <c r="X425" s="30" t="s">
        <v>55</v>
      </c>
      <c r="Y425" s="30" t="s">
        <v>832</v>
      </c>
      <c r="Z425" s="30" t="s">
        <v>57</v>
      </c>
      <c r="AA425" s="30" t="s">
        <v>832</v>
      </c>
      <c r="AB425" s="30" t="s">
        <v>56</v>
      </c>
      <c r="AC425" s="27"/>
      <c r="AD425" s="31" t="s">
        <v>57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5446</v>
      </c>
      <c r="C426" s="41" t="s">
        <v>5447</v>
      </c>
      <c r="D426" s="39" t="s">
        <v>747</v>
      </c>
      <c r="E426" s="42">
        <v>46128</v>
      </c>
      <c r="F426" s="26" t="s">
        <v>55</v>
      </c>
      <c r="G426" s="44" t="s">
        <v>832</v>
      </c>
      <c r="H426" s="26" t="s">
        <v>57</v>
      </c>
      <c r="I426" s="44" t="s">
        <v>832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42">
        <v>46196</v>
      </c>
      <c r="O426" s="26" t="s">
        <v>55</v>
      </c>
      <c r="P426" s="44" t="s">
        <v>832</v>
      </c>
      <c r="Q426" s="26" t="s">
        <v>57</v>
      </c>
      <c r="R426" s="44" t="s">
        <v>832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70">
        <v>46248</v>
      </c>
      <c r="X426" s="30" t="s">
        <v>55</v>
      </c>
      <c r="Y426" s="30" t="s">
        <v>832</v>
      </c>
      <c r="Z426" s="30" t="s">
        <v>57</v>
      </c>
      <c r="AA426" s="30" t="s">
        <v>832</v>
      </c>
      <c r="AB426" s="30" t="s">
        <v>56</v>
      </c>
      <c r="AC426" s="27"/>
      <c r="AD426" s="31" t="s">
        <v>57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5448</v>
      </c>
      <c r="C427" s="25" t="s">
        <v>5449</v>
      </c>
      <c r="D427" s="23" t="s">
        <v>747</v>
      </c>
      <c r="E427" s="42">
        <v>46128</v>
      </c>
      <c r="F427" s="26" t="s">
        <v>55</v>
      </c>
      <c r="G427" s="44" t="s">
        <v>832</v>
      </c>
      <c r="H427" s="26" t="s">
        <v>57</v>
      </c>
      <c r="I427" s="44" t="s">
        <v>832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42">
        <v>46196</v>
      </c>
      <c r="O427" s="26" t="s">
        <v>55</v>
      </c>
      <c r="P427" s="44" t="s">
        <v>832</v>
      </c>
      <c r="Q427" s="26" t="s">
        <v>57</v>
      </c>
      <c r="R427" s="44" t="s">
        <v>832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70">
        <v>46248</v>
      </c>
      <c r="X427" s="30" t="s">
        <v>55</v>
      </c>
      <c r="Y427" s="30" t="s">
        <v>832</v>
      </c>
      <c r="Z427" s="30" t="s">
        <v>57</v>
      </c>
      <c r="AA427" s="30" t="s">
        <v>832</v>
      </c>
      <c r="AB427" s="30" t="s">
        <v>56</v>
      </c>
      <c r="AC427" s="27"/>
      <c r="AD427" s="31" t="s">
        <v>57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5450</v>
      </c>
      <c r="C428" s="41" t="s">
        <v>5451</v>
      </c>
      <c r="D428" s="39" t="s">
        <v>747</v>
      </c>
      <c r="E428" s="42">
        <v>46128</v>
      </c>
      <c r="F428" s="26" t="s">
        <v>55</v>
      </c>
      <c r="G428" s="44" t="s">
        <v>832</v>
      </c>
      <c r="H428" s="26" t="s">
        <v>57</v>
      </c>
      <c r="I428" s="44" t="s">
        <v>832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42">
        <v>46196</v>
      </c>
      <c r="O428" s="26" t="s">
        <v>55</v>
      </c>
      <c r="P428" s="44" t="s">
        <v>832</v>
      </c>
      <c r="Q428" s="26" t="s">
        <v>57</v>
      </c>
      <c r="R428" s="44" t="s">
        <v>832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70">
        <v>46248</v>
      </c>
      <c r="X428" s="30" t="s">
        <v>55</v>
      </c>
      <c r="Y428" s="30" t="s">
        <v>832</v>
      </c>
      <c r="Z428" s="30" t="s">
        <v>57</v>
      </c>
      <c r="AA428" s="30" t="s">
        <v>832</v>
      </c>
      <c r="AB428" s="30" t="s">
        <v>56</v>
      </c>
      <c r="AC428" s="27"/>
      <c r="AD428" s="31" t="s">
        <v>57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5452</v>
      </c>
      <c r="C429" s="25" t="s">
        <v>5453</v>
      </c>
      <c r="D429" s="23" t="s">
        <v>747</v>
      </c>
      <c r="E429" s="42">
        <v>46128</v>
      </c>
      <c r="F429" s="26" t="s">
        <v>55</v>
      </c>
      <c r="G429" s="44" t="s">
        <v>832</v>
      </c>
      <c r="H429" s="26" t="s">
        <v>57</v>
      </c>
      <c r="I429" s="44" t="s">
        <v>832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42">
        <v>46196</v>
      </c>
      <c r="O429" s="26" t="s">
        <v>55</v>
      </c>
      <c r="P429" s="44" t="s">
        <v>832</v>
      </c>
      <c r="Q429" s="26" t="s">
        <v>57</v>
      </c>
      <c r="R429" s="44" t="s">
        <v>832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70">
        <v>46248</v>
      </c>
      <c r="X429" s="30" t="s">
        <v>55</v>
      </c>
      <c r="Y429" s="30" t="s">
        <v>832</v>
      </c>
      <c r="Z429" s="30" t="s">
        <v>57</v>
      </c>
      <c r="AA429" s="30" t="s">
        <v>832</v>
      </c>
      <c r="AB429" s="30" t="s">
        <v>56</v>
      </c>
      <c r="AC429" s="27"/>
      <c r="AD429" s="31" t="s">
        <v>57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5454</v>
      </c>
      <c r="C430" s="41" t="s">
        <v>5455</v>
      </c>
      <c r="D430" s="39" t="s">
        <v>747</v>
      </c>
      <c r="E430" s="42">
        <v>46128</v>
      </c>
      <c r="F430" s="26" t="s">
        <v>55</v>
      </c>
      <c r="G430" s="44" t="s">
        <v>56</v>
      </c>
      <c r="H430" s="26" t="s">
        <v>57</v>
      </c>
      <c r="I430" s="44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42">
        <v>46196</v>
      </c>
      <c r="O430" s="26" t="s">
        <v>55</v>
      </c>
      <c r="P430" s="44" t="s">
        <v>56</v>
      </c>
      <c r="Q430" s="26" t="s">
        <v>57</v>
      </c>
      <c r="R430" s="44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70">
        <v>46248</v>
      </c>
      <c r="X430" s="30" t="s">
        <v>55</v>
      </c>
      <c r="Y430" s="30" t="s">
        <v>56</v>
      </c>
      <c r="Z430" s="30" t="s">
        <v>57</v>
      </c>
      <c r="AA430" s="30" t="s">
        <v>58</v>
      </c>
      <c r="AB430" s="30" t="s">
        <v>56</v>
      </c>
      <c r="AC430" s="27"/>
      <c r="AD430" s="31" t="s">
        <v>57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5456</v>
      </c>
      <c r="C431" s="25" t="s">
        <v>5457</v>
      </c>
      <c r="D431" s="23" t="s">
        <v>747</v>
      </c>
      <c r="E431" s="42">
        <v>46128</v>
      </c>
      <c r="F431" s="26" t="s">
        <v>55</v>
      </c>
      <c r="G431" s="44" t="s">
        <v>832</v>
      </c>
      <c r="H431" s="26" t="s">
        <v>57</v>
      </c>
      <c r="I431" s="44" t="s">
        <v>832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42">
        <v>46196</v>
      </c>
      <c r="O431" s="26" t="s">
        <v>55</v>
      </c>
      <c r="P431" s="44" t="s">
        <v>832</v>
      </c>
      <c r="Q431" s="26" t="s">
        <v>57</v>
      </c>
      <c r="R431" s="44" t="s">
        <v>832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70">
        <v>46248</v>
      </c>
      <c r="X431" s="30" t="s">
        <v>55</v>
      </c>
      <c r="Y431" s="30" t="s">
        <v>832</v>
      </c>
      <c r="Z431" s="30" t="s">
        <v>57</v>
      </c>
      <c r="AA431" s="30" t="s">
        <v>832</v>
      </c>
      <c r="AB431" s="30" t="s">
        <v>56</v>
      </c>
      <c r="AC431" s="27"/>
      <c r="AD431" s="31" t="s">
        <v>57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5458</v>
      </c>
      <c r="C432" s="41" t="s">
        <v>5459</v>
      </c>
      <c r="D432" s="39" t="s">
        <v>747</v>
      </c>
      <c r="E432" s="42">
        <v>46128</v>
      </c>
      <c r="F432" s="26" t="s">
        <v>55</v>
      </c>
      <c r="G432" s="44" t="s">
        <v>832</v>
      </c>
      <c r="H432" s="26" t="s">
        <v>57</v>
      </c>
      <c r="I432" s="44" t="s">
        <v>832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42">
        <v>46196</v>
      </c>
      <c r="O432" s="26" t="s">
        <v>55</v>
      </c>
      <c r="P432" s="44" t="s">
        <v>832</v>
      </c>
      <c r="Q432" s="26" t="s">
        <v>57</v>
      </c>
      <c r="R432" s="44" t="s">
        <v>832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70">
        <v>46248</v>
      </c>
      <c r="X432" s="30" t="s">
        <v>55</v>
      </c>
      <c r="Y432" s="30" t="s">
        <v>832</v>
      </c>
      <c r="Z432" s="30" t="s">
        <v>57</v>
      </c>
      <c r="AA432" s="30" t="s">
        <v>832</v>
      </c>
      <c r="AB432" s="30" t="s">
        <v>56</v>
      </c>
      <c r="AC432" s="27"/>
      <c r="AD432" s="31" t="s">
        <v>57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5460</v>
      </c>
      <c r="C433" s="25" t="s">
        <v>5461</v>
      </c>
      <c r="D433" s="23" t="s">
        <v>747</v>
      </c>
      <c r="E433" s="42">
        <v>46128</v>
      </c>
      <c r="F433" s="26" t="s">
        <v>55</v>
      </c>
      <c r="G433" s="44" t="s">
        <v>832</v>
      </c>
      <c r="H433" s="26" t="s">
        <v>57</v>
      </c>
      <c r="I433" s="44" t="s">
        <v>832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42">
        <v>46196</v>
      </c>
      <c r="O433" s="26" t="s">
        <v>55</v>
      </c>
      <c r="P433" s="44" t="s">
        <v>832</v>
      </c>
      <c r="Q433" s="26" t="s">
        <v>57</v>
      </c>
      <c r="R433" s="44" t="s">
        <v>832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70">
        <v>46248</v>
      </c>
      <c r="X433" s="30" t="s">
        <v>55</v>
      </c>
      <c r="Y433" s="30" t="s">
        <v>832</v>
      </c>
      <c r="Z433" s="30" t="s">
        <v>57</v>
      </c>
      <c r="AA433" s="30" t="s">
        <v>832</v>
      </c>
      <c r="AB433" s="30" t="s">
        <v>56</v>
      </c>
      <c r="AC433" s="27"/>
      <c r="AD433" s="31" t="s">
        <v>57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5462</v>
      </c>
      <c r="C434" s="41" t="s">
        <v>5463</v>
      </c>
      <c r="D434" s="39" t="s">
        <v>747</v>
      </c>
      <c r="E434" s="42">
        <v>46128</v>
      </c>
      <c r="F434" s="26" t="s">
        <v>55</v>
      </c>
      <c r="G434" s="44" t="s">
        <v>832</v>
      </c>
      <c r="H434" s="26" t="s">
        <v>57</v>
      </c>
      <c r="I434" s="44" t="s">
        <v>832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42">
        <v>46196</v>
      </c>
      <c r="O434" s="26" t="s">
        <v>55</v>
      </c>
      <c r="P434" s="44" t="s">
        <v>832</v>
      </c>
      <c r="Q434" s="26" t="s">
        <v>57</v>
      </c>
      <c r="R434" s="44" t="s">
        <v>832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70">
        <v>46248</v>
      </c>
      <c r="X434" s="30" t="s">
        <v>55</v>
      </c>
      <c r="Y434" s="30" t="s">
        <v>832</v>
      </c>
      <c r="Z434" s="30" t="s">
        <v>57</v>
      </c>
      <c r="AA434" s="30" t="s">
        <v>832</v>
      </c>
      <c r="AB434" s="30" t="s">
        <v>56</v>
      </c>
      <c r="AC434" s="27"/>
      <c r="AD434" s="31" t="s">
        <v>57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5464</v>
      </c>
      <c r="C435" s="25" t="s">
        <v>5465</v>
      </c>
      <c r="D435" s="23" t="s">
        <v>747</v>
      </c>
      <c r="E435" s="42">
        <v>46128</v>
      </c>
      <c r="F435" s="26" t="s">
        <v>55</v>
      </c>
      <c r="G435" s="44" t="s">
        <v>832</v>
      </c>
      <c r="H435" s="26" t="s">
        <v>57</v>
      </c>
      <c r="I435" s="44" t="s">
        <v>832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42">
        <v>46196</v>
      </c>
      <c r="O435" s="26" t="s">
        <v>55</v>
      </c>
      <c r="P435" s="44" t="s">
        <v>832</v>
      </c>
      <c r="Q435" s="26" t="s">
        <v>57</v>
      </c>
      <c r="R435" s="44" t="s">
        <v>832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70">
        <v>46248</v>
      </c>
      <c r="X435" s="30" t="s">
        <v>55</v>
      </c>
      <c r="Y435" s="30" t="s">
        <v>832</v>
      </c>
      <c r="Z435" s="30" t="s">
        <v>57</v>
      </c>
      <c r="AA435" s="30" t="s">
        <v>832</v>
      </c>
      <c r="AB435" s="30" t="s">
        <v>56</v>
      </c>
      <c r="AC435" s="27"/>
      <c r="AD435" s="31" t="s">
        <v>57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5466</v>
      </c>
      <c r="C436" s="41" t="s">
        <v>5467</v>
      </c>
      <c r="D436" s="39" t="s">
        <v>747</v>
      </c>
      <c r="E436" s="42">
        <v>46128</v>
      </c>
      <c r="F436" s="26" t="s">
        <v>55</v>
      </c>
      <c r="G436" s="44" t="s">
        <v>832</v>
      </c>
      <c r="H436" s="26" t="s">
        <v>57</v>
      </c>
      <c r="I436" s="44" t="s">
        <v>832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42">
        <v>46196</v>
      </c>
      <c r="O436" s="26" t="s">
        <v>55</v>
      </c>
      <c r="P436" s="44" t="s">
        <v>832</v>
      </c>
      <c r="Q436" s="26" t="s">
        <v>57</v>
      </c>
      <c r="R436" s="44" t="s">
        <v>832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70">
        <v>46248</v>
      </c>
      <c r="X436" s="30" t="s">
        <v>55</v>
      </c>
      <c r="Y436" s="30" t="s">
        <v>832</v>
      </c>
      <c r="Z436" s="30" t="s">
        <v>57</v>
      </c>
      <c r="AA436" s="30" t="s">
        <v>832</v>
      </c>
      <c r="AB436" s="30" t="s">
        <v>56</v>
      </c>
      <c r="AC436" s="27"/>
      <c r="AD436" s="31" t="s">
        <v>57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5468</v>
      </c>
      <c r="C437" s="25" t="s">
        <v>5469</v>
      </c>
      <c r="D437" s="23" t="s">
        <v>747</v>
      </c>
      <c r="E437" s="42">
        <v>46128</v>
      </c>
      <c r="F437" s="26" t="s">
        <v>55</v>
      </c>
      <c r="G437" s="44" t="s">
        <v>832</v>
      </c>
      <c r="H437" s="26" t="s">
        <v>57</v>
      </c>
      <c r="I437" s="44" t="s">
        <v>832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42">
        <v>46196</v>
      </c>
      <c r="O437" s="26" t="s">
        <v>55</v>
      </c>
      <c r="P437" s="44" t="s">
        <v>832</v>
      </c>
      <c r="Q437" s="26" t="s">
        <v>57</v>
      </c>
      <c r="R437" s="44" t="s">
        <v>832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70">
        <v>46248</v>
      </c>
      <c r="X437" s="30" t="s">
        <v>55</v>
      </c>
      <c r="Y437" s="30" t="s">
        <v>832</v>
      </c>
      <c r="Z437" s="30" t="s">
        <v>57</v>
      </c>
      <c r="AA437" s="30" t="s">
        <v>832</v>
      </c>
      <c r="AB437" s="30" t="s">
        <v>56</v>
      </c>
      <c r="AC437" s="27"/>
      <c r="AD437" s="31" t="s">
        <v>57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5470</v>
      </c>
      <c r="C438" s="41" t="s">
        <v>5471</v>
      </c>
      <c r="D438" s="39" t="s">
        <v>747</v>
      </c>
      <c r="E438" s="42">
        <v>46128</v>
      </c>
      <c r="F438" s="26" t="s">
        <v>55</v>
      </c>
      <c r="G438" s="44" t="s">
        <v>56</v>
      </c>
      <c r="H438" s="26" t="s">
        <v>57</v>
      </c>
      <c r="I438" s="44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42">
        <v>46196</v>
      </c>
      <c r="O438" s="26" t="s">
        <v>55</v>
      </c>
      <c r="P438" s="44" t="s">
        <v>56</v>
      </c>
      <c r="Q438" s="26" t="s">
        <v>57</v>
      </c>
      <c r="R438" s="44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70">
        <v>46248</v>
      </c>
      <c r="X438" s="30" t="s">
        <v>55</v>
      </c>
      <c r="Y438" s="30" t="s">
        <v>56</v>
      </c>
      <c r="Z438" s="30" t="s">
        <v>57</v>
      </c>
      <c r="AA438" s="30" t="s">
        <v>58</v>
      </c>
      <c r="AB438" s="30" t="s">
        <v>56</v>
      </c>
      <c r="AC438" s="27"/>
      <c r="AD438" s="31" t="s">
        <v>57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5472</v>
      </c>
      <c r="C439" s="25" t="s">
        <v>5473</v>
      </c>
      <c r="D439" s="23" t="s">
        <v>747</v>
      </c>
      <c r="E439" s="42">
        <v>46128</v>
      </c>
      <c r="F439" s="26" t="s">
        <v>55</v>
      </c>
      <c r="G439" s="44" t="s">
        <v>832</v>
      </c>
      <c r="H439" s="26" t="s">
        <v>57</v>
      </c>
      <c r="I439" s="44" t="s">
        <v>832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42">
        <v>46196</v>
      </c>
      <c r="O439" s="26" t="s">
        <v>55</v>
      </c>
      <c r="P439" s="44" t="s">
        <v>832</v>
      </c>
      <c r="Q439" s="26" t="s">
        <v>57</v>
      </c>
      <c r="R439" s="44" t="s">
        <v>832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70">
        <v>46248</v>
      </c>
      <c r="X439" s="30" t="s">
        <v>55</v>
      </c>
      <c r="Y439" s="30" t="s">
        <v>832</v>
      </c>
      <c r="Z439" s="30" t="s">
        <v>57</v>
      </c>
      <c r="AA439" s="30" t="s">
        <v>832</v>
      </c>
      <c r="AB439" s="30" t="s">
        <v>56</v>
      </c>
      <c r="AC439" s="27"/>
      <c r="AD439" s="31" t="s">
        <v>57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5474</v>
      </c>
      <c r="C440" s="41" t="s">
        <v>5475</v>
      </c>
      <c r="D440" s="39" t="s">
        <v>747</v>
      </c>
      <c r="E440" s="42">
        <v>46128</v>
      </c>
      <c r="F440" s="26" t="s">
        <v>55</v>
      </c>
      <c r="G440" s="44" t="s">
        <v>832</v>
      </c>
      <c r="H440" s="26" t="s">
        <v>57</v>
      </c>
      <c r="I440" s="44" t="s">
        <v>832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42">
        <v>46196</v>
      </c>
      <c r="O440" s="26" t="s">
        <v>55</v>
      </c>
      <c r="P440" s="44" t="s">
        <v>832</v>
      </c>
      <c r="Q440" s="26" t="s">
        <v>57</v>
      </c>
      <c r="R440" s="44" t="s">
        <v>832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70">
        <v>46248</v>
      </c>
      <c r="X440" s="30" t="s">
        <v>60</v>
      </c>
      <c r="Y440" s="30" t="s">
        <v>57</v>
      </c>
      <c r="Z440" s="30" t="s">
        <v>56</v>
      </c>
      <c r="AA440" s="30" t="s">
        <v>61</v>
      </c>
      <c r="AB440" s="30" t="s">
        <v>57</v>
      </c>
      <c r="AC440" s="27"/>
      <c r="AD440" s="31" t="s">
        <v>57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5476</v>
      </c>
      <c r="C441" s="25" t="s">
        <v>5477</v>
      </c>
      <c r="D441" s="23" t="s">
        <v>747</v>
      </c>
      <c r="E441" s="42">
        <v>46128</v>
      </c>
      <c r="F441" s="26" t="s">
        <v>55</v>
      </c>
      <c r="G441" s="44" t="s">
        <v>832</v>
      </c>
      <c r="H441" s="26" t="s">
        <v>57</v>
      </c>
      <c r="I441" s="44" t="s">
        <v>832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42">
        <v>46196</v>
      </c>
      <c r="O441" s="26" t="s">
        <v>55</v>
      </c>
      <c r="P441" s="44" t="s">
        <v>832</v>
      </c>
      <c r="Q441" s="26" t="s">
        <v>57</v>
      </c>
      <c r="R441" s="44" t="s">
        <v>832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70">
        <v>46248</v>
      </c>
      <c r="X441" s="30" t="s">
        <v>55</v>
      </c>
      <c r="Y441" s="30" t="s">
        <v>832</v>
      </c>
      <c r="Z441" s="30" t="s">
        <v>57</v>
      </c>
      <c r="AA441" s="30" t="s">
        <v>832</v>
      </c>
      <c r="AB441" s="30" t="s">
        <v>56</v>
      </c>
      <c r="AC441" s="27"/>
      <c r="AD441" s="31" t="s">
        <v>57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5478</v>
      </c>
      <c r="C442" s="41" t="s">
        <v>5479</v>
      </c>
      <c r="D442" s="39" t="s">
        <v>747</v>
      </c>
      <c r="E442" s="42">
        <v>46128</v>
      </c>
      <c r="F442" s="26" t="s">
        <v>55</v>
      </c>
      <c r="G442" s="44" t="s">
        <v>832</v>
      </c>
      <c r="H442" s="26" t="s">
        <v>57</v>
      </c>
      <c r="I442" s="44" t="s">
        <v>832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42">
        <v>46196</v>
      </c>
      <c r="O442" s="26" t="s">
        <v>55</v>
      </c>
      <c r="P442" s="44" t="s">
        <v>832</v>
      </c>
      <c r="Q442" s="26" t="s">
        <v>57</v>
      </c>
      <c r="R442" s="44" t="s">
        <v>832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70">
        <v>46248</v>
      </c>
      <c r="X442" s="30" t="s">
        <v>55</v>
      </c>
      <c r="Y442" s="30" t="s">
        <v>832</v>
      </c>
      <c r="Z442" s="30" t="s">
        <v>57</v>
      </c>
      <c r="AA442" s="30" t="s">
        <v>832</v>
      </c>
      <c r="AB442" s="30" t="s">
        <v>56</v>
      </c>
      <c r="AC442" s="27"/>
      <c r="AD442" s="31" t="s">
        <v>57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5480</v>
      </c>
      <c r="C443" s="25" t="s">
        <v>5481</v>
      </c>
      <c r="D443" s="23" t="s">
        <v>747</v>
      </c>
      <c r="E443" s="42">
        <v>46128</v>
      </c>
      <c r="F443" s="26" t="s">
        <v>55</v>
      </c>
      <c r="G443" s="44" t="s">
        <v>832</v>
      </c>
      <c r="H443" s="26" t="s">
        <v>57</v>
      </c>
      <c r="I443" s="44" t="s">
        <v>832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42">
        <v>46196</v>
      </c>
      <c r="O443" s="26" t="s">
        <v>55</v>
      </c>
      <c r="P443" s="44" t="s">
        <v>832</v>
      </c>
      <c r="Q443" s="26" t="s">
        <v>57</v>
      </c>
      <c r="R443" s="44" t="s">
        <v>832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70">
        <v>46248</v>
      </c>
      <c r="X443" s="30" t="s">
        <v>55</v>
      </c>
      <c r="Y443" s="30" t="s">
        <v>832</v>
      </c>
      <c r="Z443" s="30" t="s">
        <v>57</v>
      </c>
      <c r="AA443" s="30" t="s">
        <v>832</v>
      </c>
      <c r="AB443" s="30" t="s">
        <v>56</v>
      </c>
      <c r="AC443" s="27"/>
      <c r="AD443" s="31" t="s">
        <v>57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5482</v>
      </c>
      <c r="C444" s="41" t="s">
        <v>5483</v>
      </c>
      <c r="D444" s="39" t="s">
        <v>747</v>
      </c>
      <c r="E444" s="42">
        <v>46128</v>
      </c>
      <c r="F444" s="26" t="s">
        <v>55</v>
      </c>
      <c r="G444" s="44" t="s">
        <v>56</v>
      </c>
      <c r="H444" s="26" t="s">
        <v>57</v>
      </c>
      <c r="I444" s="44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42">
        <v>46196</v>
      </c>
      <c r="O444" s="26" t="s">
        <v>55</v>
      </c>
      <c r="P444" s="44" t="s">
        <v>56</v>
      </c>
      <c r="Q444" s="26" t="s">
        <v>57</v>
      </c>
      <c r="R444" s="44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70">
        <v>46248</v>
      </c>
      <c r="X444" s="30" t="s">
        <v>55</v>
      </c>
      <c r="Y444" s="30" t="s">
        <v>56</v>
      </c>
      <c r="Z444" s="30" t="s">
        <v>57</v>
      </c>
      <c r="AA444" s="30" t="s">
        <v>58</v>
      </c>
      <c r="AB444" s="30" t="s">
        <v>56</v>
      </c>
      <c r="AC444" s="27"/>
      <c r="AD444" s="31" t="s">
        <v>57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5484</v>
      </c>
      <c r="C445" s="25" t="s">
        <v>5485</v>
      </c>
      <c r="D445" s="23" t="s">
        <v>747</v>
      </c>
      <c r="E445" s="42">
        <v>46128</v>
      </c>
      <c r="F445" s="26" t="s">
        <v>55</v>
      </c>
      <c r="G445" s="44" t="s">
        <v>832</v>
      </c>
      <c r="H445" s="26" t="s">
        <v>57</v>
      </c>
      <c r="I445" s="44" t="s">
        <v>832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42">
        <v>46196</v>
      </c>
      <c r="O445" s="26" t="s">
        <v>55</v>
      </c>
      <c r="P445" s="44" t="s">
        <v>832</v>
      </c>
      <c r="Q445" s="26" t="s">
        <v>57</v>
      </c>
      <c r="R445" s="44" t="s">
        <v>832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70">
        <v>46248</v>
      </c>
      <c r="X445" s="30" t="s">
        <v>55</v>
      </c>
      <c r="Y445" s="30" t="s">
        <v>832</v>
      </c>
      <c r="Z445" s="30" t="s">
        <v>57</v>
      </c>
      <c r="AA445" s="30" t="s">
        <v>832</v>
      </c>
      <c r="AB445" s="30" t="s">
        <v>56</v>
      </c>
      <c r="AC445" s="27"/>
      <c r="AD445" s="31" t="s">
        <v>57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5486</v>
      </c>
      <c r="C446" s="41" t="s">
        <v>5487</v>
      </c>
      <c r="D446" s="39" t="s">
        <v>747</v>
      </c>
      <c r="E446" s="42">
        <v>46128</v>
      </c>
      <c r="F446" s="26" t="s">
        <v>55</v>
      </c>
      <c r="G446" s="44" t="s">
        <v>832</v>
      </c>
      <c r="H446" s="26" t="s">
        <v>57</v>
      </c>
      <c r="I446" s="44" t="s">
        <v>832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42">
        <v>46196</v>
      </c>
      <c r="O446" s="26" t="s">
        <v>55</v>
      </c>
      <c r="P446" s="44" t="s">
        <v>832</v>
      </c>
      <c r="Q446" s="26" t="s">
        <v>57</v>
      </c>
      <c r="R446" s="44" t="s">
        <v>832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70">
        <v>46248</v>
      </c>
      <c r="X446" s="30" t="s">
        <v>55</v>
      </c>
      <c r="Y446" s="30" t="s">
        <v>832</v>
      </c>
      <c r="Z446" s="30" t="s">
        <v>57</v>
      </c>
      <c r="AA446" s="30" t="s">
        <v>832</v>
      </c>
      <c r="AB446" s="30" t="s">
        <v>56</v>
      </c>
      <c r="AC446" s="27"/>
      <c r="AD446" s="31" t="s">
        <v>57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5488</v>
      </c>
      <c r="C447" s="25" t="s">
        <v>5489</v>
      </c>
      <c r="D447" s="23" t="s">
        <v>747</v>
      </c>
      <c r="E447" s="42">
        <v>46128</v>
      </c>
      <c r="F447" s="26" t="s">
        <v>55</v>
      </c>
      <c r="G447" s="44" t="s">
        <v>832</v>
      </c>
      <c r="H447" s="26" t="s">
        <v>57</v>
      </c>
      <c r="I447" s="44" t="s">
        <v>832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42">
        <v>46196</v>
      </c>
      <c r="O447" s="26" t="s">
        <v>55</v>
      </c>
      <c r="P447" s="44" t="s">
        <v>832</v>
      </c>
      <c r="Q447" s="26" t="s">
        <v>57</v>
      </c>
      <c r="R447" s="44" t="s">
        <v>832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70">
        <v>46248</v>
      </c>
      <c r="X447" s="30" t="s">
        <v>55</v>
      </c>
      <c r="Y447" s="30" t="s">
        <v>832</v>
      </c>
      <c r="Z447" s="30" t="s">
        <v>57</v>
      </c>
      <c r="AA447" s="30" t="s">
        <v>832</v>
      </c>
      <c r="AB447" s="30" t="s">
        <v>56</v>
      </c>
      <c r="AC447" s="27"/>
      <c r="AD447" s="31" t="s">
        <v>57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5490</v>
      </c>
      <c r="C448" s="41" t="s">
        <v>5491</v>
      </c>
      <c r="D448" s="39" t="s">
        <v>747</v>
      </c>
      <c r="E448" s="42">
        <v>46128</v>
      </c>
      <c r="F448" s="26" t="s">
        <v>55</v>
      </c>
      <c r="G448" s="44" t="s">
        <v>832</v>
      </c>
      <c r="H448" s="26" t="s">
        <v>57</v>
      </c>
      <c r="I448" s="44" t="s">
        <v>832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42">
        <v>46196</v>
      </c>
      <c r="O448" s="26" t="s">
        <v>55</v>
      </c>
      <c r="P448" s="44" t="s">
        <v>832</v>
      </c>
      <c r="Q448" s="26" t="s">
        <v>57</v>
      </c>
      <c r="R448" s="44" t="s">
        <v>832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70">
        <v>46248</v>
      </c>
      <c r="X448" s="30" t="s">
        <v>55</v>
      </c>
      <c r="Y448" s="30" t="s">
        <v>832</v>
      </c>
      <c r="Z448" s="30" t="s">
        <v>57</v>
      </c>
      <c r="AA448" s="30" t="s">
        <v>832</v>
      </c>
      <c r="AB448" s="30" t="s">
        <v>56</v>
      </c>
      <c r="AC448" s="27"/>
      <c r="AD448" s="31" t="s">
        <v>57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5492</v>
      </c>
      <c r="C449" s="25" t="s">
        <v>5493</v>
      </c>
      <c r="D449" s="23" t="s">
        <v>747</v>
      </c>
      <c r="E449" s="42">
        <v>46128</v>
      </c>
      <c r="F449" s="26" t="s">
        <v>55</v>
      </c>
      <c r="G449" s="44" t="s">
        <v>832</v>
      </c>
      <c r="H449" s="26" t="s">
        <v>57</v>
      </c>
      <c r="I449" s="44" t="s">
        <v>832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42">
        <v>46196</v>
      </c>
      <c r="O449" s="26" t="s">
        <v>55</v>
      </c>
      <c r="P449" s="44" t="s">
        <v>832</v>
      </c>
      <c r="Q449" s="26" t="s">
        <v>57</v>
      </c>
      <c r="R449" s="44" t="s">
        <v>832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70">
        <v>46248</v>
      </c>
      <c r="X449" s="30" t="s">
        <v>55</v>
      </c>
      <c r="Y449" s="30" t="s">
        <v>832</v>
      </c>
      <c r="Z449" s="30" t="s">
        <v>57</v>
      </c>
      <c r="AA449" s="30" t="s">
        <v>832</v>
      </c>
      <c r="AB449" s="30" t="s">
        <v>56</v>
      </c>
      <c r="AC449" s="27"/>
      <c r="AD449" s="31" t="s">
        <v>57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5494</v>
      </c>
      <c r="C450" s="41" t="s">
        <v>5495</v>
      </c>
      <c r="D450" s="39" t="s">
        <v>747</v>
      </c>
      <c r="E450" s="42">
        <v>46128</v>
      </c>
      <c r="F450" s="26" t="s">
        <v>55</v>
      </c>
      <c r="G450" s="44" t="s">
        <v>832</v>
      </c>
      <c r="H450" s="26" t="s">
        <v>57</v>
      </c>
      <c r="I450" s="44" t="s">
        <v>832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42">
        <v>46196</v>
      </c>
      <c r="O450" s="26" t="s">
        <v>55</v>
      </c>
      <c r="P450" s="44" t="s">
        <v>832</v>
      </c>
      <c r="Q450" s="26" t="s">
        <v>57</v>
      </c>
      <c r="R450" s="44" t="s">
        <v>832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70">
        <v>46248</v>
      </c>
      <c r="X450" s="30" t="s">
        <v>55</v>
      </c>
      <c r="Y450" s="30" t="s">
        <v>832</v>
      </c>
      <c r="Z450" s="30" t="s">
        <v>57</v>
      </c>
      <c r="AA450" s="30" t="s">
        <v>832</v>
      </c>
      <c r="AB450" s="30" t="s">
        <v>56</v>
      </c>
      <c r="AC450" s="27"/>
      <c r="AD450" s="31" t="s">
        <v>57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5496</v>
      </c>
      <c r="C451" s="25" t="s">
        <v>5497</v>
      </c>
      <c r="D451" s="23" t="s">
        <v>747</v>
      </c>
      <c r="E451" s="42">
        <v>46128</v>
      </c>
      <c r="F451" s="26" t="s">
        <v>55</v>
      </c>
      <c r="G451" s="44" t="s">
        <v>832</v>
      </c>
      <c r="H451" s="26" t="s">
        <v>57</v>
      </c>
      <c r="I451" s="44" t="s">
        <v>832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42">
        <v>46196</v>
      </c>
      <c r="O451" s="26" t="s">
        <v>55</v>
      </c>
      <c r="P451" s="44" t="s">
        <v>832</v>
      </c>
      <c r="Q451" s="26" t="s">
        <v>57</v>
      </c>
      <c r="R451" s="44" t="s">
        <v>832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70">
        <v>46248</v>
      </c>
      <c r="X451" s="30" t="s">
        <v>55</v>
      </c>
      <c r="Y451" s="30" t="s">
        <v>832</v>
      </c>
      <c r="Z451" s="30" t="s">
        <v>57</v>
      </c>
      <c r="AA451" s="30" t="s">
        <v>832</v>
      </c>
      <c r="AB451" s="30" t="s">
        <v>56</v>
      </c>
      <c r="AC451" s="27"/>
      <c r="AD451" s="31" t="s">
        <v>57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5498</v>
      </c>
      <c r="C452" s="41" t="s">
        <v>5499</v>
      </c>
      <c r="D452" s="39" t="s">
        <v>5500</v>
      </c>
      <c r="E452" s="42">
        <v>46128</v>
      </c>
      <c r="F452" s="26" t="s">
        <v>55</v>
      </c>
      <c r="G452" s="44" t="s">
        <v>57</v>
      </c>
      <c r="H452" s="26" t="s">
        <v>57</v>
      </c>
      <c r="I452" s="44" t="s">
        <v>89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42">
        <v>46196</v>
      </c>
      <c r="O452" s="26" t="s">
        <v>55</v>
      </c>
      <c r="P452" s="44" t="s">
        <v>57</v>
      </c>
      <c r="Q452" s="26" t="s">
        <v>57</v>
      </c>
      <c r="R452" s="44" t="s">
        <v>89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70">
        <v>46248</v>
      </c>
      <c r="X452" s="30" t="s">
        <v>55</v>
      </c>
      <c r="Y452" s="30" t="s">
        <v>57</v>
      </c>
      <c r="Z452" s="30" t="s">
        <v>57</v>
      </c>
      <c r="AA452" s="30" t="s">
        <v>89</v>
      </c>
      <c r="AB452" s="30" t="s">
        <v>57</v>
      </c>
      <c r="AC452" s="27"/>
      <c r="AD452" s="31" t="s">
        <v>56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5501</v>
      </c>
      <c r="C453" s="25" t="s">
        <v>5502</v>
      </c>
      <c r="D453" s="23" t="s">
        <v>5500</v>
      </c>
      <c r="E453" s="42">
        <v>46128</v>
      </c>
      <c r="F453" s="26" t="s">
        <v>55</v>
      </c>
      <c r="G453" s="44" t="s">
        <v>57</v>
      </c>
      <c r="H453" s="26" t="s">
        <v>57</v>
      </c>
      <c r="I453" s="44" t="s">
        <v>89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46196</v>
      </c>
      <c r="O453" s="26" t="s">
        <v>55</v>
      </c>
      <c r="P453" s="44" t="s">
        <v>57</v>
      </c>
      <c r="Q453" s="26" t="s">
        <v>57</v>
      </c>
      <c r="R453" s="44" t="s">
        <v>89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70">
        <v>46248</v>
      </c>
      <c r="X453" s="30" t="s">
        <v>55</v>
      </c>
      <c r="Y453" s="30" t="s">
        <v>57</v>
      </c>
      <c r="Z453" s="30" t="s">
        <v>57</v>
      </c>
      <c r="AA453" s="30" t="s">
        <v>89</v>
      </c>
      <c r="AB453" s="30" t="s">
        <v>57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5503</v>
      </c>
      <c r="C454" s="41" t="s">
        <v>5504</v>
      </c>
      <c r="D454" s="39" t="s">
        <v>5500</v>
      </c>
      <c r="E454" s="42">
        <v>46128</v>
      </c>
      <c r="F454" s="26" t="s">
        <v>55</v>
      </c>
      <c r="G454" s="44" t="s">
        <v>57</v>
      </c>
      <c r="H454" s="26" t="s">
        <v>57</v>
      </c>
      <c r="I454" s="44" t="s">
        <v>89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42">
        <v>46196</v>
      </c>
      <c r="O454" s="26" t="s">
        <v>55</v>
      </c>
      <c r="P454" s="44" t="s">
        <v>57</v>
      </c>
      <c r="Q454" s="26" t="s">
        <v>57</v>
      </c>
      <c r="R454" s="44" t="s">
        <v>89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70">
        <v>46248</v>
      </c>
      <c r="X454" s="30" t="s">
        <v>55</v>
      </c>
      <c r="Y454" s="30" t="s">
        <v>57</v>
      </c>
      <c r="Z454" s="30" t="s">
        <v>57</v>
      </c>
      <c r="AA454" s="30" t="s">
        <v>89</v>
      </c>
      <c r="AB454" s="30" t="s">
        <v>57</v>
      </c>
      <c r="AC454" s="27"/>
      <c r="AD454" s="31" t="s">
        <v>56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5505</v>
      </c>
      <c r="C455" s="25" t="s">
        <v>5506</v>
      </c>
      <c r="D455" s="23" t="s">
        <v>5500</v>
      </c>
      <c r="E455" s="42">
        <v>46128</v>
      </c>
      <c r="F455" s="26" t="s">
        <v>55</v>
      </c>
      <c r="G455" s="44" t="s">
        <v>57</v>
      </c>
      <c r="H455" s="26" t="s">
        <v>57</v>
      </c>
      <c r="I455" s="44" t="s">
        <v>89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42">
        <v>46196</v>
      </c>
      <c r="O455" s="26" t="s">
        <v>55</v>
      </c>
      <c r="P455" s="44" t="s">
        <v>57</v>
      </c>
      <c r="Q455" s="26" t="s">
        <v>57</v>
      </c>
      <c r="R455" s="44" t="s">
        <v>89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70">
        <v>46248</v>
      </c>
      <c r="X455" s="30" t="s">
        <v>55</v>
      </c>
      <c r="Y455" s="30" t="s">
        <v>57</v>
      </c>
      <c r="Z455" s="30" t="s">
        <v>57</v>
      </c>
      <c r="AA455" s="30" t="s">
        <v>89</v>
      </c>
      <c r="AB455" s="30" t="s">
        <v>57</v>
      </c>
      <c r="AC455" s="27"/>
      <c r="AD455" s="31" t="s">
        <v>56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5507</v>
      </c>
      <c r="C456" s="41" t="s">
        <v>5508</v>
      </c>
      <c r="D456" s="39" t="s">
        <v>5500</v>
      </c>
      <c r="E456" s="42">
        <v>46128</v>
      </c>
      <c r="F456" s="26" t="s">
        <v>55</v>
      </c>
      <c r="G456" s="44" t="s">
        <v>57</v>
      </c>
      <c r="H456" s="26" t="s">
        <v>57</v>
      </c>
      <c r="I456" s="44" t="s">
        <v>89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42">
        <v>46196</v>
      </c>
      <c r="O456" s="26" t="s">
        <v>55</v>
      </c>
      <c r="P456" s="44" t="s">
        <v>57</v>
      </c>
      <c r="Q456" s="26" t="s">
        <v>57</v>
      </c>
      <c r="R456" s="44" t="s">
        <v>89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70">
        <v>46248</v>
      </c>
      <c r="X456" s="30" t="s">
        <v>55</v>
      </c>
      <c r="Y456" s="30" t="s">
        <v>57</v>
      </c>
      <c r="Z456" s="30" t="s">
        <v>57</v>
      </c>
      <c r="AA456" s="30" t="s">
        <v>89</v>
      </c>
      <c r="AB456" s="30" t="s">
        <v>57</v>
      </c>
      <c r="AC456" s="27"/>
      <c r="AD456" s="31" t="s">
        <v>56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5509</v>
      </c>
      <c r="C457" s="25" t="s">
        <v>5510</v>
      </c>
      <c r="D457" s="23" t="s">
        <v>5500</v>
      </c>
      <c r="E457" s="42">
        <v>46128</v>
      </c>
      <c r="F457" s="26" t="s">
        <v>55</v>
      </c>
      <c r="G457" s="44" t="s">
        <v>57</v>
      </c>
      <c r="H457" s="26" t="s">
        <v>57</v>
      </c>
      <c r="I457" s="44" t="s">
        <v>89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42">
        <v>46196</v>
      </c>
      <c r="O457" s="26" t="s">
        <v>55</v>
      </c>
      <c r="P457" s="44" t="s">
        <v>57</v>
      </c>
      <c r="Q457" s="26" t="s">
        <v>57</v>
      </c>
      <c r="R457" s="44" t="s">
        <v>89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70">
        <v>46248</v>
      </c>
      <c r="X457" s="30" t="s">
        <v>55</v>
      </c>
      <c r="Y457" s="30" t="s">
        <v>57</v>
      </c>
      <c r="Z457" s="30" t="s">
        <v>57</v>
      </c>
      <c r="AA457" s="30" t="s">
        <v>89</v>
      </c>
      <c r="AB457" s="30" t="s">
        <v>57</v>
      </c>
      <c r="AC457" s="27"/>
      <c r="AD457" s="31" t="s">
        <v>56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5511</v>
      </c>
      <c r="C458" s="41" t="s">
        <v>5512</v>
      </c>
      <c r="D458" s="39" t="s">
        <v>5500</v>
      </c>
      <c r="E458" s="42">
        <v>46128</v>
      </c>
      <c r="F458" s="26" t="s">
        <v>55</v>
      </c>
      <c r="G458" s="44" t="s">
        <v>57</v>
      </c>
      <c r="H458" s="26" t="s">
        <v>57</v>
      </c>
      <c r="I458" s="44" t="s">
        <v>89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42">
        <v>46196</v>
      </c>
      <c r="O458" s="26" t="s">
        <v>55</v>
      </c>
      <c r="P458" s="44" t="s">
        <v>57</v>
      </c>
      <c r="Q458" s="26" t="s">
        <v>57</v>
      </c>
      <c r="R458" s="44" t="s">
        <v>89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70">
        <v>46248</v>
      </c>
      <c r="X458" s="30" t="s">
        <v>55</v>
      </c>
      <c r="Y458" s="30" t="s">
        <v>57</v>
      </c>
      <c r="Z458" s="30" t="s">
        <v>57</v>
      </c>
      <c r="AA458" s="30" t="s">
        <v>89</v>
      </c>
      <c r="AB458" s="30" t="s">
        <v>57</v>
      </c>
      <c r="AC458" s="27"/>
      <c r="AD458" s="31" t="s">
        <v>56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5513</v>
      </c>
      <c r="C459" s="25" t="s">
        <v>5514</v>
      </c>
      <c r="D459" s="23" t="s">
        <v>5500</v>
      </c>
      <c r="E459" s="42">
        <v>46128</v>
      </c>
      <c r="F459" s="26" t="s">
        <v>55</v>
      </c>
      <c r="G459" s="44" t="s">
        <v>57</v>
      </c>
      <c r="H459" s="26" t="s">
        <v>57</v>
      </c>
      <c r="I459" s="44" t="s">
        <v>89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42">
        <v>46196</v>
      </c>
      <c r="O459" s="26" t="s">
        <v>55</v>
      </c>
      <c r="P459" s="44" t="s">
        <v>57</v>
      </c>
      <c r="Q459" s="26" t="s">
        <v>57</v>
      </c>
      <c r="R459" s="44" t="s">
        <v>89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70">
        <v>46248</v>
      </c>
      <c r="X459" s="30" t="s">
        <v>55</v>
      </c>
      <c r="Y459" s="30" t="s">
        <v>57</v>
      </c>
      <c r="Z459" s="30" t="s">
        <v>57</v>
      </c>
      <c r="AA459" s="30" t="s">
        <v>89</v>
      </c>
      <c r="AB459" s="30" t="s">
        <v>57</v>
      </c>
      <c r="AC459" s="27"/>
      <c r="AD459" s="31" t="s">
        <v>56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5515</v>
      </c>
      <c r="C460" s="41" t="s">
        <v>5516</v>
      </c>
      <c r="D460" s="39" t="s">
        <v>5500</v>
      </c>
      <c r="E460" s="42">
        <v>46128</v>
      </c>
      <c r="F460" s="26" t="s">
        <v>55</v>
      </c>
      <c r="G460" s="44" t="s">
        <v>57</v>
      </c>
      <c r="H460" s="26" t="s">
        <v>57</v>
      </c>
      <c r="I460" s="44" t="s">
        <v>89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42">
        <v>46196</v>
      </c>
      <c r="O460" s="26" t="s">
        <v>55</v>
      </c>
      <c r="P460" s="44" t="s">
        <v>57</v>
      </c>
      <c r="Q460" s="26" t="s">
        <v>57</v>
      </c>
      <c r="R460" s="44" t="s">
        <v>89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70">
        <v>46248</v>
      </c>
      <c r="X460" s="30" t="s">
        <v>55</v>
      </c>
      <c r="Y460" s="30" t="s">
        <v>57</v>
      </c>
      <c r="Z460" s="30" t="s">
        <v>57</v>
      </c>
      <c r="AA460" s="30" t="s">
        <v>89</v>
      </c>
      <c r="AB460" s="30" t="s">
        <v>57</v>
      </c>
      <c r="AC460" s="27"/>
      <c r="AD460" s="31" t="s">
        <v>56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5517</v>
      </c>
      <c r="C461" s="25" t="s">
        <v>5518</v>
      </c>
      <c r="D461" s="23" t="s">
        <v>5500</v>
      </c>
      <c r="E461" s="42">
        <v>46128</v>
      </c>
      <c r="F461" s="26" t="s">
        <v>55</v>
      </c>
      <c r="G461" s="44" t="s">
        <v>57</v>
      </c>
      <c r="H461" s="26" t="s">
        <v>57</v>
      </c>
      <c r="I461" s="44" t="s">
        <v>89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42">
        <v>46196</v>
      </c>
      <c r="O461" s="26" t="s">
        <v>55</v>
      </c>
      <c r="P461" s="44" t="s">
        <v>57</v>
      </c>
      <c r="Q461" s="26" t="s">
        <v>57</v>
      </c>
      <c r="R461" s="44" t="s">
        <v>89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70">
        <v>46248</v>
      </c>
      <c r="X461" s="30" t="s">
        <v>55</v>
      </c>
      <c r="Y461" s="30" t="s">
        <v>57</v>
      </c>
      <c r="Z461" s="30" t="s">
        <v>57</v>
      </c>
      <c r="AA461" s="30" t="s">
        <v>89</v>
      </c>
      <c r="AB461" s="30" t="s">
        <v>57</v>
      </c>
      <c r="AC461" s="27"/>
      <c r="AD461" s="31" t="s">
        <v>56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5519</v>
      </c>
      <c r="C462" s="41" t="s">
        <v>5520</v>
      </c>
      <c r="D462" s="39" t="s">
        <v>5500</v>
      </c>
      <c r="E462" s="42">
        <v>46128</v>
      </c>
      <c r="F462" s="26" t="s">
        <v>55</v>
      </c>
      <c r="G462" s="44" t="s">
        <v>57</v>
      </c>
      <c r="H462" s="26" t="s">
        <v>57</v>
      </c>
      <c r="I462" s="44" t="s">
        <v>89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42">
        <v>46196</v>
      </c>
      <c r="O462" s="26" t="s">
        <v>55</v>
      </c>
      <c r="P462" s="44" t="s">
        <v>57</v>
      </c>
      <c r="Q462" s="26" t="s">
        <v>57</v>
      </c>
      <c r="R462" s="44" t="s">
        <v>89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70">
        <v>46248</v>
      </c>
      <c r="X462" s="30" t="s">
        <v>55</v>
      </c>
      <c r="Y462" s="30" t="s">
        <v>57</v>
      </c>
      <c r="Z462" s="30" t="s">
        <v>57</v>
      </c>
      <c r="AA462" s="30" t="s">
        <v>89</v>
      </c>
      <c r="AB462" s="30" t="s">
        <v>57</v>
      </c>
      <c r="AC462" s="27"/>
      <c r="AD462" s="31" t="s">
        <v>56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5521</v>
      </c>
      <c r="C463" s="25" t="s">
        <v>5522</v>
      </c>
      <c r="D463" s="23" t="s">
        <v>5500</v>
      </c>
      <c r="E463" s="42">
        <v>46128</v>
      </c>
      <c r="F463" s="26" t="s">
        <v>55</v>
      </c>
      <c r="G463" s="44" t="s">
        <v>57</v>
      </c>
      <c r="H463" s="26" t="s">
        <v>57</v>
      </c>
      <c r="I463" s="44" t="s">
        <v>89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42">
        <v>46196</v>
      </c>
      <c r="O463" s="26" t="s">
        <v>55</v>
      </c>
      <c r="P463" s="44" t="s">
        <v>57</v>
      </c>
      <c r="Q463" s="26" t="s">
        <v>57</v>
      </c>
      <c r="R463" s="44" t="s">
        <v>89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70">
        <v>46248</v>
      </c>
      <c r="X463" s="30" t="s">
        <v>55</v>
      </c>
      <c r="Y463" s="30" t="s">
        <v>57</v>
      </c>
      <c r="Z463" s="30" t="s">
        <v>57</v>
      </c>
      <c r="AA463" s="30" t="s">
        <v>89</v>
      </c>
      <c r="AB463" s="30" t="s">
        <v>57</v>
      </c>
      <c r="AC463" s="27"/>
      <c r="AD463" s="31" t="s">
        <v>56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5523</v>
      </c>
      <c r="C464" s="41" t="s">
        <v>5524</v>
      </c>
      <c r="D464" s="39" t="s">
        <v>5500</v>
      </c>
      <c r="E464" s="42">
        <v>46128</v>
      </c>
      <c r="F464" s="26" t="s">
        <v>55</v>
      </c>
      <c r="G464" s="44" t="s">
        <v>57</v>
      </c>
      <c r="H464" s="26" t="s">
        <v>57</v>
      </c>
      <c r="I464" s="44" t="s">
        <v>89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42">
        <v>46196</v>
      </c>
      <c r="O464" s="26" t="s">
        <v>55</v>
      </c>
      <c r="P464" s="44" t="s">
        <v>57</v>
      </c>
      <c r="Q464" s="26" t="s">
        <v>57</v>
      </c>
      <c r="R464" s="44" t="s">
        <v>89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70">
        <v>46248</v>
      </c>
      <c r="X464" s="30" t="s">
        <v>55</v>
      </c>
      <c r="Y464" s="30" t="s">
        <v>57</v>
      </c>
      <c r="Z464" s="30" t="s">
        <v>57</v>
      </c>
      <c r="AA464" s="30" t="s">
        <v>89</v>
      </c>
      <c r="AB464" s="30" t="s">
        <v>57</v>
      </c>
      <c r="AC464" s="27"/>
      <c r="AD464" s="31" t="s">
        <v>56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5525</v>
      </c>
      <c r="C465" s="25" t="s">
        <v>5526</v>
      </c>
      <c r="D465" s="23" t="s">
        <v>5500</v>
      </c>
      <c r="E465" s="42">
        <v>46128</v>
      </c>
      <c r="F465" s="26" t="s">
        <v>55</v>
      </c>
      <c r="G465" s="44" t="s">
        <v>57</v>
      </c>
      <c r="H465" s="26" t="s">
        <v>57</v>
      </c>
      <c r="I465" s="44" t="s">
        <v>89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42">
        <v>46196</v>
      </c>
      <c r="O465" s="26" t="s">
        <v>55</v>
      </c>
      <c r="P465" s="44" t="s">
        <v>57</v>
      </c>
      <c r="Q465" s="26" t="s">
        <v>57</v>
      </c>
      <c r="R465" s="44" t="s">
        <v>89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70">
        <v>46248</v>
      </c>
      <c r="X465" s="30" t="s">
        <v>55</v>
      </c>
      <c r="Y465" s="30" t="s">
        <v>57</v>
      </c>
      <c r="Z465" s="30" t="s">
        <v>57</v>
      </c>
      <c r="AA465" s="30" t="s">
        <v>89</v>
      </c>
      <c r="AB465" s="30" t="s">
        <v>57</v>
      </c>
      <c r="AC465" s="27"/>
      <c r="AD465" s="31" t="s">
        <v>56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5527</v>
      </c>
      <c r="C466" s="41" t="s">
        <v>5528</v>
      </c>
      <c r="D466" s="39" t="s">
        <v>5500</v>
      </c>
      <c r="E466" s="42">
        <v>46128</v>
      </c>
      <c r="F466" s="26" t="s">
        <v>55</v>
      </c>
      <c r="G466" s="44" t="s">
        <v>57</v>
      </c>
      <c r="H466" s="26" t="s">
        <v>57</v>
      </c>
      <c r="I466" s="44" t="s">
        <v>89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42">
        <v>46196</v>
      </c>
      <c r="O466" s="26" t="s">
        <v>55</v>
      </c>
      <c r="P466" s="44" t="s">
        <v>57</v>
      </c>
      <c r="Q466" s="26" t="s">
        <v>57</v>
      </c>
      <c r="R466" s="44" t="s">
        <v>89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70">
        <v>46248</v>
      </c>
      <c r="X466" s="30" t="s">
        <v>55</v>
      </c>
      <c r="Y466" s="30" t="s">
        <v>57</v>
      </c>
      <c r="Z466" s="30" t="s">
        <v>57</v>
      </c>
      <c r="AA466" s="30" t="s">
        <v>89</v>
      </c>
      <c r="AB466" s="30" t="s">
        <v>57</v>
      </c>
      <c r="AC466" s="27"/>
      <c r="AD466" s="31" t="s">
        <v>56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5529</v>
      </c>
      <c r="C467" s="25" t="s">
        <v>5530</v>
      </c>
      <c r="D467" s="23" t="s">
        <v>5500</v>
      </c>
      <c r="E467" s="42">
        <v>46128</v>
      </c>
      <c r="F467" s="26" t="s">
        <v>55</v>
      </c>
      <c r="G467" s="44" t="s">
        <v>57</v>
      </c>
      <c r="H467" s="26" t="s">
        <v>57</v>
      </c>
      <c r="I467" s="44" t="s">
        <v>89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42">
        <v>46196</v>
      </c>
      <c r="O467" s="26" t="s">
        <v>55</v>
      </c>
      <c r="P467" s="44" t="s">
        <v>57</v>
      </c>
      <c r="Q467" s="26" t="s">
        <v>57</v>
      </c>
      <c r="R467" s="44" t="s">
        <v>89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70">
        <v>46248</v>
      </c>
      <c r="X467" s="30" t="s">
        <v>55</v>
      </c>
      <c r="Y467" s="30" t="s">
        <v>57</v>
      </c>
      <c r="Z467" s="30" t="s">
        <v>57</v>
      </c>
      <c r="AA467" s="30" t="s">
        <v>89</v>
      </c>
      <c r="AB467" s="30" t="s">
        <v>57</v>
      </c>
      <c r="AC467" s="27"/>
      <c r="AD467" s="31" t="s">
        <v>56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5531</v>
      </c>
      <c r="C468" s="41" t="s">
        <v>5532</v>
      </c>
      <c r="D468" s="39" t="s">
        <v>5500</v>
      </c>
      <c r="E468" s="42">
        <v>46128</v>
      </c>
      <c r="F468" s="26" t="s">
        <v>55</v>
      </c>
      <c r="G468" s="44" t="s">
        <v>57</v>
      </c>
      <c r="H468" s="26" t="s">
        <v>57</v>
      </c>
      <c r="I468" s="44" t="s">
        <v>89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42">
        <v>46196</v>
      </c>
      <c r="O468" s="26" t="s">
        <v>55</v>
      </c>
      <c r="P468" s="44" t="s">
        <v>57</v>
      </c>
      <c r="Q468" s="26" t="s">
        <v>57</v>
      </c>
      <c r="R468" s="44" t="s">
        <v>89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70">
        <v>46248</v>
      </c>
      <c r="X468" s="30" t="s">
        <v>55</v>
      </c>
      <c r="Y468" s="30" t="s">
        <v>57</v>
      </c>
      <c r="Z468" s="30" t="s">
        <v>57</v>
      </c>
      <c r="AA468" s="30" t="s">
        <v>89</v>
      </c>
      <c r="AB468" s="30" t="s">
        <v>57</v>
      </c>
      <c r="AC468" s="27"/>
      <c r="AD468" s="31" t="s">
        <v>56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5533</v>
      </c>
      <c r="C469" s="25" t="s">
        <v>5534</v>
      </c>
      <c r="D469" s="23" t="s">
        <v>5500</v>
      </c>
      <c r="E469" s="42">
        <v>46128</v>
      </c>
      <c r="F469" s="26" t="s">
        <v>55</v>
      </c>
      <c r="G469" s="44" t="s">
        <v>57</v>
      </c>
      <c r="H469" s="26" t="s">
        <v>57</v>
      </c>
      <c r="I469" s="44" t="s">
        <v>89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42">
        <v>46196</v>
      </c>
      <c r="O469" s="26" t="s">
        <v>55</v>
      </c>
      <c r="P469" s="44" t="s">
        <v>57</v>
      </c>
      <c r="Q469" s="26" t="s">
        <v>57</v>
      </c>
      <c r="R469" s="44" t="s">
        <v>89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70">
        <v>46248</v>
      </c>
      <c r="X469" s="30" t="s">
        <v>55</v>
      </c>
      <c r="Y469" s="30" t="s">
        <v>57</v>
      </c>
      <c r="Z469" s="30" t="s">
        <v>57</v>
      </c>
      <c r="AA469" s="30" t="s">
        <v>89</v>
      </c>
      <c r="AB469" s="30" t="s">
        <v>57</v>
      </c>
      <c r="AC469" s="27"/>
      <c r="AD469" s="31" t="s">
        <v>56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5535</v>
      </c>
      <c r="C470" s="41" t="s">
        <v>5536</v>
      </c>
      <c r="D470" s="39" t="s">
        <v>5500</v>
      </c>
      <c r="E470" s="42">
        <v>46128</v>
      </c>
      <c r="F470" s="26" t="s">
        <v>55</v>
      </c>
      <c r="G470" s="44" t="s">
        <v>57</v>
      </c>
      <c r="H470" s="26" t="s">
        <v>57</v>
      </c>
      <c r="I470" s="44" t="s">
        <v>89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42">
        <v>46196</v>
      </c>
      <c r="O470" s="26" t="s">
        <v>55</v>
      </c>
      <c r="P470" s="44" t="s">
        <v>57</v>
      </c>
      <c r="Q470" s="26" t="s">
        <v>57</v>
      </c>
      <c r="R470" s="44" t="s">
        <v>89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70">
        <v>46248</v>
      </c>
      <c r="X470" s="30" t="s">
        <v>55</v>
      </c>
      <c r="Y470" s="30" t="s">
        <v>57</v>
      </c>
      <c r="Z470" s="30" t="s">
        <v>57</v>
      </c>
      <c r="AA470" s="30" t="s">
        <v>89</v>
      </c>
      <c r="AB470" s="30" t="s">
        <v>57</v>
      </c>
      <c r="AC470" s="27"/>
      <c r="AD470" s="31" t="s">
        <v>56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5537</v>
      </c>
      <c r="C471" s="25" t="s">
        <v>5538</v>
      </c>
      <c r="D471" s="23" t="s">
        <v>5500</v>
      </c>
      <c r="E471" s="42">
        <v>46128</v>
      </c>
      <c r="F471" s="26" t="s">
        <v>55</v>
      </c>
      <c r="G471" s="44" t="s">
        <v>57</v>
      </c>
      <c r="H471" s="26" t="s">
        <v>57</v>
      </c>
      <c r="I471" s="44" t="s">
        <v>89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42">
        <v>46196</v>
      </c>
      <c r="O471" s="26" t="s">
        <v>55</v>
      </c>
      <c r="P471" s="44" t="s">
        <v>57</v>
      </c>
      <c r="Q471" s="26" t="s">
        <v>57</v>
      </c>
      <c r="R471" s="44" t="s">
        <v>89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70">
        <v>46248</v>
      </c>
      <c r="X471" s="30" t="s">
        <v>55</v>
      </c>
      <c r="Y471" s="30" t="s">
        <v>57</v>
      </c>
      <c r="Z471" s="30" t="s">
        <v>57</v>
      </c>
      <c r="AA471" s="30" t="s">
        <v>89</v>
      </c>
      <c r="AB471" s="30" t="s">
        <v>57</v>
      </c>
      <c r="AC471" s="27"/>
      <c r="AD471" s="31" t="s">
        <v>56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5539</v>
      </c>
      <c r="C472" s="41" t="s">
        <v>5540</v>
      </c>
      <c r="D472" s="39" t="s">
        <v>5500</v>
      </c>
      <c r="E472" s="42">
        <v>46128</v>
      </c>
      <c r="F472" s="26" t="s">
        <v>55</v>
      </c>
      <c r="G472" s="44" t="s">
        <v>56</v>
      </c>
      <c r="H472" s="26" t="s">
        <v>57</v>
      </c>
      <c r="I472" s="44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42">
        <v>46196</v>
      </c>
      <c r="O472" s="26" t="s">
        <v>55</v>
      </c>
      <c r="P472" s="44" t="s">
        <v>56</v>
      </c>
      <c r="Q472" s="26" t="s">
        <v>57</v>
      </c>
      <c r="R472" s="44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70">
        <v>46248</v>
      </c>
      <c r="X472" s="30" t="s">
        <v>55</v>
      </c>
      <c r="Y472" s="30" t="s">
        <v>56</v>
      </c>
      <c r="Z472" s="30" t="s">
        <v>57</v>
      </c>
      <c r="AA472" s="30" t="s">
        <v>58</v>
      </c>
      <c r="AB472" s="30" t="s">
        <v>56</v>
      </c>
      <c r="AC472" s="27"/>
      <c r="AD472" s="31" t="s">
        <v>57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5541</v>
      </c>
      <c r="C473" s="25" t="s">
        <v>5542</v>
      </c>
      <c r="D473" s="23" t="s">
        <v>5500</v>
      </c>
      <c r="E473" s="42">
        <v>46128</v>
      </c>
      <c r="F473" s="26" t="s">
        <v>55</v>
      </c>
      <c r="G473" s="44" t="s">
        <v>832</v>
      </c>
      <c r="H473" s="26" t="s">
        <v>57</v>
      </c>
      <c r="I473" s="44" t="s">
        <v>832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42">
        <v>46196</v>
      </c>
      <c r="O473" s="26" t="s">
        <v>55</v>
      </c>
      <c r="P473" s="44" t="s">
        <v>832</v>
      </c>
      <c r="Q473" s="26" t="s">
        <v>57</v>
      </c>
      <c r="R473" s="44" t="s">
        <v>832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70">
        <v>46248</v>
      </c>
      <c r="X473" s="30" t="s">
        <v>55</v>
      </c>
      <c r="Y473" s="30" t="s">
        <v>832</v>
      </c>
      <c r="Z473" s="30" t="s">
        <v>57</v>
      </c>
      <c r="AA473" s="30" t="s">
        <v>832</v>
      </c>
      <c r="AB473" s="30" t="s">
        <v>56</v>
      </c>
      <c r="AC473" s="27"/>
      <c r="AD473" s="31" t="s">
        <v>57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5543</v>
      </c>
      <c r="C474" s="41" t="s">
        <v>5544</v>
      </c>
      <c r="D474" s="39" t="s">
        <v>5500</v>
      </c>
      <c r="E474" s="42">
        <v>46128</v>
      </c>
      <c r="F474" s="26" t="s">
        <v>55</v>
      </c>
      <c r="G474" s="44" t="s">
        <v>832</v>
      </c>
      <c r="H474" s="26" t="s">
        <v>57</v>
      </c>
      <c r="I474" s="44" t="s">
        <v>832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42">
        <v>46196</v>
      </c>
      <c r="O474" s="26" t="s">
        <v>55</v>
      </c>
      <c r="P474" s="44" t="s">
        <v>832</v>
      </c>
      <c r="Q474" s="26" t="s">
        <v>57</v>
      </c>
      <c r="R474" s="44" t="s">
        <v>832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70">
        <v>46248</v>
      </c>
      <c r="X474" s="30" t="s">
        <v>55</v>
      </c>
      <c r="Y474" s="30" t="s">
        <v>832</v>
      </c>
      <c r="Z474" s="30" t="s">
        <v>57</v>
      </c>
      <c r="AA474" s="30" t="s">
        <v>832</v>
      </c>
      <c r="AB474" s="30" t="s">
        <v>56</v>
      </c>
      <c r="AC474" s="27"/>
      <c r="AD474" s="31" t="s">
        <v>57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5545</v>
      </c>
      <c r="C475" s="25" t="s">
        <v>5546</v>
      </c>
      <c r="D475" s="23" t="s">
        <v>5500</v>
      </c>
      <c r="E475" s="42">
        <v>46128</v>
      </c>
      <c r="F475" s="26" t="s">
        <v>55</v>
      </c>
      <c r="G475" s="44" t="s">
        <v>832</v>
      </c>
      <c r="H475" s="26" t="s">
        <v>57</v>
      </c>
      <c r="I475" s="44" t="s">
        <v>832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42">
        <v>46196</v>
      </c>
      <c r="O475" s="26" t="s">
        <v>55</v>
      </c>
      <c r="P475" s="44" t="s">
        <v>832</v>
      </c>
      <c r="Q475" s="26" t="s">
        <v>57</v>
      </c>
      <c r="R475" s="44" t="s">
        <v>832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70">
        <v>46248</v>
      </c>
      <c r="X475" s="30" t="s">
        <v>55</v>
      </c>
      <c r="Y475" s="30" t="s">
        <v>832</v>
      </c>
      <c r="Z475" s="30" t="s">
        <v>57</v>
      </c>
      <c r="AA475" s="30" t="s">
        <v>832</v>
      </c>
      <c r="AB475" s="30" t="s">
        <v>56</v>
      </c>
      <c r="AC475" s="27"/>
      <c r="AD475" s="31" t="s">
        <v>57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5547</v>
      </c>
      <c r="C476" s="41" t="s">
        <v>5548</v>
      </c>
      <c r="D476" s="39" t="s">
        <v>5500</v>
      </c>
      <c r="E476" s="42">
        <v>46128</v>
      </c>
      <c r="F476" s="26" t="s">
        <v>55</v>
      </c>
      <c r="G476" s="44" t="s">
        <v>56</v>
      </c>
      <c r="H476" s="26" t="s">
        <v>57</v>
      </c>
      <c r="I476" s="44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42">
        <v>46196</v>
      </c>
      <c r="O476" s="26" t="s">
        <v>55</v>
      </c>
      <c r="P476" s="44" t="s">
        <v>56</v>
      </c>
      <c r="Q476" s="26" t="s">
        <v>57</v>
      </c>
      <c r="R476" s="44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70">
        <v>46248</v>
      </c>
      <c r="X476" s="30" t="s">
        <v>55</v>
      </c>
      <c r="Y476" s="30" t="s">
        <v>56</v>
      </c>
      <c r="Z476" s="30" t="s">
        <v>57</v>
      </c>
      <c r="AA476" s="30" t="s">
        <v>58</v>
      </c>
      <c r="AB476" s="30" t="s">
        <v>56</v>
      </c>
      <c r="AC476" s="27"/>
      <c r="AD476" s="31" t="s">
        <v>57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5549</v>
      </c>
      <c r="C477" s="25" t="s">
        <v>5550</v>
      </c>
      <c r="D477" s="23" t="s">
        <v>5500</v>
      </c>
      <c r="E477" s="42">
        <v>46128</v>
      </c>
      <c r="F477" s="26" t="s">
        <v>55</v>
      </c>
      <c r="G477" s="44" t="s">
        <v>832</v>
      </c>
      <c r="H477" s="26" t="s">
        <v>57</v>
      </c>
      <c r="I477" s="44" t="s">
        <v>832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42">
        <v>46196</v>
      </c>
      <c r="O477" s="26" t="s">
        <v>55</v>
      </c>
      <c r="P477" s="44" t="s">
        <v>832</v>
      </c>
      <c r="Q477" s="26" t="s">
        <v>57</v>
      </c>
      <c r="R477" s="44" t="s">
        <v>832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70">
        <v>46248</v>
      </c>
      <c r="X477" s="30" t="s">
        <v>55</v>
      </c>
      <c r="Y477" s="30" t="s">
        <v>832</v>
      </c>
      <c r="Z477" s="30" t="s">
        <v>57</v>
      </c>
      <c r="AA477" s="30" t="s">
        <v>832</v>
      </c>
      <c r="AB477" s="30" t="s">
        <v>56</v>
      </c>
      <c r="AC477" s="27"/>
      <c r="AD477" s="31" t="s">
        <v>57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5551</v>
      </c>
      <c r="C478" s="41" t="s">
        <v>5552</v>
      </c>
      <c r="D478" s="39" t="s">
        <v>5500</v>
      </c>
      <c r="E478" s="42">
        <v>46128</v>
      </c>
      <c r="F478" s="26" t="s">
        <v>55</v>
      </c>
      <c r="G478" s="44" t="s">
        <v>832</v>
      </c>
      <c r="H478" s="26" t="s">
        <v>57</v>
      </c>
      <c r="I478" s="44" t="s">
        <v>832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42">
        <v>46196</v>
      </c>
      <c r="O478" s="26" t="s">
        <v>55</v>
      </c>
      <c r="P478" s="44" t="s">
        <v>832</v>
      </c>
      <c r="Q478" s="26" t="s">
        <v>57</v>
      </c>
      <c r="R478" s="44" t="s">
        <v>832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70">
        <v>46248</v>
      </c>
      <c r="X478" s="30" t="s">
        <v>55</v>
      </c>
      <c r="Y478" s="30" t="s">
        <v>832</v>
      </c>
      <c r="Z478" s="30" t="s">
        <v>57</v>
      </c>
      <c r="AA478" s="30" t="s">
        <v>832</v>
      </c>
      <c r="AB478" s="30" t="s">
        <v>56</v>
      </c>
      <c r="AC478" s="27"/>
      <c r="AD478" s="31" t="s">
        <v>57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5553</v>
      </c>
      <c r="C479" s="25" t="s">
        <v>5554</v>
      </c>
      <c r="D479" s="23" t="s">
        <v>5500</v>
      </c>
      <c r="E479" s="42">
        <v>46128</v>
      </c>
      <c r="F479" s="26" t="s">
        <v>55</v>
      </c>
      <c r="G479" s="44" t="s">
        <v>832</v>
      </c>
      <c r="H479" s="26" t="s">
        <v>57</v>
      </c>
      <c r="I479" s="44" t="s">
        <v>832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42">
        <v>46196</v>
      </c>
      <c r="O479" s="26" t="s">
        <v>55</v>
      </c>
      <c r="P479" s="44" t="s">
        <v>832</v>
      </c>
      <c r="Q479" s="26" t="s">
        <v>57</v>
      </c>
      <c r="R479" s="44" t="s">
        <v>832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70">
        <v>46248</v>
      </c>
      <c r="X479" s="30" t="s">
        <v>55</v>
      </c>
      <c r="Y479" s="30" t="s">
        <v>832</v>
      </c>
      <c r="Z479" s="30" t="s">
        <v>57</v>
      </c>
      <c r="AA479" s="30" t="s">
        <v>832</v>
      </c>
      <c r="AB479" s="30" t="s">
        <v>56</v>
      </c>
      <c r="AC479" s="27"/>
      <c r="AD479" s="31" t="s">
        <v>57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5555</v>
      </c>
      <c r="C480" s="41" t="s">
        <v>5556</v>
      </c>
      <c r="D480" s="39" t="s">
        <v>5500</v>
      </c>
      <c r="E480" s="42">
        <v>46128</v>
      </c>
      <c r="F480" s="26" t="s">
        <v>55</v>
      </c>
      <c r="G480" s="44" t="s">
        <v>832</v>
      </c>
      <c r="H480" s="26" t="s">
        <v>57</v>
      </c>
      <c r="I480" s="44" t="s">
        <v>832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42">
        <v>46196</v>
      </c>
      <c r="O480" s="26" t="s">
        <v>55</v>
      </c>
      <c r="P480" s="44" t="s">
        <v>832</v>
      </c>
      <c r="Q480" s="26" t="s">
        <v>57</v>
      </c>
      <c r="R480" s="44" t="s">
        <v>832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70">
        <v>46248</v>
      </c>
      <c r="X480" s="30" t="s">
        <v>55</v>
      </c>
      <c r="Y480" s="30" t="s">
        <v>832</v>
      </c>
      <c r="Z480" s="30" t="s">
        <v>57</v>
      </c>
      <c r="AA480" s="30" t="s">
        <v>832</v>
      </c>
      <c r="AB480" s="30" t="s">
        <v>56</v>
      </c>
      <c r="AC480" s="27"/>
      <c r="AD480" s="31" t="s">
        <v>57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5557</v>
      </c>
      <c r="C481" s="25" t="s">
        <v>5558</v>
      </c>
      <c r="D481" s="23" t="s">
        <v>5500</v>
      </c>
      <c r="E481" s="42">
        <v>46128</v>
      </c>
      <c r="F481" s="26" t="s">
        <v>55</v>
      </c>
      <c r="G481" s="44" t="s">
        <v>832</v>
      </c>
      <c r="H481" s="26" t="s">
        <v>57</v>
      </c>
      <c r="I481" s="44" t="s">
        <v>832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42">
        <v>46196</v>
      </c>
      <c r="O481" s="26" t="s">
        <v>55</v>
      </c>
      <c r="P481" s="44" t="s">
        <v>832</v>
      </c>
      <c r="Q481" s="26" t="s">
        <v>57</v>
      </c>
      <c r="R481" s="44" t="s">
        <v>832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70">
        <v>46248</v>
      </c>
      <c r="X481" s="30" t="s">
        <v>55</v>
      </c>
      <c r="Y481" s="30" t="s">
        <v>832</v>
      </c>
      <c r="Z481" s="30" t="s">
        <v>57</v>
      </c>
      <c r="AA481" s="30" t="s">
        <v>832</v>
      </c>
      <c r="AB481" s="30" t="s">
        <v>56</v>
      </c>
      <c r="AC481" s="27"/>
      <c r="AD481" s="31" t="s">
        <v>57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5559</v>
      </c>
      <c r="C482" s="41" t="s">
        <v>5560</v>
      </c>
      <c r="D482" s="39" t="s">
        <v>5500</v>
      </c>
      <c r="E482" s="42">
        <v>46128</v>
      </c>
      <c r="F482" s="26" t="s">
        <v>55</v>
      </c>
      <c r="G482" s="44" t="s">
        <v>832</v>
      </c>
      <c r="H482" s="26" t="s">
        <v>57</v>
      </c>
      <c r="I482" s="44" t="s">
        <v>832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42">
        <v>46196</v>
      </c>
      <c r="O482" s="26" t="s">
        <v>55</v>
      </c>
      <c r="P482" s="44" t="s">
        <v>832</v>
      </c>
      <c r="Q482" s="26" t="s">
        <v>57</v>
      </c>
      <c r="R482" s="44" t="s">
        <v>832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70">
        <v>46248</v>
      </c>
      <c r="X482" s="30" t="s">
        <v>55</v>
      </c>
      <c r="Y482" s="30" t="s">
        <v>832</v>
      </c>
      <c r="Z482" s="30" t="s">
        <v>57</v>
      </c>
      <c r="AA482" s="30" t="s">
        <v>832</v>
      </c>
      <c r="AB482" s="30" t="s">
        <v>56</v>
      </c>
      <c r="AC482" s="27"/>
      <c r="AD482" s="31" t="s">
        <v>57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5561</v>
      </c>
      <c r="C483" s="25" t="s">
        <v>5562</v>
      </c>
      <c r="D483" s="23" t="s">
        <v>5500</v>
      </c>
      <c r="E483" s="42">
        <v>46128</v>
      </c>
      <c r="F483" s="26" t="s">
        <v>55</v>
      </c>
      <c r="G483" s="44" t="s">
        <v>56</v>
      </c>
      <c r="H483" s="26" t="s">
        <v>57</v>
      </c>
      <c r="I483" s="44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42">
        <v>46196</v>
      </c>
      <c r="O483" s="26" t="s">
        <v>55</v>
      </c>
      <c r="P483" s="44" t="s">
        <v>56</v>
      </c>
      <c r="Q483" s="26" t="s">
        <v>57</v>
      </c>
      <c r="R483" s="44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70">
        <v>46248</v>
      </c>
      <c r="X483" s="30" t="s">
        <v>55</v>
      </c>
      <c r="Y483" s="30" t="s">
        <v>56</v>
      </c>
      <c r="Z483" s="30" t="s">
        <v>57</v>
      </c>
      <c r="AA483" s="30" t="s">
        <v>58</v>
      </c>
      <c r="AB483" s="30" t="s">
        <v>56</v>
      </c>
      <c r="AC483" s="27"/>
      <c r="AD483" s="31" t="s">
        <v>57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5563</v>
      </c>
      <c r="C484" s="41" t="s">
        <v>5564</v>
      </c>
      <c r="D484" s="39" t="s">
        <v>5500</v>
      </c>
      <c r="E484" s="42">
        <v>46128</v>
      </c>
      <c r="F484" s="26" t="s">
        <v>55</v>
      </c>
      <c r="G484" s="44" t="s">
        <v>832</v>
      </c>
      <c r="H484" s="26" t="s">
        <v>57</v>
      </c>
      <c r="I484" s="44" t="s">
        <v>832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42">
        <v>46196</v>
      </c>
      <c r="O484" s="26" t="s">
        <v>55</v>
      </c>
      <c r="P484" s="44" t="s">
        <v>832</v>
      </c>
      <c r="Q484" s="26" t="s">
        <v>57</v>
      </c>
      <c r="R484" s="44" t="s">
        <v>832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70">
        <v>46248</v>
      </c>
      <c r="X484" s="30" t="s">
        <v>55</v>
      </c>
      <c r="Y484" s="30" t="s">
        <v>832</v>
      </c>
      <c r="Z484" s="30" t="s">
        <v>57</v>
      </c>
      <c r="AA484" s="30" t="s">
        <v>832</v>
      </c>
      <c r="AB484" s="30" t="s">
        <v>56</v>
      </c>
      <c r="AC484" s="27"/>
      <c r="AD484" s="31" t="s">
        <v>57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5565</v>
      </c>
      <c r="C485" s="25" t="s">
        <v>5566</v>
      </c>
      <c r="D485" s="23" t="s">
        <v>5500</v>
      </c>
      <c r="E485" s="42">
        <v>46128</v>
      </c>
      <c r="F485" s="26" t="s">
        <v>55</v>
      </c>
      <c r="G485" s="44" t="s">
        <v>832</v>
      </c>
      <c r="H485" s="26" t="s">
        <v>57</v>
      </c>
      <c r="I485" s="44" t="s">
        <v>832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42">
        <v>46196</v>
      </c>
      <c r="O485" s="26" t="s">
        <v>55</v>
      </c>
      <c r="P485" s="44" t="s">
        <v>832</v>
      </c>
      <c r="Q485" s="26" t="s">
        <v>57</v>
      </c>
      <c r="R485" s="44" t="s">
        <v>832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70">
        <v>46248</v>
      </c>
      <c r="X485" s="30" t="s">
        <v>55</v>
      </c>
      <c r="Y485" s="30" t="s">
        <v>832</v>
      </c>
      <c r="Z485" s="30" t="s">
        <v>57</v>
      </c>
      <c r="AA485" s="30" t="s">
        <v>832</v>
      </c>
      <c r="AB485" s="30" t="s">
        <v>56</v>
      </c>
      <c r="AC485" s="27"/>
      <c r="AD485" s="31" t="s">
        <v>57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5567</v>
      </c>
      <c r="C486" s="41" t="s">
        <v>5568</v>
      </c>
      <c r="D486" s="39" t="s">
        <v>5500</v>
      </c>
      <c r="E486" s="42">
        <v>46128</v>
      </c>
      <c r="F486" s="26" t="s">
        <v>55</v>
      </c>
      <c r="G486" s="44" t="s">
        <v>832</v>
      </c>
      <c r="H486" s="26" t="s">
        <v>57</v>
      </c>
      <c r="I486" s="44" t="s">
        <v>832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42">
        <v>46196</v>
      </c>
      <c r="O486" s="26" t="s">
        <v>55</v>
      </c>
      <c r="P486" s="44" t="s">
        <v>832</v>
      </c>
      <c r="Q486" s="26" t="s">
        <v>57</v>
      </c>
      <c r="R486" s="44" t="s">
        <v>832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70">
        <v>46248</v>
      </c>
      <c r="X486" s="30" t="s">
        <v>55</v>
      </c>
      <c r="Y486" s="30" t="s">
        <v>832</v>
      </c>
      <c r="Z486" s="30" t="s">
        <v>57</v>
      </c>
      <c r="AA486" s="30" t="s">
        <v>832</v>
      </c>
      <c r="AB486" s="30" t="s">
        <v>56</v>
      </c>
      <c r="AC486" s="27"/>
      <c r="AD486" s="31" t="s">
        <v>57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5569</v>
      </c>
      <c r="C487" s="25" t="s">
        <v>5570</v>
      </c>
      <c r="D487" s="23" t="s">
        <v>5500</v>
      </c>
      <c r="E487" s="42">
        <v>46128</v>
      </c>
      <c r="F487" s="26" t="s">
        <v>55</v>
      </c>
      <c r="G487" s="44" t="s">
        <v>832</v>
      </c>
      <c r="H487" s="26" t="s">
        <v>57</v>
      </c>
      <c r="I487" s="44" t="s">
        <v>832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42">
        <v>46196</v>
      </c>
      <c r="O487" s="26" t="s">
        <v>55</v>
      </c>
      <c r="P487" s="44" t="s">
        <v>832</v>
      </c>
      <c r="Q487" s="26" t="s">
        <v>57</v>
      </c>
      <c r="R487" s="44" t="s">
        <v>832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70">
        <v>46248</v>
      </c>
      <c r="X487" s="30" t="s">
        <v>55</v>
      </c>
      <c r="Y487" s="30" t="s">
        <v>832</v>
      </c>
      <c r="Z487" s="30" t="s">
        <v>57</v>
      </c>
      <c r="AA487" s="30" t="s">
        <v>832</v>
      </c>
      <c r="AB487" s="30" t="s">
        <v>56</v>
      </c>
      <c r="AC487" s="27"/>
      <c r="AD487" s="31" t="s">
        <v>57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5571</v>
      </c>
      <c r="C488" s="41" t="s">
        <v>5572</v>
      </c>
      <c r="D488" s="39" t="s">
        <v>5500</v>
      </c>
      <c r="E488" s="42">
        <v>46128</v>
      </c>
      <c r="F488" s="26" t="s">
        <v>55</v>
      </c>
      <c r="G488" s="44" t="s">
        <v>832</v>
      </c>
      <c r="H488" s="26" t="s">
        <v>57</v>
      </c>
      <c r="I488" s="44" t="s">
        <v>832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42">
        <v>46196</v>
      </c>
      <c r="O488" s="26" t="s">
        <v>55</v>
      </c>
      <c r="P488" s="44" t="s">
        <v>832</v>
      </c>
      <c r="Q488" s="26" t="s">
        <v>57</v>
      </c>
      <c r="R488" s="44" t="s">
        <v>832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70">
        <v>46248</v>
      </c>
      <c r="X488" s="30" t="s">
        <v>55</v>
      </c>
      <c r="Y488" s="30" t="s">
        <v>832</v>
      </c>
      <c r="Z488" s="30" t="s">
        <v>57</v>
      </c>
      <c r="AA488" s="30" t="s">
        <v>832</v>
      </c>
      <c r="AB488" s="30" t="s">
        <v>56</v>
      </c>
      <c r="AC488" s="27"/>
      <c r="AD488" s="31" t="s">
        <v>57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5573</v>
      </c>
      <c r="C489" s="25" t="s">
        <v>5574</v>
      </c>
      <c r="D489" s="23" t="s">
        <v>5500</v>
      </c>
      <c r="E489" s="42">
        <v>46128</v>
      </c>
      <c r="F489" s="26" t="s">
        <v>55</v>
      </c>
      <c r="G489" s="44" t="s">
        <v>832</v>
      </c>
      <c r="H489" s="26" t="s">
        <v>57</v>
      </c>
      <c r="I489" s="44" t="s">
        <v>832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46196</v>
      </c>
      <c r="O489" s="26" t="s">
        <v>55</v>
      </c>
      <c r="P489" s="44" t="s">
        <v>832</v>
      </c>
      <c r="Q489" s="26" t="s">
        <v>57</v>
      </c>
      <c r="R489" s="44" t="s">
        <v>832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70">
        <v>46248</v>
      </c>
      <c r="X489" s="30" t="s">
        <v>55</v>
      </c>
      <c r="Y489" s="30" t="s">
        <v>832</v>
      </c>
      <c r="Z489" s="30" t="s">
        <v>57</v>
      </c>
      <c r="AA489" s="30" t="s">
        <v>832</v>
      </c>
      <c r="AB489" s="30" t="s">
        <v>56</v>
      </c>
      <c r="AC489" s="27"/>
      <c r="AD489" s="31" t="s">
        <v>57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5575</v>
      </c>
      <c r="C490" s="41" t="s">
        <v>5576</v>
      </c>
      <c r="D490" s="39" t="s">
        <v>5500</v>
      </c>
      <c r="E490" s="42">
        <v>46128</v>
      </c>
      <c r="F490" s="26" t="s">
        <v>55</v>
      </c>
      <c r="G490" s="44" t="s">
        <v>832</v>
      </c>
      <c r="H490" s="26" t="s">
        <v>57</v>
      </c>
      <c r="I490" s="44" t="s">
        <v>832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46196</v>
      </c>
      <c r="O490" s="26" t="s">
        <v>55</v>
      </c>
      <c r="P490" s="44" t="s">
        <v>832</v>
      </c>
      <c r="Q490" s="26" t="s">
        <v>57</v>
      </c>
      <c r="R490" s="44" t="s">
        <v>832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70">
        <v>46248</v>
      </c>
      <c r="X490" s="30" t="s">
        <v>55</v>
      </c>
      <c r="Y490" s="30" t="s">
        <v>832</v>
      </c>
      <c r="Z490" s="30" t="s">
        <v>57</v>
      </c>
      <c r="AA490" s="30" t="s">
        <v>832</v>
      </c>
      <c r="AB490" s="30" t="s">
        <v>56</v>
      </c>
      <c r="AC490" s="27"/>
      <c r="AD490" s="31" t="s">
        <v>57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5577</v>
      </c>
      <c r="C491" s="25" t="s">
        <v>5578</v>
      </c>
      <c r="D491" s="23" t="s">
        <v>5500</v>
      </c>
      <c r="E491" s="42">
        <v>46128</v>
      </c>
      <c r="F491" s="26" t="s">
        <v>55</v>
      </c>
      <c r="G491" s="44" t="s">
        <v>56</v>
      </c>
      <c r="H491" s="26" t="s">
        <v>57</v>
      </c>
      <c r="I491" s="44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46196</v>
      </c>
      <c r="O491" s="26" t="s">
        <v>55</v>
      </c>
      <c r="P491" s="44" t="s">
        <v>56</v>
      </c>
      <c r="Q491" s="26" t="s">
        <v>57</v>
      </c>
      <c r="R491" s="44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70">
        <v>46248</v>
      </c>
      <c r="X491" s="30" t="s">
        <v>55</v>
      </c>
      <c r="Y491" s="30" t="s">
        <v>56</v>
      </c>
      <c r="Z491" s="30" t="s">
        <v>57</v>
      </c>
      <c r="AA491" s="30" t="s">
        <v>58</v>
      </c>
      <c r="AB491" s="30" t="s">
        <v>56</v>
      </c>
      <c r="AC491" s="27"/>
      <c r="AD491" s="31" t="s">
        <v>57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5579</v>
      </c>
      <c r="C492" s="41" t="s">
        <v>5580</v>
      </c>
      <c r="D492" s="39" t="s">
        <v>5500</v>
      </c>
      <c r="E492" s="42">
        <v>46128</v>
      </c>
      <c r="F492" s="26" t="s">
        <v>55</v>
      </c>
      <c r="G492" s="44" t="s">
        <v>832</v>
      </c>
      <c r="H492" s="26" t="s">
        <v>57</v>
      </c>
      <c r="I492" s="44" t="s">
        <v>832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46196</v>
      </c>
      <c r="O492" s="26" t="s">
        <v>55</v>
      </c>
      <c r="P492" s="44" t="s">
        <v>832</v>
      </c>
      <c r="Q492" s="26" t="s">
        <v>57</v>
      </c>
      <c r="R492" s="44" t="s">
        <v>832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70">
        <v>46248</v>
      </c>
      <c r="X492" s="30" t="s">
        <v>55</v>
      </c>
      <c r="Y492" s="30" t="s">
        <v>832</v>
      </c>
      <c r="Z492" s="30" t="s">
        <v>57</v>
      </c>
      <c r="AA492" s="30" t="s">
        <v>832</v>
      </c>
      <c r="AB492" s="30" t="s">
        <v>56</v>
      </c>
      <c r="AC492" s="27"/>
      <c r="AD492" s="31" t="s">
        <v>57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5581</v>
      </c>
      <c r="C493" s="25" t="s">
        <v>5582</v>
      </c>
      <c r="D493" s="23" t="s">
        <v>5500</v>
      </c>
      <c r="E493" s="42">
        <v>46128</v>
      </c>
      <c r="F493" s="26" t="s">
        <v>55</v>
      </c>
      <c r="G493" s="44" t="s">
        <v>832</v>
      </c>
      <c r="H493" s="26" t="s">
        <v>57</v>
      </c>
      <c r="I493" s="44" t="s">
        <v>832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46196</v>
      </c>
      <c r="O493" s="26" t="s">
        <v>55</v>
      </c>
      <c r="P493" s="44" t="s">
        <v>832</v>
      </c>
      <c r="Q493" s="26" t="s">
        <v>57</v>
      </c>
      <c r="R493" s="44" t="s">
        <v>832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70">
        <v>46248</v>
      </c>
      <c r="X493" s="30" t="s">
        <v>55</v>
      </c>
      <c r="Y493" s="30" t="s">
        <v>832</v>
      </c>
      <c r="Z493" s="30" t="s">
        <v>57</v>
      </c>
      <c r="AA493" s="30" t="s">
        <v>832</v>
      </c>
      <c r="AB493" s="30" t="s">
        <v>56</v>
      </c>
      <c r="AC493" s="27"/>
      <c r="AD493" s="31" t="s">
        <v>57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5583</v>
      </c>
      <c r="C494" s="41" t="s">
        <v>5584</v>
      </c>
      <c r="D494" s="39" t="s">
        <v>5500</v>
      </c>
      <c r="E494" s="42">
        <v>46128</v>
      </c>
      <c r="F494" s="26" t="s">
        <v>55</v>
      </c>
      <c r="G494" s="44" t="s">
        <v>832</v>
      </c>
      <c r="H494" s="26" t="s">
        <v>57</v>
      </c>
      <c r="I494" s="44" t="s">
        <v>832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46196</v>
      </c>
      <c r="O494" s="26" t="s">
        <v>55</v>
      </c>
      <c r="P494" s="44" t="s">
        <v>832</v>
      </c>
      <c r="Q494" s="26" t="s">
        <v>57</v>
      </c>
      <c r="R494" s="44" t="s">
        <v>832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70">
        <v>46248</v>
      </c>
      <c r="X494" s="30" t="s">
        <v>55</v>
      </c>
      <c r="Y494" s="30" t="s">
        <v>832</v>
      </c>
      <c r="Z494" s="30" t="s">
        <v>57</v>
      </c>
      <c r="AA494" s="30" t="s">
        <v>832</v>
      </c>
      <c r="AB494" s="30" t="s">
        <v>56</v>
      </c>
      <c r="AC494" s="27"/>
      <c r="AD494" s="31" t="s">
        <v>57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5585</v>
      </c>
      <c r="C495" s="25" t="s">
        <v>5586</v>
      </c>
      <c r="D495" s="23" t="s">
        <v>5500</v>
      </c>
      <c r="E495" s="42">
        <v>46128</v>
      </c>
      <c r="F495" s="26" t="s">
        <v>55</v>
      </c>
      <c r="G495" s="44" t="s">
        <v>832</v>
      </c>
      <c r="H495" s="26" t="s">
        <v>57</v>
      </c>
      <c r="I495" s="44" t="s">
        <v>832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46196</v>
      </c>
      <c r="O495" s="26" t="s">
        <v>55</v>
      </c>
      <c r="P495" s="44" t="s">
        <v>832</v>
      </c>
      <c r="Q495" s="26" t="s">
        <v>57</v>
      </c>
      <c r="R495" s="44" t="s">
        <v>832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70">
        <v>46248</v>
      </c>
      <c r="X495" s="30" t="s">
        <v>55</v>
      </c>
      <c r="Y495" s="30" t="s">
        <v>832</v>
      </c>
      <c r="Z495" s="30" t="s">
        <v>57</v>
      </c>
      <c r="AA495" s="30" t="s">
        <v>832</v>
      </c>
      <c r="AB495" s="30" t="s">
        <v>56</v>
      </c>
      <c r="AC495" s="27"/>
      <c r="AD495" s="31" t="s">
        <v>57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5587</v>
      </c>
      <c r="C496" s="41" t="s">
        <v>5588</v>
      </c>
      <c r="D496" s="39" t="s">
        <v>5500</v>
      </c>
      <c r="E496" s="42">
        <v>46128</v>
      </c>
      <c r="F496" s="26" t="s">
        <v>55</v>
      </c>
      <c r="G496" s="44" t="s">
        <v>832</v>
      </c>
      <c r="H496" s="26" t="s">
        <v>57</v>
      </c>
      <c r="I496" s="44" t="s">
        <v>832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46196</v>
      </c>
      <c r="O496" s="26" t="s">
        <v>55</v>
      </c>
      <c r="P496" s="44" t="s">
        <v>832</v>
      </c>
      <c r="Q496" s="26" t="s">
        <v>57</v>
      </c>
      <c r="R496" s="44" t="s">
        <v>832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70">
        <v>46248</v>
      </c>
      <c r="X496" s="30" t="s">
        <v>55</v>
      </c>
      <c r="Y496" s="30" t="s">
        <v>832</v>
      </c>
      <c r="Z496" s="30" t="s">
        <v>57</v>
      </c>
      <c r="AA496" s="30" t="s">
        <v>832</v>
      </c>
      <c r="AB496" s="30" t="s">
        <v>56</v>
      </c>
      <c r="AC496" s="27"/>
      <c r="AD496" s="31" t="s">
        <v>57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5589</v>
      </c>
      <c r="C497" s="25" t="s">
        <v>5590</v>
      </c>
      <c r="D497" s="23" t="s">
        <v>5500</v>
      </c>
      <c r="E497" s="42">
        <v>46128</v>
      </c>
      <c r="F497" s="26" t="s">
        <v>55</v>
      </c>
      <c r="G497" s="44" t="s">
        <v>832</v>
      </c>
      <c r="H497" s="26" t="s">
        <v>57</v>
      </c>
      <c r="I497" s="44" t="s">
        <v>832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46196</v>
      </c>
      <c r="O497" s="26" t="s">
        <v>55</v>
      </c>
      <c r="P497" s="44" t="s">
        <v>832</v>
      </c>
      <c r="Q497" s="26" t="s">
        <v>57</v>
      </c>
      <c r="R497" s="44" t="s">
        <v>832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70">
        <v>46248</v>
      </c>
      <c r="X497" s="30" t="s">
        <v>55</v>
      </c>
      <c r="Y497" s="30" t="s">
        <v>832</v>
      </c>
      <c r="Z497" s="30" t="s">
        <v>57</v>
      </c>
      <c r="AA497" s="30" t="s">
        <v>832</v>
      </c>
      <c r="AB497" s="30" t="s">
        <v>56</v>
      </c>
      <c r="AC497" s="27"/>
      <c r="AD497" s="31" t="s">
        <v>57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5591</v>
      </c>
      <c r="C498" s="41" t="s">
        <v>5592</v>
      </c>
      <c r="D498" s="39" t="s">
        <v>5500</v>
      </c>
      <c r="E498" s="42">
        <v>46128</v>
      </c>
      <c r="F498" s="26" t="s">
        <v>55</v>
      </c>
      <c r="G498" s="44" t="s">
        <v>832</v>
      </c>
      <c r="H498" s="26" t="s">
        <v>57</v>
      </c>
      <c r="I498" s="44" t="s">
        <v>832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46196</v>
      </c>
      <c r="O498" s="26" t="s">
        <v>55</v>
      </c>
      <c r="P498" s="44" t="s">
        <v>832</v>
      </c>
      <c r="Q498" s="26" t="s">
        <v>57</v>
      </c>
      <c r="R498" s="44" t="s">
        <v>832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70">
        <v>46248</v>
      </c>
      <c r="X498" s="30" t="s">
        <v>55</v>
      </c>
      <c r="Y498" s="30" t="s">
        <v>832</v>
      </c>
      <c r="Z498" s="30" t="s">
        <v>57</v>
      </c>
      <c r="AA498" s="30" t="s">
        <v>832</v>
      </c>
      <c r="AB498" s="30" t="s">
        <v>56</v>
      </c>
      <c r="AC498" s="27"/>
      <c r="AD498" s="31" t="s">
        <v>57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5593</v>
      </c>
      <c r="C499" s="25" t="s">
        <v>5594</v>
      </c>
      <c r="D499" s="23" t="s">
        <v>5500</v>
      </c>
      <c r="E499" s="42">
        <v>46128</v>
      </c>
      <c r="F499" s="26" t="s">
        <v>55</v>
      </c>
      <c r="G499" s="44" t="s">
        <v>832</v>
      </c>
      <c r="H499" s="26" t="s">
        <v>57</v>
      </c>
      <c r="I499" s="44" t="s">
        <v>832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46196</v>
      </c>
      <c r="O499" s="26" t="s">
        <v>55</v>
      </c>
      <c r="P499" s="44" t="s">
        <v>832</v>
      </c>
      <c r="Q499" s="26" t="s">
        <v>57</v>
      </c>
      <c r="R499" s="44" t="s">
        <v>832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70">
        <v>46248</v>
      </c>
      <c r="X499" s="30" t="s">
        <v>55</v>
      </c>
      <c r="Y499" s="30" t="s">
        <v>832</v>
      </c>
      <c r="Z499" s="30" t="s">
        <v>57</v>
      </c>
      <c r="AA499" s="30" t="s">
        <v>832</v>
      </c>
      <c r="AB499" s="30" t="s">
        <v>56</v>
      </c>
      <c r="AC499" s="27"/>
      <c r="AD499" s="31" t="s">
        <v>57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5595</v>
      </c>
      <c r="C500" s="41" t="s">
        <v>5596</v>
      </c>
      <c r="D500" s="39" t="s">
        <v>5500</v>
      </c>
      <c r="E500" s="42">
        <v>46128</v>
      </c>
      <c r="F500" s="26" t="s">
        <v>55</v>
      </c>
      <c r="G500" s="44" t="s">
        <v>832</v>
      </c>
      <c r="H500" s="26" t="s">
        <v>57</v>
      </c>
      <c r="I500" s="44" t="s">
        <v>832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46196</v>
      </c>
      <c r="O500" s="26" t="s">
        <v>55</v>
      </c>
      <c r="P500" s="44" t="s">
        <v>832</v>
      </c>
      <c r="Q500" s="26" t="s">
        <v>57</v>
      </c>
      <c r="R500" s="44" t="s">
        <v>832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70">
        <v>46248</v>
      </c>
      <c r="X500" s="30" t="s">
        <v>55</v>
      </c>
      <c r="Y500" s="30" t="s">
        <v>832</v>
      </c>
      <c r="Z500" s="30" t="s">
        <v>57</v>
      </c>
      <c r="AA500" s="30" t="s">
        <v>832</v>
      </c>
      <c r="AB500" s="30" t="s">
        <v>56</v>
      </c>
      <c r="AC500" s="27"/>
      <c r="AD500" s="31" t="s">
        <v>57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5597</v>
      </c>
      <c r="C501" s="25" t="s">
        <v>5598</v>
      </c>
      <c r="D501" s="23" t="s">
        <v>5500</v>
      </c>
      <c r="E501" s="42">
        <v>46128</v>
      </c>
      <c r="F501" s="26" t="s">
        <v>55</v>
      </c>
      <c r="G501" s="44" t="s">
        <v>56</v>
      </c>
      <c r="H501" s="26" t="s">
        <v>57</v>
      </c>
      <c r="I501" s="44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46196</v>
      </c>
      <c r="O501" s="26" t="s">
        <v>55</v>
      </c>
      <c r="P501" s="44" t="s">
        <v>56</v>
      </c>
      <c r="Q501" s="26" t="s">
        <v>57</v>
      </c>
      <c r="R501" s="44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70">
        <v>46248</v>
      </c>
      <c r="X501" s="30" t="s">
        <v>55</v>
      </c>
      <c r="Y501" s="30" t="s">
        <v>56</v>
      </c>
      <c r="Z501" s="30" t="s">
        <v>57</v>
      </c>
      <c r="AA501" s="30" t="s">
        <v>58</v>
      </c>
      <c r="AB501" s="30" t="s">
        <v>56</v>
      </c>
      <c r="AC501" s="27"/>
      <c r="AD501" s="31" t="s">
        <v>57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5599</v>
      </c>
      <c r="C502" s="41" t="s">
        <v>5600</v>
      </c>
      <c r="D502" s="39" t="s">
        <v>5500</v>
      </c>
      <c r="E502" s="42">
        <v>46128</v>
      </c>
      <c r="F502" s="26" t="s">
        <v>55</v>
      </c>
      <c r="G502" s="44" t="s">
        <v>832</v>
      </c>
      <c r="H502" s="26" t="s">
        <v>57</v>
      </c>
      <c r="I502" s="44" t="s">
        <v>832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46196</v>
      </c>
      <c r="O502" s="26" t="s">
        <v>55</v>
      </c>
      <c r="P502" s="44" t="s">
        <v>832</v>
      </c>
      <c r="Q502" s="26" t="s">
        <v>57</v>
      </c>
      <c r="R502" s="44" t="s">
        <v>832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70">
        <v>46248</v>
      </c>
      <c r="X502" s="30" t="s">
        <v>55</v>
      </c>
      <c r="Y502" s="30" t="s">
        <v>832</v>
      </c>
      <c r="Z502" s="30" t="s">
        <v>57</v>
      </c>
      <c r="AA502" s="30" t="s">
        <v>832</v>
      </c>
      <c r="AB502" s="30" t="s">
        <v>56</v>
      </c>
      <c r="AC502" s="27"/>
      <c r="AD502" s="31" t="s">
        <v>57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5601</v>
      </c>
      <c r="C503" s="25" t="s">
        <v>5602</v>
      </c>
      <c r="D503" s="23" t="s">
        <v>5500</v>
      </c>
      <c r="E503" s="42">
        <v>46128</v>
      </c>
      <c r="F503" s="26" t="s">
        <v>55</v>
      </c>
      <c r="G503" s="44" t="s">
        <v>56</v>
      </c>
      <c r="H503" s="26" t="s">
        <v>57</v>
      </c>
      <c r="I503" s="44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46196</v>
      </c>
      <c r="O503" s="26" t="s">
        <v>55</v>
      </c>
      <c r="P503" s="44" t="s">
        <v>56</v>
      </c>
      <c r="Q503" s="26" t="s">
        <v>57</v>
      </c>
      <c r="R503" s="44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70">
        <v>46248</v>
      </c>
      <c r="X503" s="30" t="s">
        <v>55</v>
      </c>
      <c r="Y503" s="30" t="s">
        <v>56</v>
      </c>
      <c r="Z503" s="30" t="s">
        <v>57</v>
      </c>
      <c r="AA503" s="30" t="s">
        <v>58</v>
      </c>
      <c r="AB503" s="30" t="s">
        <v>56</v>
      </c>
      <c r="AC503" s="27"/>
      <c r="AD503" s="31" t="s">
        <v>57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5603</v>
      </c>
      <c r="C504" s="41" t="s">
        <v>5604</v>
      </c>
      <c r="D504" s="39" t="s">
        <v>5500</v>
      </c>
      <c r="E504" s="42">
        <v>46128</v>
      </c>
      <c r="F504" s="26" t="s">
        <v>55</v>
      </c>
      <c r="G504" s="44" t="s">
        <v>832</v>
      </c>
      <c r="H504" s="26" t="s">
        <v>57</v>
      </c>
      <c r="I504" s="44" t="s">
        <v>832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46196</v>
      </c>
      <c r="O504" s="26" t="s">
        <v>55</v>
      </c>
      <c r="P504" s="44" t="s">
        <v>832</v>
      </c>
      <c r="Q504" s="26" t="s">
        <v>57</v>
      </c>
      <c r="R504" s="44" t="s">
        <v>832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70">
        <v>46248</v>
      </c>
      <c r="X504" s="30" t="s">
        <v>55</v>
      </c>
      <c r="Y504" s="30" t="s">
        <v>832</v>
      </c>
      <c r="Z504" s="30" t="s">
        <v>57</v>
      </c>
      <c r="AA504" s="30" t="s">
        <v>832</v>
      </c>
      <c r="AB504" s="30" t="s">
        <v>56</v>
      </c>
      <c r="AC504" s="27"/>
      <c r="AD504" s="31" t="s">
        <v>57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5605</v>
      </c>
      <c r="C505" s="25" t="s">
        <v>5606</v>
      </c>
      <c r="D505" s="23" t="s">
        <v>5500</v>
      </c>
      <c r="E505" s="42">
        <v>46128</v>
      </c>
      <c r="F505" s="26" t="s">
        <v>55</v>
      </c>
      <c r="G505" s="44" t="s">
        <v>832</v>
      </c>
      <c r="H505" s="26" t="s">
        <v>57</v>
      </c>
      <c r="I505" s="44" t="s">
        <v>832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46196</v>
      </c>
      <c r="O505" s="26" t="s">
        <v>55</v>
      </c>
      <c r="P505" s="44" t="s">
        <v>832</v>
      </c>
      <c r="Q505" s="26" t="s">
        <v>57</v>
      </c>
      <c r="R505" s="44" t="s">
        <v>832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70">
        <v>46248</v>
      </c>
      <c r="X505" s="30" t="s">
        <v>55</v>
      </c>
      <c r="Y505" s="30" t="s">
        <v>832</v>
      </c>
      <c r="Z505" s="30" t="s">
        <v>57</v>
      </c>
      <c r="AA505" s="30" t="s">
        <v>832</v>
      </c>
      <c r="AB505" s="30" t="s">
        <v>56</v>
      </c>
      <c r="AC505" s="27"/>
      <c r="AD505" s="31" t="s">
        <v>57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5607</v>
      </c>
      <c r="C506" s="41" t="s">
        <v>5608</v>
      </c>
      <c r="D506" s="39" t="s">
        <v>5500</v>
      </c>
      <c r="E506" s="42">
        <v>46128</v>
      </c>
      <c r="F506" s="26" t="s">
        <v>55</v>
      </c>
      <c r="G506" s="44" t="s">
        <v>832</v>
      </c>
      <c r="H506" s="26" t="s">
        <v>57</v>
      </c>
      <c r="I506" s="44" t="s">
        <v>832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46196</v>
      </c>
      <c r="O506" s="26" t="s">
        <v>55</v>
      </c>
      <c r="P506" s="44" t="s">
        <v>832</v>
      </c>
      <c r="Q506" s="26" t="s">
        <v>57</v>
      </c>
      <c r="R506" s="44" t="s">
        <v>832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70">
        <v>46248</v>
      </c>
      <c r="X506" s="30" t="s">
        <v>55</v>
      </c>
      <c r="Y506" s="30" t="s">
        <v>832</v>
      </c>
      <c r="Z506" s="30" t="s">
        <v>57</v>
      </c>
      <c r="AA506" s="30" t="s">
        <v>832</v>
      </c>
      <c r="AB506" s="30" t="s">
        <v>56</v>
      </c>
      <c r="AC506" s="27"/>
      <c r="AD506" s="31" t="s">
        <v>57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5609</v>
      </c>
      <c r="C507" s="25" t="s">
        <v>5610</v>
      </c>
      <c r="D507" s="23" t="s">
        <v>5500</v>
      </c>
      <c r="E507" s="42">
        <v>46128</v>
      </c>
      <c r="F507" s="26" t="s">
        <v>55</v>
      </c>
      <c r="G507" s="44" t="s">
        <v>832</v>
      </c>
      <c r="H507" s="26" t="s">
        <v>57</v>
      </c>
      <c r="I507" s="44" t="s">
        <v>832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46196</v>
      </c>
      <c r="O507" s="26" t="s">
        <v>55</v>
      </c>
      <c r="P507" s="44" t="s">
        <v>832</v>
      </c>
      <c r="Q507" s="26" t="s">
        <v>57</v>
      </c>
      <c r="R507" s="44" t="s">
        <v>832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70">
        <v>46248</v>
      </c>
      <c r="X507" s="30" t="s">
        <v>55</v>
      </c>
      <c r="Y507" s="30" t="s">
        <v>832</v>
      </c>
      <c r="Z507" s="30" t="s">
        <v>57</v>
      </c>
      <c r="AA507" s="30" t="s">
        <v>832</v>
      </c>
      <c r="AB507" s="30" t="s">
        <v>56</v>
      </c>
      <c r="AC507" s="27"/>
      <c r="AD507" s="31" t="s">
        <v>57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5611</v>
      </c>
      <c r="C508" s="41" t="s">
        <v>5612</v>
      </c>
      <c r="D508" s="39" t="s">
        <v>5500</v>
      </c>
      <c r="E508" s="42">
        <v>46128</v>
      </c>
      <c r="F508" s="26" t="s">
        <v>55</v>
      </c>
      <c r="G508" s="44" t="s">
        <v>832</v>
      </c>
      <c r="H508" s="26" t="s">
        <v>57</v>
      </c>
      <c r="I508" s="44" t="s">
        <v>832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46196</v>
      </c>
      <c r="O508" s="26" t="s">
        <v>55</v>
      </c>
      <c r="P508" s="44" t="s">
        <v>832</v>
      </c>
      <c r="Q508" s="26" t="s">
        <v>57</v>
      </c>
      <c r="R508" s="44" t="s">
        <v>832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70">
        <v>46248</v>
      </c>
      <c r="X508" s="30" t="s">
        <v>55</v>
      </c>
      <c r="Y508" s="30" t="s">
        <v>832</v>
      </c>
      <c r="Z508" s="30" t="s">
        <v>57</v>
      </c>
      <c r="AA508" s="30" t="s">
        <v>832</v>
      </c>
      <c r="AB508" s="30" t="s">
        <v>56</v>
      </c>
      <c r="AC508" s="27"/>
      <c r="AD508" s="31" t="s">
        <v>57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5613</v>
      </c>
      <c r="C509" s="25" t="s">
        <v>5614</v>
      </c>
      <c r="D509" s="23" t="s">
        <v>5500</v>
      </c>
      <c r="E509" s="42">
        <v>46128</v>
      </c>
      <c r="F509" s="26" t="s">
        <v>55</v>
      </c>
      <c r="G509" s="44" t="s">
        <v>832</v>
      </c>
      <c r="H509" s="26" t="s">
        <v>57</v>
      </c>
      <c r="I509" s="44" t="s">
        <v>832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46196</v>
      </c>
      <c r="O509" s="26" t="s">
        <v>55</v>
      </c>
      <c r="P509" s="44" t="s">
        <v>832</v>
      </c>
      <c r="Q509" s="26" t="s">
        <v>57</v>
      </c>
      <c r="R509" s="44" t="s">
        <v>832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70">
        <v>46248</v>
      </c>
      <c r="X509" s="30" t="s">
        <v>55</v>
      </c>
      <c r="Y509" s="30" t="s">
        <v>832</v>
      </c>
      <c r="Z509" s="30" t="s">
        <v>57</v>
      </c>
      <c r="AA509" s="30" t="s">
        <v>832</v>
      </c>
      <c r="AB509" s="30" t="s">
        <v>56</v>
      </c>
      <c r="AC509" s="27"/>
      <c r="AD509" s="31" t="s">
        <v>57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5615</v>
      </c>
      <c r="C510" s="41" t="s">
        <v>5616</v>
      </c>
      <c r="D510" s="39" t="s">
        <v>5500</v>
      </c>
      <c r="E510" s="42">
        <v>46128</v>
      </c>
      <c r="F510" s="26" t="s">
        <v>55</v>
      </c>
      <c r="G510" s="44" t="s">
        <v>832</v>
      </c>
      <c r="H510" s="26" t="s">
        <v>57</v>
      </c>
      <c r="I510" s="44" t="s">
        <v>832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46196</v>
      </c>
      <c r="O510" s="26" t="s">
        <v>55</v>
      </c>
      <c r="P510" s="44" t="s">
        <v>832</v>
      </c>
      <c r="Q510" s="26" t="s">
        <v>57</v>
      </c>
      <c r="R510" s="44" t="s">
        <v>832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70">
        <v>46248</v>
      </c>
      <c r="X510" s="30" t="s">
        <v>55</v>
      </c>
      <c r="Y510" s="30" t="s">
        <v>832</v>
      </c>
      <c r="Z510" s="30" t="s">
        <v>57</v>
      </c>
      <c r="AA510" s="30" t="s">
        <v>832</v>
      </c>
      <c r="AB510" s="30" t="s">
        <v>56</v>
      </c>
      <c r="AC510" s="27"/>
      <c r="AD510" s="31" t="s">
        <v>57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5617</v>
      </c>
      <c r="C511" s="25" t="s">
        <v>5618</v>
      </c>
      <c r="D511" s="23" t="s">
        <v>5500</v>
      </c>
      <c r="E511" s="42">
        <v>46128</v>
      </c>
      <c r="F511" s="26" t="s">
        <v>55</v>
      </c>
      <c r="G511" s="44" t="s">
        <v>832</v>
      </c>
      <c r="H511" s="26" t="s">
        <v>57</v>
      </c>
      <c r="I511" s="44" t="s">
        <v>832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46196</v>
      </c>
      <c r="O511" s="26" t="s">
        <v>55</v>
      </c>
      <c r="P511" s="44" t="s">
        <v>832</v>
      </c>
      <c r="Q511" s="26" t="s">
        <v>57</v>
      </c>
      <c r="R511" s="44" t="s">
        <v>832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70">
        <v>46248</v>
      </c>
      <c r="X511" s="30" t="s">
        <v>55</v>
      </c>
      <c r="Y511" s="30" t="s">
        <v>832</v>
      </c>
      <c r="Z511" s="30" t="s">
        <v>57</v>
      </c>
      <c r="AA511" s="30" t="s">
        <v>832</v>
      </c>
      <c r="AB511" s="30" t="s">
        <v>56</v>
      </c>
      <c r="AC511" s="27"/>
      <c r="AD511" s="31" t="s">
        <v>57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5619</v>
      </c>
      <c r="C512" s="41" t="s">
        <v>5620</v>
      </c>
      <c r="D512" s="39" t="s">
        <v>5500</v>
      </c>
      <c r="E512" s="42">
        <v>46128</v>
      </c>
      <c r="F512" s="26" t="s">
        <v>55</v>
      </c>
      <c r="G512" s="44" t="s">
        <v>56</v>
      </c>
      <c r="H512" s="26" t="s">
        <v>57</v>
      </c>
      <c r="I512" s="44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46196</v>
      </c>
      <c r="O512" s="26" t="s">
        <v>55</v>
      </c>
      <c r="P512" s="44" t="s">
        <v>56</v>
      </c>
      <c r="Q512" s="26" t="s">
        <v>57</v>
      </c>
      <c r="R512" s="44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70">
        <v>46248</v>
      </c>
      <c r="X512" s="30" t="s">
        <v>55</v>
      </c>
      <c r="Y512" s="30" t="s">
        <v>56</v>
      </c>
      <c r="Z512" s="30" t="s">
        <v>57</v>
      </c>
      <c r="AA512" s="30" t="s">
        <v>58</v>
      </c>
      <c r="AB512" s="30" t="s">
        <v>56</v>
      </c>
      <c r="AC512" s="27"/>
      <c r="AD512" s="31" t="s">
        <v>57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5621</v>
      </c>
      <c r="C513" s="25" t="s">
        <v>5622</v>
      </c>
      <c r="D513" s="23" t="s">
        <v>5500</v>
      </c>
      <c r="E513" s="42">
        <v>46128</v>
      </c>
      <c r="F513" s="26" t="s">
        <v>55</v>
      </c>
      <c r="G513" s="44" t="s">
        <v>832</v>
      </c>
      <c r="H513" s="26" t="s">
        <v>57</v>
      </c>
      <c r="I513" s="44" t="s">
        <v>832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46196</v>
      </c>
      <c r="O513" s="26" t="s">
        <v>55</v>
      </c>
      <c r="P513" s="44" t="s">
        <v>832</v>
      </c>
      <c r="Q513" s="26" t="s">
        <v>57</v>
      </c>
      <c r="R513" s="44" t="s">
        <v>832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70">
        <v>46248</v>
      </c>
      <c r="X513" s="30" t="s">
        <v>55</v>
      </c>
      <c r="Y513" s="30" t="s">
        <v>832</v>
      </c>
      <c r="Z513" s="30" t="s">
        <v>57</v>
      </c>
      <c r="AA513" s="30" t="s">
        <v>832</v>
      </c>
      <c r="AB513" s="30" t="s">
        <v>56</v>
      </c>
      <c r="AC513" s="27"/>
      <c r="AD513" s="31" t="s">
        <v>57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5623</v>
      </c>
      <c r="C514" s="41" t="s">
        <v>5624</v>
      </c>
      <c r="D514" s="39" t="s">
        <v>5500</v>
      </c>
      <c r="E514" s="42">
        <v>46128</v>
      </c>
      <c r="F514" s="26" t="s">
        <v>55</v>
      </c>
      <c r="G514" s="44" t="s">
        <v>832</v>
      </c>
      <c r="H514" s="26" t="s">
        <v>57</v>
      </c>
      <c r="I514" s="44" t="s">
        <v>832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46196</v>
      </c>
      <c r="O514" s="26" t="s">
        <v>55</v>
      </c>
      <c r="P514" s="44" t="s">
        <v>832</v>
      </c>
      <c r="Q514" s="26" t="s">
        <v>57</v>
      </c>
      <c r="R514" s="44" t="s">
        <v>832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70">
        <v>46248</v>
      </c>
      <c r="X514" s="30" t="s">
        <v>55</v>
      </c>
      <c r="Y514" s="30" t="s">
        <v>832</v>
      </c>
      <c r="Z514" s="30" t="s">
        <v>57</v>
      </c>
      <c r="AA514" s="30" t="s">
        <v>832</v>
      </c>
      <c r="AB514" s="30" t="s">
        <v>56</v>
      </c>
      <c r="AC514" s="27"/>
      <c r="AD514" s="31" t="s">
        <v>57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5625</v>
      </c>
      <c r="C515" s="25" t="s">
        <v>5626</v>
      </c>
      <c r="D515" s="23" t="s">
        <v>5500</v>
      </c>
      <c r="E515" s="42">
        <v>46128</v>
      </c>
      <c r="F515" s="26" t="s">
        <v>55</v>
      </c>
      <c r="G515" s="44" t="s">
        <v>832</v>
      </c>
      <c r="H515" s="26" t="s">
        <v>57</v>
      </c>
      <c r="I515" s="44" t="s">
        <v>832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46196</v>
      </c>
      <c r="O515" s="26" t="s">
        <v>55</v>
      </c>
      <c r="P515" s="44" t="s">
        <v>832</v>
      </c>
      <c r="Q515" s="26" t="s">
        <v>57</v>
      </c>
      <c r="R515" s="44" t="s">
        <v>832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70">
        <v>46248</v>
      </c>
      <c r="X515" s="30" t="s">
        <v>55</v>
      </c>
      <c r="Y515" s="30" t="s">
        <v>832</v>
      </c>
      <c r="Z515" s="30" t="s">
        <v>57</v>
      </c>
      <c r="AA515" s="30" t="s">
        <v>832</v>
      </c>
      <c r="AB515" s="30" t="s">
        <v>56</v>
      </c>
      <c r="AC515" s="27"/>
      <c r="AD515" s="31" t="s">
        <v>57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5627</v>
      </c>
      <c r="C516" s="41" t="s">
        <v>5628</v>
      </c>
      <c r="D516" s="39" t="s">
        <v>5500</v>
      </c>
      <c r="E516" s="42">
        <v>46128</v>
      </c>
      <c r="F516" s="26" t="s">
        <v>55</v>
      </c>
      <c r="G516" s="44" t="s">
        <v>832</v>
      </c>
      <c r="H516" s="26" t="s">
        <v>57</v>
      </c>
      <c r="I516" s="44" t="s">
        <v>832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46196</v>
      </c>
      <c r="O516" s="26" t="s">
        <v>55</v>
      </c>
      <c r="P516" s="44" t="s">
        <v>832</v>
      </c>
      <c r="Q516" s="26" t="s">
        <v>57</v>
      </c>
      <c r="R516" s="44" t="s">
        <v>832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70">
        <v>46248</v>
      </c>
      <c r="X516" s="30" t="s">
        <v>55</v>
      </c>
      <c r="Y516" s="30" t="s">
        <v>832</v>
      </c>
      <c r="Z516" s="30" t="s">
        <v>57</v>
      </c>
      <c r="AA516" s="30" t="s">
        <v>832</v>
      </c>
      <c r="AB516" s="30" t="s">
        <v>56</v>
      </c>
      <c r="AC516" s="27"/>
      <c r="AD516" s="31" t="s">
        <v>57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516">
    <cfRule type="expression" dxfId="108" priority="15">
      <formula>MOD(ROW(),2)=0</formula>
    </cfRule>
  </conditionalFormatting>
  <conditionalFormatting sqref="G5:G516">
    <cfRule type="expression" dxfId="107" priority="17">
      <formula>G5="Yes"</formula>
    </cfRule>
    <cfRule type="expression" dxfId="106" priority="18">
      <formula>G5="No"</formula>
    </cfRule>
    <cfRule type="expression" dxfId="105" priority="19">
      <formula>MOD(ROW(),2)=0</formula>
    </cfRule>
  </conditionalFormatting>
  <conditionalFormatting sqref="H5:H516">
    <cfRule type="expression" dxfId="104" priority="20">
      <formula>H5="Yes"</formula>
    </cfRule>
  </conditionalFormatting>
  <conditionalFormatting sqref="I5:I516">
    <cfRule type="expression" dxfId="103" priority="16">
      <formula>MOD(ROW(),2)=0</formula>
    </cfRule>
  </conditionalFormatting>
  <conditionalFormatting sqref="J5:J516">
    <cfRule type="expression" dxfId="102" priority="21">
      <formula>J5="Yes"</formula>
    </cfRule>
    <cfRule type="expression" dxfId="101" priority="22">
      <formula>J5="No"</formula>
    </cfRule>
  </conditionalFormatting>
  <conditionalFormatting sqref="J5:L516 H5:H516">
    <cfRule type="expression" dxfId="100" priority="23">
      <formula>MOD(ROW(),2)=0</formula>
    </cfRule>
  </conditionalFormatting>
  <conditionalFormatting sqref="M5:M516">
    <cfRule type="expression" dxfId="99" priority="24">
      <formula>M5="✓ OK"</formula>
    </cfRule>
    <cfRule type="expression" dxfId="98" priority="25">
      <formula>M5="❌ Disc"</formula>
    </cfRule>
    <cfRule type="expression" dxfId="97" priority="26">
      <formula>M5="⚠ Missing"</formula>
    </cfRule>
    <cfRule type="expression" dxfId="96" priority="27">
      <formula>M5="⚠ Check"</formula>
    </cfRule>
  </conditionalFormatting>
  <conditionalFormatting sqref="N5:O516">
    <cfRule type="expression" dxfId="95" priority="1">
      <formula>MOD(ROW(),2)=0</formula>
    </cfRule>
  </conditionalFormatting>
  <conditionalFormatting sqref="P5:P516">
    <cfRule type="expression" dxfId="94" priority="4">
      <formula>P5="Yes"</formula>
    </cfRule>
    <cfRule type="expression" dxfId="93" priority="5">
      <formula>P5="No"</formula>
    </cfRule>
    <cfRule type="expression" dxfId="92" priority="6">
      <formula>MOD(ROW(),2)=0</formula>
    </cfRule>
  </conditionalFormatting>
  <conditionalFormatting sqref="Q5:Q516">
    <cfRule type="expression" dxfId="91" priority="7">
      <formula>Q5="Yes"</formula>
    </cfRule>
  </conditionalFormatting>
  <conditionalFormatting sqref="R5:R516">
    <cfRule type="expression" dxfId="90" priority="3">
      <formula>MOD(ROW(),2)=0</formula>
    </cfRule>
  </conditionalFormatting>
  <conditionalFormatting sqref="S5:S516">
    <cfRule type="expression" dxfId="89" priority="8">
      <formula>S5="Yes"</formula>
    </cfRule>
    <cfRule type="expression" dxfId="88" priority="9">
      <formula>S5="No"</formula>
    </cfRule>
  </conditionalFormatting>
  <conditionalFormatting sqref="S5:U516 Q5:Q516">
    <cfRule type="expression" dxfId="87" priority="10">
      <formula>MOD(ROW(),2)=0</formula>
    </cfRule>
  </conditionalFormatting>
  <conditionalFormatting sqref="V5:V516">
    <cfRule type="expression" dxfId="86" priority="11">
      <formula>V5="✓ OK"</formula>
    </cfRule>
    <cfRule type="expression" dxfId="85" priority="12">
      <formula>V5="❌ Disc"</formula>
    </cfRule>
    <cfRule type="expression" dxfId="84" priority="13">
      <formula>V5="⚠ Missing"</formula>
    </cfRule>
    <cfRule type="expression" dxfId="83" priority="14">
      <formula>V5="⚠ Check"</formula>
    </cfRule>
  </conditionalFormatting>
  <conditionalFormatting sqref="M5:M516 V5:AW516">
    <cfRule type="expression" dxfId="82" priority="69">
      <formula>MOD(ROW(),2)=0</formula>
    </cfRule>
  </conditionalFormatting>
  <conditionalFormatting sqref="Y5:Y516">
    <cfRule type="expression" dxfId="81" priority="46">
      <formula>Y5="Yes"</formula>
    </cfRule>
    <cfRule type="expression" dxfId="80" priority="47">
      <formula>Y5="No"</formula>
    </cfRule>
  </conditionalFormatting>
  <conditionalFormatting sqref="Z5:Z516">
    <cfRule type="expression" dxfId="79" priority="48">
      <formula>Z5="Yes"</formula>
    </cfRule>
  </conditionalFormatting>
  <conditionalFormatting sqref="AB5:AB516">
    <cfRule type="expression" dxfId="78" priority="50">
      <formula>AB5="No"</formula>
    </cfRule>
    <cfRule type="expression" dxfId="77" priority="49">
      <formula>AB5="Yes"</formula>
    </cfRule>
  </conditionalFormatting>
  <conditionalFormatting sqref="AE5:AE516">
    <cfRule type="expression" dxfId="76" priority="45">
      <formula>AE5="⚠ Check"</formula>
    </cfRule>
    <cfRule type="expression" dxfId="75" priority="43">
      <formula>AE5="❌ Disc"</formula>
    </cfRule>
    <cfRule type="expression" dxfId="74" priority="42">
      <formula>AE5="✓ OK"</formula>
    </cfRule>
    <cfRule type="expression" dxfId="73" priority="44">
      <formula>AE5="⚠ Missing"</formula>
    </cfRule>
  </conditionalFormatting>
  <conditionalFormatting sqref="AH5:AH516">
    <cfRule type="expression" dxfId="72" priority="55">
      <formula>AH5="Yes"</formula>
    </cfRule>
    <cfRule type="expression" dxfId="71" priority="56">
      <formula>AH5="No"</formula>
    </cfRule>
  </conditionalFormatting>
  <conditionalFormatting sqref="AI5:AI516">
    <cfRule type="expression" dxfId="70" priority="57">
      <formula>AI5="Yes"</formula>
    </cfRule>
  </conditionalFormatting>
  <conditionalFormatting sqref="AK5:AK516">
    <cfRule type="expression" dxfId="69" priority="58">
      <formula>AK5="Yes"</formula>
    </cfRule>
    <cfRule type="expression" dxfId="68" priority="59">
      <formula>AK5="No"</formula>
    </cfRule>
  </conditionalFormatting>
  <conditionalFormatting sqref="AN5:AN516">
    <cfRule type="expression" dxfId="67" priority="51">
      <formula>AN5="✓ OK"</formula>
    </cfRule>
    <cfRule type="expression" dxfId="66" priority="52">
      <formula>AN5="❌ Disc"</formula>
    </cfRule>
    <cfRule type="expression" dxfId="65" priority="53">
      <formula>AN5="⚠ Missing"</formula>
    </cfRule>
    <cfRule type="expression" dxfId="64" priority="54">
      <formula>AN5="⚠ Check"</formula>
    </cfRule>
  </conditionalFormatting>
  <conditionalFormatting sqref="AQ5:AQ516">
    <cfRule type="expression" dxfId="63" priority="64">
      <formula>AQ5="Yes"</formula>
    </cfRule>
    <cfRule type="expression" dxfId="62" priority="65">
      <formula>AQ5="No"</formula>
    </cfRule>
  </conditionalFormatting>
  <conditionalFormatting sqref="AR5:AR516">
    <cfRule type="expression" dxfId="61" priority="66">
      <formula>AR5="Yes"</formula>
    </cfRule>
  </conditionalFormatting>
  <conditionalFormatting sqref="AT5:AT516">
    <cfRule type="expression" dxfId="60" priority="67">
      <formula>AT5="Yes"</formula>
    </cfRule>
    <cfRule type="expression" dxfId="59" priority="68">
      <formula>AT5="No"</formula>
    </cfRule>
  </conditionalFormatting>
  <conditionalFormatting sqref="AW5:AW516">
    <cfRule type="expression" dxfId="58" priority="60">
      <formula>AW5="✓ OK"</formula>
    </cfRule>
    <cfRule type="expression" dxfId="57" priority="61">
      <formula>AW5="❌ Disc"</formula>
    </cfRule>
    <cfRule type="expression" dxfId="56" priority="62">
      <formula>AW5="⚠ Missing"</formula>
    </cfRule>
    <cfRule type="expression" dxfId="55" priority="63">
      <formula>AW5="⚠ Check"</formula>
    </cfRule>
  </conditionalFormatting>
  <dataValidations count="4">
    <dataValidation type="list" allowBlank="1" sqref="H5:H516 J5:J516 Q5:Q516 S5:S516 AT5:AT516 AB5:AB516 AH5:AI516 AK5:AK516 AQ5:AR516 Y5:Z516" xr:uid="{00000000-0002-0000-0B00-000000000000}">
      <formula1>"Yes,No"</formula1>
    </dataValidation>
    <dataValidation type="list" allowBlank="1" sqref="AA5:AA516 AJ5:AJ516 AS5:AS516" xr:uid="{00000000-0002-0000-0B00-000001000000}">
      <formula1>"Good finish,Minor defect,Major defect,Discontinued,Not Available"</formula1>
    </dataValidation>
    <dataValidation type="list" allowBlank="1" sqref="I5:I516 R5:R516" xr:uid="{00000000-0002-0000-0B00-000002000000}">
      <formula1>"Represented by Sample,Good finish,Minor defect,Major defect,Discontinued,Not Available"</formula1>
    </dataValidation>
    <dataValidation type="list" allowBlank="1" sqref="G5:G516 P5:P516" xr:uid="{00000000-0002-0000-0B00-000003000000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tabSelected="1" workbookViewId="0">
      <pane xSplit="4" ySplit="4" topLeftCell="E5" activePane="bottomRight" state="frozen"/>
      <selection pane="topRight" sqref="A1:AW1"/>
      <selection pane="bottomLeft" sqref="A1:AW1"/>
      <selection pane="bottomRight" activeCell="L5" sqref="L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5629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5630</v>
      </c>
      <c r="C5" s="25" t="s">
        <v>5631</v>
      </c>
      <c r="D5" s="23" t="s">
        <v>5632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69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5633</v>
      </c>
      <c r="C6" s="41" t="s">
        <v>5634</v>
      </c>
      <c r="D6" s="39" t="s">
        <v>5632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69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5635</v>
      </c>
      <c r="C7" s="25" t="s">
        <v>5636</v>
      </c>
      <c r="D7" s="23" t="s">
        <v>5632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69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5637</v>
      </c>
      <c r="C8" s="41" t="s">
        <v>5638</v>
      </c>
      <c r="D8" s="39" t="s">
        <v>5632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69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5639</v>
      </c>
      <c r="C9" s="25" t="s">
        <v>5640</v>
      </c>
      <c r="D9" s="23" t="s">
        <v>5632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69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5641</v>
      </c>
      <c r="C10" s="41" t="s">
        <v>5642</v>
      </c>
      <c r="D10" s="39" t="s">
        <v>5632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69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5643</v>
      </c>
      <c r="C11" s="25" t="s">
        <v>5644</v>
      </c>
      <c r="D11" s="23" t="s">
        <v>5632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69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5645</v>
      </c>
      <c r="C12" s="41" t="s">
        <v>5646</v>
      </c>
      <c r="D12" s="39" t="s">
        <v>5632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69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5647</v>
      </c>
      <c r="C13" s="25" t="s">
        <v>5648</v>
      </c>
      <c r="D13" s="23" t="s">
        <v>5632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69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5649</v>
      </c>
      <c r="C14" s="41" t="s">
        <v>5650</v>
      </c>
      <c r="D14" s="39" t="s">
        <v>5632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69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5651</v>
      </c>
      <c r="C15" s="25" t="s">
        <v>5652</v>
      </c>
      <c r="D15" s="23" t="s">
        <v>5632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69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5653</v>
      </c>
      <c r="C16" s="41" t="s">
        <v>5654</v>
      </c>
      <c r="D16" s="39" t="s">
        <v>5632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69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5655</v>
      </c>
      <c r="C17" s="25" t="s">
        <v>5656</v>
      </c>
      <c r="D17" s="23" t="s">
        <v>5632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69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5657</v>
      </c>
      <c r="C18" s="41" t="s">
        <v>5658</v>
      </c>
      <c r="D18" s="39" t="s">
        <v>5632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69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5659</v>
      </c>
      <c r="C19" s="25" t="s">
        <v>5660</v>
      </c>
      <c r="D19" s="23" t="s">
        <v>5632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69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5661</v>
      </c>
      <c r="C20" s="41" t="s">
        <v>5662</v>
      </c>
      <c r="D20" s="39" t="s">
        <v>5632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69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5663</v>
      </c>
      <c r="C21" s="25" t="s">
        <v>5664</v>
      </c>
      <c r="D21" s="23" t="s">
        <v>5632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69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5665</v>
      </c>
      <c r="C22" s="41" t="s">
        <v>5666</v>
      </c>
      <c r="D22" s="39" t="s">
        <v>5632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69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5667</v>
      </c>
      <c r="C23" s="25" t="s">
        <v>5668</v>
      </c>
      <c r="D23" s="23" t="s">
        <v>5632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69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5669</v>
      </c>
      <c r="C24" s="41" t="s">
        <v>5670</v>
      </c>
      <c r="D24" s="39" t="s">
        <v>5632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69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5671</v>
      </c>
      <c r="C25" s="25" t="s">
        <v>5672</v>
      </c>
      <c r="D25" s="23" t="s">
        <v>5632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69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5673</v>
      </c>
      <c r="C26" s="41" t="s">
        <v>5674</v>
      </c>
      <c r="D26" s="39" t="s">
        <v>5632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69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5675</v>
      </c>
      <c r="C27" s="25" t="s">
        <v>5676</v>
      </c>
      <c r="D27" s="23" t="s">
        <v>5632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69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5677</v>
      </c>
      <c r="C28" s="41" t="s">
        <v>5678</v>
      </c>
      <c r="D28" s="39" t="s">
        <v>5632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69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5679</v>
      </c>
      <c r="C29" s="25" t="s">
        <v>5680</v>
      </c>
      <c r="D29" s="23" t="s">
        <v>5632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69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5681</v>
      </c>
      <c r="C30" s="41" t="s">
        <v>5682</v>
      </c>
      <c r="D30" s="39" t="s">
        <v>5632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69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5683</v>
      </c>
      <c r="C31" s="25" t="s">
        <v>5684</v>
      </c>
      <c r="D31" s="23" t="s">
        <v>5632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69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5685</v>
      </c>
      <c r="C32" s="41" t="s">
        <v>5686</v>
      </c>
      <c r="D32" s="39" t="s">
        <v>5632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69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5687</v>
      </c>
      <c r="C33" s="25" t="s">
        <v>5688</v>
      </c>
      <c r="D33" s="23" t="s">
        <v>5632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69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5689</v>
      </c>
      <c r="C34" s="41" t="s">
        <v>5690</v>
      </c>
      <c r="D34" s="39" t="s">
        <v>5632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69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5691</v>
      </c>
      <c r="C35" s="25" t="s">
        <v>5692</v>
      </c>
      <c r="D35" s="23" t="s">
        <v>5632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69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5693</v>
      </c>
      <c r="C36" s="41" t="s">
        <v>5694</v>
      </c>
      <c r="D36" s="39" t="s">
        <v>5632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69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5695</v>
      </c>
      <c r="C37" s="25" t="s">
        <v>5696</v>
      </c>
      <c r="D37" s="23" t="s">
        <v>5632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69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5697</v>
      </c>
      <c r="C38" s="41" t="s">
        <v>5698</v>
      </c>
      <c r="D38" s="39" t="s">
        <v>5632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69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5699</v>
      </c>
      <c r="C39" s="25" t="s">
        <v>5700</v>
      </c>
      <c r="D39" s="23" t="s">
        <v>5632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69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5701</v>
      </c>
      <c r="C40" s="41" t="s">
        <v>5702</v>
      </c>
      <c r="D40" s="39" t="s">
        <v>5632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69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5703</v>
      </c>
      <c r="C41" s="25" t="s">
        <v>5704</v>
      </c>
      <c r="D41" s="23" t="s">
        <v>5632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69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5705</v>
      </c>
      <c r="C42" s="41" t="s">
        <v>5706</v>
      </c>
      <c r="D42" s="39" t="s">
        <v>5632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69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5707</v>
      </c>
      <c r="C43" s="25" t="s">
        <v>5708</v>
      </c>
      <c r="D43" s="23" t="s">
        <v>5632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69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5709</v>
      </c>
      <c r="C44" s="41" t="s">
        <v>5710</v>
      </c>
      <c r="D44" s="39" t="s">
        <v>5632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69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5711</v>
      </c>
      <c r="C45" s="25" t="s">
        <v>5712</v>
      </c>
      <c r="D45" s="23" t="s">
        <v>5632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69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5713</v>
      </c>
      <c r="C46" s="41" t="s">
        <v>5714</v>
      </c>
      <c r="D46" s="39" t="s">
        <v>5632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69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5715</v>
      </c>
      <c r="C47" s="25" t="s">
        <v>5716</v>
      </c>
      <c r="D47" s="23" t="s">
        <v>5632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69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5717</v>
      </c>
      <c r="C48" s="41" t="s">
        <v>5718</v>
      </c>
      <c r="D48" s="39" t="s">
        <v>5632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69">
        <v>46196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5719</v>
      </c>
      <c r="C49" s="25" t="s">
        <v>5720</v>
      </c>
      <c r="D49" s="23" t="s">
        <v>5632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69">
        <v>46196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5721</v>
      </c>
      <c r="C50" s="41" t="s">
        <v>5722</v>
      </c>
      <c r="D50" s="39" t="s">
        <v>5632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69">
        <v>46196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5723</v>
      </c>
      <c r="C51" s="25" t="s">
        <v>5724</v>
      </c>
      <c r="D51" s="23" t="s">
        <v>5632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69">
        <v>46196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5725</v>
      </c>
      <c r="C52" s="41" t="s">
        <v>5726</v>
      </c>
      <c r="D52" s="39" t="s">
        <v>5632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69">
        <v>46196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5727</v>
      </c>
      <c r="C53" s="25" t="s">
        <v>5728</v>
      </c>
      <c r="D53" s="23" t="s">
        <v>5632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69">
        <v>46196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5729</v>
      </c>
      <c r="C54" s="41" t="s">
        <v>5730</v>
      </c>
      <c r="D54" s="39" t="s">
        <v>5632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69">
        <v>46196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5731</v>
      </c>
      <c r="C55" s="25" t="s">
        <v>5732</v>
      </c>
      <c r="D55" s="23" t="s">
        <v>5632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69">
        <v>46196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5733</v>
      </c>
      <c r="C56" s="41" t="s">
        <v>5734</v>
      </c>
      <c r="D56" s="39" t="s">
        <v>5632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69">
        <v>46196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5735</v>
      </c>
      <c r="C57" s="25" t="s">
        <v>5736</v>
      </c>
      <c r="D57" s="23" t="s">
        <v>5632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69">
        <v>46196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5737</v>
      </c>
      <c r="C58" s="41" t="s">
        <v>5738</v>
      </c>
      <c r="D58" s="39" t="s">
        <v>5739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69">
        <v>46196</v>
      </c>
      <c r="O58" s="26" t="s">
        <v>55</v>
      </c>
      <c r="P58" s="26" t="s">
        <v>57</v>
      </c>
      <c r="Q58" s="26" t="s">
        <v>56</v>
      </c>
      <c r="R58" s="26" t="s">
        <v>61</v>
      </c>
      <c r="S58" s="26" t="s">
        <v>57</v>
      </c>
      <c r="T58" s="27"/>
      <c r="U58" s="28" t="s">
        <v>57</v>
      </c>
      <c r="V58" s="29" t="str">
        <f t="shared" si="1"/>
        <v>❌ Disc</v>
      </c>
      <c r="W58" s="70">
        <v>46248</v>
      </c>
      <c r="X58" s="30" t="s">
        <v>55</v>
      </c>
      <c r="Y58" s="30" t="s">
        <v>57</v>
      </c>
      <c r="Z58" s="30" t="s">
        <v>56</v>
      </c>
      <c r="AA58" s="30" t="s">
        <v>61</v>
      </c>
      <c r="AB58" s="30" t="s">
        <v>57</v>
      </c>
      <c r="AC58" s="27"/>
      <c r="AD58" s="31" t="s">
        <v>57</v>
      </c>
      <c r="AE58" s="32" t="str">
        <f t="shared" si="2"/>
        <v>❌ Disc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5740</v>
      </c>
      <c r="C59" s="25" t="s">
        <v>5741</v>
      </c>
      <c r="D59" s="23" t="s">
        <v>5739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69">
        <v>46196</v>
      </c>
      <c r="O59" s="26" t="s">
        <v>55</v>
      </c>
      <c r="P59" s="26" t="s">
        <v>57</v>
      </c>
      <c r="Q59" s="26" t="s">
        <v>56</v>
      </c>
      <c r="R59" s="26" t="s">
        <v>61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70">
        <v>46248</v>
      </c>
      <c r="X59" s="30" t="s">
        <v>55</v>
      </c>
      <c r="Y59" s="30" t="s">
        <v>57</v>
      </c>
      <c r="Z59" s="30" t="s">
        <v>56</v>
      </c>
      <c r="AA59" s="30" t="s">
        <v>61</v>
      </c>
      <c r="AB59" s="30" t="s">
        <v>57</v>
      </c>
      <c r="AC59" s="27"/>
      <c r="AD59" s="31" t="s">
        <v>57</v>
      </c>
      <c r="AE59" s="32" t="str">
        <f t="shared" si="2"/>
        <v>❌ Disc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5742</v>
      </c>
      <c r="C60" s="41" t="s">
        <v>5743</v>
      </c>
      <c r="D60" s="39" t="s">
        <v>5739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69">
        <v>46196</v>
      </c>
      <c r="O60" s="26" t="s">
        <v>55</v>
      </c>
      <c r="P60" s="26" t="s">
        <v>57</v>
      </c>
      <c r="Q60" s="26" t="s">
        <v>56</v>
      </c>
      <c r="R60" s="26" t="s">
        <v>61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70">
        <v>46248</v>
      </c>
      <c r="X60" s="30" t="s">
        <v>55</v>
      </c>
      <c r="Y60" s="30" t="s">
        <v>57</v>
      </c>
      <c r="Z60" s="30" t="s">
        <v>56</v>
      </c>
      <c r="AA60" s="30" t="s">
        <v>61</v>
      </c>
      <c r="AB60" s="30" t="s">
        <v>57</v>
      </c>
      <c r="AC60" s="27"/>
      <c r="AD60" s="31" t="s">
        <v>57</v>
      </c>
      <c r="AE60" s="32" t="str">
        <f t="shared" si="2"/>
        <v>❌ Disc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5744</v>
      </c>
      <c r="C61" s="25" t="s">
        <v>5745</v>
      </c>
      <c r="D61" s="23" t="s">
        <v>5739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69">
        <v>46196</v>
      </c>
      <c r="O61" s="26" t="s">
        <v>55</v>
      </c>
      <c r="P61" s="26" t="s">
        <v>57</v>
      </c>
      <c r="Q61" s="26" t="s">
        <v>56</v>
      </c>
      <c r="R61" s="26" t="s">
        <v>61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70">
        <v>46248</v>
      </c>
      <c r="X61" s="30" t="s">
        <v>55</v>
      </c>
      <c r="Y61" s="30" t="s">
        <v>57</v>
      </c>
      <c r="Z61" s="30" t="s">
        <v>56</v>
      </c>
      <c r="AA61" s="30" t="s">
        <v>61</v>
      </c>
      <c r="AB61" s="30" t="s">
        <v>57</v>
      </c>
      <c r="AC61" s="27"/>
      <c r="AD61" s="31" t="s">
        <v>57</v>
      </c>
      <c r="AE61" s="32" t="str">
        <f t="shared" si="2"/>
        <v>❌ Disc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5746</v>
      </c>
      <c r="C62" s="41" t="s">
        <v>5747</v>
      </c>
      <c r="D62" s="39" t="s">
        <v>5739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69">
        <v>46196</v>
      </c>
      <c r="O62" s="26" t="s">
        <v>55</v>
      </c>
      <c r="P62" s="26" t="s">
        <v>57</v>
      </c>
      <c r="Q62" s="26" t="s">
        <v>56</v>
      </c>
      <c r="R62" s="26" t="s">
        <v>61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70">
        <v>46248</v>
      </c>
      <c r="X62" s="30" t="s">
        <v>55</v>
      </c>
      <c r="Y62" s="30" t="s">
        <v>57</v>
      </c>
      <c r="Z62" s="30" t="s">
        <v>56</v>
      </c>
      <c r="AA62" s="30" t="s">
        <v>61</v>
      </c>
      <c r="AB62" s="30" t="s">
        <v>57</v>
      </c>
      <c r="AC62" s="27"/>
      <c r="AD62" s="31" t="s">
        <v>57</v>
      </c>
      <c r="AE62" s="32" t="str">
        <f t="shared" si="2"/>
        <v>❌ Disc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5748</v>
      </c>
      <c r="C63" s="25" t="s">
        <v>5749</v>
      </c>
      <c r="D63" s="23" t="s">
        <v>5739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69">
        <v>46196</v>
      </c>
      <c r="O63" s="26" t="s">
        <v>55</v>
      </c>
      <c r="P63" s="26" t="s">
        <v>57</v>
      </c>
      <c r="Q63" s="26" t="s">
        <v>56</v>
      </c>
      <c r="R63" s="26" t="s">
        <v>61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70">
        <v>46248</v>
      </c>
      <c r="X63" s="30" t="s">
        <v>55</v>
      </c>
      <c r="Y63" s="30" t="s">
        <v>57</v>
      </c>
      <c r="Z63" s="30" t="s">
        <v>56</v>
      </c>
      <c r="AA63" s="30" t="s">
        <v>61</v>
      </c>
      <c r="AB63" s="30" t="s">
        <v>57</v>
      </c>
      <c r="AC63" s="27"/>
      <c r="AD63" s="31" t="s">
        <v>57</v>
      </c>
      <c r="AE63" s="32" t="str">
        <f t="shared" si="2"/>
        <v>❌ Disc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5750</v>
      </c>
      <c r="C64" s="41" t="s">
        <v>5751</v>
      </c>
      <c r="D64" s="39" t="s">
        <v>5739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69">
        <v>46196</v>
      </c>
      <c r="O64" s="26" t="s">
        <v>55</v>
      </c>
      <c r="P64" s="26" t="s">
        <v>57</v>
      </c>
      <c r="Q64" s="26" t="s">
        <v>56</v>
      </c>
      <c r="R64" s="26" t="s">
        <v>61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70">
        <v>46248</v>
      </c>
      <c r="X64" s="30" t="s">
        <v>55</v>
      </c>
      <c r="Y64" s="30" t="s">
        <v>57</v>
      </c>
      <c r="Z64" s="30" t="s">
        <v>56</v>
      </c>
      <c r="AA64" s="30" t="s">
        <v>61</v>
      </c>
      <c r="AB64" s="30" t="s">
        <v>57</v>
      </c>
      <c r="AC64" s="27"/>
      <c r="AD64" s="31" t="s">
        <v>57</v>
      </c>
      <c r="AE64" s="32" t="str">
        <f t="shared" si="2"/>
        <v>❌ Disc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5752</v>
      </c>
      <c r="C65" s="25" t="s">
        <v>5753</v>
      </c>
      <c r="D65" s="23" t="s">
        <v>5739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69">
        <v>46196</v>
      </c>
      <c r="O65" s="26" t="s">
        <v>55</v>
      </c>
      <c r="P65" s="26" t="s">
        <v>57</v>
      </c>
      <c r="Q65" s="26" t="s">
        <v>56</v>
      </c>
      <c r="R65" s="26" t="s">
        <v>61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70">
        <v>46248</v>
      </c>
      <c r="X65" s="30" t="s">
        <v>55</v>
      </c>
      <c r="Y65" s="30" t="s">
        <v>57</v>
      </c>
      <c r="Z65" s="30" t="s">
        <v>56</v>
      </c>
      <c r="AA65" s="30" t="s">
        <v>61</v>
      </c>
      <c r="AB65" s="30" t="s">
        <v>57</v>
      </c>
      <c r="AC65" s="27"/>
      <c r="AD65" s="31" t="s">
        <v>57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5754</v>
      </c>
      <c r="C66" s="41" t="s">
        <v>5755</v>
      </c>
      <c r="D66" s="39" t="s">
        <v>5739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69">
        <v>46196</v>
      </c>
      <c r="O66" s="26" t="s">
        <v>55</v>
      </c>
      <c r="P66" s="26" t="s">
        <v>57</v>
      </c>
      <c r="Q66" s="26" t="s">
        <v>56</v>
      </c>
      <c r="R66" s="26" t="s">
        <v>61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70">
        <v>46248</v>
      </c>
      <c r="X66" s="30" t="s">
        <v>55</v>
      </c>
      <c r="Y66" s="30" t="s">
        <v>57</v>
      </c>
      <c r="Z66" s="30" t="s">
        <v>56</v>
      </c>
      <c r="AA66" s="30" t="s">
        <v>61</v>
      </c>
      <c r="AB66" s="30" t="s">
        <v>57</v>
      </c>
      <c r="AC66" s="27"/>
      <c r="AD66" s="31" t="s">
        <v>57</v>
      </c>
      <c r="AE66" s="32" t="str">
        <f t="shared" si="2"/>
        <v>❌ Disc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5756</v>
      </c>
      <c r="C67" s="25" t="s">
        <v>5757</v>
      </c>
      <c r="D67" s="23" t="s">
        <v>5739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69">
        <v>46196</v>
      </c>
      <c r="O67" s="26" t="s">
        <v>55</v>
      </c>
      <c r="P67" s="26" t="s">
        <v>57</v>
      </c>
      <c r="Q67" s="26" t="s">
        <v>56</v>
      </c>
      <c r="R67" s="26" t="s">
        <v>61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70">
        <v>46248</v>
      </c>
      <c r="X67" s="30" t="s">
        <v>55</v>
      </c>
      <c r="Y67" s="30" t="s">
        <v>57</v>
      </c>
      <c r="Z67" s="30" t="s">
        <v>56</v>
      </c>
      <c r="AA67" s="30" t="s">
        <v>61</v>
      </c>
      <c r="AB67" s="30" t="s">
        <v>57</v>
      </c>
      <c r="AC67" s="27"/>
      <c r="AD67" s="31" t="s">
        <v>57</v>
      </c>
      <c r="AE67" s="32" t="str">
        <f t="shared" si="2"/>
        <v>❌ Disc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5758</v>
      </c>
      <c r="C68" s="41" t="s">
        <v>5759</v>
      </c>
      <c r="D68" s="39" t="s">
        <v>5739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69">
        <v>46196</v>
      </c>
      <c r="O68" s="26" t="s">
        <v>55</v>
      </c>
      <c r="P68" s="26" t="s">
        <v>57</v>
      </c>
      <c r="Q68" s="26" t="s">
        <v>56</v>
      </c>
      <c r="R68" s="26" t="s">
        <v>61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70">
        <v>46248</v>
      </c>
      <c r="X68" s="30" t="s">
        <v>55</v>
      </c>
      <c r="Y68" s="30" t="s">
        <v>57</v>
      </c>
      <c r="Z68" s="30" t="s">
        <v>56</v>
      </c>
      <c r="AA68" s="30" t="s">
        <v>61</v>
      </c>
      <c r="AB68" s="30" t="s">
        <v>57</v>
      </c>
      <c r="AC68" s="27"/>
      <c r="AD68" s="31" t="s">
        <v>57</v>
      </c>
      <c r="AE68" s="32" t="str">
        <f t="shared" si="2"/>
        <v>❌ Disc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5760</v>
      </c>
      <c r="C69" s="25" t="s">
        <v>5761</v>
      </c>
      <c r="D69" s="23" t="s">
        <v>5739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69">
        <v>46196</v>
      </c>
      <c r="O69" s="26" t="s">
        <v>55</v>
      </c>
      <c r="P69" s="26" t="s">
        <v>57</v>
      </c>
      <c r="Q69" s="26" t="s">
        <v>56</v>
      </c>
      <c r="R69" s="26" t="s">
        <v>61</v>
      </c>
      <c r="S69" s="26" t="s">
        <v>57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❌ Disc</v>
      </c>
      <c r="W69" s="70">
        <v>46248</v>
      </c>
      <c r="X69" s="30" t="s">
        <v>55</v>
      </c>
      <c r="Y69" s="30" t="s">
        <v>57</v>
      </c>
      <c r="Z69" s="30" t="s">
        <v>56</v>
      </c>
      <c r="AA69" s="30" t="s">
        <v>61</v>
      </c>
      <c r="AB69" s="30" t="s">
        <v>57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❌ Disc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5762</v>
      </c>
      <c r="C70" s="41" t="s">
        <v>5763</v>
      </c>
      <c r="D70" s="39" t="s">
        <v>5739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69">
        <v>46196</v>
      </c>
      <c r="O70" s="26" t="s">
        <v>55</v>
      </c>
      <c r="P70" s="26" t="s">
        <v>57</v>
      </c>
      <c r="Q70" s="26" t="s">
        <v>56</v>
      </c>
      <c r="R70" s="26" t="s">
        <v>61</v>
      </c>
      <c r="S70" s="26" t="s">
        <v>57</v>
      </c>
      <c r="T70" s="27"/>
      <c r="U70" s="28" t="s">
        <v>57</v>
      </c>
      <c r="V70" s="29" t="str">
        <f t="shared" si="6"/>
        <v>❌ Disc</v>
      </c>
      <c r="W70" s="70">
        <v>46248</v>
      </c>
      <c r="X70" s="30" t="s">
        <v>55</v>
      </c>
      <c r="Y70" s="30" t="s">
        <v>57</v>
      </c>
      <c r="Z70" s="30" t="s">
        <v>56</v>
      </c>
      <c r="AA70" s="30" t="s">
        <v>61</v>
      </c>
      <c r="AB70" s="30" t="s">
        <v>57</v>
      </c>
      <c r="AC70" s="27"/>
      <c r="AD70" s="31" t="s">
        <v>57</v>
      </c>
      <c r="AE70" s="32" t="str">
        <f t="shared" si="7"/>
        <v>❌ Disc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5764</v>
      </c>
      <c r="C71" s="25" t="s">
        <v>5765</v>
      </c>
      <c r="D71" s="23" t="s">
        <v>5739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69">
        <v>46196</v>
      </c>
      <c r="O71" s="26" t="s">
        <v>55</v>
      </c>
      <c r="P71" s="26" t="s">
        <v>57</v>
      </c>
      <c r="Q71" s="26" t="s">
        <v>56</v>
      </c>
      <c r="R71" s="26" t="s">
        <v>61</v>
      </c>
      <c r="S71" s="26" t="s">
        <v>57</v>
      </c>
      <c r="T71" s="27"/>
      <c r="U71" s="28" t="s">
        <v>57</v>
      </c>
      <c r="V71" s="29" t="str">
        <f t="shared" si="6"/>
        <v>❌ Disc</v>
      </c>
      <c r="W71" s="70">
        <v>46248</v>
      </c>
      <c r="X71" s="30" t="s">
        <v>55</v>
      </c>
      <c r="Y71" s="30" t="s">
        <v>57</v>
      </c>
      <c r="Z71" s="30" t="s">
        <v>56</v>
      </c>
      <c r="AA71" s="30" t="s">
        <v>61</v>
      </c>
      <c r="AB71" s="30" t="s">
        <v>57</v>
      </c>
      <c r="AC71" s="27"/>
      <c r="AD71" s="31" t="s">
        <v>57</v>
      </c>
      <c r="AE71" s="32" t="str">
        <f t="shared" si="7"/>
        <v>❌ Disc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5766</v>
      </c>
      <c r="C72" s="41" t="s">
        <v>5767</v>
      </c>
      <c r="D72" s="39" t="s">
        <v>5739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69">
        <v>46196</v>
      </c>
      <c r="O72" s="26" t="s">
        <v>55</v>
      </c>
      <c r="P72" s="26" t="s">
        <v>57</v>
      </c>
      <c r="Q72" s="26" t="s">
        <v>56</v>
      </c>
      <c r="R72" s="26" t="s">
        <v>61</v>
      </c>
      <c r="S72" s="26" t="s">
        <v>57</v>
      </c>
      <c r="T72" s="27"/>
      <c r="U72" s="28" t="s">
        <v>57</v>
      </c>
      <c r="V72" s="29" t="str">
        <f t="shared" si="6"/>
        <v>❌ Disc</v>
      </c>
      <c r="W72" s="70">
        <v>46248</v>
      </c>
      <c r="X72" s="30" t="s">
        <v>55</v>
      </c>
      <c r="Y72" s="30" t="s">
        <v>57</v>
      </c>
      <c r="Z72" s="30" t="s">
        <v>56</v>
      </c>
      <c r="AA72" s="30" t="s">
        <v>61</v>
      </c>
      <c r="AB72" s="30" t="s">
        <v>57</v>
      </c>
      <c r="AC72" s="27"/>
      <c r="AD72" s="31" t="s">
        <v>57</v>
      </c>
      <c r="AE72" s="32" t="str">
        <f t="shared" si="7"/>
        <v>❌ Disc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5768</v>
      </c>
      <c r="C73" s="25" t="s">
        <v>5769</v>
      </c>
      <c r="D73" s="23" t="s">
        <v>5739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69">
        <v>46196</v>
      </c>
      <c r="O73" s="26" t="s">
        <v>55</v>
      </c>
      <c r="P73" s="26" t="s">
        <v>57</v>
      </c>
      <c r="Q73" s="26" t="s">
        <v>56</v>
      </c>
      <c r="R73" s="26" t="s">
        <v>61</v>
      </c>
      <c r="S73" s="26" t="s">
        <v>57</v>
      </c>
      <c r="T73" s="27"/>
      <c r="U73" s="28" t="s">
        <v>57</v>
      </c>
      <c r="V73" s="29" t="str">
        <f t="shared" si="6"/>
        <v>❌ Disc</v>
      </c>
      <c r="W73" s="70">
        <v>46248</v>
      </c>
      <c r="X73" s="30" t="s">
        <v>55</v>
      </c>
      <c r="Y73" s="30" t="s">
        <v>57</v>
      </c>
      <c r="Z73" s="30" t="s">
        <v>56</v>
      </c>
      <c r="AA73" s="30" t="s">
        <v>61</v>
      </c>
      <c r="AB73" s="30" t="s">
        <v>57</v>
      </c>
      <c r="AC73" s="27"/>
      <c r="AD73" s="31" t="s">
        <v>57</v>
      </c>
      <c r="AE73" s="32" t="str">
        <f t="shared" si="7"/>
        <v>❌ Disc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5770</v>
      </c>
      <c r="C74" s="41" t="s">
        <v>5771</v>
      </c>
      <c r="D74" s="39" t="s">
        <v>5739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69">
        <v>46196</v>
      </c>
      <c r="O74" s="26" t="s">
        <v>55</v>
      </c>
      <c r="P74" s="26" t="s">
        <v>57</v>
      </c>
      <c r="Q74" s="26" t="s">
        <v>56</v>
      </c>
      <c r="R74" s="26" t="s">
        <v>61</v>
      </c>
      <c r="S74" s="26" t="s">
        <v>57</v>
      </c>
      <c r="T74" s="27"/>
      <c r="U74" s="28" t="s">
        <v>57</v>
      </c>
      <c r="V74" s="29" t="str">
        <f t="shared" si="6"/>
        <v>❌ Disc</v>
      </c>
      <c r="W74" s="70">
        <v>46248</v>
      </c>
      <c r="X74" s="30" t="s">
        <v>55</v>
      </c>
      <c r="Y74" s="30" t="s">
        <v>57</v>
      </c>
      <c r="Z74" s="30" t="s">
        <v>56</v>
      </c>
      <c r="AA74" s="30" t="s">
        <v>61</v>
      </c>
      <c r="AB74" s="30" t="s">
        <v>57</v>
      </c>
      <c r="AC74" s="27"/>
      <c r="AD74" s="31" t="s">
        <v>57</v>
      </c>
      <c r="AE74" s="32" t="str">
        <f t="shared" si="7"/>
        <v>❌ Disc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5772</v>
      </c>
      <c r="C75" s="25" t="s">
        <v>5773</v>
      </c>
      <c r="D75" s="23" t="s">
        <v>5739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69">
        <v>46196</v>
      </c>
      <c r="O75" s="26" t="s">
        <v>55</v>
      </c>
      <c r="P75" s="26" t="s">
        <v>57</v>
      </c>
      <c r="Q75" s="26" t="s">
        <v>56</v>
      </c>
      <c r="R75" s="26" t="s">
        <v>61</v>
      </c>
      <c r="S75" s="26" t="s">
        <v>57</v>
      </c>
      <c r="T75" s="27"/>
      <c r="U75" s="28" t="s">
        <v>57</v>
      </c>
      <c r="V75" s="29" t="str">
        <f t="shared" si="6"/>
        <v>❌ Disc</v>
      </c>
      <c r="W75" s="70">
        <v>46248</v>
      </c>
      <c r="X75" s="30" t="s">
        <v>55</v>
      </c>
      <c r="Y75" s="30" t="s">
        <v>57</v>
      </c>
      <c r="Z75" s="30" t="s">
        <v>56</v>
      </c>
      <c r="AA75" s="30" t="s">
        <v>61</v>
      </c>
      <c r="AB75" s="30" t="s">
        <v>57</v>
      </c>
      <c r="AC75" s="27"/>
      <c r="AD75" s="31" t="s">
        <v>57</v>
      </c>
      <c r="AE75" s="32" t="str">
        <f t="shared" si="7"/>
        <v>❌ Disc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5774</v>
      </c>
      <c r="C76" s="41" t="s">
        <v>5775</v>
      </c>
      <c r="D76" s="39" t="s">
        <v>5739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69">
        <v>46196</v>
      </c>
      <c r="O76" s="26" t="s">
        <v>55</v>
      </c>
      <c r="P76" s="26" t="s">
        <v>57</v>
      </c>
      <c r="Q76" s="26" t="s">
        <v>56</v>
      </c>
      <c r="R76" s="26" t="s">
        <v>61</v>
      </c>
      <c r="S76" s="26" t="s">
        <v>57</v>
      </c>
      <c r="T76" s="27"/>
      <c r="U76" s="28" t="s">
        <v>57</v>
      </c>
      <c r="V76" s="29" t="str">
        <f t="shared" si="6"/>
        <v>❌ Disc</v>
      </c>
      <c r="W76" s="70">
        <v>46248</v>
      </c>
      <c r="X76" s="30" t="s">
        <v>55</v>
      </c>
      <c r="Y76" s="30" t="s">
        <v>57</v>
      </c>
      <c r="Z76" s="30" t="s">
        <v>56</v>
      </c>
      <c r="AA76" s="30" t="s">
        <v>61</v>
      </c>
      <c r="AB76" s="30" t="s">
        <v>57</v>
      </c>
      <c r="AC76" s="27"/>
      <c r="AD76" s="31" t="s">
        <v>57</v>
      </c>
      <c r="AE76" s="32" t="str">
        <f t="shared" si="7"/>
        <v>❌ Disc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5776</v>
      </c>
      <c r="C77" s="25" t="s">
        <v>5777</v>
      </c>
      <c r="D77" s="23" t="s">
        <v>5739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69">
        <v>46196</v>
      </c>
      <c r="O77" s="26" t="s">
        <v>55</v>
      </c>
      <c r="P77" s="26" t="s">
        <v>57</v>
      </c>
      <c r="Q77" s="26" t="s">
        <v>56</v>
      </c>
      <c r="R77" s="26" t="s">
        <v>61</v>
      </c>
      <c r="S77" s="26" t="s">
        <v>57</v>
      </c>
      <c r="T77" s="27"/>
      <c r="U77" s="28" t="s">
        <v>57</v>
      </c>
      <c r="V77" s="29" t="str">
        <f t="shared" si="6"/>
        <v>❌ Disc</v>
      </c>
      <c r="W77" s="70">
        <v>46248</v>
      </c>
      <c r="X77" s="30" t="s">
        <v>55</v>
      </c>
      <c r="Y77" s="30" t="s">
        <v>57</v>
      </c>
      <c r="Z77" s="30" t="s">
        <v>56</v>
      </c>
      <c r="AA77" s="30" t="s">
        <v>61</v>
      </c>
      <c r="AB77" s="30" t="s">
        <v>57</v>
      </c>
      <c r="AC77" s="27"/>
      <c r="AD77" s="31" t="s">
        <v>57</v>
      </c>
      <c r="AE77" s="32" t="str">
        <f t="shared" si="7"/>
        <v>❌ Disc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5778</v>
      </c>
      <c r="C78" s="41" t="s">
        <v>5779</v>
      </c>
      <c r="D78" s="39" t="s">
        <v>5739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69">
        <v>46196</v>
      </c>
      <c r="O78" s="26" t="s">
        <v>55</v>
      </c>
      <c r="P78" s="26" t="s">
        <v>57</v>
      </c>
      <c r="Q78" s="26" t="s">
        <v>56</v>
      </c>
      <c r="R78" s="26" t="s">
        <v>61</v>
      </c>
      <c r="S78" s="26" t="s">
        <v>57</v>
      </c>
      <c r="T78" s="27"/>
      <c r="U78" s="28" t="s">
        <v>57</v>
      </c>
      <c r="V78" s="29" t="str">
        <f t="shared" si="6"/>
        <v>❌ Disc</v>
      </c>
      <c r="W78" s="70">
        <v>46248</v>
      </c>
      <c r="X78" s="30" t="s">
        <v>55</v>
      </c>
      <c r="Y78" s="30" t="s">
        <v>57</v>
      </c>
      <c r="Z78" s="30" t="s">
        <v>56</v>
      </c>
      <c r="AA78" s="30" t="s">
        <v>61</v>
      </c>
      <c r="AB78" s="30" t="s">
        <v>57</v>
      </c>
      <c r="AC78" s="27"/>
      <c r="AD78" s="31" t="s">
        <v>57</v>
      </c>
      <c r="AE78" s="32" t="str">
        <f t="shared" si="7"/>
        <v>❌ Disc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5780</v>
      </c>
      <c r="C79" s="25" t="s">
        <v>5781</v>
      </c>
      <c r="D79" s="23" t="s">
        <v>5739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69">
        <v>46196</v>
      </c>
      <c r="O79" s="26" t="s">
        <v>55</v>
      </c>
      <c r="P79" s="26" t="s">
        <v>57</v>
      </c>
      <c r="Q79" s="26" t="s">
        <v>56</v>
      </c>
      <c r="R79" s="26" t="s">
        <v>61</v>
      </c>
      <c r="S79" s="26" t="s">
        <v>57</v>
      </c>
      <c r="T79" s="27"/>
      <c r="U79" s="28" t="s">
        <v>57</v>
      </c>
      <c r="V79" s="29" t="str">
        <f t="shared" si="6"/>
        <v>❌ Disc</v>
      </c>
      <c r="W79" s="70">
        <v>46248</v>
      </c>
      <c r="X79" s="30" t="s">
        <v>55</v>
      </c>
      <c r="Y79" s="30" t="s">
        <v>57</v>
      </c>
      <c r="Z79" s="30" t="s">
        <v>56</v>
      </c>
      <c r="AA79" s="30" t="s">
        <v>61</v>
      </c>
      <c r="AB79" s="30" t="s">
        <v>57</v>
      </c>
      <c r="AC79" s="27"/>
      <c r="AD79" s="31" t="s">
        <v>57</v>
      </c>
      <c r="AE79" s="32" t="str">
        <f t="shared" si="7"/>
        <v>❌ Disc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5782</v>
      </c>
      <c r="C80" s="41" t="s">
        <v>5783</v>
      </c>
      <c r="D80" s="39" t="s">
        <v>5739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69">
        <v>46196</v>
      </c>
      <c r="O80" s="26" t="s">
        <v>55</v>
      </c>
      <c r="P80" s="26" t="s">
        <v>57</v>
      </c>
      <c r="Q80" s="26" t="s">
        <v>56</v>
      </c>
      <c r="R80" s="26" t="s">
        <v>61</v>
      </c>
      <c r="S80" s="26" t="s">
        <v>57</v>
      </c>
      <c r="T80" s="27"/>
      <c r="U80" s="28" t="s">
        <v>57</v>
      </c>
      <c r="V80" s="29" t="str">
        <f t="shared" si="6"/>
        <v>❌ Disc</v>
      </c>
      <c r="W80" s="70">
        <v>46248</v>
      </c>
      <c r="X80" s="30" t="s">
        <v>55</v>
      </c>
      <c r="Y80" s="30" t="s">
        <v>57</v>
      </c>
      <c r="Z80" s="30" t="s">
        <v>56</v>
      </c>
      <c r="AA80" s="30" t="s">
        <v>61</v>
      </c>
      <c r="AB80" s="30" t="s">
        <v>57</v>
      </c>
      <c r="AC80" s="27"/>
      <c r="AD80" s="31" t="s">
        <v>57</v>
      </c>
      <c r="AE80" s="32" t="str">
        <f t="shared" si="7"/>
        <v>❌ Disc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5784</v>
      </c>
      <c r="C81" s="25" t="s">
        <v>5785</v>
      </c>
      <c r="D81" s="23" t="s">
        <v>5739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69">
        <v>46196</v>
      </c>
      <c r="O81" s="26" t="s">
        <v>55</v>
      </c>
      <c r="P81" s="26" t="s">
        <v>57</v>
      </c>
      <c r="Q81" s="26" t="s">
        <v>56</v>
      </c>
      <c r="R81" s="26" t="s">
        <v>61</v>
      </c>
      <c r="S81" s="26" t="s">
        <v>57</v>
      </c>
      <c r="T81" s="27"/>
      <c r="U81" s="28" t="s">
        <v>57</v>
      </c>
      <c r="V81" s="29" t="str">
        <f t="shared" si="6"/>
        <v>❌ Disc</v>
      </c>
      <c r="W81" s="70">
        <v>46248</v>
      </c>
      <c r="X81" s="30" t="s">
        <v>55</v>
      </c>
      <c r="Y81" s="30" t="s">
        <v>57</v>
      </c>
      <c r="Z81" s="30" t="s">
        <v>56</v>
      </c>
      <c r="AA81" s="30" t="s">
        <v>61</v>
      </c>
      <c r="AB81" s="30" t="s">
        <v>57</v>
      </c>
      <c r="AC81" s="27"/>
      <c r="AD81" s="31" t="s">
        <v>57</v>
      </c>
      <c r="AE81" s="32" t="str">
        <f t="shared" si="7"/>
        <v>❌ Disc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5786</v>
      </c>
      <c r="C82" s="41" t="s">
        <v>5787</v>
      </c>
      <c r="D82" s="39" t="s">
        <v>5739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69">
        <v>46196</v>
      </c>
      <c r="O82" s="26" t="s">
        <v>55</v>
      </c>
      <c r="P82" s="26" t="s">
        <v>57</v>
      </c>
      <c r="Q82" s="26" t="s">
        <v>56</v>
      </c>
      <c r="R82" s="26" t="s">
        <v>61</v>
      </c>
      <c r="S82" s="26" t="s">
        <v>57</v>
      </c>
      <c r="T82" s="27"/>
      <c r="U82" s="28" t="s">
        <v>57</v>
      </c>
      <c r="V82" s="29" t="str">
        <f t="shared" si="6"/>
        <v>❌ Disc</v>
      </c>
      <c r="W82" s="70">
        <v>46248</v>
      </c>
      <c r="X82" s="30" t="s">
        <v>55</v>
      </c>
      <c r="Y82" s="30" t="s">
        <v>57</v>
      </c>
      <c r="Z82" s="30" t="s">
        <v>56</v>
      </c>
      <c r="AA82" s="30" t="s">
        <v>61</v>
      </c>
      <c r="AB82" s="30" t="s">
        <v>57</v>
      </c>
      <c r="AC82" s="27"/>
      <c r="AD82" s="31" t="s">
        <v>57</v>
      </c>
      <c r="AE82" s="32" t="str">
        <f t="shared" si="7"/>
        <v>❌ Disc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5788</v>
      </c>
      <c r="C83" s="25" t="s">
        <v>5789</v>
      </c>
      <c r="D83" s="23" t="s">
        <v>5739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69">
        <v>46196</v>
      </c>
      <c r="O83" s="26" t="s">
        <v>55</v>
      </c>
      <c r="P83" s="26" t="s">
        <v>57</v>
      </c>
      <c r="Q83" s="26" t="s">
        <v>56</v>
      </c>
      <c r="R83" s="26" t="s">
        <v>61</v>
      </c>
      <c r="S83" s="26" t="s">
        <v>57</v>
      </c>
      <c r="T83" s="27"/>
      <c r="U83" s="28" t="s">
        <v>57</v>
      </c>
      <c r="V83" s="29" t="str">
        <f t="shared" si="6"/>
        <v>❌ Disc</v>
      </c>
      <c r="W83" s="70">
        <v>46248</v>
      </c>
      <c r="X83" s="30" t="s">
        <v>55</v>
      </c>
      <c r="Y83" s="30" t="s">
        <v>57</v>
      </c>
      <c r="Z83" s="30" t="s">
        <v>56</v>
      </c>
      <c r="AA83" s="30" t="s">
        <v>61</v>
      </c>
      <c r="AB83" s="30" t="s">
        <v>57</v>
      </c>
      <c r="AC83" s="27"/>
      <c r="AD83" s="31" t="s">
        <v>57</v>
      </c>
      <c r="AE83" s="32" t="str">
        <f t="shared" si="7"/>
        <v>❌ Disc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5790</v>
      </c>
      <c r="C84" s="41" t="s">
        <v>5791</v>
      </c>
      <c r="D84" s="39" t="s">
        <v>5739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69">
        <v>46196</v>
      </c>
      <c r="O84" s="26" t="s">
        <v>55</v>
      </c>
      <c r="P84" s="26" t="s">
        <v>57</v>
      </c>
      <c r="Q84" s="26" t="s">
        <v>56</v>
      </c>
      <c r="R84" s="26" t="s">
        <v>61</v>
      </c>
      <c r="S84" s="26" t="s">
        <v>57</v>
      </c>
      <c r="T84" s="27"/>
      <c r="U84" s="28" t="s">
        <v>57</v>
      </c>
      <c r="V84" s="29" t="str">
        <f t="shared" si="6"/>
        <v>❌ Disc</v>
      </c>
      <c r="W84" s="70">
        <v>46248</v>
      </c>
      <c r="X84" s="30" t="s">
        <v>55</v>
      </c>
      <c r="Y84" s="30" t="s">
        <v>57</v>
      </c>
      <c r="Z84" s="30" t="s">
        <v>56</v>
      </c>
      <c r="AA84" s="30" t="s">
        <v>61</v>
      </c>
      <c r="AB84" s="30" t="s">
        <v>57</v>
      </c>
      <c r="AC84" s="27"/>
      <c r="AD84" s="31" t="s">
        <v>57</v>
      </c>
      <c r="AE84" s="32" t="str">
        <f t="shared" si="7"/>
        <v>❌ Disc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5792</v>
      </c>
      <c r="C85" s="25" t="s">
        <v>5793</v>
      </c>
      <c r="D85" s="23" t="s">
        <v>5739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69">
        <v>46196</v>
      </c>
      <c r="O85" s="26" t="s">
        <v>55</v>
      </c>
      <c r="P85" s="26" t="s">
        <v>57</v>
      </c>
      <c r="Q85" s="26" t="s">
        <v>56</v>
      </c>
      <c r="R85" s="26" t="s">
        <v>61</v>
      </c>
      <c r="S85" s="26" t="s">
        <v>57</v>
      </c>
      <c r="T85" s="27"/>
      <c r="U85" s="28" t="s">
        <v>57</v>
      </c>
      <c r="V85" s="29" t="str">
        <f t="shared" si="6"/>
        <v>❌ Disc</v>
      </c>
      <c r="W85" s="70">
        <v>46248</v>
      </c>
      <c r="X85" s="30" t="s">
        <v>55</v>
      </c>
      <c r="Y85" s="30" t="s">
        <v>57</v>
      </c>
      <c r="Z85" s="30" t="s">
        <v>56</v>
      </c>
      <c r="AA85" s="30" t="s">
        <v>61</v>
      </c>
      <c r="AB85" s="30" t="s">
        <v>57</v>
      </c>
      <c r="AC85" s="27"/>
      <c r="AD85" s="31" t="s">
        <v>57</v>
      </c>
      <c r="AE85" s="32" t="str">
        <f t="shared" si="7"/>
        <v>❌ Disc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5794</v>
      </c>
      <c r="C86" s="41" t="s">
        <v>5795</v>
      </c>
      <c r="D86" s="39" t="s">
        <v>5739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69">
        <v>46196</v>
      </c>
      <c r="O86" s="26" t="s">
        <v>55</v>
      </c>
      <c r="P86" s="26" t="s">
        <v>57</v>
      </c>
      <c r="Q86" s="26" t="s">
        <v>56</v>
      </c>
      <c r="R86" s="26" t="s">
        <v>61</v>
      </c>
      <c r="S86" s="26" t="s">
        <v>57</v>
      </c>
      <c r="T86" s="27"/>
      <c r="U86" s="28" t="s">
        <v>57</v>
      </c>
      <c r="V86" s="29" t="str">
        <f t="shared" si="6"/>
        <v>❌ Disc</v>
      </c>
      <c r="W86" s="70">
        <v>46248</v>
      </c>
      <c r="X86" s="30" t="s">
        <v>55</v>
      </c>
      <c r="Y86" s="30" t="s">
        <v>57</v>
      </c>
      <c r="Z86" s="30" t="s">
        <v>56</v>
      </c>
      <c r="AA86" s="30" t="s">
        <v>61</v>
      </c>
      <c r="AB86" s="30" t="s">
        <v>57</v>
      </c>
      <c r="AC86" s="27"/>
      <c r="AD86" s="31" t="s">
        <v>57</v>
      </c>
      <c r="AE86" s="32" t="str">
        <f t="shared" si="7"/>
        <v>❌ Disc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5796</v>
      </c>
      <c r="C87" s="25" t="s">
        <v>5797</v>
      </c>
      <c r="D87" s="23" t="s">
        <v>5739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69">
        <v>46196</v>
      </c>
      <c r="O87" s="26" t="s">
        <v>55</v>
      </c>
      <c r="P87" s="26" t="s">
        <v>57</v>
      </c>
      <c r="Q87" s="26" t="s">
        <v>56</v>
      </c>
      <c r="R87" s="26" t="s">
        <v>61</v>
      </c>
      <c r="S87" s="26" t="s">
        <v>57</v>
      </c>
      <c r="T87" s="27"/>
      <c r="U87" s="28" t="s">
        <v>57</v>
      </c>
      <c r="V87" s="29" t="str">
        <f t="shared" si="6"/>
        <v>❌ Disc</v>
      </c>
      <c r="W87" s="70">
        <v>46248</v>
      </c>
      <c r="X87" s="30" t="s">
        <v>55</v>
      </c>
      <c r="Y87" s="30" t="s">
        <v>57</v>
      </c>
      <c r="Z87" s="30" t="s">
        <v>56</v>
      </c>
      <c r="AA87" s="30" t="s">
        <v>61</v>
      </c>
      <c r="AB87" s="30" t="s">
        <v>57</v>
      </c>
      <c r="AC87" s="27"/>
      <c r="AD87" s="31" t="s">
        <v>57</v>
      </c>
      <c r="AE87" s="32" t="str">
        <f t="shared" si="7"/>
        <v>❌ Disc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5798</v>
      </c>
      <c r="C88" s="41" t="s">
        <v>5799</v>
      </c>
      <c r="D88" s="39" t="s">
        <v>5739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69">
        <v>46196</v>
      </c>
      <c r="O88" s="26" t="s">
        <v>55</v>
      </c>
      <c r="P88" s="26" t="s">
        <v>57</v>
      </c>
      <c r="Q88" s="26" t="s">
        <v>56</v>
      </c>
      <c r="R88" s="26" t="s">
        <v>61</v>
      </c>
      <c r="S88" s="26" t="s">
        <v>57</v>
      </c>
      <c r="T88" s="27"/>
      <c r="U88" s="28" t="s">
        <v>57</v>
      </c>
      <c r="V88" s="29" t="str">
        <f t="shared" si="6"/>
        <v>❌ Disc</v>
      </c>
      <c r="W88" s="70">
        <v>46248</v>
      </c>
      <c r="X88" s="30" t="s">
        <v>55</v>
      </c>
      <c r="Y88" s="30" t="s">
        <v>57</v>
      </c>
      <c r="Z88" s="30" t="s">
        <v>56</v>
      </c>
      <c r="AA88" s="30" t="s">
        <v>61</v>
      </c>
      <c r="AB88" s="30" t="s">
        <v>57</v>
      </c>
      <c r="AC88" s="27"/>
      <c r="AD88" s="31" t="s">
        <v>57</v>
      </c>
      <c r="AE88" s="32" t="str">
        <f t="shared" si="7"/>
        <v>❌ Disc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5800</v>
      </c>
      <c r="C89" s="25" t="s">
        <v>5801</v>
      </c>
      <c r="D89" s="23" t="s">
        <v>5739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69">
        <v>46196</v>
      </c>
      <c r="O89" s="26" t="s">
        <v>55</v>
      </c>
      <c r="P89" s="26" t="s">
        <v>57</v>
      </c>
      <c r="Q89" s="26" t="s">
        <v>56</v>
      </c>
      <c r="R89" s="26" t="s">
        <v>61</v>
      </c>
      <c r="S89" s="26" t="s">
        <v>57</v>
      </c>
      <c r="T89" s="27"/>
      <c r="U89" s="28" t="s">
        <v>57</v>
      </c>
      <c r="V89" s="29" t="str">
        <f t="shared" si="6"/>
        <v>❌ Disc</v>
      </c>
      <c r="W89" s="70">
        <v>46248</v>
      </c>
      <c r="X89" s="30" t="s">
        <v>55</v>
      </c>
      <c r="Y89" s="30" t="s">
        <v>57</v>
      </c>
      <c r="Z89" s="30" t="s">
        <v>56</v>
      </c>
      <c r="AA89" s="30" t="s">
        <v>61</v>
      </c>
      <c r="AB89" s="30" t="s">
        <v>57</v>
      </c>
      <c r="AC89" s="27"/>
      <c r="AD89" s="31" t="s">
        <v>57</v>
      </c>
      <c r="AE89" s="32" t="str">
        <f t="shared" si="7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5802</v>
      </c>
      <c r="C90" s="41" t="s">
        <v>5803</v>
      </c>
      <c r="D90" s="39" t="s">
        <v>5739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69">
        <v>46196</v>
      </c>
      <c r="O90" s="26" t="s">
        <v>55</v>
      </c>
      <c r="P90" s="26" t="s">
        <v>57</v>
      </c>
      <c r="Q90" s="26" t="s">
        <v>56</v>
      </c>
      <c r="R90" s="26" t="s">
        <v>61</v>
      </c>
      <c r="S90" s="26" t="s">
        <v>57</v>
      </c>
      <c r="T90" s="27"/>
      <c r="U90" s="28" t="s">
        <v>57</v>
      </c>
      <c r="V90" s="29" t="str">
        <f t="shared" si="6"/>
        <v>❌ Disc</v>
      </c>
      <c r="W90" s="70">
        <v>46248</v>
      </c>
      <c r="X90" s="30" t="s">
        <v>55</v>
      </c>
      <c r="Y90" s="30" t="s">
        <v>57</v>
      </c>
      <c r="Z90" s="30" t="s">
        <v>56</v>
      </c>
      <c r="AA90" s="30" t="s">
        <v>61</v>
      </c>
      <c r="AB90" s="30" t="s">
        <v>57</v>
      </c>
      <c r="AC90" s="27"/>
      <c r="AD90" s="31" t="s">
        <v>57</v>
      </c>
      <c r="AE90" s="32" t="str">
        <f t="shared" si="7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5804</v>
      </c>
      <c r="C91" s="25" t="s">
        <v>5805</v>
      </c>
      <c r="D91" s="23" t="s">
        <v>5739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69">
        <v>46196</v>
      </c>
      <c r="O91" s="26" t="s">
        <v>55</v>
      </c>
      <c r="P91" s="26" t="s">
        <v>57</v>
      </c>
      <c r="Q91" s="26" t="s">
        <v>56</v>
      </c>
      <c r="R91" s="26" t="s">
        <v>61</v>
      </c>
      <c r="S91" s="26" t="s">
        <v>57</v>
      </c>
      <c r="T91" s="27"/>
      <c r="U91" s="28" t="s">
        <v>57</v>
      </c>
      <c r="V91" s="29" t="str">
        <f t="shared" si="6"/>
        <v>❌ Disc</v>
      </c>
      <c r="W91" s="70">
        <v>46248</v>
      </c>
      <c r="X91" s="30" t="s">
        <v>55</v>
      </c>
      <c r="Y91" s="30" t="s">
        <v>57</v>
      </c>
      <c r="Z91" s="30" t="s">
        <v>56</v>
      </c>
      <c r="AA91" s="30" t="s">
        <v>61</v>
      </c>
      <c r="AB91" s="30" t="s">
        <v>57</v>
      </c>
      <c r="AC91" s="27"/>
      <c r="AD91" s="31" t="s">
        <v>57</v>
      </c>
      <c r="AE91" s="32" t="str">
        <f t="shared" si="7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5806</v>
      </c>
      <c r="C92" s="41" t="s">
        <v>5807</v>
      </c>
      <c r="D92" s="39" t="s">
        <v>5739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69">
        <v>46196</v>
      </c>
      <c r="O92" s="26" t="s">
        <v>55</v>
      </c>
      <c r="P92" s="26" t="s">
        <v>57</v>
      </c>
      <c r="Q92" s="26" t="s">
        <v>56</v>
      </c>
      <c r="R92" s="26" t="s">
        <v>61</v>
      </c>
      <c r="S92" s="26" t="s">
        <v>57</v>
      </c>
      <c r="T92" s="27"/>
      <c r="U92" s="28" t="s">
        <v>57</v>
      </c>
      <c r="V92" s="29" t="str">
        <f t="shared" si="6"/>
        <v>❌ Disc</v>
      </c>
      <c r="W92" s="70">
        <v>46248</v>
      </c>
      <c r="X92" s="30" t="s">
        <v>55</v>
      </c>
      <c r="Y92" s="30" t="s">
        <v>57</v>
      </c>
      <c r="Z92" s="30" t="s">
        <v>56</v>
      </c>
      <c r="AA92" s="30" t="s">
        <v>61</v>
      </c>
      <c r="AB92" s="30" t="s">
        <v>57</v>
      </c>
      <c r="AC92" s="27"/>
      <c r="AD92" s="31" t="s">
        <v>57</v>
      </c>
      <c r="AE92" s="32" t="str">
        <f t="shared" si="7"/>
        <v>❌ Disc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5808</v>
      </c>
      <c r="C93" s="25" t="s">
        <v>5809</v>
      </c>
      <c r="D93" s="23" t="s">
        <v>5739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69">
        <v>46196</v>
      </c>
      <c r="O93" s="26" t="s">
        <v>55</v>
      </c>
      <c r="P93" s="26" t="s">
        <v>57</v>
      </c>
      <c r="Q93" s="26" t="s">
        <v>56</v>
      </c>
      <c r="R93" s="26" t="s">
        <v>61</v>
      </c>
      <c r="S93" s="26" t="s">
        <v>57</v>
      </c>
      <c r="T93" s="27"/>
      <c r="U93" s="28" t="s">
        <v>57</v>
      </c>
      <c r="V93" s="29" t="str">
        <f t="shared" si="6"/>
        <v>❌ Disc</v>
      </c>
      <c r="W93" s="70">
        <v>46248</v>
      </c>
      <c r="X93" s="30" t="s">
        <v>55</v>
      </c>
      <c r="Y93" s="30" t="s">
        <v>57</v>
      </c>
      <c r="Z93" s="30" t="s">
        <v>56</v>
      </c>
      <c r="AA93" s="30" t="s">
        <v>61</v>
      </c>
      <c r="AB93" s="30" t="s">
        <v>57</v>
      </c>
      <c r="AC93" s="27"/>
      <c r="AD93" s="31" t="s">
        <v>57</v>
      </c>
      <c r="AE93" s="32" t="str">
        <f t="shared" si="7"/>
        <v>❌ Disc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5810</v>
      </c>
      <c r="C94" s="41" t="s">
        <v>5811</v>
      </c>
      <c r="D94" s="39" t="s">
        <v>5739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69">
        <v>46196</v>
      </c>
      <c r="O94" s="26" t="s">
        <v>55</v>
      </c>
      <c r="P94" s="26" t="s">
        <v>57</v>
      </c>
      <c r="Q94" s="26" t="s">
        <v>56</v>
      </c>
      <c r="R94" s="26" t="s">
        <v>61</v>
      </c>
      <c r="S94" s="26" t="s">
        <v>57</v>
      </c>
      <c r="T94" s="27"/>
      <c r="U94" s="28" t="s">
        <v>57</v>
      </c>
      <c r="V94" s="29" t="str">
        <f t="shared" si="6"/>
        <v>❌ Disc</v>
      </c>
      <c r="W94" s="70">
        <v>46248</v>
      </c>
      <c r="X94" s="30" t="s">
        <v>55</v>
      </c>
      <c r="Y94" s="30" t="s">
        <v>57</v>
      </c>
      <c r="Z94" s="30" t="s">
        <v>56</v>
      </c>
      <c r="AA94" s="30" t="s">
        <v>61</v>
      </c>
      <c r="AB94" s="30" t="s">
        <v>57</v>
      </c>
      <c r="AC94" s="27"/>
      <c r="AD94" s="31" t="s">
        <v>57</v>
      </c>
      <c r="AE94" s="32" t="str">
        <f t="shared" si="7"/>
        <v>❌ Disc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5812</v>
      </c>
      <c r="C95" s="25" t="s">
        <v>5813</v>
      </c>
      <c r="D95" s="23" t="s">
        <v>5739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69">
        <v>46196</v>
      </c>
      <c r="O95" s="26" t="s">
        <v>55</v>
      </c>
      <c r="P95" s="26" t="s">
        <v>57</v>
      </c>
      <c r="Q95" s="26" t="s">
        <v>56</v>
      </c>
      <c r="R95" s="26" t="s">
        <v>61</v>
      </c>
      <c r="S95" s="26" t="s">
        <v>57</v>
      </c>
      <c r="T95" s="27"/>
      <c r="U95" s="28" t="s">
        <v>57</v>
      </c>
      <c r="V95" s="29" t="str">
        <f t="shared" si="6"/>
        <v>❌ Disc</v>
      </c>
      <c r="W95" s="70">
        <v>46248</v>
      </c>
      <c r="X95" s="30" t="s">
        <v>55</v>
      </c>
      <c r="Y95" s="30" t="s">
        <v>57</v>
      </c>
      <c r="Z95" s="30" t="s">
        <v>56</v>
      </c>
      <c r="AA95" s="30" t="s">
        <v>61</v>
      </c>
      <c r="AB95" s="30" t="s">
        <v>57</v>
      </c>
      <c r="AC95" s="27"/>
      <c r="AD95" s="31" t="s">
        <v>57</v>
      </c>
      <c r="AE95" s="32" t="str">
        <f t="shared" si="7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5814</v>
      </c>
      <c r="C96" s="41" t="s">
        <v>5815</v>
      </c>
      <c r="D96" s="39" t="s">
        <v>5739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69">
        <v>46196</v>
      </c>
      <c r="O96" s="26" t="s">
        <v>55</v>
      </c>
      <c r="P96" s="26" t="s">
        <v>57</v>
      </c>
      <c r="Q96" s="26" t="s">
        <v>56</v>
      </c>
      <c r="R96" s="26" t="s">
        <v>61</v>
      </c>
      <c r="S96" s="26" t="s">
        <v>57</v>
      </c>
      <c r="T96" s="27"/>
      <c r="U96" s="28" t="s">
        <v>57</v>
      </c>
      <c r="V96" s="29" t="str">
        <f t="shared" si="6"/>
        <v>❌ Disc</v>
      </c>
      <c r="W96" s="70">
        <v>46248</v>
      </c>
      <c r="X96" s="30" t="s">
        <v>55</v>
      </c>
      <c r="Y96" s="30" t="s">
        <v>57</v>
      </c>
      <c r="Z96" s="30" t="s">
        <v>56</v>
      </c>
      <c r="AA96" s="30" t="s">
        <v>61</v>
      </c>
      <c r="AB96" s="30" t="s">
        <v>57</v>
      </c>
      <c r="AC96" s="27"/>
      <c r="AD96" s="31" t="s">
        <v>57</v>
      </c>
      <c r="AE96" s="32" t="str">
        <f t="shared" si="7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5816</v>
      </c>
      <c r="C97" s="25" t="s">
        <v>5817</v>
      </c>
      <c r="D97" s="23" t="s">
        <v>5739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69">
        <v>46196</v>
      </c>
      <c r="O97" s="26" t="s">
        <v>55</v>
      </c>
      <c r="P97" s="26" t="s">
        <v>57</v>
      </c>
      <c r="Q97" s="26" t="s">
        <v>56</v>
      </c>
      <c r="R97" s="26" t="s">
        <v>61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70">
        <v>46248</v>
      </c>
      <c r="X97" s="30" t="s">
        <v>55</v>
      </c>
      <c r="Y97" s="30" t="s">
        <v>57</v>
      </c>
      <c r="Z97" s="30" t="s">
        <v>56</v>
      </c>
      <c r="AA97" s="30" t="s">
        <v>61</v>
      </c>
      <c r="AB97" s="30" t="s">
        <v>57</v>
      </c>
      <c r="AC97" s="27"/>
      <c r="AD97" s="31" t="s">
        <v>57</v>
      </c>
      <c r="AE97" s="32" t="str">
        <f t="shared" si="7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5818</v>
      </c>
      <c r="C98" s="41" t="s">
        <v>5819</v>
      </c>
      <c r="D98" s="39" t="s">
        <v>5820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69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5821</v>
      </c>
      <c r="C99" s="25" t="s">
        <v>5822</v>
      </c>
      <c r="D99" s="23" t="s">
        <v>5820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69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5823</v>
      </c>
      <c r="C100" s="41" t="s">
        <v>5824</v>
      </c>
      <c r="D100" s="39" t="s">
        <v>5820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69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5825</v>
      </c>
      <c r="C101" s="25" t="s">
        <v>5826</v>
      </c>
      <c r="D101" s="23" t="s">
        <v>5820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69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5827</v>
      </c>
      <c r="C102" s="41" t="s">
        <v>5828</v>
      </c>
      <c r="D102" s="39" t="s">
        <v>5820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69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5829</v>
      </c>
      <c r="C103" s="25" t="s">
        <v>5830</v>
      </c>
      <c r="D103" s="23" t="s">
        <v>5820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69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5831</v>
      </c>
      <c r="C104" s="41" t="s">
        <v>5832</v>
      </c>
      <c r="D104" s="39" t="s">
        <v>5820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69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5833</v>
      </c>
      <c r="C105" s="25" t="s">
        <v>5834</v>
      </c>
      <c r="D105" s="23" t="s">
        <v>5820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69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5835</v>
      </c>
      <c r="C106" s="41" t="s">
        <v>5836</v>
      </c>
      <c r="D106" s="39" t="s">
        <v>5820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69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5837</v>
      </c>
      <c r="C107" s="25" t="s">
        <v>5838</v>
      </c>
      <c r="D107" s="23" t="s">
        <v>5820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69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5839</v>
      </c>
      <c r="C108" s="41" t="s">
        <v>5840</v>
      </c>
      <c r="D108" s="39" t="s">
        <v>5820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69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5841</v>
      </c>
      <c r="C109" s="25" t="s">
        <v>5842</v>
      </c>
      <c r="D109" s="23" t="s">
        <v>5820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69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5843</v>
      </c>
      <c r="C110" s="41" t="s">
        <v>5844</v>
      </c>
      <c r="D110" s="39" t="s">
        <v>5820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69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5845</v>
      </c>
      <c r="C111" s="25" t="s">
        <v>5846</v>
      </c>
      <c r="D111" s="23" t="s">
        <v>5820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69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5847</v>
      </c>
      <c r="C112" s="41" t="s">
        <v>5848</v>
      </c>
      <c r="D112" s="39" t="s">
        <v>5820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69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5849</v>
      </c>
      <c r="C113" s="25" t="s">
        <v>5850</v>
      </c>
      <c r="D113" s="23" t="s">
        <v>5820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69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5851</v>
      </c>
      <c r="C114" s="41" t="s">
        <v>5852</v>
      </c>
      <c r="D114" s="39" t="s">
        <v>5820</v>
      </c>
      <c r="E114" s="4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69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5853</v>
      </c>
      <c r="C115" s="25" t="s">
        <v>5854</v>
      </c>
      <c r="D115" s="23" t="s">
        <v>5820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69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5855</v>
      </c>
      <c r="C116" s="41" t="s">
        <v>5856</v>
      </c>
      <c r="D116" s="39" t="s">
        <v>5820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69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5857</v>
      </c>
      <c r="C117" s="25" t="s">
        <v>5858</v>
      </c>
      <c r="D117" s="23" t="s">
        <v>5820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69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5859</v>
      </c>
      <c r="C118" s="41" t="s">
        <v>5860</v>
      </c>
      <c r="D118" s="39" t="s">
        <v>5820</v>
      </c>
      <c r="E118" s="4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69">
        <v>46196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5861</v>
      </c>
      <c r="C119" s="25" t="s">
        <v>5862</v>
      </c>
      <c r="D119" s="23" t="s">
        <v>5820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69">
        <v>46196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5863</v>
      </c>
      <c r="C120" s="41" t="s">
        <v>5864</v>
      </c>
      <c r="D120" s="39" t="s">
        <v>5820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69">
        <v>46196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5865</v>
      </c>
      <c r="C121" s="25" t="s">
        <v>5866</v>
      </c>
      <c r="D121" s="23" t="s">
        <v>5820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69">
        <v>46196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5867</v>
      </c>
      <c r="C122" s="41" t="s">
        <v>5868</v>
      </c>
      <c r="D122" s="39" t="s">
        <v>5820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69">
        <v>46196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5869</v>
      </c>
      <c r="C123" s="25" t="s">
        <v>5870</v>
      </c>
      <c r="D123" s="23" t="s">
        <v>5820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69">
        <v>46196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5871</v>
      </c>
      <c r="C124" s="41" t="s">
        <v>5872</v>
      </c>
      <c r="D124" s="39" t="s">
        <v>5820</v>
      </c>
      <c r="E124" s="4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69">
        <v>46196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5873</v>
      </c>
      <c r="C125" s="25" t="s">
        <v>5874</v>
      </c>
      <c r="D125" s="23" t="s">
        <v>5820</v>
      </c>
      <c r="E125" s="4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69">
        <v>46196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5875</v>
      </c>
      <c r="C126" s="41" t="s">
        <v>5876</v>
      </c>
      <c r="D126" s="39" t="s">
        <v>5820</v>
      </c>
      <c r="E126" s="4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69">
        <v>46196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5877</v>
      </c>
      <c r="C127" s="25" t="s">
        <v>5878</v>
      </c>
      <c r="D127" s="23" t="s">
        <v>5820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69">
        <v>46196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5879</v>
      </c>
      <c r="C128" s="41" t="s">
        <v>5880</v>
      </c>
      <c r="D128" s="39" t="s">
        <v>5820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69">
        <v>46196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5881</v>
      </c>
      <c r="C129" s="25" t="s">
        <v>5882</v>
      </c>
      <c r="D129" s="23" t="s">
        <v>5820</v>
      </c>
      <c r="E129" s="4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69">
        <v>46196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5883</v>
      </c>
      <c r="C130" s="41" t="s">
        <v>5884</v>
      </c>
      <c r="D130" s="39" t="s">
        <v>5820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69">
        <v>46196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5885</v>
      </c>
      <c r="C131" s="25" t="s">
        <v>5886</v>
      </c>
      <c r="D131" s="23" t="s">
        <v>5820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69">
        <v>46196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5887</v>
      </c>
      <c r="C132" s="41" t="s">
        <v>5888</v>
      </c>
      <c r="D132" s="39" t="s">
        <v>5820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69">
        <v>46196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5889</v>
      </c>
      <c r="C133" s="25" t="s">
        <v>5890</v>
      </c>
      <c r="D133" s="23" t="s">
        <v>5820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69">
        <v>46196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5891</v>
      </c>
      <c r="C134" s="41" t="s">
        <v>5892</v>
      </c>
      <c r="D134" s="39" t="s">
        <v>5820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69">
        <v>46196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5893</v>
      </c>
      <c r="C135" s="25" t="s">
        <v>5894</v>
      </c>
      <c r="D135" s="23" t="s">
        <v>5820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69">
        <v>46196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5895</v>
      </c>
      <c r="C136" s="41" t="s">
        <v>5896</v>
      </c>
      <c r="D136" s="39" t="s">
        <v>5820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69">
        <v>46196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5897</v>
      </c>
      <c r="C137" s="25" t="s">
        <v>5898</v>
      </c>
      <c r="D137" s="23" t="s">
        <v>5820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69">
        <v>46196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5899</v>
      </c>
      <c r="C138" s="41" t="s">
        <v>5900</v>
      </c>
      <c r="D138" s="39" t="s">
        <v>5820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69">
        <v>46196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58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5901</v>
      </c>
      <c r="C139" s="25" t="s">
        <v>5902</v>
      </c>
      <c r="D139" s="23" t="s">
        <v>5820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69">
        <v>46196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58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5903</v>
      </c>
      <c r="C140" s="41" t="s">
        <v>5904</v>
      </c>
      <c r="D140" s="39" t="s">
        <v>5820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69">
        <v>46196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5905</v>
      </c>
      <c r="C141" s="25" t="s">
        <v>5906</v>
      </c>
      <c r="D141" s="23" t="s">
        <v>5820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69">
        <v>46196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5907</v>
      </c>
      <c r="C142" s="41" t="s">
        <v>5908</v>
      </c>
      <c r="D142" s="39" t="s">
        <v>5820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69">
        <v>46196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5909</v>
      </c>
      <c r="C143" s="25" t="s">
        <v>5910</v>
      </c>
      <c r="D143" s="23" t="s">
        <v>5820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69">
        <v>46196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5911</v>
      </c>
      <c r="C144" s="41" t="s">
        <v>5912</v>
      </c>
      <c r="D144" s="39" t="s">
        <v>5820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69">
        <v>46196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5913</v>
      </c>
      <c r="C145" s="25" t="s">
        <v>5914</v>
      </c>
      <c r="D145" s="23" t="s">
        <v>5820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69">
        <v>46196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5915</v>
      </c>
      <c r="C146" s="41" t="s">
        <v>5916</v>
      </c>
      <c r="D146" s="39" t="s">
        <v>5820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69">
        <v>46196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5917</v>
      </c>
      <c r="C147" s="25" t="s">
        <v>5918</v>
      </c>
      <c r="D147" s="23" t="s">
        <v>5820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69">
        <v>46196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5919</v>
      </c>
      <c r="C148" s="41" t="s">
        <v>5920</v>
      </c>
      <c r="D148" s="39" t="s">
        <v>5820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69">
        <v>46196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5921</v>
      </c>
      <c r="C149" s="25" t="s">
        <v>5922</v>
      </c>
      <c r="D149" s="23" t="s">
        <v>5820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69">
        <v>46196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5923</v>
      </c>
      <c r="C150" s="41" t="s">
        <v>5924</v>
      </c>
      <c r="D150" s="39" t="s">
        <v>5820</v>
      </c>
      <c r="E150" s="4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69">
        <v>46196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5925</v>
      </c>
      <c r="C151" s="25" t="s">
        <v>5926</v>
      </c>
      <c r="D151" s="23" t="s">
        <v>5820</v>
      </c>
      <c r="E151" s="4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69">
        <v>46196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5927</v>
      </c>
      <c r="C152" s="41" t="s">
        <v>5928</v>
      </c>
      <c r="D152" s="39" t="s">
        <v>5820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69">
        <v>46196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5929</v>
      </c>
      <c r="C153" s="25" t="s">
        <v>5930</v>
      </c>
      <c r="D153" s="23" t="s">
        <v>5820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69">
        <v>46196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5931</v>
      </c>
      <c r="C154" s="41" t="s">
        <v>5932</v>
      </c>
      <c r="D154" s="39" t="s">
        <v>5820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69">
        <v>46196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5933</v>
      </c>
      <c r="C155" s="25" t="s">
        <v>5934</v>
      </c>
      <c r="D155" s="23" t="s">
        <v>5820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69">
        <v>46196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5935</v>
      </c>
      <c r="C156" s="41" t="s">
        <v>5936</v>
      </c>
      <c r="D156" s="39" t="s">
        <v>5820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69">
        <v>46196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5937</v>
      </c>
      <c r="C157" s="25" t="s">
        <v>5938</v>
      </c>
      <c r="D157" s="23" t="s">
        <v>5820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69">
        <v>46196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5939</v>
      </c>
      <c r="C158" s="41" t="s">
        <v>5940</v>
      </c>
      <c r="D158" s="39" t="s">
        <v>5820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69">
        <v>46196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5941</v>
      </c>
      <c r="C159" s="25" t="s">
        <v>5942</v>
      </c>
      <c r="D159" s="23" t="s">
        <v>5820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69">
        <v>46196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5943</v>
      </c>
      <c r="C160" s="41" t="s">
        <v>5944</v>
      </c>
      <c r="D160" s="39" t="s">
        <v>5820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69">
        <v>46196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5945</v>
      </c>
      <c r="C161" s="25" t="s">
        <v>5946</v>
      </c>
      <c r="D161" s="23" t="s">
        <v>5820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69">
        <v>46196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5947</v>
      </c>
      <c r="C162" s="41" t="s">
        <v>5948</v>
      </c>
      <c r="D162" s="39" t="s">
        <v>5820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69">
        <v>46196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5949</v>
      </c>
      <c r="C163" s="25" t="s">
        <v>5950</v>
      </c>
      <c r="D163" s="23" t="s">
        <v>5820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69">
        <v>46196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5951</v>
      </c>
      <c r="C164" s="41" t="s">
        <v>5952</v>
      </c>
      <c r="D164" s="39" t="s">
        <v>5820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69">
        <v>46196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5953</v>
      </c>
      <c r="C165" s="25" t="s">
        <v>5954</v>
      </c>
      <c r="D165" s="23" t="s">
        <v>5820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69">
        <v>46196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5955</v>
      </c>
      <c r="C166" s="41" t="s">
        <v>5956</v>
      </c>
      <c r="D166" s="39" t="s">
        <v>5820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69">
        <v>46196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5957</v>
      </c>
      <c r="C167" s="25" t="s">
        <v>5958</v>
      </c>
      <c r="D167" s="23" t="s">
        <v>5820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69">
        <v>46196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5959</v>
      </c>
      <c r="C168" s="41" t="s">
        <v>5960</v>
      </c>
      <c r="D168" s="39" t="s">
        <v>5820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69">
        <v>46196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5961</v>
      </c>
      <c r="C169" s="25" t="s">
        <v>5962</v>
      </c>
      <c r="D169" s="23" t="s">
        <v>5820</v>
      </c>
      <c r="E169" s="4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69">
        <v>46196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5963</v>
      </c>
      <c r="C170" s="41" t="s">
        <v>5964</v>
      </c>
      <c r="D170" s="39" t="s">
        <v>5820</v>
      </c>
      <c r="E170" s="4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69">
        <v>46196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5965</v>
      </c>
      <c r="C171" s="25" t="s">
        <v>5966</v>
      </c>
      <c r="D171" s="23" t="s">
        <v>5820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69">
        <v>46196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5967</v>
      </c>
      <c r="C172" s="41" t="s">
        <v>5968</v>
      </c>
      <c r="D172" s="39" t="s">
        <v>5820</v>
      </c>
      <c r="E172" s="4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69">
        <v>46196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5969</v>
      </c>
      <c r="C173" s="25" t="s">
        <v>5970</v>
      </c>
      <c r="D173" s="23" t="s">
        <v>5820</v>
      </c>
      <c r="E173" s="4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69">
        <v>46196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5971</v>
      </c>
      <c r="C174" s="41" t="s">
        <v>5972</v>
      </c>
      <c r="D174" s="39" t="s">
        <v>5820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69">
        <v>46196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5973</v>
      </c>
      <c r="C175" s="25" t="s">
        <v>5974</v>
      </c>
      <c r="D175" s="23" t="s">
        <v>5820</v>
      </c>
      <c r="E175" s="4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69">
        <v>46196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5975</v>
      </c>
      <c r="C176" s="41" t="s">
        <v>5976</v>
      </c>
      <c r="D176" s="39" t="s">
        <v>5820</v>
      </c>
      <c r="E176" s="4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69">
        <v>46196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5977</v>
      </c>
      <c r="C177" s="25" t="s">
        <v>5978</v>
      </c>
      <c r="D177" s="23" t="s">
        <v>5820</v>
      </c>
      <c r="E177" s="4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69">
        <v>46196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5979</v>
      </c>
      <c r="C178" s="41" t="s">
        <v>5980</v>
      </c>
      <c r="D178" s="39" t="s">
        <v>5820</v>
      </c>
      <c r="E178" s="4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69">
        <v>46196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56</v>
      </c>
      <c r="Z178" s="30" t="s">
        <v>57</v>
      </c>
      <c r="AA178" s="30" t="s">
        <v>58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5981</v>
      </c>
      <c r="C179" s="25" t="s">
        <v>5982</v>
      </c>
      <c r="D179" s="23" t="s">
        <v>5820</v>
      </c>
      <c r="E179" s="4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69">
        <v>46196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56</v>
      </c>
      <c r="Z179" s="30" t="s">
        <v>57</v>
      </c>
      <c r="AA179" s="30" t="s">
        <v>58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5983</v>
      </c>
      <c r="C180" s="41" t="s">
        <v>5984</v>
      </c>
      <c r="D180" s="39" t="s">
        <v>5820</v>
      </c>
      <c r="E180" s="4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69">
        <v>46196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5985</v>
      </c>
      <c r="C181" s="25" t="s">
        <v>5986</v>
      </c>
      <c r="D181" s="23" t="s">
        <v>5820</v>
      </c>
      <c r="E181" s="4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69">
        <v>46196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56</v>
      </c>
      <c r="Z181" s="30" t="s">
        <v>57</v>
      </c>
      <c r="AA181" s="30" t="s">
        <v>58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5987</v>
      </c>
      <c r="C182" s="41" t="s">
        <v>5988</v>
      </c>
      <c r="D182" s="39" t="s">
        <v>5820</v>
      </c>
      <c r="E182" s="4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69">
        <v>46196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5989</v>
      </c>
      <c r="C183" s="25" t="s">
        <v>5990</v>
      </c>
      <c r="D183" s="23" t="s">
        <v>5820</v>
      </c>
      <c r="E183" s="4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69">
        <v>46196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56</v>
      </c>
      <c r="Z183" s="30" t="s">
        <v>57</v>
      </c>
      <c r="AA183" s="30" t="s">
        <v>58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5991</v>
      </c>
      <c r="C184" s="41" t="s">
        <v>5992</v>
      </c>
      <c r="D184" s="39" t="s">
        <v>5820</v>
      </c>
      <c r="E184" s="4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69">
        <v>46196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56</v>
      </c>
      <c r="Z184" s="30" t="s">
        <v>57</v>
      </c>
      <c r="AA184" s="30" t="s">
        <v>58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5993</v>
      </c>
      <c r="C185" s="25" t="s">
        <v>5994</v>
      </c>
      <c r="D185" s="23" t="s">
        <v>5820</v>
      </c>
      <c r="E185" s="4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69">
        <v>46196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56</v>
      </c>
      <c r="Z185" s="30" t="s">
        <v>57</v>
      </c>
      <c r="AA185" s="30" t="s">
        <v>58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5995</v>
      </c>
      <c r="C186" s="41" t="s">
        <v>5996</v>
      </c>
      <c r="D186" s="39" t="s">
        <v>5820</v>
      </c>
      <c r="E186" s="4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69">
        <v>46196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5997</v>
      </c>
      <c r="C187" s="25" t="s">
        <v>5998</v>
      </c>
      <c r="D187" s="23" t="s">
        <v>5820</v>
      </c>
      <c r="E187" s="4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69">
        <v>46196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5999</v>
      </c>
      <c r="C188" s="41" t="s">
        <v>6000</v>
      </c>
      <c r="D188" s="39" t="s">
        <v>5820</v>
      </c>
      <c r="E188" s="4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69">
        <v>46196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6001</v>
      </c>
      <c r="C189" s="25" t="s">
        <v>6002</v>
      </c>
      <c r="D189" s="23" t="s">
        <v>5820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69">
        <v>46196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6003</v>
      </c>
      <c r="C190" s="41" t="s">
        <v>6004</v>
      </c>
      <c r="D190" s="39" t="s">
        <v>5820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69">
        <v>46196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6005</v>
      </c>
      <c r="C191" s="25" t="s">
        <v>6006</v>
      </c>
      <c r="D191" s="23" t="s">
        <v>5820</v>
      </c>
      <c r="E191" s="4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69">
        <v>46196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6007</v>
      </c>
      <c r="C192" s="41" t="s">
        <v>6008</v>
      </c>
      <c r="D192" s="39" t="s">
        <v>5820</v>
      </c>
      <c r="E192" s="4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69">
        <v>46196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6009</v>
      </c>
      <c r="C193" s="25" t="s">
        <v>6010</v>
      </c>
      <c r="D193" s="23" t="s">
        <v>5820</v>
      </c>
      <c r="E193" s="4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69">
        <v>46196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6011</v>
      </c>
      <c r="C194" s="41" t="s">
        <v>6012</v>
      </c>
      <c r="D194" s="39" t="s">
        <v>5820</v>
      </c>
      <c r="E194" s="4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69">
        <v>46196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56</v>
      </c>
      <c r="Z194" s="30" t="s">
        <v>57</v>
      </c>
      <c r="AA194" s="30" t="s">
        <v>58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6013</v>
      </c>
      <c r="C195" s="25" t="s">
        <v>6014</v>
      </c>
      <c r="D195" s="23" t="s">
        <v>5820</v>
      </c>
      <c r="E195" s="4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69">
        <v>46196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6015</v>
      </c>
      <c r="C196" s="41" t="s">
        <v>6016</v>
      </c>
      <c r="D196" s="39" t="s">
        <v>5820</v>
      </c>
      <c r="E196" s="4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69">
        <v>46196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6017</v>
      </c>
      <c r="C197" s="25" t="s">
        <v>6018</v>
      </c>
      <c r="D197" s="23" t="s">
        <v>5820</v>
      </c>
      <c r="E197" s="4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69">
        <v>46196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6019</v>
      </c>
      <c r="C198" s="41" t="s">
        <v>6020</v>
      </c>
      <c r="D198" s="39" t="s">
        <v>5820</v>
      </c>
      <c r="E198" s="4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69">
        <v>46196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6021</v>
      </c>
      <c r="C199" s="25" t="s">
        <v>6022</v>
      </c>
      <c r="D199" s="23" t="s">
        <v>5820</v>
      </c>
      <c r="E199" s="4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69">
        <v>46196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6023</v>
      </c>
      <c r="C200" s="41" t="s">
        <v>6024</v>
      </c>
      <c r="D200" s="39" t="s">
        <v>5820</v>
      </c>
      <c r="E200" s="4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69">
        <v>46196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6025</v>
      </c>
      <c r="C201" s="25" t="s">
        <v>6026</v>
      </c>
      <c r="D201" s="23" t="s">
        <v>5820</v>
      </c>
      <c r="E201" s="4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69">
        <v>46196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6027</v>
      </c>
      <c r="C202" s="41" t="s">
        <v>6028</v>
      </c>
      <c r="D202" s="39" t="s">
        <v>5820</v>
      </c>
      <c r="E202" s="4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69">
        <v>46196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6029</v>
      </c>
      <c r="C203" s="25" t="s">
        <v>6030</v>
      </c>
      <c r="D203" s="23" t="s">
        <v>5820</v>
      </c>
      <c r="E203" s="4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69">
        <v>46196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6031</v>
      </c>
      <c r="C204" s="41" t="s">
        <v>6032</v>
      </c>
      <c r="D204" s="39" t="s">
        <v>5820</v>
      </c>
      <c r="E204" s="4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69">
        <v>46196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6033</v>
      </c>
      <c r="C205" s="25" t="s">
        <v>6034</v>
      </c>
      <c r="D205" s="23" t="s">
        <v>5820</v>
      </c>
      <c r="E205" s="4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69">
        <v>46196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6035</v>
      </c>
      <c r="C206" s="41" t="s">
        <v>6036</v>
      </c>
      <c r="D206" s="39" t="s">
        <v>5820</v>
      </c>
      <c r="E206" s="4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69">
        <v>46196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6037</v>
      </c>
      <c r="C207" s="25" t="s">
        <v>6038</v>
      </c>
      <c r="D207" s="23" t="s">
        <v>5820</v>
      </c>
      <c r="E207" s="4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69">
        <v>46196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6039</v>
      </c>
      <c r="C208" s="41" t="s">
        <v>6040</v>
      </c>
      <c r="D208" s="39" t="s">
        <v>5820</v>
      </c>
      <c r="E208" s="4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69">
        <v>46196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6041</v>
      </c>
      <c r="C209" s="25" t="s">
        <v>6042</v>
      </c>
      <c r="D209" s="23" t="s">
        <v>5820</v>
      </c>
      <c r="E209" s="4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69">
        <v>46196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56</v>
      </c>
      <c r="Z209" s="30" t="s">
        <v>57</v>
      </c>
      <c r="AA209" s="30" t="s">
        <v>58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6043</v>
      </c>
      <c r="C210" s="41" t="s">
        <v>6044</v>
      </c>
      <c r="D210" s="39" t="s">
        <v>5820</v>
      </c>
      <c r="E210" s="4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69">
        <v>46196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6045</v>
      </c>
      <c r="C211" s="25" t="s">
        <v>6046</v>
      </c>
      <c r="D211" s="23" t="s">
        <v>5820</v>
      </c>
      <c r="E211" s="4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69">
        <v>46196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6047</v>
      </c>
      <c r="C212" s="41" t="s">
        <v>6048</v>
      </c>
      <c r="D212" s="39" t="s">
        <v>5820</v>
      </c>
      <c r="E212" s="4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69">
        <v>46196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6049</v>
      </c>
      <c r="C213" s="25" t="s">
        <v>6050</v>
      </c>
      <c r="D213" s="23" t="s">
        <v>5820</v>
      </c>
      <c r="E213" s="4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69">
        <v>46196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6051</v>
      </c>
      <c r="C214" s="41" t="s">
        <v>6052</v>
      </c>
      <c r="D214" s="39" t="s">
        <v>5820</v>
      </c>
      <c r="E214" s="4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69">
        <v>46196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6053</v>
      </c>
      <c r="C215" s="25" t="s">
        <v>6054</v>
      </c>
      <c r="D215" s="23" t="s">
        <v>5820</v>
      </c>
      <c r="E215" s="4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69">
        <v>46196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56</v>
      </c>
      <c r="Z215" s="30" t="s">
        <v>57</v>
      </c>
      <c r="AA215" s="30" t="s">
        <v>58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6055</v>
      </c>
      <c r="C216" s="41" t="s">
        <v>6056</v>
      </c>
      <c r="D216" s="39" t="s">
        <v>5820</v>
      </c>
      <c r="E216" s="4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69">
        <v>46196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6057</v>
      </c>
      <c r="C217" s="25" t="s">
        <v>6058</v>
      </c>
      <c r="D217" s="23" t="s">
        <v>5820</v>
      </c>
      <c r="E217" s="4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69">
        <v>46196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6059</v>
      </c>
      <c r="C218" s="41" t="s">
        <v>6060</v>
      </c>
      <c r="D218" s="39" t="s">
        <v>5820</v>
      </c>
      <c r="E218" s="4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69">
        <v>46196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56</v>
      </c>
      <c r="Z218" s="30" t="s">
        <v>57</v>
      </c>
      <c r="AA218" s="30" t="s">
        <v>58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6061</v>
      </c>
      <c r="C219" s="25" t="s">
        <v>6062</v>
      </c>
      <c r="D219" s="23" t="s">
        <v>5820</v>
      </c>
      <c r="E219" s="4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69">
        <v>46196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56</v>
      </c>
      <c r="Z219" s="30" t="s">
        <v>57</v>
      </c>
      <c r="AA219" s="30" t="s">
        <v>58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6063</v>
      </c>
      <c r="C220" s="41" t="s">
        <v>6064</v>
      </c>
      <c r="D220" s="39" t="s">
        <v>5820</v>
      </c>
      <c r="E220" s="4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69">
        <v>46196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56</v>
      </c>
      <c r="Z220" s="30" t="s">
        <v>57</v>
      </c>
      <c r="AA220" s="30" t="s">
        <v>58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6065</v>
      </c>
      <c r="C221" s="25" t="s">
        <v>6066</v>
      </c>
      <c r="D221" s="23" t="s">
        <v>5820</v>
      </c>
      <c r="E221" s="4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69">
        <v>46196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6067</v>
      </c>
      <c r="C222" s="41" t="s">
        <v>6068</v>
      </c>
      <c r="D222" s="39" t="s">
        <v>5820</v>
      </c>
      <c r="E222" s="4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69">
        <v>46196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6069</v>
      </c>
      <c r="C223" s="25" t="s">
        <v>6070</v>
      </c>
      <c r="D223" s="23" t="s">
        <v>5820</v>
      </c>
      <c r="E223" s="4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69">
        <v>46196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6071</v>
      </c>
      <c r="C224" s="41" t="s">
        <v>6072</v>
      </c>
      <c r="D224" s="39" t="s">
        <v>5820</v>
      </c>
      <c r="E224" s="4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69">
        <v>46196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6073</v>
      </c>
      <c r="C225" s="25" t="s">
        <v>6074</v>
      </c>
      <c r="D225" s="23" t="s">
        <v>5820</v>
      </c>
      <c r="E225" s="4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69">
        <v>46196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6075</v>
      </c>
      <c r="C226" s="41" t="s">
        <v>6076</v>
      </c>
      <c r="D226" s="39" t="s">
        <v>5820</v>
      </c>
      <c r="E226" s="4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69">
        <v>46196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56</v>
      </c>
      <c r="Z226" s="30" t="s">
        <v>57</v>
      </c>
      <c r="AA226" s="30" t="s">
        <v>58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6077</v>
      </c>
      <c r="C227" s="25" t="s">
        <v>6078</v>
      </c>
      <c r="D227" s="23" t="s">
        <v>5820</v>
      </c>
      <c r="E227" s="4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69">
        <v>46196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6079</v>
      </c>
      <c r="C228" s="41" t="s">
        <v>6080</v>
      </c>
      <c r="D228" s="39" t="s">
        <v>5820</v>
      </c>
      <c r="E228" s="4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69">
        <v>46196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6081</v>
      </c>
      <c r="C229" s="25" t="s">
        <v>6082</v>
      </c>
      <c r="D229" s="23" t="s">
        <v>5820</v>
      </c>
      <c r="E229" s="4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69">
        <v>46196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6083</v>
      </c>
      <c r="C230" s="41" t="s">
        <v>6084</v>
      </c>
      <c r="D230" s="39" t="s">
        <v>5820</v>
      </c>
      <c r="E230" s="4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69">
        <v>46196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56</v>
      </c>
      <c r="Z230" s="30" t="s">
        <v>57</v>
      </c>
      <c r="AA230" s="30" t="s">
        <v>58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6085</v>
      </c>
      <c r="C231" s="25" t="s">
        <v>6086</v>
      </c>
      <c r="D231" s="23" t="s">
        <v>5820</v>
      </c>
      <c r="E231" s="4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69">
        <v>46196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56</v>
      </c>
      <c r="Z231" s="30" t="s">
        <v>57</v>
      </c>
      <c r="AA231" s="30" t="s">
        <v>58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6087</v>
      </c>
      <c r="C232" s="41" t="s">
        <v>6088</v>
      </c>
      <c r="D232" s="39" t="s">
        <v>5820</v>
      </c>
      <c r="E232" s="4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69">
        <v>46196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6089</v>
      </c>
      <c r="C233" s="25" t="s">
        <v>6090</v>
      </c>
      <c r="D233" s="23" t="s">
        <v>5820</v>
      </c>
      <c r="E233" s="4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69">
        <v>46196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56</v>
      </c>
      <c r="Z233" s="30" t="s">
        <v>57</v>
      </c>
      <c r="AA233" s="30" t="s">
        <v>58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6091</v>
      </c>
      <c r="C234" s="41" t="s">
        <v>6092</v>
      </c>
      <c r="D234" s="39" t="s">
        <v>5820</v>
      </c>
      <c r="E234" s="4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69">
        <v>46196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6093</v>
      </c>
      <c r="C235" s="25" t="s">
        <v>6094</v>
      </c>
      <c r="D235" s="23" t="s">
        <v>5820</v>
      </c>
      <c r="E235" s="4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69">
        <v>46196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6095</v>
      </c>
      <c r="C236" s="41" t="s">
        <v>6096</v>
      </c>
      <c r="D236" s="39" t="s">
        <v>5820</v>
      </c>
      <c r="E236" s="4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69">
        <v>46196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6097</v>
      </c>
      <c r="C237" s="25" t="s">
        <v>6098</v>
      </c>
      <c r="D237" s="23" t="s">
        <v>5820</v>
      </c>
      <c r="E237" s="4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69">
        <v>46196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6099</v>
      </c>
      <c r="C238" s="41" t="s">
        <v>6100</v>
      </c>
      <c r="D238" s="39" t="s">
        <v>5820</v>
      </c>
      <c r="E238" s="4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69">
        <v>46196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56</v>
      </c>
      <c r="Z238" s="30" t="s">
        <v>57</v>
      </c>
      <c r="AA238" s="30" t="s">
        <v>58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6101</v>
      </c>
      <c r="C239" s="25" t="s">
        <v>6102</v>
      </c>
      <c r="D239" s="23" t="s">
        <v>5820</v>
      </c>
      <c r="E239" s="4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69">
        <v>46196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56</v>
      </c>
      <c r="Z239" s="30" t="s">
        <v>57</v>
      </c>
      <c r="AA239" s="30" t="s">
        <v>58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6103</v>
      </c>
      <c r="C240" s="41" t="s">
        <v>6104</v>
      </c>
      <c r="D240" s="39" t="s">
        <v>5820</v>
      </c>
      <c r="E240" s="4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69">
        <v>46196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56</v>
      </c>
      <c r="Z240" s="30" t="s">
        <v>57</v>
      </c>
      <c r="AA240" s="30" t="s">
        <v>58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6105</v>
      </c>
      <c r="C241" s="25" t="s">
        <v>6106</v>
      </c>
      <c r="D241" s="23" t="s">
        <v>5820</v>
      </c>
      <c r="E241" s="4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69">
        <v>46196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6107</v>
      </c>
      <c r="C242" s="41" t="s">
        <v>6108</v>
      </c>
      <c r="D242" s="39" t="s">
        <v>5820</v>
      </c>
      <c r="E242" s="4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69">
        <v>46196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56</v>
      </c>
      <c r="Z242" s="30" t="s">
        <v>57</v>
      </c>
      <c r="AA242" s="30" t="s">
        <v>58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6109</v>
      </c>
      <c r="C243" s="25" t="s">
        <v>6110</v>
      </c>
      <c r="D243" s="23" t="s">
        <v>5820</v>
      </c>
      <c r="E243" s="4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69">
        <v>46196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56</v>
      </c>
      <c r="Z243" s="30" t="s">
        <v>57</v>
      </c>
      <c r="AA243" s="30" t="s">
        <v>58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6111</v>
      </c>
      <c r="C244" s="41" t="s">
        <v>6112</v>
      </c>
      <c r="D244" s="39" t="s">
        <v>5820</v>
      </c>
      <c r="E244" s="4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69">
        <v>46196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6113</v>
      </c>
      <c r="C245" s="25" t="s">
        <v>6114</v>
      </c>
      <c r="D245" s="23" t="s">
        <v>5820</v>
      </c>
      <c r="E245" s="4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69">
        <v>46196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6115</v>
      </c>
      <c r="C246" s="41" t="s">
        <v>6116</v>
      </c>
      <c r="D246" s="39" t="s">
        <v>5820</v>
      </c>
      <c r="E246" s="4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69">
        <v>46196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58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6117</v>
      </c>
      <c r="C247" s="25" t="s">
        <v>6118</v>
      </c>
      <c r="D247" s="23" t="s">
        <v>5820</v>
      </c>
      <c r="E247" s="4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69">
        <v>46196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6119</v>
      </c>
      <c r="C248" s="41" t="s">
        <v>6120</v>
      </c>
      <c r="D248" s="39" t="s">
        <v>5820</v>
      </c>
      <c r="E248" s="4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69">
        <v>46196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56</v>
      </c>
      <c r="Z248" s="30" t="s">
        <v>57</v>
      </c>
      <c r="AA248" s="30" t="s">
        <v>58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6121</v>
      </c>
      <c r="C249" s="25" t="s">
        <v>6122</v>
      </c>
      <c r="D249" s="23" t="s">
        <v>5820</v>
      </c>
      <c r="E249" s="4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69">
        <v>46196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56</v>
      </c>
      <c r="Z249" s="30" t="s">
        <v>57</v>
      </c>
      <c r="AA249" s="30" t="s">
        <v>58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6123</v>
      </c>
      <c r="C250" s="41" t="s">
        <v>6124</v>
      </c>
      <c r="D250" s="39" t="s">
        <v>5820</v>
      </c>
      <c r="E250" s="4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69">
        <v>46196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56</v>
      </c>
      <c r="Z250" s="30" t="s">
        <v>57</v>
      </c>
      <c r="AA250" s="30" t="s">
        <v>58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6125</v>
      </c>
      <c r="C251" s="25" t="s">
        <v>6126</v>
      </c>
      <c r="D251" s="23" t="s">
        <v>5820</v>
      </c>
      <c r="E251" s="4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69">
        <v>46196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6127</v>
      </c>
      <c r="C252" s="41" t="s">
        <v>6128</v>
      </c>
      <c r="D252" s="39" t="s">
        <v>5820</v>
      </c>
      <c r="E252" s="4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69">
        <v>46196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6129</v>
      </c>
      <c r="C253" s="25" t="s">
        <v>6130</v>
      </c>
      <c r="D253" s="23" t="s">
        <v>5820</v>
      </c>
      <c r="E253" s="4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69">
        <v>46196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6131</v>
      </c>
      <c r="C254" s="41" t="s">
        <v>6132</v>
      </c>
      <c r="D254" s="39" t="s">
        <v>5820</v>
      </c>
      <c r="E254" s="4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69">
        <v>46196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6133</v>
      </c>
      <c r="C255" s="25" t="s">
        <v>6134</v>
      </c>
      <c r="D255" s="23" t="s">
        <v>5820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69">
        <v>46196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6135</v>
      </c>
      <c r="C256" s="41" t="s">
        <v>6136</v>
      </c>
      <c r="D256" s="39" t="s">
        <v>5820</v>
      </c>
      <c r="E256" s="4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69">
        <v>46196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6137</v>
      </c>
      <c r="C257" s="25" t="s">
        <v>6138</v>
      </c>
      <c r="D257" s="23" t="s">
        <v>5820</v>
      </c>
      <c r="E257" s="4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69">
        <v>46196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56</v>
      </c>
      <c r="Z257" s="30" t="s">
        <v>57</v>
      </c>
      <c r="AA257" s="30" t="s">
        <v>58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6139</v>
      </c>
      <c r="C258" s="41" t="s">
        <v>6140</v>
      </c>
      <c r="D258" s="39" t="s">
        <v>5820</v>
      </c>
      <c r="E258" s="4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69">
        <v>46196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6141</v>
      </c>
      <c r="C259" s="25" t="s">
        <v>6142</v>
      </c>
      <c r="D259" s="23" t="s">
        <v>5820</v>
      </c>
      <c r="E259" s="4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69">
        <v>46196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6143</v>
      </c>
      <c r="C260" s="41" t="s">
        <v>6144</v>
      </c>
      <c r="D260" s="39" t="s">
        <v>5820</v>
      </c>
      <c r="E260" s="4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69">
        <v>46196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6145</v>
      </c>
      <c r="C261" s="25" t="s">
        <v>6146</v>
      </c>
      <c r="D261" s="23" t="s">
        <v>5820</v>
      </c>
      <c r="E261" s="4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8" si="20">IF(E261="","",IF(H261="Yes","❌ Disc",IF(G261="No","⚠ Missing",IF(J261="Yes","✓ OK","⚠ Check"))))</f>
        <v>✓ OK</v>
      </c>
      <c r="N261" s="69">
        <v>46196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8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298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8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6147</v>
      </c>
      <c r="C262" s="41" t="s">
        <v>6148</v>
      </c>
      <c r="D262" s="39" t="s">
        <v>5820</v>
      </c>
      <c r="E262" s="4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69">
        <v>46196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6149</v>
      </c>
      <c r="C263" s="25" t="s">
        <v>6150</v>
      </c>
      <c r="D263" s="23" t="s">
        <v>5820</v>
      </c>
      <c r="E263" s="4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69">
        <v>46196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6151</v>
      </c>
      <c r="C264" s="41" t="s">
        <v>6152</v>
      </c>
      <c r="D264" s="39" t="s">
        <v>5820</v>
      </c>
      <c r="E264" s="4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69">
        <v>46196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6153</v>
      </c>
      <c r="C265" s="25" t="s">
        <v>6154</v>
      </c>
      <c r="D265" s="23" t="s">
        <v>5820</v>
      </c>
      <c r="E265" s="4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69">
        <v>46196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6155</v>
      </c>
      <c r="C266" s="41" t="s">
        <v>6156</v>
      </c>
      <c r="D266" s="39" t="s">
        <v>5820</v>
      </c>
      <c r="E266" s="4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69">
        <v>46196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6157</v>
      </c>
      <c r="C267" s="25" t="s">
        <v>6158</v>
      </c>
      <c r="D267" s="23" t="s">
        <v>5820</v>
      </c>
      <c r="E267" s="4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69">
        <v>46196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6159</v>
      </c>
      <c r="C268" s="41" t="s">
        <v>6160</v>
      </c>
      <c r="D268" s="39" t="s">
        <v>5820</v>
      </c>
      <c r="E268" s="4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69">
        <v>46196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6161</v>
      </c>
      <c r="C269" s="25" t="s">
        <v>6162</v>
      </c>
      <c r="D269" s="23" t="s">
        <v>5820</v>
      </c>
      <c r="E269" s="4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69">
        <v>46196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56</v>
      </c>
      <c r="Z269" s="30" t="s">
        <v>57</v>
      </c>
      <c r="AA269" s="30" t="s">
        <v>58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6163</v>
      </c>
      <c r="C270" s="41" t="s">
        <v>6164</v>
      </c>
      <c r="D270" s="39" t="s">
        <v>5820</v>
      </c>
      <c r="E270" s="4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69">
        <v>46196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6165</v>
      </c>
      <c r="C271" s="25" t="s">
        <v>6166</v>
      </c>
      <c r="D271" s="23" t="s">
        <v>5820</v>
      </c>
      <c r="E271" s="4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69">
        <v>46196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6167</v>
      </c>
      <c r="C272" s="41" t="s">
        <v>6168</v>
      </c>
      <c r="D272" s="39" t="s">
        <v>5820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69">
        <v>46196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6169</v>
      </c>
      <c r="C273" s="25" t="s">
        <v>6170</v>
      </c>
      <c r="D273" s="23" t="s">
        <v>5820</v>
      </c>
      <c r="E273" s="4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69">
        <v>46196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6171</v>
      </c>
      <c r="C274" s="41" t="s">
        <v>6172</v>
      </c>
      <c r="D274" s="39" t="s">
        <v>5820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69">
        <v>46196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6173</v>
      </c>
      <c r="C275" s="25" t="s">
        <v>6174</v>
      </c>
      <c r="D275" s="23" t="s">
        <v>5820</v>
      </c>
      <c r="E275" s="4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69">
        <v>46196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56</v>
      </c>
      <c r="Z275" s="30" t="s">
        <v>57</v>
      </c>
      <c r="AA275" s="30" t="s">
        <v>58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6175</v>
      </c>
      <c r="C276" s="41" t="s">
        <v>6176</v>
      </c>
      <c r="D276" s="39" t="s">
        <v>5820</v>
      </c>
      <c r="E276" s="4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69">
        <v>46196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6177</v>
      </c>
      <c r="C277" s="25" t="s">
        <v>6178</v>
      </c>
      <c r="D277" s="23" t="s">
        <v>5820</v>
      </c>
      <c r="E277" s="4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69">
        <v>46196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6179</v>
      </c>
      <c r="C278" s="41" t="s">
        <v>6180</v>
      </c>
      <c r="D278" s="39" t="s">
        <v>5820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69">
        <v>46196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6181</v>
      </c>
      <c r="C279" s="25" t="s">
        <v>6182</v>
      </c>
      <c r="D279" s="23" t="s">
        <v>5820</v>
      </c>
      <c r="E279" s="4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69">
        <v>46196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6183</v>
      </c>
      <c r="C280" s="41" t="s">
        <v>6184</v>
      </c>
      <c r="D280" s="39" t="s">
        <v>5820</v>
      </c>
      <c r="E280" s="4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69">
        <v>46196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6185</v>
      </c>
      <c r="C281" s="25" t="s">
        <v>6186</v>
      </c>
      <c r="D281" s="23" t="s">
        <v>5820</v>
      </c>
      <c r="E281" s="4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69">
        <v>46196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6187</v>
      </c>
      <c r="C282" s="41" t="s">
        <v>6188</v>
      </c>
      <c r="D282" s="39" t="s">
        <v>5820</v>
      </c>
      <c r="E282" s="4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69">
        <v>46196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6189</v>
      </c>
      <c r="C283" s="25" t="s">
        <v>6190</v>
      </c>
      <c r="D283" s="23" t="s">
        <v>5820</v>
      </c>
      <c r="E283" s="4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69">
        <v>46196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6191</v>
      </c>
      <c r="C284" s="41" t="s">
        <v>6192</v>
      </c>
      <c r="D284" s="39" t="s">
        <v>5820</v>
      </c>
      <c r="E284" s="4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69">
        <v>46196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6193</v>
      </c>
      <c r="C285" s="25" t="s">
        <v>6194</v>
      </c>
      <c r="D285" s="23" t="s">
        <v>5820</v>
      </c>
      <c r="E285" s="4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69">
        <v>46196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56</v>
      </c>
      <c r="Z285" s="30" t="s">
        <v>57</v>
      </c>
      <c r="AA285" s="30" t="s">
        <v>58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6195</v>
      </c>
      <c r="C286" s="41" t="s">
        <v>6196</v>
      </c>
      <c r="D286" s="39" t="s">
        <v>5820</v>
      </c>
      <c r="E286" s="4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69">
        <v>46196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6197</v>
      </c>
      <c r="C287" s="25" t="s">
        <v>6198</v>
      </c>
      <c r="D287" s="23" t="s">
        <v>5820</v>
      </c>
      <c r="E287" s="4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69">
        <v>46196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6199</v>
      </c>
      <c r="C288" s="41" t="s">
        <v>6200</v>
      </c>
      <c r="D288" s="39" t="s">
        <v>5820</v>
      </c>
      <c r="E288" s="4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69">
        <v>46196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6201</v>
      </c>
      <c r="C289" s="25" t="s">
        <v>6202</v>
      </c>
      <c r="D289" s="23" t="s">
        <v>5820</v>
      </c>
      <c r="E289" s="4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69">
        <v>46196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6203</v>
      </c>
      <c r="C290" s="41" t="s">
        <v>6204</v>
      </c>
      <c r="D290" s="39" t="s">
        <v>5820</v>
      </c>
      <c r="E290" s="4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69">
        <v>46196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56</v>
      </c>
      <c r="Z290" s="30" t="s">
        <v>57</v>
      </c>
      <c r="AA290" s="30" t="s">
        <v>58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6205</v>
      </c>
      <c r="C291" s="25" t="s">
        <v>6206</v>
      </c>
      <c r="D291" s="23" t="s">
        <v>5820</v>
      </c>
      <c r="E291" s="4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69">
        <v>46196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6207</v>
      </c>
      <c r="C292" s="41" t="s">
        <v>6208</v>
      </c>
      <c r="D292" s="39" t="s">
        <v>5820</v>
      </c>
      <c r="E292" s="4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69">
        <v>46196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56</v>
      </c>
      <c r="Z292" s="30" t="s">
        <v>57</v>
      </c>
      <c r="AA292" s="30" t="s">
        <v>58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6209</v>
      </c>
      <c r="C293" s="25" t="s">
        <v>6210</v>
      </c>
      <c r="D293" s="23" t="s">
        <v>6211</v>
      </c>
      <c r="E293" s="42">
        <v>46128</v>
      </c>
      <c r="F293" s="26" t="s">
        <v>55</v>
      </c>
      <c r="G293" s="26" t="s">
        <v>57</v>
      </c>
      <c r="H293" s="26" t="s">
        <v>57</v>
      </c>
      <c r="I293" s="26" t="s">
        <v>89</v>
      </c>
      <c r="J293" s="26" t="s">
        <v>57</v>
      </c>
      <c r="K293" s="27" t="s">
        <v>90</v>
      </c>
      <c r="L293" s="28" t="s">
        <v>56</v>
      </c>
      <c r="M293" s="29" t="str">
        <f t="shared" si="20"/>
        <v>⚠ Missing</v>
      </c>
      <c r="N293" s="69">
        <v>46196</v>
      </c>
      <c r="O293" s="26" t="s">
        <v>55</v>
      </c>
      <c r="P293" s="26" t="s">
        <v>57</v>
      </c>
      <c r="Q293" s="26" t="s">
        <v>57</v>
      </c>
      <c r="R293" s="26" t="s">
        <v>89</v>
      </c>
      <c r="S293" s="26" t="s">
        <v>57</v>
      </c>
      <c r="T293" s="27" t="s">
        <v>90</v>
      </c>
      <c r="U293" s="28" t="s">
        <v>56</v>
      </c>
      <c r="V293" s="29" t="str">
        <f t="shared" si="21"/>
        <v>⚠ Missing</v>
      </c>
      <c r="W293" s="70">
        <v>46248</v>
      </c>
      <c r="X293" s="30" t="s">
        <v>55</v>
      </c>
      <c r="Y293" s="30" t="s">
        <v>57</v>
      </c>
      <c r="Z293" s="30" t="s">
        <v>57</v>
      </c>
      <c r="AA293" s="30" t="s">
        <v>89</v>
      </c>
      <c r="AB293" s="30" t="s">
        <v>57</v>
      </c>
      <c r="AC293" s="27" t="s">
        <v>90</v>
      </c>
      <c r="AD293" s="31" t="s">
        <v>56</v>
      </c>
      <c r="AE293" s="32" t="str">
        <f t="shared" si="22"/>
        <v>⚠ Missing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6212</v>
      </c>
      <c r="C294" s="41" t="s">
        <v>6213</v>
      </c>
      <c r="D294" s="39" t="s">
        <v>6211</v>
      </c>
      <c r="E294" s="42">
        <v>46128</v>
      </c>
      <c r="F294" s="26" t="s">
        <v>55</v>
      </c>
      <c r="G294" s="26" t="s">
        <v>57</v>
      </c>
      <c r="H294" s="26" t="s">
        <v>57</v>
      </c>
      <c r="I294" s="26" t="s">
        <v>89</v>
      </c>
      <c r="J294" s="26" t="s">
        <v>57</v>
      </c>
      <c r="K294" s="27" t="s">
        <v>90</v>
      </c>
      <c r="L294" s="28" t="s">
        <v>56</v>
      </c>
      <c r="M294" s="29" t="str">
        <f t="shared" si="20"/>
        <v>⚠ Missing</v>
      </c>
      <c r="N294" s="69">
        <v>46196</v>
      </c>
      <c r="O294" s="26" t="s">
        <v>55</v>
      </c>
      <c r="P294" s="26" t="s">
        <v>57</v>
      </c>
      <c r="Q294" s="26" t="s">
        <v>57</v>
      </c>
      <c r="R294" s="26" t="s">
        <v>89</v>
      </c>
      <c r="S294" s="26" t="s">
        <v>57</v>
      </c>
      <c r="T294" s="27" t="s">
        <v>90</v>
      </c>
      <c r="U294" s="28" t="s">
        <v>56</v>
      </c>
      <c r="V294" s="29" t="str">
        <f t="shared" si="21"/>
        <v>⚠ Missing</v>
      </c>
      <c r="W294" s="70">
        <v>46248</v>
      </c>
      <c r="X294" s="30" t="s">
        <v>55</v>
      </c>
      <c r="Y294" s="30" t="s">
        <v>57</v>
      </c>
      <c r="Z294" s="30" t="s">
        <v>57</v>
      </c>
      <c r="AA294" s="30" t="s">
        <v>89</v>
      </c>
      <c r="AB294" s="30" t="s">
        <v>57</v>
      </c>
      <c r="AC294" s="27" t="s">
        <v>90</v>
      </c>
      <c r="AD294" s="31" t="s">
        <v>56</v>
      </c>
      <c r="AE294" s="32" t="str">
        <f t="shared" si="22"/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6214</v>
      </c>
      <c r="C295" s="25" t="s">
        <v>6215</v>
      </c>
      <c r="D295" s="23" t="s">
        <v>6211</v>
      </c>
      <c r="E295" s="42">
        <v>46128</v>
      </c>
      <c r="F295" s="26" t="s">
        <v>55</v>
      </c>
      <c r="G295" s="26" t="s">
        <v>57</v>
      </c>
      <c r="H295" s="26" t="s">
        <v>57</v>
      </c>
      <c r="I295" s="26" t="s">
        <v>89</v>
      </c>
      <c r="J295" s="26" t="s">
        <v>57</v>
      </c>
      <c r="K295" s="27" t="s">
        <v>90</v>
      </c>
      <c r="L295" s="28" t="s">
        <v>56</v>
      </c>
      <c r="M295" s="29" t="str">
        <f t="shared" si="20"/>
        <v>⚠ Missing</v>
      </c>
      <c r="N295" s="69">
        <v>46196</v>
      </c>
      <c r="O295" s="26" t="s">
        <v>55</v>
      </c>
      <c r="P295" s="26" t="s">
        <v>57</v>
      </c>
      <c r="Q295" s="26" t="s">
        <v>57</v>
      </c>
      <c r="R295" s="26" t="s">
        <v>89</v>
      </c>
      <c r="S295" s="26" t="s">
        <v>57</v>
      </c>
      <c r="T295" s="27" t="s">
        <v>90</v>
      </c>
      <c r="U295" s="28" t="s">
        <v>56</v>
      </c>
      <c r="V295" s="29" t="str">
        <f t="shared" si="21"/>
        <v>⚠ Missing</v>
      </c>
      <c r="W295" s="70">
        <v>46248</v>
      </c>
      <c r="X295" s="30" t="s">
        <v>55</v>
      </c>
      <c r="Y295" s="30" t="s">
        <v>57</v>
      </c>
      <c r="Z295" s="30" t="s">
        <v>57</v>
      </c>
      <c r="AA295" s="30" t="s">
        <v>89</v>
      </c>
      <c r="AB295" s="30" t="s">
        <v>57</v>
      </c>
      <c r="AC295" s="27" t="s">
        <v>90</v>
      </c>
      <c r="AD295" s="31" t="s">
        <v>56</v>
      </c>
      <c r="AE295" s="32" t="str">
        <f t="shared" si="22"/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6216</v>
      </c>
      <c r="C296" s="41" t="s">
        <v>6217</v>
      </c>
      <c r="D296" s="39" t="s">
        <v>6211</v>
      </c>
      <c r="E296" s="42">
        <v>46128</v>
      </c>
      <c r="F296" s="26" t="s">
        <v>55</v>
      </c>
      <c r="G296" s="26" t="s">
        <v>57</v>
      </c>
      <c r="H296" s="26" t="s">
        <v>57</v>
      </c>
      <c r="I296" s="26" t="s">
        <v>89</v>
      </c>
      <c r="J296" s="26" t="s">
        <v>57</v>
      </c>
      <c r="K296" s="27" t="s">
        <v>90</v>
      </c>
      <c r="L296" s="28" t="s">
        <v>56</v>
      </c>
      <c r="M296" s="29" t="str">
        <f t="shared" si="20"/>
        <v>⚠ Missing</v>
      </c>
      <c r="N296" s="69">
        <v>46196</v>
      </c>
      <c r="O296" s="26" t="s">
        <v>55</v>
      </c>
      <c r="P296" s="26" t="s">
        <v>57</v>
      </c>
      <c r="Q296" s="26" t="s">
        <v>57</v>
      </c>
      <c r="R296" s="26" t="s">
        <v>89</v>
      </c>
      <c r="S296" s="26" t="s">
        <v>57</v>
      </c>
      <c r="T296" s="27" t="s">
        <v>90</v>
      </c>
      <c r="U296" s="28" t="s">
        <v>56</v>
      </c>
      <c r="V296" s="29" t="str">
        <f t="shared" si="21"/>
        <v>⚠ Missing</v>
      </c>
      <c r="W296" s="70">
        <v>46248</v>
      </c>
      <c r="X296" s="30" t="s">
        <v>55</v>
      </c>
      <c r="Y296" s="30" t="s">
        <v>57</v>
      </c>
      <c r="Z296" s="30" t="s">
        <v>57</v>
      </c>
      <c r="AA296" s="30" t="s">
        <v>89</v>
      </c>
      <c r="AB296" s="30" t="s">
        <v>57</v>
      </c>
      <c r="AC296" s="27" t="s">
        <v>90</v>
      </c>
      <c r="AD296" s="31" t="s">
        <v>56</v>
      </c>
      <c r="AE296" s="32" t="str">
        <f t="shared" si="22"/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6218</v>
      </c>
      <c r="C297" s="25" t="s">
        <v>6219</v>
      </c>
      <c r="D297" s="23" t="s">
        <v>6211</v>
      </c>
      <c r="E297" s="42">
        <v>46128</v>
      </c>
      <c r="F297" s="26" t="s">
        <v>55</v>
      </c>
      <c r="G297" s="26" t="s">
        <v>57</v>
      </c>
      <c r="H297" s="26" t="s">
        <v>57</v>
      </c>
      <c r="I297" s="26" t="s">
        <v>89</v>
      </c>
      <c r="J297" s="26" t="s">
        <v>57</v>
      </c>
      <c r="K297" s="27" t="s">
        <v>90</v>
      </c>
      <c r="L297" s="28" t="s">
        <v>56</v>
      </c>
      <c r="M297" s="29" t="str">
        <f t="shared" si="20"/>
        <v>⚠ Missing</v>
      </c>
      <c r="N297" s="69">
        <v>46196</v>
      </c>
      <c r="O297" s="26" t="s">
        <v>55</v>
      </c>
      <c r="P297" s="26" t="s">
        <v>57</v>
      </c>
      <c r="Q297" s="26" t="s">
        <v>57</v>
      </c>
      <c r="R297" s="26" t="s">
        <v>89</v>
      </c>
      <c r="S297" s="26" t="s">
        <v>57</v>
      </c>
      <c r="T297" s="27" t="s">
        <v>90</v>
      </c>
      <c r="U297" s="28" t="s">
        <v>56</v>
      </c>
      <c r="V297" s="29" t="str">
        <f t="shared" si="21"/>
        <v>⚠ Missing</v>
      </c>
      <c r="W297" s="70">
        <v>46248</v>
      </c>
      <c r="X297" s="30" t="s">
        <v>55</v>
      </c>
      <c r="Y297" s="30" t="s">
        <v>57</v>
      </c>
      <c r="Z297" s="30" t="s">
        <v>57</v>
      </c>
      <c r="AA297" s="30" t="s">
        <v>89</v>
      </c>
      <c r="AB297" s="30" t="s">
        <v>57</v>
      </c>
      <c r="AC297" s="27" t="s">
        <v>90</v>
      </c>
      <c r="AD297" s="31" t="s">
        <v>56</v>
      </c>
      <c r="AE297" s="32" t="str">
        <f t="shared" si="22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6220</v>
      </c>
      <c r="C298" s="41" t="s">
        <v>6221</v>
      </c>
      <c r="D298" s="39" t="s">
        <v>6211</v>
      </c>
      <c r="E298" s="42">
        <v>46128</v>
      </c>
      <c r="F298" s="26" t="s">
        <v>55</v>
      </c>
      <c r="G298" s="26" t="s">
        <v>57</v>
      </c>
      <c r="H298" s="26" t="s">
        <v>57</v>
      </c>
      <c r="I298" s="26" t="s">
        <v>89</v>
      </c>
      <c r="J298" s="26" t="s">
        <v>57</v>
      </c>
      <c r="K298" s="27" t="s">
        <v>90</v>
      </c>
      <c r="L298" s="28" t="s">
        <v>56</v>
      </c>
      <c r="M298" s="29" t="str">
        <f t="shared" si="20"/>
        <v>⚠ Missing</v>
      </c>
      <c r="N298" s="69">
        <v>46196</v>
      </c>
      <c r="O298" s="26" t="s">
        <v>55</v>
      </c>
      <c r="P298" s="26" t="s">
        <v>57</v>
      </c>
      <c r="Q298" s="26" t="s">
        <v>57</v>
      </c>
      <c r="R298" s="26" t="s">
        <v>89</v>
      </c>
      <c r="S298" s="26" t="s">
        <v>57</v>
      </c>
      <c r="T298" s="27" t="s">
        <v>90</v>
      </c>
      <c r="U298" s="28" t="s">
        <v>56</v>
      </c>
      <c r="V298" s="29" t="str">
        <f t="shared" si="21"/>
        <v>⚠ Missing</v>
      </c>
      <c r="W298" s="70">
        <v>46248</v>
      </c>
      <c r="X298" s="30" t="s">
        <v>55</v>
      </c>
      <c r="Y298" s="30" t="s">
        <v>57</v>
      </c>
      <c r="Z298" s="30" t="s">
        <v>57</v>
      </c>
      <c r="AA298" s="30" t="s">
        <v>89</v>
      </c>
      <c r="AB298" s="30" t="s">
        <v>57</v>
      </c>
      <c r="AC298" s="27" t="s">
        <v>90</v>
      </c>
      <c r="AD298" s="31" t="s">
        <v>56</v>
      </c>
      <c r="AE298" s="32" t="str">
        <f t="shared" si="22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</sheetData>
  <autoFilter ref="A4:AW298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8">
    <cfRule type="expression" dxfId="54" priority="15">
      <formula>G5="Yes"</formula>
    </cfRule>
    <cfRule type="expression" dxfId="53" priority="16">
      <formula>G5="No"</formula>
    </cfRule>
  </conditionalFormatting>
  <conditionalFormatting sqref="H5:H298">
    <cfRule type="expression" dxfId="52" priority="17">
      <formula>H5="Yes"</formula>
    </cfRule>
  </conditionalFormatting>
  <conditionalFormatting sqref="J5:J298">
    <cfRule type="expression" dxfId="51" priority="18">
      <formula>J5="Yes"</formula>
    </cfRule>
    <cfRule type="expression" dxfId="50" priority="19">
      <formula>J5="No"</formula>
    </cfRule>
  </conditionalFormatting>
  <conditionalFormatting sqref="M5:M298">
    <cfRule type="expression" dxfId="49" priority="13">
      <formula>M5="⚠ Missing"</formula>
    </cfRule>
    <cfRule type="expression" dxfId="48" priority="11">
      <formula>M5="✓ OK"</formula>
    </cfRule>
    <cfRule type="expression" dxfId="47" priority="12">
      <formula>M5="❌ Disc"</formula>
    </cfRule>
    <cfRule type="expression" dxfId="46" priority="14">
      <formula>M5="⚠ Check"</formula>
    </cfRule>
  </conditionalFormatting>
  <conditionalFormatting sqref="N5:N298">
    <cfRule type="expression" dxfId="45" priority="1">
      <formula>MOD(ROW(),2)=0</formula>
    </cfRule>
  </conditionalFormatting>
  <conditionalFormatting sqref="A5:M298 O5:AW298">
    <cfRule type="expression" dxfId="44" priority="56">
      <formula>MOD(ROW(),2)=0</formula>
    </cfRule>
  </conditionalFormatting>
  <conditionalFormatting sqref="P5:P298">
    <cfRule type="expression" dxfId="43" priority="6">
      <formula>P5="Yes"</formula>
    </cfRule>
    <cfRule type="expression" dxfId="42" priority="7">
      <formula>P5="No"</formula>
    </cfRule>
    <cfRule type="expression" dxfId="41" priority="24">
      <formula>P5="Yes"</formula>
    </cfRule>
    <cfRule type="expression" dxfId="40" priority="25">
      <formula>P5="No"</formula>
    </cfRule>
  </conditionalFormatting>
  <conditionalFormatting sqref="Q5:Q298">
    <cfRule type="expression" dxfId="39" priority="8">
      <formula>Q5="Yes"</formula>
    </cfRule>
  </conditionalFormatting>
  <conditionalFormatting sqref="S5:S298">
    <cfRule type="expression" dxfId="38" priority="9">
      <formula>S5="Yes"</formula>
    </cfRule>
    <cfRule type="expression" dxfId="37" priority="10">
      <formula>S5="No"</formula>
    </cfRule>
    <cfRule type="expression" dxfId="36" priority="27">
      <formula>S5="Yes"</formula>
    </cfRule>
    <cfRule type="expression" dxfId="35" priority="28">
      <formula>S5="No"</formula>
    </cfRule>
  </conditionalFormatting>
  <conditionalFormatting sqref="V5:V298">
    <cfRule type="expression" dxfId="34" priority="2">
      <formula>V5="✓ OK"</formula>
    </cfRule>
    <cfRule type="expression" dxfId="33" priority="3">
      <formula>V5="❌ Disc"</formula>
    </cfRule>
    <cfRule type="expression" dxfId="32" priority="4">
      <formula>V5="⚠ Missing"</formula>
    </cfRule>
    <cfRule type="expression" dxfId="31" priority="5">
      <formula>V5="⚠ Check"</formula>
    </cfRule>
    <cfRule type="expression" dxfId="30" priority="20">
      <formula>V5="✓ OK"</formula>
    </cfRule>
    <cfRule type="expression" dxfId="29" priority="21">
      <formula>V5="❌ Disc"</formula>
    </cfRule>
    <cfRule type="expression" dxfId="28" priority="22">
      <formula>V5="⚠ Missing"</formula>
    </cfRule>
    <cfRule type="expression" dxfId="27" priority="23">
      <formula>V5="⚠ Check"</formula>
    </cfRule>
  </conditionalFormatting>
  <conditionalFormatting sqref="Y5:Y298">
    <cfRule type="expression" dxfId="26" priority="33">
      <formula>Y5="Yes"</formula>
    </cfRule>
    <cfRule type="expression" dxfId="25" priority="34">
      <formula>Y5="No"</formula>
    </cfRule>
  </conditionalFormatting>
  <conditionalFormatting sqref="Z5:Z298">
    <cfRule type="expression" dxfId="24" priority="35">
      <formula>Z5="Yes"</formula>
    </cfRule>
  </conditionalFormatting>
  <conditionalFormatting sqref="AB5:AB298">
    <cfRule type="expression" dxfId="23" priority="36">
      <formula>AB5="Yes"</formula>
    </cfRule>
    <cfRule type="expression" dxfId="22" priority="37">
      <formula>AB5="No"</formula>
    </cfRule>
  </conditionalFormatting>
  <conditionalFormatting sqref="AE5:AE298">
    <cfRule type="expression" dxfId="21" priority="30">
      <formula>AE5="❌ Disc"</formula>
    </cfRule>
    <cfRule type="expression" dxfId="20" priority="31">
      <formula>AE5="⚠ Missing"</formula>
    </cfRule>
    <cfRule type="expression" dxfId="19" priority="29">
      <formula>AE5="✓ OK"</formula>
    </cfRule>
    <cfRule type="expression" dxfId="18" priority="32">
      <formula>AE5="⚠ Check"</formula>
    </cfRule>
  </conditionalFormatting>
  <conditionalFormatting sqref="AH5:AH298">
    <cfRule type="expression" dxfId="17" priority="42">
      <formula>AH5="Yes"</formula>
    </cfRule>
    <cfRule type="expression" dxfId="16" priority="43">
      <formula>AH5="No"</formula>
    </cfRule>
  </conditionalFormatting>
  <conditionalFormatting sqref="AI5:AI298">
    <cfRule type="expression" dxfId="15" priority="44">
      <formula>AI5="Yes"</formula>
    </cfRule>
  </conditionalFormatting>
  <conditionalFormatting sqref="AK5:AK298">
    <cfRule type="expression" dxfId="14" priority="45">
      <formula>AK5="Yes"</formula>
    </cfRule>
    <cfRule type="expression" dxfId="13" priority="46">
      <formula>AK5="No"</formula>
    </cfRule>
  </conditionalFormatting>
  <conditionalFormatting sqref="AN5:AN298">
    <cfRule type="expression" dxfId="12" priority="38">
      <formula>AN5="✓ OK"</formula>
    </cfRule>
    <cfRule type="expression" dxfId="11" priority="39">
      <formula>AN5="❌ Disc"</formula>
    </cfRule>
    <cfRule type="expression" dxfId="10" priority="40">
      <formula>AN5="⚠ Missing"</formula>
    </cfRule>
    <cfRule type="expression" dxfId="9" priority="41">
      <formula>AN5="⚠ Check"</formula>
    </cfRule>
  </conditionalFormatting>
  <conditionalFormatting sqref="AQ5:AQ298">
    <cfRule type="expression" dxfId="8" priority="51">
      <formula>AQ5="Yes"</formula>
    </cfRule>
    <cfRule type="expression" dxfId="7" priority="52">
      <formula>AQ5="No"</formula>
    </cfRule>
  </conditionalFormatting>
  <conditionalFormatting sqref="AR5:AR298">
    <cfRule type="expression" dxfId="6" priority="53">
      <formula>AR5="Yes"</formula>
    </cfRule>
  </conditionalFormatting>
  <conditionalFormatting sqref="AT5:AT298">
    <cfRule type="expression" dxfId="5" priority="54">
      <formula>AT5="Yes"</formula>
    </cfRule>
    <cfRule type="expression" dxfId="4" priority="55">
      <formula>AT5="No"</formula>
    </cfRule>
  </conditionalFormatting>
  <conditionalFormatting sqref="AW5:AW298">
    <cfRule type="expression" dxfId="3" priority="47">
      <formula>AW5="✓ OK"</formula>
    </cfRule>
    <cfRule type="expression" dxfId="2" priority="48">
      <formula>AW5="❌ Disc"</formula>
    </cfRule>
    <cfRule type="expression" dxfId="1" priority="49">
      <formula>AW5="⚠ Missing"</formula>
    </cfRule>
    <cfRule type="expression" dxfId="0" priority="50">
      <formula>AW5="⚠ Check"</formula>
    </cfRule>
  </conditionalFormatting>
  <dataValidations count="2">
    <dataValidation type="list" allowBlank="1" sqref="G5:H298 J5:J298 P5:Q298 S5:S298 AT5:AT298 AB5:AB298 AH5:AI298 AK5:AK298 AQ5:AR298 Y5:Z298" xr:uid="{00000000-0002-0000-0C00-000000000000}">
      <formula1>"Yes,No"</formula1>
    </dataValidation>
    <dataValidation type="list" allowBlank="1" sqref="I5:I298 R5:R298 AA5:AA298 AJ5:AJ298 AS5:AS298" xr:uid="{00000000-0002-0000-0C00-000001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2026-08-17T11:28:11Z</dcterms:modified>
  <cp:category/>
  <cp:contentStatus/>
</cp:coreProperties>
</file>